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ua\Downloads\datasetโปรเจ็ค\"/>
    </mc:Choice>
  </mc:AlternateContent>
  <xr:revisionPtr revIDLastSave="0" documentId="13_ncr:1_{F6B50F8A-26FB-442D-B6A5-F919CAA91F9C}" xr6:coauthVersionLast="47" xr6:coauthVersionMax="47" xr10:uidLastSave="{00000000-0000-0000-0000-000000000000}"/>
  <bookViews>
    <workbookView xWindow="-108" yWindow="-108" windowWidth="23256" windowHeight="12456" xr2:uid="{4CE752D8-AB9C-4364-97EC-7F6707B8CA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" i="1"/>
  <c r="L336" i="1" l="1"/>
  <c r="J336" i="1"/>
  <c r="M336" i="1" s="1"/>
  <c r="G336" i="1"/>
  <c r="H336" i="1" s="1"/>
  <c r="L335" i="1"/>
  <c r="J335" i="1"/>
  <c r="M335" i="1" s="1"/>
  <c r="G335" i="1"/>
  <c r="H335" i="1" s="1"/>
  <c r="M334" i="1"/>
  <c r="L334" i="1"/>
  <c r="J334" i="1"/>
  <c r="G334" i="1"/>
  <c r="H334" i="1" s="1"/>
  <c r="M333" i="1"/>
  <c r="L333" i="1"/>
  <c r="J333" i="1"/>
  <c r="H333" i="1"/>
  <c r="G333" i="1"/>
  <c r="L332" i="1"/>
  <c r="J332" i="1"/>
  <c r="M332" i="1" s="1"/>
  <c r="H332" i="1"/>
  <c r="G332" i="1"/>
  <c r="L331" i="1"/>
  <c r="J331" i="1"/>
  <c r="M331" i="1" s="1"/>
  <c r="G331" i="1"/>
  <c r="H331" i="1" s="1"/>
  <c r="L330" i="1"/>
  <c r="M330" i="1" s="1"/>
  <c r="J330" i="1"/>
  <c r="G330" i="1"/>
  <c r="H330" i="1" s="1"/>
  <c r="M329" i="1"/>
  <c r="L329" i="1"/>
  <c r="J329" i="1"/>
  <c r="G329" i="1"/>
  <c r="H329" i="1" s="1"/>
  <c r="L328" i="1"/>
  <c r="J328" i="1"/>
  <c r="M328" i="1" s="1"/>
  <c r="H328" i="1"/>
  <c r="G328" i="1"/>
  <c r="L327" i="1"/>
  <c r="J327" i="1"/>
  <c r="M327" i="1" s="1"/>
  <c r="G327" i="1"/>
  <c r="H327" i="1" s="1"/>
  <c r="L326" i="1"/>
  <c r="M326" i="1" s="1"/>
  <c r="J326" i="1"/>
  <c r="G326" i="1"/>
  <c r="H326" i="1" s="1"/>
  <c r="M325" i="1"/>
  <c r="L325" i="1"/>
  <c r="J325" i="1"/>
  <c r="H325" i="1"/>
  <c r="G325" i="1"/>
  <c r="L324" i="1"/>
  <c r="J324" i="1"/>
  <c r="M324" i="1" s="1"/>
  <c r="H324" i="1"/>
  <c r="G324" i="1"/>
  <c r="L323" i="1"/>
  <c r="J323" i="1"/>
  <c r="M323" i="1" s="1"/>
  <c r="G323" i="1"/>
  <c r="H323" i="1" s="1"/>
  <c r="L322" i="1"/>
  <c r="M322" i="1" s="1"/>
  <c r="J322" i="1"/>
  <c r="G322" i="1"/>
  <c r="H322" i="1" s="1"/>
  <c r="M321" i="1"/>
  <c r="L321" i="1"/>
  <c r="J321" i="1"/>
  <c r="G321" i="1"/>
  <c r="H321" i="1" s="1"/>
  <c r="L320" i="1"/>
  <c r="J320" i="1"/>
  <c r="M320" i="1" s="1"/>
  <c r="H320" i="1"/>
  <c r="G320" i="1"/>
  <c r="L319" i="1"/>
  <c r="J319" i="1"/>
  <c r="M319" i="1" s="1"/>
  <c r="G319" i="1"/>
  <c r="H319" i="1" s="1"/>
  <c r="M318" i="1"/>
  <c r="L318" i="1"/>
  <c r="J318" i="1"/>
  <c r="G318" i="1"/>
  <c r="H318" i="1" s="1"/>
  <c r="M317" i="1"/>
  <c r="L317" i="1"/>
  <c r="J317" i="1"/>
  <c r="H317" i="1"/>
  <c r="G317" i="1"/>
  <c r="L316" i="1"/>
  <c r="J316" i="1"/>
  <c r="M316" i="1" s="1"/>
  <c r="H316" i="1"/>
  <c r="G316" i="1"/>
  <c r="L315" i="1"/>
  <c r="J315" i="1"/>
  <c r="M315" i="1" s="1"/>
  <c r="G315" i="1"/>
  <c r="H315" i="1" s="1"/>
  <c r="L314" i="1"/>
  <c r="M314" i="1" s="1"/>
  <c r="J314" i="1"/>
  <c r="G314" i="1"/>
  <c r="H314" i="1" s="1"/>
  <c r="M313" i="1"/>
  <c r="L313" i="1"/>
  <c r="J313" i="1"/>
  <c r="G313" i="1"/>
  <c r="H313" i="1" s="1"/>
  <c r="L312" i="1"/>
  <c r="J312" i="1"/>
  <c r="M312" i="1" s="1"/>
  <c r="H312" i="1"/>
  <c r="G312" i="1"/>
  <c r="L311" i="1"/>
  <c r="J311" i="1"/>
  <c r="M311" i="1" s="1"/>
  <c r="G311" i="1"/>
  <c r="H311" i="1" s="1"/>
  <c r="M310" i="1"/>
  <c r="L310" i="1"/>
  <c r="J310" i="1"/>
  <c r="G310" i="1"/>
  <c r="H310" i="1" s="1"/>
  <c r="M309" i="1"/>
  <c r="L309" i="1"/>
  <c r="J309" i="1"/>
  <c r="H309" i="1"/>
  <c r="G309" i="1"/>
  <c r="L308" i="1"/>
  <c r="J308" i="1"/>
  <c r="M308" i="1" s="1"/>
  <c r="H308" i="1"/>
  <c r="G308" i="1"/>
  <c r="L307" i="1"/>
  <c r="J307" i="1"/>
  <c r="M307" i="1" s="1"/>
  <c r="G307" i="1"/>
  <c r="H307" i="1" s="1"/>
  <c r="L306" i="1"/>
  <c r="M306" i="1" s="1"/>
  <c r="J306" i="1"/>
  <c r="G306" i="1"/>
  <c r="H306" i="1" s="1"/>
  <c r="M305" i="1"/>
  <c r="L305" i="1"/>
  <c r="J305" i="1"/>
  <c r="G305" i="1"/>
  <c r="H305" i="1" s="1"/>
  <c r="L304" i="1"/>
  <c r="J304" i="1"/>
  <c r="M304" i="1" s="1"/>
  <c r="H304" i="1"/>
  <c r="G304" i="1"/>
  <c r="L303" i="1"/>
  <c r="J303" i="1"/>
  <c r="M303" i="1" s="1"/>
  <c r="G303" i="1"/>
  <c r="H303" i="1" s="1"/>
  <c r="M302" i="1"/>
  <c r="L302" i="1"/>
  <c r="J302" i="1"/>
  <c r="G302" i="1"/>
  <c r="H302" i="1" s="1"/>
  <c r="M301" i="1"/>
  <c r="L301" i="1"/>
  <c r="J301" i="1"/>
  <c r="H301" i="1"/>
  <c r="G301" i="1"/>
  <c r="L300" i="1"/>
  <c r="J300" i="1"/>
  <c r="M300" i="1" s="1"/>
  <c r="H300" i="1"/>
  <c r="G300" i="1"/>
  <c r="L299" i="1"/>
  <c r="M299" i="1" s="1"/>
  <c r="J299" i="1"/>
  <c r="G299" i="1"/>
  <c r="H299" i="1" s="1"/>
  <c r="L298" i="1"/>
  <c r="M298" i="1" s="1"/>
  <c r="J298" i="1"/>
  <c r="G298" i="1"/>
  <c r="H298" i="1" s="1"/>
  <c r="L297" i="1"/>
  <c r="J297" i="1"/>
  <c r="M297" i="1" s="1"/>
  <c r="G297" i="1"/>
  <c r="H297" i="1" s="1"/>
  <c r="L296" i="1"/>
  <c r="J296" i="1"/>
  <c r="M296" i="1" s="1"/>
  <c r="H296" i="1"/>
  <c r="G296" i="1"/>
  <c r="L295" i="1"/>
  <c r="J295" i="1"/>
  <c r="M295" i="1" s="1"/>
  <c r="G295" i="1"/>
  <c r="H295" i="1" s="1"/>
  <c r="M294" i="1"/>
  <c r="L294" i="1"/>
  <c r="J294" i="1"/>
  <c r="G294" i="1"/>
  <c r="H294" i="1" s="1"/>
  <c r="M293" i="1"/>
  <c r="L293" i="1"/>
  <c r="J293" i="1"/>
  <c r="H293" i="1"/>
  <c r="G293" i="1"/>
  <c r="L292" i="1"/>
  <c r="J292" i="1"/>
  <c r="M292" i="1" s="1"/>
  <c r="H292" i="1"/>
  <c r="G292" i="1"/>
  <c r="L291" i="1"/>
  <c r="M291" i="1" s="1"/>
  <c r="J291" i="1"/>
  <c r="G291" i="1"/>
  <c r="H291" i="1" s="1"/>
  <c r="L290" i="1"/>
  <c r="M290" i="1" s="1"/>
  <c r="J290" i="1"/>
  <c r="G290" i="1"/>
  <c r="H290" i="1" s="1"/>
  <c r="L289" i="1"/>
  <c r="J289" i="1"/>
  <c r="M289" i="1" s="1"/>
  <c r="G289" i="1"/>
  <c r="H289" i="1" s="1"/>
  <c r="L288" i="1"/>
  <c r="J288" i="1"/>
  <c r="M288" i="1" s="1"/>
  <c r="H288" i="1"/>
  <c r="G288" i="1"/>
  <c r="L287" i="1"/>
  <c r="J287" i="1"/>
  <c r="M287" i="1" s="1"/>
  <c r="G287" i="1"/>
  <c r="H287" i="1" s="1"/>
  <c r="M286" i="1"/>
  <c r="L286" i="1"/>
  <c r="J286" i="1"/>
  <c r="G286" i="1"/>
  <c r="H286" i="1" s="1"/>
  <c r="M285" i="1"/>
  <c r="L285" i="1"/>
  <c r="J285" i="1"/>
  <c r="H285" i="1"/>
  <c r="G285" i="1"/>
  <c r="L284" i="1"/>
  <c r="J284" i="1"/>
  <c r="M284" i="1" s="1"/>
  <c r="H284" i="1"/>
  <c r="G284" i="1"/>
  <c r="L283" i="1"/>
  <c r="M283" i="1" s="1"/>
  <c r="J283" i="1"/>
  <c r="G283" i="1"/>
  <c r="H283" i="1" s="1"/>
  <c r="L282" i="1"/>
  <c r="M282" i="1" s="1"/>
  <c r="J282" i="1"/>
  <c r="G282" i="1"/>
  <c r="H282" i="1" s="1"/>
  <c r="L281" i="1"/>
  <c r="J281" i="1"/>
  <c r="M281" i="1" s="1"/>
  <c r="G281" i="1"/>
  <c r="H281" i="1" s="1"/>
  <c r="L280" i="1"/>
  <c r="J280" i="1"/>
  <c r="M280" i="1" s="1"/>
  <c r="H280" i="1"/>
  <c r="G280" i="1"/>
  <c r="L279" i="1"/>
  <c r="J279" i="1"/>
  <c r="M279" i="1" s="1"/>
  <c r="G279" i="1"/>
  <c r="H279" i="1" s="1"/>
  <c r="M278" i="1"/>
  <c r="L278" i="1"/>
  <c r="J278" i="1"/>
  <c r="G278" i="1"/>
  <c r="H278" i="1" s="1"/>
  <c r="M277" i="1"/>
  <c r="L277" i="1"/>
  <c r="J277" i="1"/>
  <c r="H277" i="1"/>
  <c r="G277" i="1"/>
  <c r="L276" i="1"/>
  <c r="J276" i="1"/>
  <c r="M276" i="1" s="1"/>
  <c r="H276" i="1"/>
  <c r="G276" i="1"/>
  <c r="L275" i="1"/>
  <c r="M275" i="1" s="1"/>
  <c r="J275" i="1"/>
  <c r="G275" i="1"/>
  <c r="H275" i="1" s="1"/>
  <c r="L274" i="1"/>
  <c r="M274" i="1" s="1"/>
  <c r="J274" i="1"/>
  <c r="G274" i="1"/>
  <c r="H274" i="1" s="1"/>
  <c r="M273" i="1"/>
  <c r="L273" i="1"/>
  <c r="J273" i="1"/>
  <c r="G273" i="1"/>
  <c r="H273" i="1" s="1"/>
  <c r="L272" i="1"/>
  <c r="J272" i="1"/>
  <c r="M272" i="1" s="1"/>
  <c r="H272" i="1"/>
  <c r="G272" i="1"/>
  <c r="L271" i="1"/>
  <c r="J271" i="1"/>
  <c r="M271" i="1" s="1"/>
  <c r="G271" i="1"/>
  <c r="H271" i="1" s="1"/>
  <c r="M270" i="1"/>
  <c r="L270" i="1"/>
  <c r="J270" i="1"/>
  <c r="G270" i="1"/>
  <c r="H270" i="1" s="1"/>
  <c r="M269" i="1"/>
  <c r="L269" i="1"/>
  <c r="J269" i="1"/>
  <c r="H269" i="1"/>
  <c r="G269" i="1"/>
  <c r="L268" i="1"/>
  <c r="J268" i="1"/>
  <c r="M268" i="1" s="1"/>
  <c r="H268" i="1"/>
  <c r="G268" i="1"/>
  <c r="L267" i="1"/>
  <c r="M267" i="1" s="1"/>
  <c r="J267" i="1"/>
  <c r="G267" i="1"/>
  <c r="H267" i="1" s="1"/>
  <c r="L266" i="1"/>
  <c r="M266" i="1" s="1"/>
  <c r="J266" i="1"/>
  <c r="G266" i="1"/>
  <c r="H266" i="1" s="1"/>
  <c r="L265" i="1"/>
  <c r="J265" i="1"/>
  <c r="M265" i="1" s="1"/>
  <c r="G265" i="1"/>
  <c r="H265" i="1" s="1"/>
  <c r="L264" i="1"/>
  <c r="J264" i="1"/>
  <c r="M264" i="1" s="1"/>
  <c r="H264" i="1"/>
  <c r="G264" i="1"/>
  <c r="L263" i="1"/>
  <c r="J263" i="1"/>
  <c r="M263" i="1" s="1"/>
  <c r="G263" i="1"/>
  <c r="H263" i="1" s="1"/>
  <c r="M262" i="1"/>
  <c r="L262" i="1"/>
  <c r="J262" i="1"/>
  <c r="G262" i="1"/>
  <c r="H262" i="1" s="1"/>
  <c r="M261" i="1"/>
  <c r="L261" i="1"/>
  <c r="J261" i="1"/>
  <c r="H261" i="1"/>
  <c r="G261" i="1"/>
  <c r="L260" i="1"/>
  <c r="J260" i="1"/>
  <c r="M260" i="1" s="1"/>
  <c r="H260" i="1"/>
  <c r="G260" i="1"/>
  <c r="L259" i="1"/>
  <c r="M259" i="1" s="1"/>
  <c r="J259" i="1"/>
  <c r="G259" i="1"/>
  <c r="H259" i="1" s="1"/>
  <c r="L258" i="1"/>
  <c r="M258" i="1" s="1"/>
  <c r="J258" i="1"/>
  <c r="G258" i="1"/>
  <c r="H258" i="1" s="1"/>
  <c r="L257" i="1"/>
  <c r="J257" i="1"/>
  <c r="M257" i="1" s="1"/>
  <c r="G257" i="1"/>
  <c r="H257" i="1" s="1"/>
  <c r="L256" i="1"/>
  <c r="J256" i="1"/>
  <c r="M256" i="1" s="1"/>
  <c r="H256" i="1"/>
  <c r="G256" i="1"/>
  <c r="L255" i="1"/>
  <c r="J255" i="1"/>
  <c r="M255" i="1" s="1"/>
  <c r="G255" i="1"/>
  <c r="H255" i="1" s="1"/>
  <c r="M254" i="1"/>
  <c r="L254" i="1"/>
  <c r="J254" i="1"/>
  <c r="G254" i="1"/>
  <c r="H254" i="1" s="1"/>
  <c r="M253" i="1"/>
  <c r="L253" i="1"/>
  <c r="J253" i="1"/>
  <c r="H253" i="1"/>
  <c r="G253" i="1"/>
  <c r="L252" i="1"/>
  <c r="J252" i="1"/>
  <c r="M252" i="1" s="1"/>
  <c r="H252" i="1"/>
  <c r="G252" i="1"/>
  <c r="L251" i="1"/>
  <c r="M251" i="1" s="1"/>
  <c r="J251" i="1"/>
  <c r="G251" i="1"/>
  <c r="H251" i="1" s="1"/>
  <c r="L250" i="1"/>
  <c r="M250" i="1" s="1"/>
  <c r="J250" i="1"/>
  <c r="G250" i="1"/>
  <c r="H250" i="1" s="1"/>
  <c r="L249" i="1"/>
  <c r="J249" i="1"/>
  <c r="M249" i="1" s="1"/>
  <c r="G249" i="1"/>
  <c r="H249" i="1" s="1"/>
  <c r="L248" i="1"/>
  <c r="J248" i="1"/>
  <c r="M248" i="1" s="1"/>
  <c r="H248" i="1"/>
  <c r="G248" i="1"/>
  <c r="L247" i="1"/>
  <c r="J247" i="1"/>
  <c r="M247" i="1" s="1"/>
  <c r="G247" i="1"/>
  <c r="H247" i="1" s="1"/>
  <c r="M246" i="1"/>
  <c r="L246" i="1"/>
  <c r="J246" i="1"/>
  <c r="G246" i="1"/>
  <c r="H246" i="1" s="1"/>
  <c r="M245" i="1"/>
  <c r="L245" i="1"/>
  <c r="J245" i="1"/>
  <c r="H245" i="1"/>
  <c r="G245" i="1"/>
  <c r="L244" i="1"/>
  <c r="J244" i="1"/>
  <c r="M244" i="1" s="1"/>
  <c r="H244" i="1"/>
  <c r="G244" i="1"/>
  <c r="L243" i="1"/>
  <c r="M243" i="1" s="1"/>
  <c r="J243" i="1"/>
  <c r="G243" i="1"/>
  <c r="H243" i="1" s="1"/>
  <c r="L242" i="1"/>
  <c r="M242" i="1" s="1"/>
  <c r="J242" i="1"/>
  <c r="G242" i="1"/>
  <c r="H242" i="1" s="1"/>
  <c r="L241" i="1"/>
  <c r="J241" i="1"/>
  <c r="M241" i="1" s="1"/>
  <c r="G241" i="1"/>
  <c r="H241" i="1" s="1"/>
  <c r="L240" i="1"/>
  <c r="J240" i="1"/>
  <c r="M240" i="1" s="1"/>
  <c r="H240" i="1"/>
  <c r="G240" i="1"/>
  <c r="L239" i="1"/>
  <c r="J239" i="1"/>
  <c r="M239" i="1" s="1"/>
  <c r="G239" i="1"/>
  <c r="H239" i="1" s="1"/>
  <c r="M238" i="1"/>
  <c r="L238" i="1"/>
  <c r="J238" i="1"/>
  <c r="G238" i="1"/>
  <c r="H238" i="1" s="1"/>
  <c r="M237" i="1"/>
  <c r="L237" i="1"/>
  <c r="J237" i="1"/>
  <c r="H237" i="1"/>
  <c r="G237" i="1"/>
  <c r="L236" i="1"/>
  <c r="J236" i="1"/>
  <c r="M236" i="1" s="1"/>
  <c r="H236" i="1"/>
  <c r="G236" i="1"/>
  <c r="L235" i="1"/>
  <c r="M235" i="1" s="1"/>
  <c r="J235" i="1"/>
  <c r="G235" i="1"/>
  <c r="H235" i="1" s="1"/>
  <c r="L234" i="1"/>
  <c r="M234" i="1" s="1"/>
  <c r="J234" i="1"/>
  <c r="G234" i="1"/>
  <c r="H234" i="1" s="1"/>
  <c r="L233" i="1"/>
  <c r="J233" i="1"/>
  <c r="M233" i="1" s="1"/>
  <c r="G233" i="1"/>
  <c r="H233" i="1" s="1"/>
  <c r="L232" i="1"/>
  <c r="J232" i="1"/>
  <c r="M232" i="1" s="1"/>
  <c r="H232" i="1"/>
  <c r="G232" i="1"/>
  <c r="L231" i="1"/>
  <c r="J231" i="1"/>
  <c r="M231" i="1" s="1"/>
  <c r="G231" i="1"/>
  <c r="H231" i="1" s="1"/>
  <c r="M230" i="1"/>
  <c r="L230" i="1"/>
  <c r="J230" i="1"/>
  <c r="G230" i="1"/>
  <c r="H230" i="1" s="1"/>
  <c r="M229" i="1"/>
  <c r="L229" i="1"/>
  <c r="J229" i="1"/>
  <c r="H229" i="1"/>
  <c r="G229" i="1"/>
  <c r="L228" i="1"/>
  <c r="J228" i="1"/>
  <c r="M228" i="1" s="1"/>
  <c r="H228" i="1"/>
  <c r="G228" i="1"/>
  <c r="L227" i="1"/>
  <c r="M227" i="1" s="1"/>
  <c r="J227" i="1"/>
  <c r="G227" i="1"/>
  <c r="H227" i="1" s="1"/>
  <c r="L226" i="1"/>
  <c r="M226" i="1" s="1"/>
  <c r="J226" i="1"/>
  <c r="G226" i="1"/>
  <c r="H226" i="1" s="1"/>
  <c r="L225" i="1"/>
  <c r="J225" i="1"/>
  <c r="M225" i="1" s="1"/>
  <c r="G225" i="1"/>
  <c r="H225" i="1" s="1"/>
  <c r="L224" i="1"/>
  <c r="J224" i="1"/>
  <c r="M224" i="1" s="1"/>
  <c r="H224" i="1"/>
  <c r="G224" i="1"/>
  <c r="L223" i="1"/>
  <c r="J223" i="1"/>
  <c r="M223" i="1" s="1"/>
  <c r="G223" i="1"/>
  <c r="H223" i="1" s="1"/>
  <c r="M222" i="1"/>
  <c r="L222" i="1"/>
  <c r="J222" i="1"/>
  <c r="G222" i="1"/>
  <c r="H222" i="1" s="1"/>
  <c r="M221" i="1"/>
  <c r="L221" i="1"/>
  <c r="J221" i="1"/>
  <c r="H221" i="1"/>
  <c r="G221" i="1"/>
  <c r="L220" i="1"/>
  <c r="J220" i="1"/>
  <c r="M220" i="1" s="1"/>
  <c r="H220" i="1"/>
  <c r="G220" i="1"/>
  <c r="L219" i="1"/>
  <c r="M219" i="1" s="1"/>
  <c r="J219" i="1"/>
  <c r="G219" i="1"/>
  <c r="H219" i="1" s="1"/>
  <c r="L218" i="1"/>
  <c r="M218" i="1" s="1"/>
  <c r="J218" i="1"/>
  <c r="G218" i="1"/>
  <c r="H218" i="1" s="1"/>
  <c r="L217" i="1"/>
  <c r="J217" i="1"/>
  <c r="M217" i="1" s="1"/>
  <c r="G217" i="1"/>
  <c r="H217" i="1" s="1"/>
  <c r="L216" i="1"/>
  <c r="J216" i="1"/>
  <c r="M216" i="1" s="1"/>
  <c r="H216" i="1"/>
  <c r="G216" i="1"/>
  <c r="L215" i="1"/>
  <c r="J215" i="1"/>
  <c r="M215" i="1" s="1"/>
  <c r="G215" i="1"/>
  <c r="H215" i="1" s="1"/>
  <c r="M214" i="1"/>
  <c r="L214" i="1"/>
  <c r="J214" i="1"/>
  <c r="G214" i="1"/>
  <c r="H214" i="1" s="1"/>
  <c r="M213" i="1"/>
  <c r="L213" i="1"/>
  <c r="J213" i="1"/>
  <c r="H213" i="1"/>
  <c r="G213" i="1"/>
  <c r="L212" i="1"/>
  <c r="J212" i="1"/>
  <c r="M212" i="1" s="1"/>
  <c r="H212" i="1"/>
  <c r="G212" i="1"/>
  <c r="L211" i="1"/>
  <c r="M211" i="1" s="1"/>
  <c r="J211" i="1"/>
  <c r="G211" i="1"/>
  <c r="H211" i="1" s="1"/>
  <c r="L210" i="1"/>
  <c r="M210" i="1" s="1"/>
  <c r="J210" i="1"/>
  <c r="G210" i="1"/>
  <c r="H210" i="1" s="1"/>
  <c r="L209" i="1"/>
  <c r="J209" i="1"/>
  <c r="M209" i="1" s="1"/>
  <c r="G209" i="1"/>
  <c r="H209" i="1" s="1"/>
  <c r="L208" i="1"/>
  <c r="J208" i="1"/>
  <c r="M208" i="1" s="1"/>
  <c r="H208" i="1"/>
  <c r="G208" i="1"/>
  <c r="L207" i="1"/>
  <c r="J207" i="1"/>
  <c r="M207" i="1" s="1"/>
  <c r="G207" i="1"/>
  <c r="H207" i="1" s="1"/>
  <c r="M206" i="1"/>
  <c r="L206" i="1"/>
  <c r="J206" i="1"/>
  <c r="G206" i="1"/>
  <c r="H206" i="1" s="1"/>
  <c r="M205" i="1"/>
  <c r="L205" i="1"/>
  <c r="J205" i="1"/>
  <c r="H205" i="1"/>
  <c r="G205" i="1"/>
  <c r="L204" i="1"/>
  <c r="J204" i="1"/>
  <c r="M204" i="1" s="1"/>
  <c r="H204" i="1"/>
  <c r="G204" i="1"/>
  <c r="L203" i="1"/>
  <c r="M203" i="1" s="1"/>
  <c r="J203" i="1"/>
  <c r="G203" i="1"/>
  <c r="H203" i="1" s="1"/>
  <c r="L202" i="1"/>
  <c r="M202" i="1" s="1"/>
  <c r="J202" i="1"/>
  <c r="G202" i="1"/>
  <c r="H202" i="1" s="1"/>
  <c r="L201" i="1"/>
  <c r="J201" i="1"/>
  <c r="M201" i="1" s="1"/>
  <c r="G201" i="1"/>
  <c r="H201" i="1" s="1"/>
  <c r="L200" i="1"/>
  <c r="J200" i="1"/>
  <c r="M200" i="1" s="1"/>
  <c r="H200" i="1"/>
  <c r="G200" i="1"/>
  <c r="L199" i="1"/>
  <c r="J199" i="1"/>
  <c r="M199" i="1" s="1"/>
  <c r="G199" i="1"/>
  <c r="H199" i="1" s="1"/>
  <c r="M198" i="1"/>
  <c r="L198" i="1"/>
  <c r="J198" i="1"/>
  <c r="G198" i="1"/>
  <c r="H198" i="1" s="1"/>
  <c r="M197" i="1"/>
  <c r="L197" i="1"/>
  <c r="J197" i="1"/>
  <c r="H197" i="1"/>
  <c r="G197" i="1"/>
  <c r="L196" i="1"/>
  <c r="J196" i="1"/>
  <c r="M196" i="1" s="1"/>
  <c r="H196" i="1"/>
  <c r="G196" i="1"/>
  <c r="L195" i="1"/>
  <c r="M195" i="1" s="1"/>
  <c r="J195" i="1"/>
  <c r="G195" i="1"/>
  <c r="H195" i="1" s="1"/>
  <c r="L194" i="1"/>
  <c r="M194" i="1" s="1"/>
  <c r="J194" i="1"/>
  <c r="G194" i="1"/>
  <c r="H194" i="1" s="1"/>
  <c r="L193" i="1"/>
  <c r="J193" i="1"/>
  <c r="M193" i="1" s="1"/>
  <c r="G193" i="1"/>
  <c r="H193" i="1" s="1"/>
  <c r="L192" i="1"/>
  <c r="J192" i="1"/>
  <c r="M192" i="1" s="1"/>
  <c r="H192" i="1"/>
  <c r="G192" i="1"/>
  <c r="L191" i="1"/>
  <c r="J191" i="1"/>
  <c r="M191" i="1" s="1"/>
  <c r="G191" i="1"/>
  <c r="H191" i="1" s="1"/>
  <c r="M190" i="1"/>
  <c r="L190" i="1"/>
  <c r="J190" i="1"/>
  <c r="G190" i="1"/>
  <c r="H190" i="1" s="1"/>
  <c r="M189" i="1"/>
  <c r="L189" i="1"/>
  <c r="J189" i="1"/>
  <c r="H189" i="1"/>
  <c r="G189" i="1"/>
  <c r="L188" i="1"/>
  <c r="J188" i="1"/>
  <c r="M188" i="1" s="1"/>
  <c r="H188" i="1"/>
  <c r="G188" i="1"/>
  <c r="L187" i="1"/>
  <c r="M187" i="1" s="1"/>
  <c r="J187" i="1"/>
  <c r="G187" i="1"/>
  <c r="H187" i="1" s="1"/>
  <c r="L186" i="1"/>
  <c r="M186" i="1" s="1"/>
  <c r="J186" i="1"/>
  <c r="G186" i="1"/>
  <c r="H186" i="1" s="1"/>
  <c r="L185" i="1"/>
  <c r="J185" i="1"/>
  <c r="M185" i="1" s="1"/>
  <c r="G185" i="1"/>
  <c r="H185" i="1" s="1"/>
  <c r="L184" i="1"/>
  <c r="J184" i="1"/>
  <c r="M184" i="1" s="1"/>
  <c r="H184" i="1"/>
  <c r="G184" i="1"/>
  <c r="L183" i="1"/>
  <c r="J183" i="1"/>
  <c r="M183" i="1" s="1"/>
  <c r="G183" i="1"/>
  <c r="H183" i="1" s="1"/>
  <c r="M182" i="1"/>
  <c r="L182" i="1"/>
  <c r="J182" i="1"/>
  <c r="G182" i="1"/>
  <c r="H182" i="1" s="1"/>
  <c r="M181" i="1"/>
  <c r="L181" i="1"/>
  <c r="J181" i="1"/>
  <c r="H181" i="1"/>
  <c r="G181" i="1"/>
  <c r="L180" i="1"/>
  <c r="J180" i="1"/>
  <c r="M180" i="1" s="1"/>
  <c r="H180" i="1"/>
  <c r="G180" i="1"/>
  <c r="L179" i="1"/>
  <c r="M179" i="1" s="1"/>
  <c r="J179" i="1"/>
  <c r="G179" i="1"/>
  <c r="H179" i="1" s="1"/>
  <c r="L178" i="1"/>
  <c r="M178" i="1" s="1"/>
  <c r="J178" i="1"/>
  <c r="G178" i="1"/>
  <c r="H178" i="1" s="1"/>
  <c r="L177" i="1"/>
  <c r="J177" i="1"/>
  <c r="M177" i="1" s="1"/>
  <c r="G177" i="1"/>
  <c r="H177" i="1" s="1"/>
  <c r="L176" i="1"/>
  <c r="J176" i="1"/>
  <c r="M176" i="1" s="1"/>
  <c r="H176" i="1"/>
  <c r="G176" i="1"/>
  <c r="L175" i="1"/>
  <c r="J175" i="1"/>
  <c r="M175" i="1" s="1"/>
  <c r="G175" i="1"/>
  <c r="H175" i="1" s="1"/>
  <c r="M174" i="1"/>
  <c r="L174" i="1"/>
  <c r="J174" i="1"/>
  <c r="G174" i="1"/>
  <c r="H174" i="1" s="1"/>
  <c r="M173" i="1"/>
  <c r="L173" i="1"/>
  <c r="J173" i="1"/>
  <c r="H173" i="1"/>
  <c r="G173" i="1"/>
  <c r="L172" i="1"/>
  <c r="J172" i="1"/>
  <c r="M172" i="1" s="1"/>
  <c r="H172" i="1"/>
  <c r="G172" i="1"/>
  <c r="L171" i="1"/>
  <c r="M171" i="1" s="1"/>
  <c r="J171" i="1"/>
  <c r="G171" i="1"/>
  <c r="H171" i="1" s="1"/>
  <c r="L170" i="1"/>
  <c r="M170" i="1" s="1"/>
  <c r="J170" i="1"/>
  <c r="G170" i="1"/>
  <c r="H170" i="1" s="1"/>
  <c r="L169" i="1"/>
  <c r="J169" i="1"/>
  <c r="M169" i="1" s="1"/>
  <c r="G169" i="1"/>
  <c r="H169" i="1" s="1"/>
  <c r="L168" i="1"/>
  <c r="J168" i="1"/>
  <c r="M168" i="1" s="1"/>
  <c r="H168" i="1"/>
  <c r="G168" i="1"/>
  <c r="L167" i="1"/>
  <c r="J167" i="1"/>
  <c r="M167" i="1" s="1"/>
  <c r="G167" i="1"/>
  <c r="H167" i="1" s="1"/>
  <c r="M166" i="1"/>
  <c r="L166" i="1"/>
  <c r="J166" i="1"/>
  <c r="G166" i="1"/>
  <c r="H166" i="1" s="1"/>
  <c r="M165" i="1"/>
  <c r="L165" i="1"/>
  <c r="J165" i="1"/>
  <c r="H165" i="1"/>
  <c r="G165" i="1"/>
  <c r="L164" i="1"/>
  <c r="J164" i="1"/>
  <c r="M164" i="1" s="1"/>
  <c r="H164" i="1"/>
  <c r="G164" i="1"/>
  <c r="L163" i="1"/>
  <c r="M163" i="1" s="1"/>
  <c r="J163" i="1"/>
  <c r="G163" i="1"/>
  <c r="H163" i="1" s="1"/>
  <c r="L162" i="1"/>
  <c r="M162" i="1" s="1"/>
  <c r="J162" i="1"/>
  <c r="G162" i="1"/>
  <c r="H162" i="1" s="1"/>
  <c r="L161" i="1"/>
  <c r="J161" i="1"/>
  <c r="M161" i="1" s="1"/>
  <c r="G161" i="1"/>
  <c r="H161" i="1" s="1"/>
  <c r="L160" i="1"/>
  <c r="J160" i="1"/>
  <c r="M160" i="1" s="1"/>
  <c r="H160" i="1"/>
  <c r="G160" i="1"/>
  <c r="L159" i="1"/>
  <c r="J159" i="1"/>
  <c r="M159" i="1" s="1"/>
  <c r="G159" i="1"/>
  <c r="H159" i="1" s="1"/>
  <c r="M158" i="1"/>
  <c r="L158" i="1"/>
  <c r="J158" i="1"/>
  <c r="G158" i="1"/>
  <c r="H158" i="1" s="1"/>
  <c r="M157" i="1"/>
  <c r="L157" i="1"/>
  <c r="J157" i="1"/>
  <c r="H157" i="1"/>
  <c r="G157" i="1"/>
  <c r="L156" i="1"/>
  <c r="J156" i="1"/>
  <c r="M156" i="1" s="1"/>
  <c r="H156" i="1"/>
  <c r="G156" i="1"/>
  <c r="L155" i="1"/>
  <c r="M155" i="1" s="1"/>
  <c r="J155" i="1"/>
  <c r="G155" i="1"/>
  <c r="H155" i="1" s="1"/>
  <c r="L154" i="1"/>
  <c r="M154" i="1" s="1"/>
  <c r="J154" i="1"/>
  <c r="G154" i="1"/>
  <c r="H154" i="1" s="1"/>
  <c r="J153" i="1" l="1"/>
  <c r="G153" i="1"/>
  <c r="H153" i="1" s="1"/>
  <c r="J152" i="1"/>
  <c r="K152" i="1" s="1"/>
  <c r="L152" i="1" s="1"/>
  <c r="M152" i="1" s="1"/>
  <c r="G152" i="1"/>
  <c r="H152" i="1" s="1"/>
  <c r="K151" i="1"/>
  <c r="L151" i="1" s="1"/>
  <c r="J151" i="1"/>
  <c r="G151" i="1"/>
  <c r="H151" i="1" s="1"/>
  <c r="J150" i="1"/>
  <c r="H150" i="1"/>
  <c r="G150" i="1"/>
  <c r="J149" i="1"/>
  <c r="G149" i="1"/>
  <c r="H149" i="1" s="1"/>
  <c r="J148" i="1"/>
  <c r="K148" i="1" s="1"/>
  <c r="L148" i="1" s="1"/>
  <c r="M148" i="1" s="1"/>
  <c r="G148" i="1"/>
  <c r="H148" i="1" s="1"/>
  <c r="L147" i="1"/>
  <c r="J147" i="1"/>
  <c r="M147" i="1" s="1"/>
  <c r="H147" i="1"/>
  <c r="G147" i="1"/>
  <c r="M146" i="1"/>
  <c r="L146" i="1"/>
  <c r="J146" i="1"/>
  <c r="G146" i="1"/>
  <c r="H146" i="1" s="1"/>
  <c r="M145" i="1"/>
  <c r="L145" i="1"/>
  <c r="J145" i="1"/>
  <c r="H145" i="1"/>
  <c r="G145" i="1"/>
  <c r="L144" i="1"/>
  <c r="J144" i="1"/>
  <c r="M144" i="1" s="1"/>
  <c r="H144" i="1"/>
  <c r="G144" i="1"/>
  <c r="L143" i="1"/>
  <c r="J143" i="1"/>
  <c r="M143" i="1" s="1"/>
  <c r="G143" i="1"/>
  <c r="H143" i="1" s="1"/>
  <c r="L142" i="1"/>
  <c r="J142" i="1"/>
  <c r="M142" i="1" s="1"/>
  <c r="G142" i="1"/>
  <c r="H142" i="1" s="1"/>
  <c r="L141" i="1"/>
  <c r="J141" i="1"/>
  <c r="M141" i="1" s="1"/>
  <c r="G141" i="1"/>
  <c r="H141" i="1" s="1"/>
  <c r="L140" i="1"/>
  <c r="J140" i="1"/>
  <c r="M140" i="1" s="1"/>
  <c r="G140" i="1"/>
  <c r="H140" i="1" s="1"/>
  <c r="L139" i="1"/>
  <c r="J139" i="1"/>
  <c r="M139" i="1" s="1"/>
  <c r="H139" i="1"/>
  <c r="G139" i="1"/>
  <c r="M138" i="1"/>
  <c r="L138" i="1"/>
  <c r="J138" i="1"/>
  <c r="H138" i="1"/>
  <c r="G138" i="1"/>
  <c r="M137" i="1"/>
  <c r="L137" i="1"/>
  <c r="J137" i="1"/>
  <c r="H137" i="1"/>
  <c r="G137" i="1"/>
  <c r="L136" i="1"/>
  <c r="J136" i="1"/>
  <c r="M136" i="1" s="1"/>
  <c r="H136" i="1"/>
  <c r="G136" i="1"/>
  <c r="L135" i="1"/>
  <c r="M135" i="1" s="1"/>
  <c r="J135" i="1"/>
  <c r="G135" i="1"/>
  <c r="H135" i="1" s="1"/>
  <c r="L134" i="1"/>
  <c r="J134" i="1"/>
  <c r="M134" i="1" s="1"/>
  <c r="G134" i="1"/>
  <c r="H134" i="1" s="1"/>
  <c r="L133" i="1"/>
  <c r="J133" i="1"/>
  <c r="M133" i="1" s="1"/>
  <c r="G133" i="1"/>
  <c r="H133" i="1" s="1"/>
  <c r="L132" i="1"/>
  <c r="J132" i="1"/>
  <c r="M132" i="1" s="1"/>
  <c r="G132" i="1"/>
  <c r="H132" i="1" s="1"/>
  <c r="L131" i="1"/>
  <c r="J131" i="1"/>
  <c r="M131" i="1" s="1"/>
  <c r="H131" i="1"/>
  <c r="G131" i="1"/>
  <c r="M130" i="1"/>
  <c r="L130" i="1"/>
  <c r="J130" i="1"/>
  <c r="H130" i="1"/>
  <c r="G130" i="1"/>
  <c r="M129" i="1"/>
  <c r="L129" i="1"/>
  <c r="J129" i="1"/>
  <c r="H129" i="1"/>
  <c r="G129" i="1"/>
  <c r="L128" i="1"/>
  <c r="J128" i="1"/>
  <c r="M128" i="1" s="1"/>
  <c r="H128" i="1"/>
  <c r="G128" i="1"/>
  <c r="L127" i="1"/>
  <c r="J127" i="1"/>
  <c r="M127" i="1" s="1"/>
  <c r="G127" i="1"/>
  <c r="H127" i="1" s="1"/>
  <c r="L126" i="1"/>
  <c r="J126" i="1"/>
  <c r="M126" i="1" s="1"/>
  <c r="G126" i="1"/>
  <c r="H126" i="1" s="1"/>
  <c r="L125" i="1"/>
  <c r="J125" i="1"/>
  <c r="M125" i="1" s="1"/>
  <c r="G125" i="1"/>
  <c r="H125" i="1" s="1"/>
  <c r="L124" i="1"/>
  <c r="J124" i="1"/>
  <c r="M124" i="1" s="1"/>
  <c r="G124" i="1"/>
  <c r="H124" i="1" s="1"/>
  <c r="L123" i="1"/>
  <c r="J123" i="1"/>
  <c r="M123" i="1" s="1"/>
  <c r="H123" i="1"/>
  <c r="G123" i="1"/>
  <c r="M122" i="1"/>
  <c r="L122" i="1"/>
  <c r="J122" i="1"/>
  <c r="H122" i="1"/>
  <c r="G122" i="1"/>
  <c r="M121" i="1"/>
  <c r="L121" i="1"/>
  <c r="J121" i="1"/>
  <c r="H121" i="1"/>
  <c r="G121" i="1"/>
  <c r="L120" i="1"/>
  <c r="J120" i="1"/>
  <c r="M120" i="1" s="1"/>
  <c r="H120" i="1"/>
  <c r="G120" i="1"/>
  <c r="L119" i="1"/>
  <c r="M119" i="1" s="1"/>
  <c r="J119" i="1"/>
  <c r="G119" i="1"/>
  <c r="H119" i="1" s="1"/>
  <c r="L118" i="1"/>
  <c r="J118" i="1"/>
  <c r="M118" i="1" s="1"/>
  <c r="G118" i="1"/>
  <c r="H118" i="1" s="1"/>
  <c r="L117" i="1"/>
  <c r="J117" i="1"/>
  <c r="M117" i="1" s="1"/>
  <c r="G117" i="1"/>
  <c r="H117" i="1" s="1"/>
  <c r="L116" i="1"/>
  <c r="J116" i="1"/>
  <c r="M116" i="1" s="1"/>
  <c r="G116" i="1"/>
  <c r="H116" i="1" s="1"/>
  <c r="L115" i="1"/>
  <c r="J115" i="1"/>
  <c r="M115" i="1" s="1"/>
  <c r="H115" i="1"/>
  <c r="G115" i="1"/>
  <c r="M114" i="1"/>
  <c r="L114" i="1"/>
  <c r="J114" i="1"/>
  <c r="H114" i="1"/>
  <c r="G114" i="1"/>
  <c r="M113" i="1"/>
  <c r="L113" i="1"/>
  <c r="J113" i="1"/>
  <c r="H113" i="1"/>
  <c r="G113" i="1"/>
  <c r="L112" i="1"/>
  <c r="J112" i="1"/>
  <c r="M112" i="1" s="1"/>
  <c r="H112" i="1"/>
  <c r="G112" i="1"/>
  <c r="L111" i="1"/>
  <c r="M111" i="1" s="1"/>
  <c r="J111" i="1"/>
  <c r="G111" i="1"/>
  <c r="H111" i="1" s="1"/>
  <c r="L110" i="1"/>
  <c r="J110" i="1"/>
  <c r="M110" i="1" s="1"/>
  <c r="G110" i="1"/>
  <c r="H110" i="1" s="1"/>
  <c r="L109" i="1"/>
  <c r="J109" i="1"/>
  <c r="M109" i="1" s="1"/>
  <c r="G109" i="1"/>
  <c r="H109" i="1" s="1"/>
  <c r="L108" i="1"/>
  <c r="J108" i="1"/>
  <c r="M108" i="1" s="1"/>
  <c r="G108" i="1"/>
  <c r="H108" i="1" s="1"/>
  <c r="L107" i="1"/>
  <c r="J107" i="1"/>
  <c r="M107" i="1" s="1"/>
  <c r="H107" i="1"/>
  <c r="G107" i="1"/>
  <c r="M106" i="1"/>
  <c r="L106" i="1"/>
  <c r="J106" i="1"/>
  <c r="H106" i="1"/>
  <c r="G106" i="1"/>
  <c r="M105" i="1"/>
  <c r="L105" i="1"/>
  <c r="J105" i="1"/>
  <c r="H105" i="1"/>
  <c r="G105" i="1"/>
  <c r="L104" i="1"/>
  <c r="J104" i="1"/>
  <c r="M104" i="1" s="1"/>
  <c r="H104" i="1"/>
  <c r="G104" i="1"/>
  <c r="L103" i="1"/>
  <c r="M103" i="1" s="1"/>
  <c r="J103" i="1"/>
  <c r="G103" i="1"/>
  <c r="H103" i="1" s="1"/>
  <c r="L102" i="1"/>
  <c r="J102" i="1"/>
  <c r="M102" i="1" s="1"/>
  <c r="G102" i="1"/>
  <c r="H102" i="1" s="1"/>
  <c r="L101" i="1"/>
  <c r="J101" i="1"/>
  <c r="M101" i="1" s="1"/>
  <c r="G101" i="1"/>
  <c r="H101" i="1" s="1"/>
  <c r="L100" i="1"/>
  <c r="J100" i="1"/>
  <c r="M100" i="1" s="1"/>
  <c r="G100" i="1"/>
  <c r="H100" i="1" s="1"/>
  <c r="L99" i="1"/>
  <c r="J99" i="1"/>
  <c r="M99" i="1" s="1"/>
  <c r="H99" i="1"/>
  <c r="G99" i="1"/>
  <c r="M98" i="1"/>
  <c r="L98" i="1"/>
  <c r="J98" i="1"/>
  <c r="H98" i="1"/>
  <c r="G98" i="1"/>
  <c r="M97" i="1"/>
  <c r="L97" i="1"/>
  <c r="J97" i="1"/>
  <c r="H97" i="1"/>
  <c r="G97" i="1"/>
  <c r="L96" i="1"/>
  <c r="J96" i="1"/>
  <c r="M96" i="1" s="1"/>
  <c r="H96" i="1"/>
  <c r="G96" i="1"/>
  <c r="L95" i="1"/>
  <c r="M95" i="1" s="1"/>
  <c r="J95" i="1"/>
  <c r="G95" i="1"/>
  <c r="H95" i="1" s="1"/>
  <c r="L94" i="1"/>
  <c r="J94" i="1"/>
  <c r="M94" i="1" s="1"/>
  <c r="G94" i="1"/>
  <c r="H94" i="1" s="1"/>
  <c r="L93" i="1"/>
  <c r="J93" i="1"/>
  <c r="M93" i="1" s="1"/>
  <c r="G93" i="1"/>
  <c r="H93" i="1" s="1"/>
  <c r="L92" i="1"/>
  <c r="J92" i="1"/>
  <c r="M92" i="1" s="1"/>
  <c r="G92" i="1"/>
  <c r="H92" i="1" s="1"/>
  <c r="L91" i="1"/>
  <c r="J91" i="1"/>
  <c r="M91" i="1" s="1"/>
  <c r="H91" i="1"/>
  <c r="G91" i="1"/>
  <c r="M90" i="1"/>
  <c r="L90" i="1"/>
  <c r="J90" i="1"/>
  <c r="H90" i="1"/>
  <c r="G90" i="1"/>
  <c r="M89" i="1"/>
  <c r="L89" i="1"/>
  <c r="J89" i="1"/>
  <c r="H89" i="1"/>
  <c r="G89" i="1"/>
  <c r="L88" i="1"/>
  <c r="J88" i="1"/>
  <c r="M88" i="1" s="1"/>
  <c r="H88" i="1"/>
  <c r="G88" i="1"/>
  <c r="L87" i="1"/>
  <c r="M87" i="1" s="1"/>
  <c r="J87" i="1"/>
  <c r="G87" i="1"/>
  <c r="H87" i="1" s="1"/>
  <c r="L86" i="1"/>
  <c r="J86" i="1"/>
  <c r="M86" i="1" s="1"/>
  <c r="G86" i="1"/>
  <c r="H86" i="1" s="1"/>
  <c r="L85" i="1"/>
  <c r="J85" i="1"/>
  <c r="M85" i="1" s="1"/>
  <c r="G85" i="1"/>
  <c r="H85" i="1" s="1"/>
  <c r="L84" i="1"/>
  <c r="J84" i="1"/>
  <c r="M84" i="1" s="1"/>
  <c r="G84" i="1"/>
  <c r="H84" i="1" s="1"/>
  <c r="L83" i="1"/>
  <c r="J83" i="1"/>
  <c r="M83" i="1" s="1"/>
  <c r="H83" i="1"/>
  <c r="G83" i="1"/>
  <c r="M82" i="1"/>
  <c r="L82" i="1"/>
  <c r="J82" i="1"/>
  <c r="H82" i="1"/>
  <c r="G82" i="1"/>
  <c r="M81" i="1"/>
  <c r="L81" i="1"/>
  <c r="J81" i="1"/>
  <c r="H81" i="1"/>
  <c r="G81" i="1"/>
  <c r="L80" i="1"/>
  <c r="J80" i="1"/>
  <c r="M80" i="1" s="1"/>
  <c r="H80" i="1"/>
  <c r="G80" i="1"/>
  <c r="L79" i="1"/>
  <c r="M79" i="1" s="1"/>
  <c r="J79" i="1"/>
  <c r="G79" i="1"/>
  <c r="H79" i="1" s="1"/>
  <c r="L78" i="1"/>
  <c r="J78" i="1"/>
  <c r="M78" i="1" s="1"/>
  <c r="G78" i="1"/>
  <c r="H78" i="1" s="1"/>
  <c r="L77" i="1"/>
  <c r="J77" i="1"/>
  <c r="M77" i="1" s="1"/>
  <c r="G77" i="1"/>
  <c r="H77" i="1" s="1"/>
  <c r="L76" i="1"/>
  <c r="J76" i="1"/>
  <c r="M76" i="1" s="1"/>
  <c r="G76" i="1"/>
  <c r="H76" i="1" s="1"/>
  <c r="L75" i="1"/>
  <c r="J75" i="1"/>
  <c r="M75" i="1" s="1"/>
  <c r="H75" i="1"/>
  <c r="G75" i="1"/>
  <c r="M74" i="1"/>
  <c r="L74" i="1"/>
  <c r="J74" i="1"/>
  <c r="H74" i="1"/>
  <c r="G74" i="1"/>
  <c r="M73" i="1"/>
  <c r="L73" i="1"/>
  <c r="J73" i="1"/>
  <c r="H73" i="1"/>
  <c r="G73" i="1"/>
  <c r="L72" i="1"/>
  <c r="J72" i="1"/>
  <c r="M72" i="1" s="1"/>
  <c r="H72" i="1"/>
  <c r="G72" i="1"/>
  <c r="L71" i="1"/>
  <c r="M71" i="1" s="1"/>
  <c r="J71" i="1"/>
  <c r="G71" i="1"/>
  <c r="H71" i="1" s="1"/>
  <c r="L70" i="1"/>
  <c r="J70" i="1"/>
  <c r="M70" i="1" s="1"/>
  <c r="G70" i="1"/>
  <c r="H70" i="1" s="1"/>
  <c r="L69" i="1"/>
  <c r="J69" i="1"/>
  <c r="M69" i="1" s="1"/>
  <c r="G69" i="1"/>
  <c r="H69" i="1" s="1"/>
  <c r="L68" i="1"/>
  <c r="J68" i="1"/>
  <c r="M68" i="1" s="1"/>
  <c r="G68" i="1"/>
  <c r="H68" i="1" s="1"/>
  <c r="L67" i="1"/>
  <c r="J67" i="1"/>
  <c r="M67" i="1" s="1"/>
  <c r="H67" i="1"/>
  <c r="G67" i="1"/>
  <c r="M66" i="1"/>
  <c r="L66" i="1"/>
  <c r="J66" i="1"/>
  <c r="H66" i="1"/>
  <c r="G66" i="1"/>
  <c r="M65" i="1"/>
  <c r="L65" i="1"/>
  <c r="J65" i="1"/>
  <c r="H65" i="1"/>
  <c r="G65" i="1"/>
  <c r="L64" i="1"/>
  <c r="J64" i="1"/>
  <c r="M64" i="1" s="1"/>
  <c r="H64" i="1"/>
  <c r="G64" i="1"/>
  <c r="L63" i="1"/>
  <c r="M63" i="1" s="1"/>
  <c r="J63" i="1"/>
  <c r="G63" i="1"/>
  <c r="H63" i="1" s="1"/>
  <c r="L62" i="1"/>
  <c r="J62" i="1"/>
  <c r="M62" i="1" s="1"/>
  <c r="G62" i="1"/>
  <c r="H62" i="1" s="1"/>
  <c r="L61" i="1"/>
  <c r="J61" i="1"/>
  <c r="M61" i="1" s="1"/>
  <c r="G61" i="1"/>
  <c r="H61" i="1" s="1"/>
  <c r="L60" i="1"/>
  <c r="J60" i="1"/>
  <c r="M60" i="1" s="1"/>
  <c r="G60" i="1"/>
  <c r="H60" i="1" s="1"/>
  <c r="L59" i="1"/>
  <c r="J59" i="1"/>
  <c r="M59" i="1" s="1"/>
  <c r="H59" i="1"/>
  <c r="G59" i="1"/>
  <c r="M58" i="1"/>
  <c r="L58" i="1"/>
  <c r="J58" i="1"/>
  <c r="H58" i="1"/>
  <c r="G58" i="1"/>
  <c r="M57" i="1"/>
  <c r="L57" i="1"/>
  <c r="J57" i="1"/>
  <c r="H57" i="1"/>
  <c r="G57" i="1"/>
  <c r="L56" i="1"/>
  <c r="J56" i="1"/>
  <c r="M56" i="1" s="1"/>
  <c r="H56" i="1"/>
  <c r="G56" i="1"/>
  <c r="L55" i="1"/>
  <c r="M55" i="1" s="1"/>
  <c r="J55" i="1"/>
  <c r="G55" i="1"/>
  <c r="H55" i="1" s="1"/>
  <c r="L54" i="1"/>
  <c r="J54" i="1"/>
  <c r="M54" i="1" s="1"/>
  <c r="G54" i="1"/>
  <c r="H54" i="1" s="1"/>
  <c r="L53" i="1"/>
  <c r="J53" i="1"/>
  <c r="M53" i="1" s="1"/>
  <c r="G53" i="1"/>
  <c r="H53" i="1" s="1"/>
  <c r="L52" i="1"/>
  <c r="J52" i="1"/>
  <c r="M52" i="1" s="1"/>
  <c r="G52" i="1"/>
  <c r="H52" i="1" s="1"/>
  <c r="L51" i="1"/>
  <c r="J51" i="1"/>
  <c r="M51" i="1" s="1"/>
  <c r="H51" i="1"/>
  <c r="G51" i="1"/>
  <c r="M50" i="1"/>
  <c r="L50" i="1"/>
  <c r="J50" i="1"/>
  <c r="H50" i="1"/>
  <c r="G50" i="1"/>
  <c r="M49" i="1"/>
  <c r="L49" i="1"/>
  <c r="J49" i="1"/>
  <c r="H49" i="1"/>
  <c r="G49" i="1"/>
  <c r="L48" i="1"/>
  <c r="J48" i="1"/>
  <c r="M48" i="1" s="1"/>
  <c r="H48" i="1"/>
  <c r="G48" i="1"/>
  <c r="L47" i="1"/>
  <c r="M47" i="1" s="1"/>
  <c r="J47" i="1"/>
  <c r="G47" i="1"/>
  <c r="H47" i="1" s="1"/>
  <c r="L46" i="1"/>
  <c r="J46" i="1"/>
  <c r="M46" i="1" s="1"/>
  <c r="G46" i="1"/>
  <c r="H46" i="1" s="1"/>
  <c r="L45" i="1"/>
  <c r="J45" i="1"/>
  <c r="M45" i="1" s="1"/>
  <c r="G45" i="1"/>
  <c r="H45" i="1" s="1"/>
  <c r="L44" i="1"/>
  <c r="J44" i="1"/>
  <c r="M44" i="1" s="1"/>
  <c r="G44" i="1"/>
  <c r="H44" i="1" s="1"/>
  <c r="L43" i="1"/>
  <c r="J43" i="1"/>
  <c r="M43" i="1" s="1"/>
  <c r="H43" i="1"/>
  <c r="G43" i="1"/>
  <c r="M42" i="1"/>
  <c r="L42" i="1"/>
  <c r="J42" i="1"/>
  <c r="H42" i="1"/>
  <c r="G42" i="1"/>
  <c r="M41" i="1"/>
  <c r="L41" i="1"/>
  <c r="J41" i="1"/>
  <c r="H41" i="1"/>
  <c r="G41" i="1"/>
  <c r="L40" i="1"/>
  <c r="J40" i="1"/>
  <c r="M40" i="1" s="1"/>
  <c r="H40" i="1"/>
  <c r="G40" i="1"/>
  <c r="L39" i="1"/>
  <c r="M39" i="1" s="1"/>
  <c r="J39" i="1"/>
  <c r="G39" i="1"/>
  <c r="H39" i="1" s="1"/>
  <c r="L38" i="1"/>
  <c r="J38" i="1"/>
  <c r="M38" i="1" s="1"/>
  <c r="G38" i="1"/>
  <c r="H38" i="1" s="1"/>
  <c r="L37" i="1"/>
  <c r="J37" i="1"/>
  <c r="M37" i="1" s="1"/>
  <c r="G37" i="1"/>
  <c r="H37" i="1" s="1"/>
  <c r="L36" i="1"/>
  <c r="J36" i="1"/>
  <c r="M36" i="1" s="1"/>
  <c r="G36" i="1"/>
  <c r="H36" i="1" s="1"/>
  <c r="L35" i="1"/>
  <c r="J35" i="1"/>
  <c r="M35" i="1" s="1"/>
  <c r="H35" i="1"/>
  <c r="G35" i="1"/>
  <c r="M34" i="1"/>
  <c r="L34" i="1"/>
  <c r="J34" i="1"/>
  <c r="H34" i="1"/>
  <c r="G34" i="1"/>
  <c r="M33" i="1"/>
  <c r="L33" i="1"/>
  <c r="J33" i="1"/>
  <c r="H33" i="1"/>
  <c r="G33" i="1"/>
  <c r="L32" i="1"/>
  <c r="J32" i="1"/>
  <c r="M32" i="1" s="1"/>
  <c r="H32" i="1"/>
  <c r="G32" i="1"/>
  <c r="L31" i="1"/>
  <c r="M31" i="1" s="1"/>
  <c r="J31" i="1"/>
  <c r="G31" i="1"/>
  <c r="H31" i="1" s="1"/>
  <c r="L30" i="1"/>
  <c r="J30" i="1"/>
  <c r="M30" i="1" s="1"/>
  <c r="G30" i="1"/>
  <c r="H30" i="1" s="1"/>
  <c r="L29" i="1"/>
  <c r="J29" i="1"/>
  <c r="M29" i="1" s="1"/>
  <c r="G29" i="1"/>
  <c r="H29" i="1" s="1"/>
  <c r="L28" i="1"/>
  <c r="J28" i="1"/>
  <c r="M28" i="1" s="1"/>
  <c r="G28" i="1"/>
  <c r="H28" i="1" s="1"/>
  <c r="L27" i="1"/>
  <c r="J27" i="1"/>
  <c r="M27" i="1" s="1"/>
  <c r="H27" i="1"/>
  <c r="G27" i="1"/>
  <c r="M26" i="1"/>
  <c r="L26" i="1"/>
  <c r="J26" i="1"/>
  <c r="H26" i="1"/>
  <c r="G26" i="1"/>
  <c r="M25" i="1"/>
  <c r="L25" i="1"/>
  <c r="J25" i="1"/>
  <c r="H25" i="1"/>
  <c r="G25" i="1"/>
  <c r="L24" i="1"/>
  <c r="J24" i="1"/>
  <c r="M24" i="1" s="1"/>
  <c r="H24" i="1"/>
  <c r="G24" i="1"/>
  <c r="L23" i="1"/>
  <c r="M23" i="1" s="1"/>
  <c r="J23" i="1"/>
  <c r="G23" i="1"/>
  <c r="H23" i="1" s="1"/>
  <c r="L22" i="1"/>
  <c r="J22" i="1"/>
  <c r="M22" i="1" s="1"/>
  <c r="G22" i="1"/>
  <c r="H22" i="1" s="1"/>
  <c r="L21" i="1"/>
  <c r="J21" i="1"/>
  <c r="M21" i="1" s="1"/>
  <c r="G21" i="1"/>
  <c r="H21" i="1" s="1"/>
  <c r="L20" i="1"/>
  <c r="J20" i="1"/>
  <c r="M20" i="1" s="1"/>
  <c r="G20" i="1"/>
  <c r="H20" i="1" s="1"/>
  <c r="L19" i="1"/>
  <c r="J19" i="1"/>
  <c r="M19" i="1" s="1"/>
  <c r="H19" i="1"/>
  <c r="G19" i="1"/>
  <c r="M18" i="1"/>
  <c r="L18" i="1"/>
  <c r="J18" i="1"/>
  <c r="H18" i="1"/>
  <c r="G18" i="1"/>
  <c r="M17" i="1"/>
  <c r="L17" i="1"/>
  <c r="J17" i="1"/>
  <c r="H17" i="1"/>
  <c r="G17" i="1"/>
  <c r="L16" i="1"/>
  <c r="M16" i="1" s="1"/>
  <c r="J16" i="1"/>
  <c r="H16" i="1"/>
  <c r="G16" i="1"/>
  <c r="L15" i="1"/>
  <c r="M15" i="1" s="1"/>
  <c r="J15" i="1"/>
  <c r="G15" i="1"/>
  <c r="H15" i="1" s="1"/>
  <c r="L14" i="1"/>
  <c r="J14" i="1"/>
  <c r="M14" i="1" s="1"/>
  <c r="G14" i="1"/>
  <c r="H14" i="1" s="1"/>
  <c r="L13" i="1"/>
  <c r="J13" i="1"/>
  <c r="M13" i="1" s="1"/>
  <c r="G13" i="1"/>
  <c r="H13" i="1" s="1"/>
  <c r="L12" i="1"/>
  <c r="J12" i="1"/>
  <c r="M12" i="1" s="1"/>
  <c r="G12" i="1"/>
  <c r="H12" i="1" s="1"/>
  <c r="L11" i="1"/>
  <c r="J11" i="1"/>
  <c r="M11" i="1" s="1"/>
  <c r="H11" i="1"/>
  <c r="G11" i="1"/>
  <c r="M10" i="1"/>
  <c r="L10" i="1"/>
  <c r="J10" i="1"/>
  <c r="H10" i="1"/>
  <c r="G10" i="1"/>
  <c r="M9" i="1"/>
  <c r="L9" i="1"/>
  <c r="J9" i="1"/>
  <c r="H9" i="1"/>
  <c r="G9" i="1"/>
  <c r="L8" i="1"/>
  <c r="J8" i="1"/>
  <c r="M8" i="1" s="1"/>
  <c r="H8" i="1"/>
  <c r="G8" i="1"/>
  <c r="L7" i="1"/>
  <c r="M7" i="1" s="1"/>
  <c r="J7" i="1"/>
  <c r="G7" i="1"/>
  <c r="H7" i="1" s="1"/>
  <c r="L6" i="1"/>
  <c r="J6" i="1"/>
  <c r="M6" i="1" s="1"/>
  <c r="G6" i="1"/>
  <c r="H6" i="1" s="1"/>
  <c r="L5" i="1"/>
  <c r="J5" i="1"/>
  <c r="M5" i="1" s="1"/>
  <c r="G5" i="1"/>
  <c r="H5" i="1" s="1"/>
  <c r="M4" i="1"/>
  <c r="L4" i="1"/>
  <c r="J4" i="1"/>
  <c r="G4" i="1"/>
  <c r="H4" i="1" s="1"/>
  <c r="L3" i="1"/>
  <c r="J3" i="1"/>
  <c r="M3" i="1" s="1"/>
  <c r="H3" i="1"/>
  <c r="G3" i="1"/>
  <c r="M150" i="1" l="1"/>
  <c r="M151" i="1"/>
  <c r="M149" i="1"/>
  <c r="M153" i="1"/>
  <c r="K150" i="1"/>
  <c r="L150" i="1" s="1"/>
  <c r="K149" i="1"/>
  <c r="L149" i="1" s="1"/>
  <c r="K153" i="1"/>
  <c r="L153" i="1" s="1"/>
</calcChain>
</file>

<file path=xl/sharedStrings.xml><?xml version="1.0" encoding="utf-8"?>
<sst xmlns="http://schemas.openxmlformats.org/spreadsheetml/2006/main" count="39" uniqueCount="27">
  <si>
    <t>ปี</t>
  </si>
  <si>
    <t>เดือน</t>
  </si>
  <si>
    <t>วันที่</t>
  </si>
  <si>
    <t>น้ำท่า</t>
  </si>
  <si>
    <t>น้ำฝน</t>
  </si>
  <si>
    <t>เข้าคลอง  ลบ.ม./วินาที</t>
  </si>
  <si>
    <t>เข้าคลอง / วัน</t>
  </si>
  <si>
    <t>เข้าคลอง /ล้าน ลบ.ม.</t>
  </si>
  <si>
    <t>ประปาอุโมง / วัน</t>
  </si>
  <si>
    <t>ประปาอุโมง / ล้าน ลบ.ม.</t>
  </si>
  <si>
    <t>ประปาหางดง / วัน</t>
  </si>
  <si>
    <t>ประปาหางดง / ล้าน ลบ.ม.</t>
  </si>
  <si>
    <t>รวมส่งประปา / ล้าน ลบ.ม.</t>
  </si>
  <si>
    <t>ส่งนิเวศ / ล้าน ลบ.ม.</t>
  </si>
  <si>
    <t>คงเหลือเกษตร / ล้าน ลบ.ม.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</si>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</sst>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87" formatCode="0.000"/>
  </numFmts>
  <fonts count="7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6"/>
      <color theme="1"/>
      <name val="TH SarabunPSK"/>
      <family val="2"/>
      <charset val="222"/>
    </font>
    <font>
      <b/>
      <sz val="16"/>
      <color theme="1"/>
      <name val="TH SarabunPSK"/>
      <family val="2"/>
      <charset val="222"/>
    </font>
    <font>
      <sz val="16"/>
      <name val="TH SarabunPSK"/>
      <family val="2"/>
      <charset val="222"/>
    </font>
    <font>
      <sz val="16"/>
      <name val="TH SarabunPSK"/>
      <family val="2"/>
    </font>
    <font>
      <sz val="16"/>
      <color theme="1"/>
      <name val="TH SarabunPSK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/>
    <xf numFmtId="0" fontId="2" fillId="0" borderId="6" xfId="0" applyFont="1" applyBorder="1" applyAlignment="1">
      <alignment horizontal="center"/>
    </xf>
    <xf numFmtId="187" fontId="2" fillId="0" borderId="6" xfId="0" applyNumberFormat="1" applyFont="1" applyBorder="1"/>
    <xf numFmtId="0" fontId="2" fillId="0" borderId="6" xfId="0" applyFont="1" applyBorder="1"/>
    <xf numFmtId="0" fontId="2" fillId="0" borderId="1" xfId="0" applyFont="1" applyBorder="1" applyAlignment="1">
      <alignment horizontal="center"/>
    </xf>
    <xf numFmtId="187" fontId="2" fillId="0" borderId="1" xfId="0" applyNumberFormat="1" applyFont="1" applyBorder="1"/>
    <xf numFmtId="0" fontId="2" fillId="0" borderId="1" xfId="0" applyFont="1" applyBorder="1"/>
    <xf numFmtId="0" fontId="2" fillId="0" borderId="4" xfId="0" applyFont="1" applyBorder="1" applyAlignment="1">
      <alignment horizontal="center"/>
    </xf>
    <xf numFmtId="187" fontId="2" fillId="0" borderId="4" xfId="0" applyNumberFormat="1" applyFont="1" applyBorder="1"/>
    <xf numFmtId="0" fontId="2" fillId="0" borderId="4" xfId="0" applyFont="1" applyBorder="1"/>
    <xf numFmtId="0" fontId="2" fillId="0" borderId="5" xfId="0" applyFont="1" applyBorder="1" applyAlignment="1">
      <alignment horizontal="center"/>
    </xf>
    <xf numFmtId="0" fontId="2" fillId="0" borderId="8" xfId="0" applyFont="1" applyBorder="1"/>
    <xf numFmtId="0" fontId="2" fillId="0" borderId="0" xfId="0" applyFont="1" applyAlignment="1">
      <alignment horizontal="center"/>
    </xf>
    <xf numFmtId="187" fontId="6" fillId="0" borderId="1" xfId="1" applyNumberFormat="1" applyFont="1" applyBorder="1"/>
    <xf numFmtId="187" fontId="6" fillId="10" borderId="1" xfId="1" applyNumberFormat="1" applyFont="1" applyFill="1" applyBorder="1"/>
    <xf numFmtId="187" fontId="6" fillId="0" borderId="1" xfId="1" applyNumberFormat="1" applyFont="1" applyFill="1" applyBorder="1"/>
    <xf numFmtId="187" fontId="2" fillId="0" borderId="6" xfId="1" applyNumberFormat="1" applyFont="1" applyFill="1" applyBorder="1" applyAlignment="1">
      <alignment horizontal="right"/>
    </xf>
    <xf numFmtId="187" fontId="2" fillId="0" borderId="1" xfId="1" applyNumberFormat="1" applyFont="1" applyFill="1" applyBorder="1" applyAlignment="1">
      <alignment horizontal="right"/>
    </xf>
    <xf numFmtId="187" fontId="4" fillId="0" borderId="1" xfId="1" applyNumberFormat="1" applyFont="1" applyFill="1" applyBorder="1" applyAlignment="1">
      <alignment horizontal="right"/>
    </xf>
    <xf numFmtId="187" fontId="6" fillId="0" borderId="6" xfId="1" applyNumberFormat="1" applyFont="1" applyBorder="1"/>
    <xf numFmtId="187" fontId="5" fillId="0" borderId="6" xfId="1" applyNumberFormat="1" applyFont="1" applyFill="1" applyBorder="1" applyAlignment="1">
      <alignment horizontal="right"/>
    </xf>
    <xf numFmtId="187" fontId="5" fillId="0" borderId="1" xfId="1" applyNumberFormat="1" applyFont="1" applyFill="1" applyBorder="1" applyAlignment="1">
      <alignment horizontal="right"/>
    </xf>
    <xf numFmtId="187" fontId="6" fillId="0" borderId="4" xfId="1" applyNumberFormat="1" applyFont="1" applyBorder="1"/>
    <xf numFmtId="187" fontId="6" fillId="10" borderId="1" xfId="1" applyNumberFormat="1" applyFont="1" applyFill="1" applyBorder="1" applyAlignment="1">
      <alignment horizontal="right"/>
    </xf>
    <xf numFmtId="187" fontId="5" fillId="10" borderId="1" xfId="1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center"/>
    </xf>
    <xf numFmtId="187" fontId="6" fillId="10" borderId="6" xfId="1" applyNumberFormat="1" applyFont="1" applyFill="1" applyBorder="1" applyAlignment="1">
      <alignment horizontal="right"/>
    </xf>
    <xf numFmtId="187" fontId="6" fillId="10" borderId="6" xfId="1" applyNumberFormat="1" applyFont="1" applyFill="1" applyBorder="1"/>
    <xf numFmtId="187" fontId="6" fillId="10" borderId="4" xfId="1" applyNumberFormat="1" applyFont="1" applyFill="1" applyBorder="1" applyAlignment="1">
      <alignment horizontal="right"/>
    </xf>
    <xf numFmtId="187" fontId="6" fillId="10" borderId="4" xfId="1" applyNumberFormat="1" applyFont="1" applyFill="1" applyBorder="1"/>
    <xf numFmtId="187" fontId="5" fillId="10" borderId="6" xfId="1" applyNumberFormat="1" applyFont="1" applyFill="1" applyBorder="1" applyAlignment="1">
      <alignment horizontal="right"/>
    </xf>
    <xf numFmtId="187" fontId="5" fillId="10" borderId="4" xfId="1" applyNumberFormat="1" applyFont="1" applyFill="1" applyBorder="1" applyAlignment="1">
      <alignment horizontal="right"/>
    </xf>
    <xf numFmtId="0" fontId="2" fillId="10" borderId="6" xfId="0" applyFont="1" applyFill="1" applyBorder="1" applyAlignment="1">
      <alignment horizontal="center"/>
    </xf>
    <xf numFmtId="187" fontId="2" fillId="10" borderId="6" xfId="0" applyNumberFormat="1" applyFont="1" applyFill="1" applyBorder="1"/>
    <xf numFmtId="0" fontId="2" fillId="10" borderId="6" xfId="0" applyFont="1" applyFill="1" applyBorder="1"/>
    <xf numFmtId="187" fontId="5" fillId="0" borderId="4" xfId="1" applyNumberFormat="1" applyFont="1" applyFill="1" applyBorder="1" applyAlignment="1">
      <alignment horizontal="right"/>
    </xf>
    <xf numFmtId="187" fontId="6" fillId="0" borderId="1" xfId="1" applyNumberFormat="1" applyFont="1" applyBorder="1" applyAlignment="1">
      <alignment horizontal="right"/>
    </xf>
    <xf numFmtId="187" fontId="6" fillId="0" borderId="4" xfId="1" applyNumberFormat="1" applyFont="1" applyBorder="1" applyAlignment="1">
      <alignment horizontal="right"/>
    </xf>
    <xf numFmtId="187" fontId="6" fillId="0" borderId="6" xfId="1" applyNumberFormat="1" applyFont="1" applyBorder="1" applyAlignment="1">
      <alignment horizontal="right"/>
    </xf>
    <xf numFmtId="187" fontId="2" fillId="0" borderId="6" xfId="0" applyNumberFormat="1" applyFont="1" applyBorder="1" applyAlignment="1">
      <alignment horizontal="right"/>
    </xf>
    <xf numFmtId="187" fontId="2" fillId="0" borderId="1" xfId="0" applyNumberFormat="1" applyFont="1" applyBorder="1" applyAlignment="1">
      <alignment horizontal="right"/>
    </xf>
    <xf numFmtId="187" fontId="2" fillId="0" borderId="4" xfId="0" applyNumberFormat="1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7" borderId="1" xfId="0" applyFont="1" applyFill="1" applyBorder="1" applyAlignment="1">
      <alignment horizontal="center" wrapText="1"/>
    </xf>
    <xf numFmtId="0" fontId="2" fillId="7" borderId="3" xfId="0" applyFont="1" applyFill="1" applyBorder="1" applyAlignment="1">
      <alignment horizontal="center" wrapText="1"/>
    </xf>
    <xf numFmtId="0" fontId="2" fillId="8" borderId="3" xfId="0" applyFont="1" applyFill="1" applyBorder="1" applyAlignment="1">
      <alignment horizontal="center" wrapText="1"/>
    </xf>
    <xf numFmtId="0" fontId="2" fillId="8" borderId="7" xfId="0" applyFont="1" applyFill="1" applyBorder="1" applyAlignment="1">
      <alignment horizontal="center" wrapText="1"/>
    </xf>
    <xf numFmtId="0" fontId="2" fillId="9" borderId="3" xfId="0" applyFont="1" applyFill="1" applyBorder="1" applyAlignment="1">
      <alignment horizontal="center" wrapText="1"/>
    </xf>
    <xf numFmtId="0" fontId="2" fillId="9" borderId="7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 wrapText="1"/>
    </xf>
    <xf numFmtId="0" fontId="2" fillId="6" borderId="9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wrapText="1"/>
    </xf>
    <xf numFmtId="0" fontId="2" fillId="6" borderId="3" xfId="0" applyFont="1" applyFill="1" applyBorder="1" applyAlignment="1">
      <alignment wrapText="1"/>
    </xf>
    <xf numFmtId="0" fontId="2" fillId="6" borderId="1" xfId="0" applyFont="1" applyFill="1" applyBorder="1" applyAlignment="1">
      <alignment horizontal="center" wrapText="1"/>
    </xf>
    <xf numFmtId="0" fontId="2" fillId="6" borderId="3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F3CC-C409-4856-A0C2-05E771653BBC}">
  <dimension ref="A1:O367"/>
  <sheetViews>
    <sheetView tabSelected="1" zoomScale="67" zoomScaleNormal="67" workbookViewId="0">
      <selection activeCell="I229" sqref="I229:O244"/>
    </sheetView>
  </sheetViews>
  <sheetFormatPr defaultColWidth="8.8984375" defaultRowHeight="24.6" x14ac:dyDescent="0.7"/>
  <cols>
    <col min="1" max="1" width="11.59765625" style="1" customWidth="1"/>
    <col min="2" max="2" width="17.59765625" style="13" customWidth="1"/>
    <col min="3" max="3" width="8.8984375" style="13"/>
    <col min="4" max="4" width="15.296875" style="1" customWidth="1"/>
    <col min="5" max="5" width="13.09765625" style="1" customWidth="1"/>
    <col min="6" max="6" width="18.796875" style="1" customWidth="1"/>
    <col min="7" max="7" width="15.59765625" style="1" customWidth="1"/>
    <col min="8" max="8" width="17.3984375" style="1" customWidth="1"/>
    <col min="9" max="9" width="19.69921875" style="1" customWidth="1"/>
    <col min="10" max="10" width="23.296875" style="43" customWidth="1"/>
    <col min="11" max="11" width="21.3984375" style="1" customWidth="1"/>
    <col min="12" max="12" width="19.8984375" style="1" customWidth="1"/>
    <col min="13" max="13" width="19.796875" style="1" customWidth="1"/>
    <col min="14" max="14" width="15.3984375" style="1" customWidth="1"/>
    <col min="15" max="15" width="21.69921875" style="1" customWidth="1"/>
    <col min="16" max="16384" width="8.8984375" style="1"/>
  </cols>
  <sheetData>
    <row r="1" spans="1:15" x14ac:dyDescent="0.7">
      <c r="A1" s="60" t="s">
        <v>0</v>
      </c>
      <c r="B1" s="60" t="s">
        <v>1</v>
      </c>
      <c r="C1" s="60" t="s">
        <v>2</v>
      </c>
      <c r="D1" s="62" t="s">
        <v>3</v>
      </c>
      <c r="E1" s="64" t="s">
        <v>4</v>
      </c>
      <c r="F1" s="58" t="s">
        <v>5</v>
      </c>
      <c r="G1" s="50" t="s">
        <v>6</v>
      </c>
      <c r="H1" s="50" t="s">
        <v>7</v>
      </c>
      <c r="I1" s="52" t="s">
        <v>8</v>
      </c>
      <c r="J1" s="54" t="s">
        <v>9</v>
      </c>
      <c r="K1" s="56" t="s">
        <v>10</v>
      </c>
      <c r="L1" s="56" t="s">
        <v>11</v>
      </c>
      <c r="M1" s="44" t="s">
        <v>12</v>
      </c>
      <c r="N1" s="46" t="s">
        <v>13</v>
      </c>
      <c r="O1" s="48" t="s">
        <v>14</v>
      </c>
    </row>
    <row r="2" spans="1:15" ht="34.799999999999997" customHeight="1" x14ac:dyDescent="0.7">
      <c r="A2" s="61"/>
      <c r="B2" s="61"/>
      <c r="C2" s="61"/>
      <c r="D2" s="63"/>
      <c r="E2" s="65"/>
      <c r="F2" s="59"/>
      <c r="G2" s="51"/>
      <c r="H2" s="51"/>
      <c r="I2" s="53"/>
      <c r="J2" s="55"/>
      <c r="K2" s="57"/>
      <c r="L2" s="57"/>
      <c r="M2" s="45"/>
      <c r="N2" s="47"/>
      <c r="O2" s="49"/>
    </row>
    <row r="3" spans="1:15" x14ac:dyDescent="0.7">
      <c r="A3" s="26">
        <v>2565</v>
      </c>
      <c r="B3" s="5" t="s">
        <v>15</v>
      </c>
      <c r="C3" s="5">
        <v>1</v>
      </c>
      <c r="D3" s="6">
        <v>5.9109999999999996</v>
      </c>
      <c r="E3" s="6">
        <v>0</v>
      </c>
      <c r="F3" s="24">
        <v>5.9109999999999996</v>
      </c>
      <c r="G3" s="14">
        <f t="shared" ref="G3:G66" si="0">F3*86400</f>
        <v>510710.39999999997</v>
      </c>
      <c r="H3" s="14">
        <f t="shared" ref="H3:H66" si="1">G3/1000000</f>
        <v>0.51071040000000001</v>
      </c>
      <c r="I3" s="14">
        <v>14434</v>
      </c>
      <c r="J3" s="37">
        <f t="shared" ref="J3:J66" si="2">I3/1000000</f>
        <v>1.4434000000000001E-2</v>
      </c>
      <c r="K3" s="14">
        <v>2301.0970000000002</v>
      </c>
      <c r="L3" s="14">
        <f t="shared" ref="L3:L66" si="3">K3/1000000</f>
        <v>2.3010970000000002E-3</v>
      </c>
      <c r="M3" s="14">
        <f t="shared" ref="M3:M34" si="4">J3+L3</f>
        <v>1.6735097000000001E-2</v>
      </c>
      <c r="N3" s="14">
        <v>1.88352E-2</v>
      </c>
      <c r="O3" s="6">
        <f>H3-M3-N3</f>
        <v>0.47514010300000004</v>
      </c>
    </row>
    <row r="4" spans="1:15" x14ac:dyDescent="0.7">
      <c r="A4" s="5"/>
      <c r="B4" s="5"/>
      <c r="C4" s="5">
        <v>2</v>
      </c>
      <c r="D4" s="6">
        <v>5.9109999999999996</v>
      </c>
      <c r="E4" s="6">
        <v>0</v>
      </c>
      <c r="F4" s="24">
        <v>5.9109999999999996</v>
      </c>
      <c r="G4" s="14">
        <f t="shared" si="0"/>
        <v>510710.39999999997</v>
      </c>
      <c r="H4" s="14">
        <f t="shared" si="1"/>
        <v>0.51071040000000001</v>
      </c>
      <c r="I4" s="14">
        <v>14082</v>
      </c>
      <c r="J4" s="37">
        <f t="shared" si="2"/>
        <v>1.4082000000000001E-2</v>
      </c>
      <c r="K4" s="14">
        <v>2301.0970000000002</v>
      </c>
      <c r="L4" s="14">
        <f t="shared" si="3"/>
        <v>2.3010970000000002E-3</v>
      </c>
      <c r="M4" s="14">
        <f t="shared" si="4"/>
        <v>1.6383096999999999E-2</v>
      </c>
      <c r="N4" s="14">
        <v>1.88352E-2</v>
      </c>
      <c r="O4" s="6">
        <f t="shared" ref="O4:O67" si="5">H4-M4-N4</f>
        <v>0.475492103</v>
      </c>
    </row>
    <row r="5" spans="1:15" x14ac:dyDescent="0.7">
      <c r="A5" s="5"/>
      <c r="B5" s="5"/>
      <c r="C5" s="5">
        <v>3</v>
      </c>
      <c r="D5" s="6">
        <v>5.9109999999999996</v>
      </c>
      <c r="E5" s="6">
        <v>0</v>
      </c>
      <c r="F5" s="24">
        <v>5.9020000000000001</v>
      </c>
      <c r="G5" s="14">
        <f t="shared" si="0"/>
        <v>509932.79999999999</v>
      </c>
      <c r="H5" s="14">
        <f t="shared" si="1"/>
        <v>0.50993279999999996</v>
      </c>
      <c r="I5" s="14">
        <v>14254</v>
      </c>
      <c r="J5" s="37">
        <f t="shared" si="2"/>
        <v>1.4253999999999999E-2</v>
      </c>
      <c r="K5" s="15">
        <v>2301.0970000000002</v>
      </c>
      <c r="L5" s="14">
        <f t="shared" si="3"/>
        <v>2.3010970000000002E-3</v>
      </c>
      <c r="M5" s="14">
        <f t="shared" si="4"/>
        <v>1.6555096999999998E-2</v>
      </c>
      <c r="N5" s="14">
        <v>1.5292799999999999E-2</v>
      </c>
      <c r="O5" s="6">
        <f t="shared" si="5"/>
        <v>0.47808490299999995</v>
      </c>
    </row>
    <row r="6" spans="1:15" x14ac:dyDescent="0.7">
      <c r="A6" s="5"/>
      <c r="B6" s="5"/>
      <c r="C6" s="5">
        <v>4</v>
      </c>
      <c r="D6" s="6">
        <v>5.8929999999999998</v>
      </c>
      <c r="E6" s="6">
        <v>0</v>
      </c>
      <c r="F6" s="24">
        <v>5.8929999999999998</v>
      </c>
      <c r="G6" s="14">
        <f t="shared" si="0"/>
        <v>509155.19999999995</v>
      </c>
      <c r="H6" s="14">
        <f t="shared" si="1"/>
        <v>0.50915519999999992</v>
      </c>
      <c r="I6" s="14">
        <v>16963</v>
      </c>
      <c r="J6" s="37">
        <f t="shared" si="2"/>
        <v>1.6962999999999999E-2</v>
      </c>
      <c r="K6" s="15">
        <v>2301.0970000000002</v>
      </c>
      <c r="L6" s="14">
        <f t="shared" si="3"/>
        <v>2.3010970000000002E-3</v>
      </c>
      <c r="M6" s="14">
        <f t="shared" si="4"/>
        <v>1.9264097000000001E-2</v>
      </c>
      <c r="N6" s="14">
        <v>1.5292799999999999E-2</v>
      </c>
      <c r="O6" s="6">
        <f t="shared" si="5"/>
        <v>0.47459830299999994</v>
      </c>
    </row>
    <row r="7" spans="1:15" x14ac:dyDescent="0.7">
      <c r="A7" s="5"/>
      <c r="B7" s="5"/>
      <c r="C7" s="5">
        <v>5</v>
      </c>
      <c r="D7" s="6">
        <v>5.8929999999999998</v>
      </c>
      <c r="E7" s="6">
        <v>0</v>
      </c>
      <c r="F7" s="24">
        <v>5.8470000000000004</v>
      </c>
      <c r="G7" s="14">
        <f t="shared" si="0"/>
        <v>505180.80000000005</v>
      </c>
      <c r="H7" s="14">
        <f t="shared" si="1"/>
        <v>0.5051808000000001</v>
      </c>
      <c r="I7" s="14">
        <v>14860</v>
      </c>
      <c r="J7" s="37">
        <f t="shared" si="2"/>
        <v>1.486E-2</v>
      </c>
      <c r="K7" s="15">
        <v>2301.0970000000002</v>
      </c>
      <c r="L7" s="14">
        <f t="shared" si="3"/>
        <v>2.3010970000000002E-3</v>
      </c>
      <c r="M7" s="14">
        <f t="shared" si="4"/>
        <v>1.7161097E-2</v>
      </c>
      <c r="N7" s="14">
        <v>1.5292799999999999E-2</v>
      </c>
      <c r="O7" s="6">
        <f t="shared" si="5"/>
        <v>0.47272690300000009</v>
      </c>
    </row>
    <row r="8" spans="1:15" x14ac:dyDescent="0.7">
      <c r="A8" s="5"/>
      <c r="B8" s="5"/>
      <c r="C8" s="5">
        <v>6</v>
      </c>
      <c r="D8" s="6">
        <v>5.8010000000000002</v>
      </c>
      <c r="E8" s="6">
        <v>0</v>
      </c>
      <c r="F8" s="24">
        <v>5.77</v>
      </c>
      <c r="G8" s="14">
        <f t="shared" si="0"/>
        <v>498527.99999999994</v>
      </c>
      <c r="H8" s="14">
        <f t="shared" si="1"/>
        <v>0.49852799999999992</v>
      </c>
      <c r="I8" s="14">
        <v>14288</v>
      </c>
      <c r="J8" s="37">
        <f t="shared" si="2"/>
        <v>1.4288E-2</v>
      </c>
      <c r="K8" s="15">
        <v>2301.0970000000002</v>
      </c>
      <c r="L8" s="14">
        <f t="shared" si="3"/>
        <v>2.3010970000000002E-3</v>
      </c>
      <c r="M8" s="14">
        <f t="shared" si="4"/>
        <v>1.6589097000000001E-2</v>
      </c>
      <c r="N8" s="14">
        <v>1.5292799999999999E-2</v>
      </c>
      <c r="O8" s="6">
        <f t="shared" si="5"/>
        <v>0.46664610299999992</v>
      </c>
    </row>
    <row r="9" spans="1:15" x14ac:dyDescent="0.7">
      <c r="A9" s="5"/>
      <c r="B9" s="5"/>
      <c r="C9" s="5">
        <v>7</v>
      </c>
      <c r="D9" s="6">
        <v>5.74</v>
      </c>
      <c r="E9" s="6">
        <v>0</v>
      </c>
      <c r="F9" s="24">
        <v>5.6420000000000003</v>
      </c>
      <c r="G9" s="14">
        <f t="shared" si="0"/>
        <v>487468.80000000005</v>
      </c>
      <c r="H9" s="14">
        <f t="shared" si="1"/>
        <v>0.48746880000000004</v>
      </c>
      <c r="I9" s="14">
        <v>13837</v>
      </c>
      <c r="J9" s="37">
        <f t="shared" si="2"/>
        <v>1.3837E-2</v>
      </c>
      <c r="K9" s="15">
        <v>2301.0970000000002</v>
      </c>
      <c r="L9" s="14">
        <f t="shared" si="3"/>
        <v>2.3010970000000002E-3</v>
      </c>
      <c r="M9" s="14">
        <f t="shared" si="4"/>
        <v>1.6138097000000001E-2</v>
      </c>
      <c r="N9" s="14">
        <v>1.5292799999999999E-2</v>
      </c>
      <c r="O9" s="6">
        <f t="shared" si="5"/>
        <v>0.45603790300000002</v>
      </c>
    </row>
    <row r="10" spans="1:15" x14ac:dyDescent="0.7">
      <c r="A10" s="5"/>
      <c r="B10" s="5"/>
      <c r="C10" s="5">
        <v>8</v>
      </c>
      <c r="D10" s="6">
        <v>5.5430000000000001</v>
      </c>
      <c r="E10" s="6">
        <v>0</v>
      </c>
      <c r="F10" s="24">
        <v>5.5430000000000001</v>
      </c>
      <c r="G10" s="14">
        <f t="shared" si="0"/>
        <v>478915.2</v>
      </c>
      <c r="H10" s="14">
        <f t="shared" si="1"/>
        <v>0.47891519999999999</v>
      </c>
      <c r="I10" s="14">
        <v>14852</v>
      </c>
      <c r="J10" s="37">
        <f t="shared" si="2"/>
        <v>1.4852000000000001E-2</v>
      </c>
      <c r="K10" s="15">
        <v>2301.0970000000002</v>
      </c>
      <c r="L10" s="14">
        <f t="shared" si="3"/>
        <v>2.3010970000000002E-3</v>
      </c>
      <c r="M10" s="14">
        <f t="shared" si="4"/>
        <v>1.7153096999999999E-2</v>
      </c>
      <c r="N10" s="14">
        <v>1.8230399999999997E-2</v>
      </c>
      <c r="O10" s="6">
        <f t="shared" si="5"/>
        <v>0.443531703</v>
      </c>
    </row>
    <row r="11" spans="1:15" x14ac:dyDescent="0.7">
      <c r="A11" s="5"/>
      <c r="B11" s="5"/>
      <c r="C11" s="5">
        <v>9</v>
      </c>
      <c r="D11" s="6">
        <v>5.5430000000000001</v>
      </c>
      <c r="E11" s="6">
        <v>0</v>
      </c>
      <c r="F11" s="24">
        <v>5.45</v>
      </c>
      <c r="G11" s="14">
        <f t="shared" si="0"/>
        <v>470880</v>
      </c>
      <c r="H11" s="14">
        <f t="shared" si="1"/>
        <v>0.47088000000000002</v>
      </c>
      <c r="I11" s="14">
        <v>12458</v>
      </c>
      <c r="J11" s="37">
        <f t="shared" si="2"/>
        <v>1.2458E-2</v>
      </c>
      <c r="K11" s="15">
        <v>2301.0970000000002</v>
      </c>
      <c r="L11" s="14">
        <f t="shared" si="3"/>
        <v>2.3010970000000002E-3</v>
      </c>
      <c r="M11" s="14">
        <f t="shared" si="4"/>
        <v>1.4759097000000001E-2</v>
      </c>
      <c r="N11" s="14">
        <v>1.8230399999999997E-2</v>
      </c>
      <c r="O11" s="6">
        <f t="shared" si="5"/>
        <v>0.43789050300000004</v>
      </c>
    </row>
    <row r="12" spans="1:15" x14ac:dyDescent="0.7">
      <c r="A12" s="5"/>
      <c r="B12" s="5"/>
      <c r="C12" s="5">
        <v>10</v>
      </c>
      <c r="D12" s="6">
        <v>5.3570000000000002</v>
      </c>
      <c r="E12" s="6">
        <v>0</v>
      </c>
      <c r="F12" s="24">
        <v>5.3360000000000003</v>
      </c>
      <c r="G12" s="14">
        <f t="shared" si="0"/>
        <v>461030.40000000002</v>
      </c>
      <c r="H12" s="14">
        <f t="shared" si="1"/>
        <v>0.46103040000000001</v>
      </c>
      <c r="I12" s="14">
        <v>14823</v>
      </c>
      <c r="J12" s="37">
        <f t="shared" si="2"/>
        <v>1.4822999999999999E-2</v>
      </c>
      <c r="K12" s="15">
        <v>2301.0970000000002</v>
      </c>
      <c r="L12" s="14">
        <f t="shared" si="3"/>
        <v>2.3010970000000002E-3</v>
      </c>
      <c r="M12" s="14">
        <f t="shared" si="4"/>
        <v>1.7124096999999998E-2</v>
      </c>
      <c r="N12" s="14">
        <v>1.8230399999999997E-2</v>
      </c>
      <c r="O12" s="6">
        <f t="shared" si="5"/>
        <v>0.42567590300000002</v>
      </c>
    </row>
    <row r="13" spans="1:15" x14ac:dyDescent="0.7">
      <c r="A13" s="5"/>
      <c r="B13" s="5"/>
      <c r="C13" s="5">
        <v>11</v>
      </c>
      <c r="D13" s="6">
        <v>5.3150000000000004</v>
      </c>
      <c r="E13" s="6">
        <v>0</v>
      </c>
      <c r="F13" s="24">
        <v>5.2619999999999996</v>
      </c>
      <c r="G13" s="14">
        <f t="shared" si="0"/>
        <v>454636.79999999999</v>
      </c>
      <c r="H13" s="14">
        <f t="shared" si="1"/>
        <v>0.45463680000000001</v>
      </c>
      <c r="I13" s="14">
        <v>19130</v>
      </c>
      <c r="J13" s="37">
        <f t="shared" si="2"/>
        <v>1.9130000000000001E-2</v>
      </c>
      <c r="K13" s="15">
        <v>2301.0970000000002</v>
      </c>
      <c r="L13" s="14">
        <f t="shared" si="3"/>
        <v>2.3010970000000002E-3</v>
      </c>
      <c r="M13" s="14">
        <f t="shared" si="4"/>
        <v>2.1431097000000003E-2</v>
      </c>
      <c r="N13" s="14">
        <v>1.8230399999999997E-2</v>
      </c>
      <c r="O13" s="6">
        <f t="shared" si="5"/>
        <v>0.41497530300000002</v>
      </c>
    </row>
    <row r="14" spans="1:15" x14ac:dyDescent="0.7">
      <c r="A14" s="5"/>
      <c r="B14" s="5"/>
      <c r="C14" s="5">
        <v>12</v>
      </c>
      <c r="D14" s="6">
        <v>5.2089999999999996</v>
      </c>
      <c r="E14" s="6">
        <v>0</v>
      </c>
      <c r="F14" s="24">
        <v>5.1609999999999996</v>
      </c>
      <c r="G14" s="14">
        <f t="shared" si="0"/>
        <v>445910.39999999997</v>
      </c>
      <c r="H14" s="14">
        <f t="shared" si="1"/>
        <v>0.44591039999999998</v>
      </c>
      <c r="I14" s="14">
        <v>20501</v>
      </c>
      <c r="J14" s="37">
        <f t="shared" si="2"/>
        <v>2.0500999999999998E-2</v>
      </c>
      <c r="K14" s="15">
        <v>2301.0970000000002</v>
      </c>
      <c r="L14" s="14">
        <f t="shared" si="3"/>
        <v>2.3010970000000002E-3</v>
      </c>
      <c r="M14" s="14">
        <f t="shared" si="4"/>
        <v>2.2802097E-2</v>
      </c>
      <c r="N14" s="14">
        <v>1.8230399999999997E-2</v>
      </c>
      <c r="O14" s="6">
        <f t="shared" si="5"/>
        <v>0.40487790299999998</v>
      </c>
    </row>
    <row r="15" spans="1:15" x14ac:dyDescent="0.7">
      <c r="A15" s="5"/>
      <c r="B15" s="5"/>
      <c r="C15" s="5">
        <v>13</v>
      </c>
      <c r="D15" s="6">
        <v>5.1139999999999999</v>
      </c>
      <c r="E15" s="6">
        <v>0</v>
      </c>
      <c r="F15" s="24">
        <v>5.0830000000000002</v>
      </c>
      <c r="G15" s="14">
        <f t="shared" si="0"/>
        <v>439171.2</v>
      </c>
      <c r="H15" s="14">
        <f t="shared" si="1"/>
        <v>0.43917120000000004</v>
      </c>
      <c r="I15" s="14">
        <v>12162</v>
      </c>
      <c r="J15" s="37">
        <f t="shared" si="2"/>
        <v>1.2161999999999999E-2</v>
      </c>
      <c r="K15" s="15">
        <v>2301.0970000000002</v>
      </c>
      <c r="L15" s="14">
        <f t="shared" si="3"/>
        <v>2.3010970000000002E-3</v>
      </c>
      <c r="M15" s="14">
        <f t="shared" si="4"/>
        <v>1.4463096999999999E-2</v>
      </c>
      <c r="N15" s="14">
        <v>1.8230399999999997E-2</v>
      </c>
      <c r="O15" s="6">
        <f t="shared" si="5"/>
        <v>0.40647770300000008</v>
      </c>
    </row>
    <row r="16" spans="1:15" x14ac:dyDescent="0.7">
      <c r="A16" s="5"/>
      <c r="B16" s="5"/>
      <c r="C16" s="5">
        <v>14</v>
      </c>
      <c r="D16" s="6">
        <v>5.0510000000000002</v>
      </c>
      <c r="E16" s="6">
        <v>0</v>
      </c>
      <c r="F16" s="24">
        <v>5.0510000000000002</v>
      </c>
      <c r="G16" s="14">
        <f t="shared" si="0"/>
        <v>436406.4</v>
      </c>
      <c r="H16" s="14">
        <f t="shared" si="1"/>
        <v>0.43640640000000003</v>
      </c>
      <c r="I16" s="14">
        <v>16410</v>
      </c>
      <c r="J16" s="37">
        <f t="shared" si="2"/>
        <v>1.6410000000000001E-2</v>
      </c>
      <c r="K16" s="15">
        <v>2301.0970000000002</v>
      </c>
      <c r="L16" s="14">
        <f t="shared" si="3"/>
        <v>2.3010970000000002E-3</v>
      </c>
      <c r="M16" s="14">
        <f t="shared" si="4"/>
        <v>1.8711097000000003E-2</v>
      </c>
      <c r="N16" s="14">
        <v>1.8230399999999997E-2</v>
      </c>
      <c r="O16" s="6">
        <f t="shared" si="5"/>
        <v>0.39946490300000004</v>
      </c>
    </row>
    <row r="17" spans="1:15" x14ac:dyDescent="0.7">
      <c r="A17" s="5"/>
      <c r="B17" s="5"/>
      <c r="C17" s="5">
        <v>15</v>
      </c>
      <c r="D17" s="6">
        <v>5.0510000000000002</v>
      </c>
      <c r="E17" s="6">
        <v>0</v>
      </c>
      <c r="F17" s="24">
        <v>5.1210000000000004</v>
      </c>
      <c r="G17" s="14">
        <f t="shared" si="0"/>
        <v>442454.4</v>
      </c>
      <c r="H17" s="14">
        <f t="shared" si="1"/>
        <v>0.44245440000000003</v>
      </c>
      <c r="I17" s="14">
        <v>12917</v>
      </c>
      <c r="J17" s="37">
        <f t="shared" si="2"/>
        <v>1.2917E-2</v>
      </c>
      <c r="K17" s="15">
        <v>2301.0970000000002</v>
      </c>
      <c r="L17" s="14">
        <f t="shared" si="3"/>
        <v>2.3010970000000002E-3</v>
      </c>
      <c r="M17" s="14">
        <f t="shared" si="4"/>
        <v>1.5218097E-2</v>
      </c>
      <c r="N17" s="14">
        <v>1.8230399999999997E-2</v>
      </c>
      <c r="O17" s="6">
        <f t="shared" si="5"/>
        <v>0.40900590300000006</v>
      </c>
    </row>
    <row r="18" spans="1:15" x14ac:dyDescent="0.7">
      <c r="A18" s="5"/>
      <c r="B18" s="5"/>
      <c r="C18" s="5">
        <v>16</v>
      </c>
      <c r="D18" s="6">
        <v>5.19</v>
      </c>
      <c r="E18" s="6">
        <v>11.6</v>
      </c>
      <c r="F18" s="24">
        <v>6.5670000000000002</v>
      </c>
      <c r="G18" s="14">
        <f t="shared" si="0"/>
        <v>567388.80000000005</v>
      </c>
      <c r="H18" s="14">
        <f t="shared" si="1"/>
        <v>0.56738880000000003</v>
      </c>
      <c r="I18" s="14">
        <v>14552</v>
      </c>
      <c r="J18" s="37">
        <f t="shared" si="2"/>
        <v>1.4552000000000001E-2</v>
      </c>
      <c r="K18" s="15">
        <v>2301.0970000000002</v>
      </c>
      <c r="L18" s="14">
        <f t="shared" si="3"/>
        <v>2.3010970000000002E-3</v>
      </c>
      <c r="M18" s="14">
        <f t="shared" si="4"/>
        <v>1.6853097000000001E-2</v>
      </c>
      <c r="N18" s="14">
        <v>1.9699199999999997E-2</v>
      </c>
      <c r="O18" s="6">
        <f t="shared" si="5"/>
        <v>0.53083650299999996</v>
      </c>
    </row>
    <row r="19" spans="1:15" x14ac:dyDescent="0.7">
      <c r="A19" s="5"/>
      <c r="B19" s="5"/>
      <c r="C19" s="5">
        <v>17</v>
      </c>
      <c r="D19" s="6">
        <v>7.9450000000000003</v>
      </c>
      <c r="E19" s="6">
        <v>5.2</v>
      </c>
      <c r="F19" s="24">
        <v>7.625</v>
      </c>
      <c r="G19" s="14">
        <f t="shared" si="0"/>
        <v>658800</v>
      </c>
      <c r="H19" s="14">
        <f t="shared" si="1"/>
        <v>0.65880000000000005</v>
      </c>
      <c r="I19" s="14">
        <v>13302</v>
      </c>
      <c r="J19" s="37">
        <f t="shared" si="2"/>
        <v>1.3302E-2</v>
      </c>
      <c r="K19" s="15">
        <v>2301.0970000000002</v>
      </c>
      <c r="L19" s="14">
        <f t="shared" si="3"/>
        <v>2.3010970000000002E-3</v>
      </c>
      <c r="M19" s="14">
        <f t="shared" si="4"/>
        <v>1.5603097E-2</v>
      </c>
      <c r="N19" s="14">
        <v>1.9699199999999997E-2</v>
      </c>
      <c r="O19" s="6">
        <f t="shared" si="5"/>
        <v>0.62349770300000007</v>
      </c>
    </row>
    <row r="20" spans="1:15" x14ac:dyDescent="0.7">
      <c r="A20" s="5"/>
      <c r="B20" s="5"/>
      <c r="C20" s="5">
        <v>18</v>
      </c>
      <c r="D20" s="6">
        <v>7.306</v>
      </c>
      <c r="E20" s="6">
        <v>0.5</v>
      </c>
      <c r="F20" s="24">
        <v>6.81</v>
      </c>
      <c r="G20" s="14">
        <f t="shared" si="0"/>
        <v>588384</v>
      </c>
      <c r="H20" s="14">
        <f t="shared" si="1"/>
        <v>0.58838400000000002</v>
      </c>
      <c r="I20" s="14">
        <v>16370</v>
      </c>
      <c r="J20" s="37">
        <f t="shared" si="2"/>
        <v>1.6369999999999999E-2</v>
      </c>
      <c r="K20" s="15">
        <v>2301.0970000000002</v>
      </c>
      <c r="L20" s="14">
        <f t="shared" si="3"/>
        <v>2.3010970000000002E-3</v>
      </c>
      <c r="M20" s="14">
        <f t="shared" si="4"/>
        <v>1.8671096999999998E-2</v>
      </c>
      <c r="N20" s="14">
        <v>9.4175999999999982E-3</v>
      </c>
      <c r="O20" s="6">
        <f t="shared" si="5"/>
        <v>0.56029530299999997</v>
      </c>
    </row>
    <row r="21" spans="1:15" x14ac:dyDescent="0.7">
      <c r="A21" s="5"/>
      <c r="B21" s="5"/>
      <c r="C21" s="5">
        <v>19</v>
      </c>
      <c r="D21" s="6">
        <v>6.3140000000000001</v>
      </c>
      <c r="E21" s="6">
        <v>0</v>
      </c>
      <c r="F21" s="24">
        <v>7.0979999999999999</v>
      </c>
      <c r="G21" s="14">
        <f t="shared" si="0"/>
        <v>613267.19999999995</v>
      </c>
      <c r="H21" s="14">
        <f t="shared" si="1"/>
        <v>0.6132671999999999</v>
      </c>
      <c r="I21" s="16">
        <v>10611</v>
      </c>
      <c r="J21" s="37">
        <f t="shared" si="2"/>
        <v>1.0611000000000001E-2</v>
      </c>
      <c r="K21" s="15">
        <v>2301.0970000000002</v>
      </c>
      <c r="L21" s="14">
        <f t="shared" si="3"/>
        <v>2.3010970000000002E-3</v>
      </c>
      <c r="M21" s="14">
        <f t="shared" si="4"/>
        <v>1.2912097000000001E-2</v>
      </c>
      <c r="N21" s="14">
        <v>9.4175999999999982E-3</v>
      </c>
      <c r="O21" s="6">
        <f t="shared" si="5"/>
        <v>0.59093750299999992</v>
      </c>
    </row>
    <row r="22" spans="1:15" x14ac:dyDescent="0.7">
      <c r="A22" s="5"/>
      <c r="B22" s="5"/>
      <c r="C22" s="5">
        <v>20</v>
      </c>
      <c r="D22" s="6">
        <v>7.883</v>
      </c>
      <c r="E22" s="6">
        <v>16.8</v>
      </c>
      <c r="F22" s="24">
        <v>7.7949999999999999</v>
      </c>
      <c r="G22" s="14">
        <f t="shared" si="0"/>
        <v>673488</v>
      </c>
      <c r="H22" s="14">
        <f t="shared" si="1"/>
        <v>0.67348799999999998</v>
      </c>
      <c r="I22" s="14">
        <v>28924</v>
      </c>
      <c r="J22" s="37">
        <f t="shared" si="2"/>
        <v>2.8923999999999998E-2</v>
      </c>
      <c r="K22" s="15">
        <v>2301.0970000000002</v>
      </c>
      <c r="L22" s="14">
        <f t="shared" si="3"/>
        <v>2.3010970000000002E-3</v>
      </c>
      <c r="M22" s="14">
        <f t="shared" si="4"/>
        <v>3.1225097E-2</v>
      </c>
      <c r="N22" s="14">
        <v>3.5423999999999997E-2</v>
      </c>
      <c r="O22" s="6">
        <f t="shared" si="5"/>
        <v>0.60683890299999999</v>
      </c>
    </row>
    <row r="23" spans="1:15" x14ac:dyDescent="0.7">
      <c r="A23" s="5"/>
      <c r="B23" s="5"/>
      <c r="C23" s="5">
        <v>21</v>
      </c>
      <c r="D23" s="6">
        <v>7.7080000000000002</v>
      </c>
      <c r="E23" s="6">
        <v>5.4</v>
      </c>
      <c r="F23" s="24">
        <v>7.5069999999999997</v>
      </c>
      <c r="G23" s="14">
        <f t="shared" si="0"/>
        <v>648604.79999999993</v>
      </c>
      <c r="H23" s="14">
        <f t="shared" si="1"/>
        <v>0.64860479999999998</v>
      </c>
      <c r="I23" s="14">
        <v>36393</v>
      </c>
      <c r="J23" s="37">
        <f t="shared" si="2"/>
        <v>3.6393000000000002E-2</v>
      </c>
      <c r="K23" s="15">
        <v>2301.0970000000002</v>
      </c>
      <c r="L23" s="14">
        <f t="shared" si="3"/>
        <v>2.3010970000000002E-3</v>
      </c>
      <c r="M23" s="14">
        <f t="shared" si="4"/>
        <v>3.8694097000000004E-2</v>
      </c>
      <c r="N23" s="14">
        <v>3.5423999999999997E-2</v>
      </c>
      <c r="O23" s="6">
        <f t="shared" si="5"/>
        <v>0.57448670299999993</v>
      </c>
    </row>
    <row r="24" spans="1:15" x14ac:dyDescent="0.7">
      <c r="A24" s="5"/>
      <c r="B24" s="5"/>
      <c r="C24" s="5">
        <v>22</v>
      </c>
      <c r="D24" s="6">
        <v>7.3070000000000004</v>
      </c>
      <c r="E24" s="6">
        <v>3.9</v>
      </c>
      <c r="F24" s="24">
        <v>7.11</v>
      </c>
      <c r="G24" s="14">
        <f t="shared" si="0"/>
        <v>614304</v>
      </c>
      <c r="H24" s="14">
        <f t="shared" si="1"/>
        <v>0.61430399999999996</v>
      </c>
      <c r="I24" s="14">
        <v>39777</v>
      </c>
      <c r="J24" s="37">
        <f t="shared" si="2"/>
        <v>3.9777E-2</v>
      </c>
      <c r="K24" s="15">
        <v>2301.0970000000002</v>
      </c>
      <c r="L24" s="14">
        <f t="shared" si="3"/>
        <v>2.3010970000000002E-3</v>
      </c>
      <c r="M24" s="14">
        <f t="shared" si="4"/>
        <v>4.2078097000000002E-2</v>
      </c>
      <c r="N24" s="14">
        <v>4.0435199999999998E-2</v>
      </c>
      <c r="O24" s="6">
        <f t="shared" si="5"/>
        <v>0.53179070299999998</v>
      </c>
    </row>
    <row r="25" spans="1:15" x14ac:dyDescent="0.7">
      <c r="A25" s="5"/>
      <c r="B25" s="5"/>
      <c r="C25" s="5">
        <v>23</v>
      </c>
      <c r="D25" s="6">
        <v>6.9130000000000003</v>
      </c>
      <c r="E25" s="6">
        <v>0</v>
      </c>
      <c r="F25" s="24">
        <v>6.45</v>
      </c>
      <c r="G25" s="14">
        <f t="shared" si="0"/>
        <v>557280</v>
      </c>
      <c r="H25" s="14">
        <f t="shared" si="1"/>
        <v>0.55728</v>
      </c>
      <c r="I25" s="14">
        <v>39021</v>
      </c>
      <c r="J25" s="37">
        <f t="shared" si="2"/>
        <v>3.9021E-2</v>
      </c>
      <c r="K25" s="15">
        <v>2301.0970000000002</v>
      </c>
      <c r="L25" s="14">
        <f t="shared" si="3"/>
        <v>2.3010970000000002E-3</v>
      </c>
      <c r="M25" s="14">
        <f t="shared" si="4"/>
        <v>4.1322097000000002E-2</v>
      </c>
      <c r="N25" s="14">
        <v>4.4236799999999993E-2</v>
      </c>
      <c r="O25" s="6">
        <f t="shared" si="5"/>
        <v>0.47172110300000003</v>
      </c>
    </row>
    <row r="26" spans="1:15" x14ac:dyDescent="0.7">
      <c r="A26" s="5"/>
      <c r="B26" s="5"/>
      <c r="C26" s="5">
        <v>24</v>
      </c>
      <c r="D26" s="6">
        <v>5.9870000000000001</v>
      </c>
      <c r="E26" s="6">
        <v>0</v>
      </c>
      <c r="F26" s="24">
        <v>5.4969999999999999</v>
      </c>
      <c r="G26" s="14">
        <f t="shared" si="0"/>
        <v>474940.8</v>
      </c>
      <c r="H26" s="14">
        <f t="shared" si="1"/>
        <v>0.4749408</v>
      </c>
      <c r="I26" s="14">
        <v>21208</v>
      </c>
      <c r="J26" s="37">
        <f t="shared" si="2"/>
        <v>2.1208000000000001E-2</v>
      </c>
      <c r="K26" s="15">
        <v>2301.0970000000002</v>
      </c>
      <c r="L26" s="14">
        <f t="shared" si="3"/>
        <v>2.3010970000000002E-3</v>
      </c>
      <c r="M26" s="14">
        <f t="shared" si="4"/>
        <v>2.3509097E-2</v>
      </c>
      <c r="N26" s="14">
        <v>1.8230399999999997E-2</v>
      </c>
      <c r="O26" s="6">
        <f t="shared" si="5"/>
        <v>0.43320130300000004</v>
      </c>
    </row>
    <row r="27" spans="1:15" x14ac:dyDescent="0.7">
      <c r="A27" s="5"/>
      <c r="B27" s="5"/>
      <c r="C27" s="5">
        <v>25</v>
      </c>
      <c r="D27" s="6">
        <v>5.0069999999999997</v>
      </c>
      <c r="E27" s="6">
        <v>0</v>
      </c>
      <c r="F27" s="24">
        <v>4.8949999999999996</v>
      </c>
      <c r="G27" s="14">
        <f t="shared" si="0"/>
        <v>422927.99999999994</v>
      </c>
      <c r="H27" s="14">
        <f t="shared" si="1"/>
        <v>0.42292799999999992</v>
      </c>
      <c r="I27" s="14">
        <v>10382</v>
      </c>
      <c r="J27" s="37">
        <f t="shared" si="2"/>
        <v>1.0382000000000001E-2</v>
      </c>
      <c r="K27" s="15">
        <v>2301.0970000000002</v>
      </c>
      <c r="L27" s="14">
        <f t="shared" si="3"/>
        <v>2.3010970000000002E-3</v>
      </c>
      <c r="M27" s="14">
        <f t="shared" si="4"/>
        <v>1.2683097000000001E-2</v>
      </c>
      <c r="N27" s="14">
        <v>1.8230399999999997E-2</v>
      </c>
      <c r="O27" s="6">
        <f t="shared" si="5"/>
        <v>0.39201450299999996</v>
      </c>
    </row>
    <row r="28" spans="1:15" x14ac:dyDescent="0.7">
      <c r="A28" s="5"/>
      <c r="B28" s="5"/>
      <c r="C28" s="5">
        <v>26</v>
      </c>
      <c r="D28" s="6">
        <v>4.7830000000000004</v>
      </c>
      <c r="E28" s="6">
        <v>0</v>
      </c>
      <c r="F28" s="24">
        <v>4.734</v>
      </c>
      <c r="G28" s="14">
        <f t="shared" si="0"/>
        <v>409017.59999999998</v>
      </c>
      <c r="H28" s="14">
        <f t="shared" si="1"/>
        <v>0.40901759999999998</v>
      </c>
      <c r="I28" s="14">
        <v>14040</v>
      </c>
      <c r="J28" s="37">
        <f t="shared" si="2"/>
        <v>1.404E-2</v>
      </c>
      <c r="K28" s="15">
        <v>2301.0970000000002</v>
      </c>
      <c r="L28" s="14">
        <f t="shared" si="3"/>
        <v>2.3010970000000002E-3</v>
      </c>
      <c r="M28" s="14">
        <f t="shared" si="4"/>
        <v>1.6341096999999999E-2</v>
      </c>
      <c r="N28" s="14">
        <v>1.8230399999999997E-2</v>
      </c>
      <c r="O28" s="6">
        <f t="shared" si="5"/>
        <v>0.37444610300000003</v>
      </c>
    </row>
    <row r="29" spans="1:15" x14ac:dyDescent="0.7">
      <c r="A29" s="5"/>
      <c r="B29" s="5"/>
      <c r="C29" s="5">
        <v>27</v>
      </c>
      <c r="D29" s="6">
        <v>4.6840000000000002</v>
      </c>
      <c r="E29" s="6">
        <v>0</v>
      </c>
      <c r="F29" s="24">
        <v>4.5910000000000002</v>
      </c>
      <c r="G29" s="14">
        <f t="shared" si="0"/>
        <v>396662.4</v>
      </c>
      <c r="H29" s="14">
        <f t="shared" si="1"/>
        <v>0.39666240000000003</v>
      </c>
      <c r="I29" s="14">
        <v>12146</v>
      </c>
      <c r="J29" s="37">
        <f t="shared" si="2"/>
        <v>1.2146000000000001E-2</v>
      </c>
      <c r="K29" s="15">
        <v>2301.0970000000002</v>
      </c>
      <c r="L29" s="14">
        <f t="shared" si="3"/>
        <v>2.3010970000000002E-3</v>
      </c>
      <c r="M29" s="14">
        <f t="shared" si="4"/>
        <v>1.4447097000000001E-2</v>
      </c>
      <c r="N29" s="14">
        <v>1.8230399999999997E-2</v>
      </c>
      <c r="O29" s="6">
        <f t="shared" si="5"/>
        <v>0.36398490300000003</v>
      </c>
    </row>
    <row r="30" spans="1:15" x14ac:dyDescent="0.7">
      <c r="A30" s="5"/>
      <c r="B30" s="5"/>
      <c r="C30" s="5">
        <v>28</v>
      </c>
      <c r="D30" s="6">
        <v>4.4980000000000002</v>
      </c>
      <c r="E30" s="6">
        <v>0</v>
      </c>
      <c r="F30" s="24">
        <v>4.46</v>
      </c>
      <c r="G30" s="14">
        <f t="shared" si="0"/>
        <v>385344</v>
      </c>
      <c r="H30" s="14">
        <f t="shared" si="1"/>
        <v>0.38534400000000002</v>
      </c>
      <c r="I30" s="14">
        <v>15847</v>
      </c>
      <c r="J30" s="37">
        <f t="shared" si="2"/>
        <v>1.5847E-2</v>
      </c>
      <c r="K30" s="15">
        <v>2301.0970000000002</v>
      </c>
      <c r="L30" s="14">
        <f t="shared" si="3"/>
        <v>2.3010970000000002E-3</v>
      </c>
      <c r="M30" s="14">
        <f t="shared" si="4"/>
        <v>1.8148097000000002E-2</v>
      </c>
      <c r="N30" s="14">
        <v>1.8230399999999997E-2</v>
      </c>
      <c r="O30" s="6">
        <f t="shared" si="5"/>
        <v>0.34896550300000007</v>
      </c>
    </row>
    <row r="31" spans="1:15" x14ac:dyDescent="0.7">
      <c r="A31" s="5"/>
      <c r="B31" s="5"/>
      <c r="C31" s="5">
        <v>29</v>
      </c>
      <c r="D31" s="6">
        <v>4.4219999999999997</v>
      </c>
      <c r="E31" s="6">
        <v>0</v>
      </c>
      <c r="F31" s="24">
        <v>4.3369999999999997</v>
      </c>
      <c r="G31" s="14">
        <f t="shared" si="0"/>
        <v>374716.8</v>
      </c>
      <c r="H31" s="14">
        <f t="shared" si="1"/>
        <v>0.37471679999999996</v>
      </c>
      <c r="I31" s="14">
        <v>14543</v>
      </c>
      <c r="J31" s="37">
        <f t="shared" si="2"/>
        <v>1.4543E-2</v>
      </c>
      <c r="K31" s="15">
        <v>2301.0970000000002</v>
      </c>
      <c r="L31" s="14">
        <f t="shared" si="3"/>
        <v>2.3010970000000002E-3</v>
      </c>
      <c r="M31" s="14">
        <f t="shared" si="4"/>
        <v>1.6844097000000002E-2</v>
      </c>
      <c r="N31" s="14">
        <v>1.8230399999999997E-2</v>
      </c>
      <c r="O31" s="6">
        <f t="shared" si="5"/>
        <v>0.33964230299999998</v>
      </c>
    </row>
    <row r="32" spans="1:15" x14ac:dyDescent="0.7">
      <c r="A32" s="5"/>
      <c r="B32" s="5"/>
      <c r="C32" s="5">
        <v>30</v>
      </c>
      <c r="D32" s="6">
        <v>4.2519999999999998</v>
      </c>
      <c r="E32" s="6">
        <v>0</v>
      </c>
      <c r="F32" s="24">
        <v>4.2519999999999998</v>
      </c>
      <c r="G32" s="14">
        <f t="shared" si="0"/>
        <v>367372.79999999999</v>
      </c>
      <c r="H32" s="14">
        <f t="shared" si="1"/>
        <v>0.3673728</v>
      </c>
      <c r="I32" s="14">
        <v>16228</v>
      </c>
      <c r="J32" s="37">
        <f t="shared" si="2"/>
        <v>1.6227999999999999E-2</v>
      </c>
      <c r="K32" s="15">
        <v>2301.0970000000002</v>
      </c>
      <c r="L32" s="14">
        <f t="shared" si="3"/>
        <v>2.3010970000000002E-3</v>
      </c>
      <c r="M32" s="14">
        <f t="shared" si="4"/>
        <v>1.8529097000000001E-2</v>
      </c>
      <c r="N32" s="14">
        <v>9.4175999999999982E-3</v>
      </c>
      <c r="O32" s="6">
        <f t="shared" si="5"/>
        <v>0.33942610299999998</v>
      </c>
    </row>
    <row r="33" spans="1:15" s="12" customFormat="1" ht="25.2" thickBot="1" x14ac:dyDescent="0.75">
      <c r="A33" s="8"/>
      <c r="B33" s="8" t="s">
        <v>15</v>
      </c>
      <c r="C33" s="8">
        <v>31</v>
      </c>
      <c r="D33" s="9">
        <v>4.2519999999999998</v>
      </c>
      <c r="E33" s="9">
        <v>0</v>
      </c>
      <c r="F33" s="29">
        <v>4.2</v>
      </c>
      <c r="G33" s="23">
        <f t="shared" si="0"/>
        <v>362880</v>
      </c>
      <c r="H33" s="23">
        <f t="shared" si="1"/>
        <v>0.36287999999999998</v>
      </c>
      <c r="I33" s="23">
        <v>15854</v>
      </c>
      <c r="J33" s="38">
        <f t="shared" si="2"/>
        <v>1.5854E-2</v>
      </c>
      <c r="K33" s="30">
        <v>2301.0970000000002</v>
      </c>
      <c r="L33" s="23">
        <f t="shared" si="3"/>
        <v>2.3010970000000002E-3</v>
      </c>
      <c r="M33" s="23">
        <f t="shared" si="4"/>
        <v>1.8155097000000002E-2</v>
      </c>
      <c r="N33" s="23">
        <v>9.4175999999999982E-3</v>
      </c>
      <c r="O33" s="9">
        <f t="shared" si="5"/>
        <v>0.335307303</v>
      </c>
    </row>
    <row r="34" spans="1:15" x14ac:dyDescent="0.7">
      <c r="A34" s="2"/>
      <c r="B34" s="2" t="s">
        <v>16</v>
      </c>
      <c r="C34" s="2">
        <v>1</v>
      </c>
      <c r="D34" s="17">
        <v>4.149</v>
      </c>
      <c r="E34" s="3">
        <v>0</v>
      </c>
      <c r="F34" s="27">
        <v>4.149</v>
      </c>
      <c r="G34" s="20">
        <f t="shared" si="0"/>
        <v>358473.6</v>
      </c>
      <c r="H34" s="20">
        <f t="shared" si="1"/>
        <v>0.3584736</v>
      </c>
      <c r="I34" s="20">
        <v>14505</v>
      </c>
      <c r="J34" s="39">
        <f t="shared" si="2"/>
        <v>1.4505000000000001E-2</v>
      </c>
      <c r="K34" s="28">
        <v>0</v>
      </c>
      <c r="L34" s="20">
        <f>K34/1000000</f>
        <v>0</v>
      </c>
      <c r="M34" s="20">
        <f t="shared" si="4"/>
        <v>1.4505000000000001E-2</v>
      </c>
      <c r="N34" s="20">
        <v>0</v>
      </c>
      <c r="O34" s="3">
        <f t="shared" si="5"/>
        <v>0.34396860000000001</v>
      </c>
    </row>
    <row r="35" spans="1:15" x14ac:dyDescent="0.7">
      <c r="A35" s="5"/>
      <c r="B35" s="5"/>
      <c r="C35" s="5">
        <v>2</v>
      </c>
      <c r="D35" s="6">
        <v>4.149</v>
      </c>
      <c r="E35" s="6">
        <v>0</v>
      </c>
      <c r="F35" s="24">
        <v>4.149</v>
      </c>
      <c r="G35" s="14">
        <f t="shared" si="0"/>
        <v>358473.6</v>
      </c>
      <c r="H35" s="14">
        <f t="shared" si="1"/>
        <v>0.3584736</v>
      </c>
      <c r="I35" s="14">
        <v>15739</v>
      </c>
      <c r="J35" s="37">
        <f t="shared" si="2"/>
        <v>1.5739E-2</v>
      </c>
      <c r="K35" s="14">
        <v>2270</v>
      </c>
      <c r="L35" s="14">
        <f t="shared" si="3"/>
        <v>2.2699999999999999E-3</v>
      </c>
      <c r="M35" s="14">
        <f t="shared" ref="M35:M66" si="6">J35+L35</f>
        <v>1.8009000000000001E-2</v>
      </c>
      <c r="N35" s="14">
        <v>0</v>
      </c>
      <c r="O35" s="6">
        <f t="shared" si="5"/>
        <v>0.34046460000000001</v>
      </c>
    </row>
    <row r="36" spans="1:15" x14ac:dyDescent="0.7">
      <c r="A36" s="5"/>
      <c r="B36" s="5"/>
      <c r="C36" s="5">
        <v>3</v>
      </c>
      <c r="D36" s="6">
        <v>4.149</v>
      </c>
      <c r="E36" s="6">
        <v>0</v>
      </c>
      <c r="F36" s="24">
        <v>4.1180000000000003</v>
      </c>
      <c r="G36" s="14">
        <f t="shared" si="0"/>
        <v>355795.20000000001</v>
      </c>
      <c r="H36" s="14">
        <f t="shared" si="1"/>
        <v>0.35579520000000003</v>
      </c>
      <c r="I36" s="14">
        <v>16343</v>
      </c>
      <c r="J36" s="37">
        <f t="shared" si="2"/>
        <v>1.6343E-2</v>
      </c>
      <c r="K36" s="14">
        <v>3722</v>
      </c>
      <c r="L36" s="14">
        <f t="shared" si="3"/>
        <v>3.722E-3</v>
      </c>
      <c r="M36" s="14">
        <f t="shared" si="6"/>
        <v>2.0065E-2</v>
      </c>
      <c r="N36" s="14">
        <v>9.4175999999999982E-3</v>
      </c>
      <c r="O36" s="6">
        <f t="shared" si="5"/>
        <v>0.32631260000000006</v>
      </c>
    </row>
    <row r="37" spans="1:15" x14ac:dyDescent="0.7">
      <c r="A37" s="5"/>
      <c r="B37" s="5"/>
      <c r="C37" s="5">
        <v>4</v>
      </c>
      <c r="D37" s="6">
        <v>4.0880000000000001</v>
      </c>
      <c r="E37" s="6">
        <v>0</v>
      </c>
      <c r="F37" s="24">
        <v>4.032</v>
      </c>
      <c r="G37" s="14">
        <f t="shared" si="0"/>
        <v>348364.79999999999</v>
      </c>
      <c r="H37" s="14">
        <f t="shared" si="1"/>
        <v>0.34836479999999997</v>
      </c>
      <c r="I37" s="14">
        <v>12847</v>
      </c>
      <c r="J37" s="37">
        <f t="shared" si="2"/>
        <v>1.2847000000000001E-2</v>
      </c>
      <c r="K37" s="14">
        <v>2872</v>
      </c>
      <c r="L37" s="14">
        <f t="shared" si="3"/>
        <v>2.872E-3</v>
      </c>
      <c r="M37" s="14">
        <f t="shared" si="6"/>
        <v>1.5719E-2</v>
      </c>
      <c r="N37" s="14">
        <v>9.4175999999999982E-3</v>
      </c>
      <c r="O37" s="6">
        <f t="shared" si="5"/>
        <v>0.32322819999999997</v>
      </c>
    </row>
    <row r="38" spans="1:15" x14ac:dyDescent="0.7">
      <c r="A38" s="5"/>
      <c r="B38" s="5"/>
      <c r="C38" s="5">
        <v>5</v>
      </c>
      <c r="D38" s="6">
        <v>3.9750000000000001</v>
      </c>
      <c r="E38" s="6">
        <v>0</v>
      </c>
      <c r="F38" s="24">
        <v>4.899</v>
      </c>
      <c r="G38" s="14">
        <f t="shared" si="0"/>
        <v>423273.6</v>
      </c>
      <c r="H38" s="14">
        <f t="shared" si="1"/>
        <v>0.42327359999999997</v>
      </c>
      <c r="I38" s="14">
        <v>13588</v>
      </c>
      <c r="J38" s="37">
        <f t="shared" si="2"/>
        <v>1.3587999999999999E-2</v>
      </c>
      <c r="K38" s="14">
        <v>3748</v>
      </c>
      <c r="L38" s="14">
        <f t="shared" si="3"/>
        <v>3.748E-3</v>
      </c>
      <c r="M38" s="14">
        <f t="shared" si="6"/>
        <v>1.7336000000000001E-2</v>
      </c>
      <c r="N38" s="14">
        <v>9.4175999999999982E-3</v>
      </c>
      <c r="O38" s="6">
        <f t="shared" si="5"/>
        <v>0.39651999999999998</v>
      </c>
    </row>
    <row r="39" spans="1:15" x14ac:dyDescent="0.7">
      <c r="A39" s="5"/>
      <c r="B39" s="5"/>
      <c r="C39" s="5">
        <v>6</v>
      </c>
      <c r="D39" s="18">
        <v>5.8230000000000004</v>
      </c>
      <c r="E39" s="6">
        <v>2.4</v>
      </c>
      <c r="F39" s="24">
        <v>6.9390000000000001</v>
      </c>
      <c r="G39" s="14">
        <f t="shared" si="0"/>
        <v>599529.6</v>
      </c>
      <c r="H39" s="14">
        <f t="shared" si="1"/>
        <v>0.5995296</v>
      </c>
      <c r="I39" s="14">
        <v>12530</v>
      </c>
      <c r="J39" s="37">
        <f t="shared" si="2"/>
        <v>1.2529999999999999E-2</v>
      </c>
      <c r="K39" s="14">
        <v>3307</v>
      </c>
      <c r="L39" s="14">
        <f t="shared" si="3"/>
        <v>3.307E-3</v>
      </c>
      <c r="M39" s="14">
        <f t="shared" si="6"/>
        <v>1.5837E-2</v>
      </c>
      <c r="N39" s="14">
        <v>9.4175999999999982E-3</v>
      </c>
      <c r="O39" s="6">
        <f t="shared" si="5"/>
        <v>0.57427499999999998</v>
      </c>
    </row>
    <row r="40" spans="1:15" x14ac:dyDescent="0.7">
      <c r="A40" s="5"/>
      <c r="B40" s="5"/>
      <c r="C40" s="5">
        <v>7</v>
      </c>
      <c r="D40" s="6">
        <v>8.0559999999999992</v>
      </c>
      <c r="E40" s="6">
        <v>0</v>
      </c>
      <c r="F40" s="24">
        <v>7.0720000000000001</v>
      </c>
      <c r="G40" s="14">
        <f t="shared" si="0"/>
        <v>611020.80000000005</v>
      </c>
      <c r="H40" s="14">
        <f t="shared" si="1"/>
        <v>0.61102080000000003</v>
      </c>
      <c r="I40" s="14">
        <v>13604</v>
      </c>
      <c r="J40" s="37">
        <f t="shared" si="2"/>
        <v>1.3604E-2</v>
      </c>
      <c r="K40" s="14">
        <v>1913</v>
      </c>
      <c r="L40" s="14">
        <f t="shared" si="3"/>
        <v>1.913E-3</v>
      </c>
      <c r="M40" s="14">
        <f t="shared" si="6"/>
        <v>1.5517E-2</v>
      </c>
      <c r="N40" s="14">
        <v>9.4175999999999982E-3</v>
      </c>
      <c r="O40" s="6">
        <f t="shared" si="5"/>
        <v>0.5860862</v>
      </c>
    </row>
    <row r="41" spans="1:15" x14ac:dyDescent="0.7">
      <c r="A41" s="5"/>
      <c r="B41" s="5"/>
      <c r="C41" s="5">
        <v>8</v>
      </c>
      <c r="D41" s="6">
        <v>6.0880000000000001</v>
      </c>
      <c r="E41" s="6">
        <v>0</v>
      </c>
      <c r="F41" s="24">
        <v>5.798</v>
      </c>
      <c r="G41" s="14">
        <f t="shared" si="0"/>
        <v>500947.20000000001</v>
      </c>
      <c r="H41" s="14">
        <f t="shared" si="1"/>
        <v>0.50094720000000004</v>
      </c>
      <c r="I41" s="14">
        <v>15210</v>
      </c>
      <c r="J41" s="37">
        <f t="shared" si="2"/>
        <v>1.521E-2</v>
      </c>
      <c r="K41" s="14">
        <v>0</v>
      </c>
      <c r="L41" s="14">
        <f t="shared" si="3"/>
        <v>0</v>
      </c>
      <c r="M41" s="14">
        <f t="shared" si="6"/>
        <v>1.521E-2</v>
      </c>
      <c r="N41" s="14">
        <v>9.4175999999999982E-3</v>
      </c>
      <c r="O41" s="6">
        <f t="shared" si="5"/>
        <v>0.47631960000000007</v>
      </c>
    </row>
    <row r="42" spans="1:15" x14ac:dyDescent="0.7">
      <c r="A42" s="5"/>
      <c r="B42" s="5"/>
      <c r="C42" s="5">
        <v>9</v>
      </c>
      <c r="D42" s="6">
        <v>5.5090000000000003</v>
      </c>
      <c r="E42" s="6">
        <v>0</v>
      </c>
      <c r="F42" s="24">
        <v>5.2779999999999996</v>
      </c>
      <c r="G42" s="14">
        <f t="shared" si="0"/>
        <v>456019.19999999995</v>
      </c>
      <c r="H42" s="14">
        <f t="shared" si="1"/>
        <v>0.45601919999999996</v>
      </c>
      <c r="I42" s="14">
        <v>16499</v>
      </c>
      <c r="J42" s="37">
        <f t="shared" si="2"/>
        <v>1.6499E-2</v>
      </c>
      <c r="K42" s="14">
        <v>0</v>
      </c>
      <c r="L42" s="14">
        <f t="shared" si="3"/>
        <v>0</v>
      </c>
      <c r="M42" s="14">
        <f t="shared" si="6"/>
        <v>1.6499E-2</v>
      </c>
      <c r="N42" s="14">
        <v>9.4175999999999982E-3</v>
      </c>
      <c r="O42" s="6">
        <f t="shared" si="5"/>
        <v>0.4301026</v>
      </c>
    </row>
    <row r="43" spans="1:15" x14ac:dyDescent="0.7">
      <c r="A43" s="5"/>
      <c r="B43" s="5"/>
      <c r="C43" s="5">
        <v>10</v>
      </c>
      <c r="D43" s="6">
        <v>4.734</v>
      </c>
      <c r="E43" s="6">
        <v>0</v>
      </c>
      <c r="F43" s="24">
        <v>4.3860000000000001</v>
      </c>
      <c r="G43" s="14">
        <f t="shared" si="0"/>
        <v>378950.40000000002</v>
      </c>
      <c r="H43" s="14">
        <f t="shared" si="1"/>
        <v>0.37895040000000002</v>
      </c>
      <c r="I43" s="14">
        <v>13855</v>
      </c>
      <c r="J43" s="37">
        <f t="shared" si="2"/>
        <v>1.3854999999999999E-2</v>
      </c>
      <c r="K43" s="14">
        <v>0</v>
      </c>
      <c r="L43" s="14">
        <f t="shared" si="3"/>
        <v>0</v>
      </c>
      <c r="M43" s="14">
        <f t="shared" si="6"/>
        <v>1.3854999999999999E-2</v>
      </c>
      <c r="N43" s="14">
        <v>4.1299199999999994E-2</v>
      </c>
      <c r="O43" s="6">
        <f t="shared" si="5"/>
        <v>0.32379620000000003</v>
      </c>
    </row>
    <row r="44" spans="1:15" x14ac:dyDescent="0.7">
      <c r="A44" s="5"/>
      <c r="B44" s="5"/>
      <c r="C44" s="5">
        <v>11</v>
      </c>
      <c r="D44" s="6">
        <v>4.0389999999999997</v>
      </c>
      <c r="E44" s="6">
        <v>0</v>
      </c>
      <c r="F44" s="24">
        <v>3.9489999999999998</v>
      </c>
      <c r="G44" s="14">
        <f t="shared" si="0"/>
        <v>341193.6</v>
      </c>
      <c r="H44" s="14">
        <f t="shared" si="1"/>
        <v>0.34119359999999999</v>
      </c>
      <c r="I44" s="14">
        <v>15854</v>
      </c>
      <c r="J44" s="37">
        <f t="shared" si="2"/>
        <v>1.5854E-2</v>
      </c>
      <c r="K44" s="14">
        <v>0</v>
      </c>
      <c r="L44" s="14">
        <f t="shared" si="3"/>
        <v>0</v>
      </c>
      <c r="M44" s="14">
        <f t="shared" si="6"/>
        <v>1.5854E-2</v>
      </c>
      <c r="N44" s="14">
        <v>4.1299199999999994E-2</v>
      </c>
      <c r="O44" s="6">
        <f t="shared" si="5"/>
        <v>0.28404040000000003</v>
      </c>
    </row>
    <row r="45" spans="1:15" x14ac:dyDescent="0.7">
      <c r="A45" s="5"/>
      <c r="B45" s="5"/>
      <c r="C45" s="5">
        <v>12</v>
      </c>
      <c r="D45" s="6">
        <v>3.859</v>
      </c>
      <c r="E45" s="6">
        <v>0</v>
      </c>
      <c r="F45" s="24">
        <v>3.7639999999999998</v>
      </c>
      <c r="G45" s="14">
        <f t="shared" si="0"/>
        <v>325209.59999999998</v>
      </c>
      <c r="H45" s="14">
        <f t="shared" si="1"/>
        <v>0.32520959999999999</v>
      </c>
      <c r="I45" s="14">
        <v>15724</v>
      </c>
      <c r="J45" s="37">
        <f t="shared" si="2"/>
        <v>1.5723999999999998E-2</v>
      </c>
      <c r="K45" s="14">
        <v>0</v>
      </c>
      <c r="L45" s="14">
        <f t="shared" si="3"/>
        <v>0</v>
      </c>
      <c r="M45" s="14">
        <f t="shared" si="6"/>
        <v>1.5723999999999998E-2</v>
      </c>
      <c r="N45" s="14">
        <v>4.1299199999999994E-2</v>
      </c>
      <c r="O45" s="6">
        <f t="shared" si="5"/>
        <v>0.26818639999999999</v>
      </c>
    </row>
    <row r="46" spans="1:15" x14ac:dyDescent="0.7">
      <c r="A46" s="5"/>
      <c r="B46" s="5"/>
      <c r="C46" s="5">
        <v>13</v>
      </c>
      <c r="D46" s="18">
        <v>3.669</v>
      </c>
      <c r="E46" s="6">
        <v>0</v>
      </c>
      <c r="F46" s="24">
        <v>3.669</v>
      </c>
      <c r="G46" s="14">
        <f t="shared" si="0"/>
        <v>317001.59999999998</v>
      </c>
      <c r="H46" s="14">
        <f t="shared" si="1"/>
        <v>0.31700159999999999</v>
      </c>
      <c r="I46" s="14">
        <v>16141</v>
      </c>
      <c r="J46" s="37">
        <f t="shared" si="2"/>
        <v>1.6140999999999999E-2</v>
      </c>
      <c r="K46" s="14">
        <v>0</v>
      </c>
      <c r="L46" s="14">
        <f t="shared" si="3"/>
        <v>0</v>
      </c>
      <c r="M46" s="14">
        <f t="shared" si="6"/>
        <v>1.6140999999999999E-2</v>
      </c>
      <c r="N46" s="14">
        <v>4.1299199999999994E-2</v>
      </c>
      <c r="O46" s="6">
        <f t="shared" si="5"/>
        <v>0.2595614</v>
      </c>
    </row>
    <row r="47" spans="1:15" x14ac:dyDescent="0.7">
      <c r="A47" s="5"/>
      <c r="B47" s="5"/>
      <c r="C47" s="5">
        <v>14</v>
      </c>
      <c r="D47" s="6">
        <v>3.669</v>
      </c>
      <c r="E47" s="6">
        <v>0</v>
      </c>
      <c r="F47" s="24">
        <v>3.593</v>
      </c>
      <c r="G47" s="14">
        <f t="shared" si="0"/>
        <v>310435.20000000001</v>
      </c>
      <c r="H47" s="14">
        <f t="shared" si="1"/>
        <v>0.31043520000000002</v>
      </c>
      <c r="I47" s="14">
        <v>15053</v>
      </c>
      <c r="J47" s="37">
        <f t="shared" si="2"/>
        <v>1.5053E-2</v>
      </c>
      <c r="K47" s="14">
        <v>0</v>
      </c>
      <c r="L47" s="14">
        <f t="shared" si="3"/>
        <v>0</v>
      </c>
      <c r="M47" s="14">
        <f t="shared" si="6"/>
        <v>1.5053E-2</v>
      </c>
      <c r="N47" s="14">
        <v>1.4428799999999999E-2</v>
      </c>
      <c r="O47" s="6">
        <f t="shared" si="5"/>
        <v>0.28095340000000002</v>
      </c>
    </row>
    <row r="48" spans="1:15" x14ac:dyDescent="0.7">
      <c r="A48" s="5"/>
      <c r="B48" s="5"/>
      <c r="C48" s="5">
        <v>15</v>
      </c>
      <c r="D48" s="6">
        <v>3.5169999999999999</v>
      </c>
      <c r="E48" s="6">
        <v>0</v>
      </c>
      <c r="F48" s="24">
        <v>3.496</v>
      </c>
      <c r="G48" s="14">
        <f t="shared" si="0"/>
        <v>302054.40000000002</v>
      </c>
      <c r="H48" s="14">
        <f t="shared" si="1"/>
        <v>0.3020544</v>
      </c>
      <c r="I48" s="14">
        <v>11512</v>
      </c>
      <c r="J48" s="37">
        <f t="shared" si="2"/>
        <v>1.1512E-2</v>
      </c>
      <c r="K48" s="14">
        <v>3132</v>
      </c>
      <c r="L48" s="14">
        <f t="shared" si="3"/>
        <v>3.1319999999999998E-3</v>
      </c>
      <c r="M48" s="14">
        <f t="shared" si="6"/>
        <v>1.4643999999999999E-2</v>
      </c>
      <c r="N48" s="14">
        <v>1.4428799999999999E-2</v>
      </c>
      <c r="O48" s="6">
        <f t="shared" si="5"/>
        <v>0.27298159999999999</v>
      </c>
    </row>
    <row r="49" spans="1:15" x14ac:dyDescent="0.7">
      <c r="A49" s="5"/>
      <c r="B49" s="5"/>
      <c r="C49" s="5">
        <v>16</v>
      </c>
      <c r="D49" s="6">
        <v>3.4750000000000001</v>
      </c>
      <c r="E49" s="6">
        <v>0</v>
      </c>
      <c r="F49" s="24">
        <v>3.4750000000000001</v>
      </c>
      <c r="G49" s="14">
        <f t="shared" si="0"/>
        <v>300240</v>
      </c>
      <c r="H49" s="14">
        <f t="shared" si="1"/>
        <v>0.30024000000000001</v>
      </c>
      <c r="I49" s="14">
        <v>17916</v>
      </c>
      <c r="J49" s="37">
        <f t="shared" si="2"/>
        <v>1.7916000000000001E-2</v>
      </c>
      <c r="K49" s="14">
        <v>5439</v>
      </c>
      <c r="L49" s="14">
        <f t="shared" si="3"/>
        <v>5.4390000000000003E-3</v>
      </c>
      <c r="M49" s="14">
        <f t="shared" si="6"/>
        <v>2.3355000000000001E-2</v>
      </c>
      <c r="N49" s="14">
        <v>1.4428799999999999E-2</v>
      </c>
      <c r="O49" s="6">
        <f t="shared" si="5"/>
        <v>0.26245619999999997</v>
      </c>
    </row>
    <row r="50" spans="1:15" x14ac:dyDescent="0.7">
      <c r="A50" s="5"/>
      <c r="B50" s="5"/>
      <c r="C50" s="5">
        <v>17</v>
      </c>
      <c r="D50" s="6">
        <v>3.4750000000000001</v>
      </c>
      <c r="E50" s="6">
        <v>0</v>
      </c>
      <c r="F50" s="24">
        <v>3.4750000000000001</v>
      </c>
      <c r="G50" s="14">
        <f t="shared" si="0"/>
        <v>300240</v>
      </c>
      <c r="H50" s="14">
        <f t="shared" si="1"/>
        <v>0.30024000000000001</v>
      </c>
      <c r="I50" s="14">
        <v>14972</v>
      </c>
      <c r="J50" s="37">
        <f t="shared" si="2"/>
        <v>1.4971999999999999E-2</v>
      </c>
      <c r="K50" s="14">
        <v>5274</v>
      </c>
      <c r="L50" s="14">
        <f t="shared" si="3"/>
        <v>5.274E-3</v>
      </c>
      <c r="M50" s="14">
        <f t="shared" si="6"/>
        <v>2.0246E-2</v>
      </c>
      <c r="N50" s="14">
        <v>1.8748799999999996E-2</v>
      </c>
      <c r="O50" s="6">
        <f t="shared" si="5"/>
        <v>0.26124520000000001</v>
      </c>
    </row>
    <row r="51" spans="1:15" x14ac:dyDescent="0.7">
      <c r="A51" s="5"/>
      <c r="B51" s="5"/>
      <c r="C51" s="5">
        <v>18</v>
      </c>
      <c r="D51" s="6">
        <v>3.4750000000000001</v>
      </c>
      <c r="E51" s="6">
        <v>0.2</v>
      </c>
      <c r="F51" s="24">
        <v>3.8380000000000001</v>
      </c>
      <c r="G51" s="14">
        <f>F51*86400</f>
        <v>331603.20000000001</v>
      </c>
      <c r="H51" s="14">
        <f t="shared" si="1"/>
        <v>0.33160319999999999</v>
      </c>
      <c r="I51" s="14">
        <v>14810</v>
      </c>
      <c r="J51" s="37">
        <f t="shared" si="2"/>
        <v>1.481E-2</v>
      </c>
      <c r="K51" s="14">
        <v>4996</v>
      </c>
      <c r="L51" s="14">
        <f t="shared" si="3"/>
        <v>4.9959999999999996E-3</v>
      </c>
      <c r="M51" s="14">
        <f t="shared" si="6"/>
        <v>1.9806000000000001E-2</v>
      </c>
      <c r="N51" s="14">
        <v>1.8748799999999996E-2</v>
      </c>
      <c r="O51" s="6">
        <f t="shared" si="5"/>
        <v>0.29304839999999999</v>
      </c>
    </row>
    <row r="52" spans="1:15" x14ac:dyDescent="0.7">
      <c r="A52" s="5"/>
      <c r="B52" s="5"/>
      <c r="C52" s="5">
        <v>19</v>
      </c>
      <c r="D52" s="6">
        <v>4.202</v>
      </c>
      <c r="E52" s="6">
        <v>2.1</v>
      </c>
      <c r="F52" s="24">
        <v>5.609</v>
      </c>
      <c r="G52" s="14">
        <f t="shared" si="0"/>
        <v>484617.6</v>
      </c>
      <c r="H52" s="14">
        <f t="shared" si="1"/>
        <v>0.48461759999999998</v>
      </c>
      <c r="I52" s="14">
        <v>12937</v>
      </c>
      <c r="J52" s="37">
        <f t="shared" si="2"/>
        <v>1.2937000000000001E-2</v>
      </c>
      <c r="K52" s="14">
        <v>5942</v>
      </c>
      <c r="L52" s="14">
        <f t="shared" si="3"/>
        <v>5.9420000000000002E-3</v>
      </c>
      <c r="M52" s="14">
        <f t="shared" si="6"/>
        <v>1.8879E-2</v>
      </c>
      <c r="N52" s="14">
        <v>1.8748799999999996E-2</v>
      </c>
      <c r="O52" s="6">
        <f t="shared" si="5"/>
        <v>0.44698979999999999</v>
      </c>
    </row>
    <row r="53" spans="1:15" x14ac:dyDescent="0.7">
      <c r="A53" s="5"/>
      <c r="B53" s="5"/>
      <c r="C53" s="5">
        <v>20</v>
      </c>
      <c r="D53" s="6">
        <v>7.016</v>
      </c>
      <c r="E53" s="6">
        <v>2.9</v>
      </c>
      <c r="F53" s="24">
        <v>6.2839999999999998</v>
      </c>
      <c r="G53" s="14">
        <f t="shared" si="0"/>
        <v>542937.59999999998</v>
      </c>
      <c r="H53" s="14">
        <f t="shared" si="1"/>
        <v>0.54293760000000002</v>
      </c>
      <c r="I53" s="14">
        <v>11854</v>
      </c>
      <c r="J53" s="37">
        <f t="shared" si="2"/>
        <v>1.1854E-2</v>
      </c>
      <c r="K53" s="14">
        <v>5014</v>
      </c>
      <c r="L53" s="14">
        <f t="shared" si="3"/>
        <v>5.0140000000000002E-3</v>
      </c>
      <c r="M53" s="14">
        <f t="shared" si="6"/>
        <v>1.6868000000000001E-2</v>
      </c>
      <c r="N53" s="14">
        <v>9.4175999999999982E-3</v>
      </c>
      <c r="O53" s="6">
        <f t="shared" si="5"/>
        <v>0.516652</v>
      </c>
    </row>
    <row r="54" spans="1:15" x14ac:dyDescent="0.7">
      <c r="A54" s="5"/>
      <c r="B54" s="5"/>
      <c r="C54" s="5">
        <v>21</v>
      </c>
      <c r="D54" s="6">
        <v>5.5519999999999996</v>
      </c>
      <c r="E54" s="6">
        <v>0</v>
      </c>
      <c r="F54" s="24">
        <v>5.2489999999999997</v>
      </c>
      <c r="G54" s="14">
        <f t="shared" si="0"/>
        <v>453513.6</v>
      </c>
      <c r="H54" s="14">
        <f t="shared" si="1"/>
        <v>0.45351359999999996</v>
      </c>
      <c r="I54" s="14">
        <v>13006</v>
      </c>
      <c r="J54" s="37">
        <f t="shared" si="2"/>
        <v>1.3006E-2</v>
      </c>
      <c r="K54" s="14">
        <v>5974</v>
      </c>
      <c r="L54" s="14">
        <f t="shared" si="3"/>
        <v>5.9740000000000001E-3</v>
      </c>
      <c r="M54" s="14">
        <f t="shared" si="6"/>
        <v>1.898E-2</v>
      </c>
      <c r="N54" s="14">
        <v>9.4175999999999982E-3</v>
      </c>
      <c r="O54" s="6">
        <f t="shared" si="5"/>
        <v>0.42511599999999994</v>
      </c>
    </row>
    <row r="55" spans="1:15" x14ac:dyDescent="0.7">
      <c r="A55" s="5"/>
      <c r="B55" s="5"/>
      <c r="C55" s="5">
        <v>22</v>
      </c>
      <c r="D55" s="18">
        <v>4.9470000000000001</v>
      </c>
      <c r="E55" s="6">
        <v>0</v>
      </c>
      <c r="F55" s="24">
        <v>4.7430000000000003</v>
      </c>
      <c r="G55" s="14">
        <f t="shared" si="0"/>
        <v>409795.2</v>
      </c>
      <c r="H55" s="14">
        <f t="shared" si="1"/>
        <v>0.40979520000000003</v>
      </c>
      <c r="I55" s="14">
        <v>13247</v>
      </c>
      <c r="J55" s="37">
        <f t="shared" si="2"/>
        <v>1.3247E-2</v>
      </c>
      <c r="K55" s="14">
        <v>2990</v>
      </c>
      <c r="L55" s="14">
        <f t="shared" si="3"/>
        <v>2.99E-3</v>
      </c>
      <c r="M55" s="14">
        <f t="shared" si="6"/>
        <v>1.6237000000000001E-2</v>
      </c>
      <c r="N55" s="14">
        <v>9.4175999999999999E-3</v>
      </c>
      <c r="O55" s="6">
        <f t="shared" si="5"/>
        <v>0.3841406</v>
      </c>
    </row>
    <row r="56" spans="1:15" x14ac:dyDescent="0.7">
      <c r="A56" s="5"/>
      <c r="B56" s="5"/>
      <c r="C56" s="5">
        <v>23</v>
      </c>
      <c r="D56" s="18">
        <v>4.54</v>
      </c>
      <c r="E56" s="6">
        <v>0</v>
      </c>
      <c r="F56" s="24">
        <v>4.3520000000000003</v>
      </c>
      <c r="G56" s="14">
        <f t="shared" si="0"/>
        <v>376012.80000000005</v>
      </c>
      <c r="H56" s="14">
        <f t="shared" si="1"/>
        <v>0.37601280000000004</v>
      </c>
      <c r="I56" s="14">
        <v>17641</v>
      </c>
      <c r="J56" s="37">
        <f t="shared" si="2"/>
        <v>1.7641E-2</v>
      </c>
      <c r="K56" s="14">
        <v>2940</v>
      </c>
      <c r="L56" s="14">
        <f t="shared" si="3"/>
        <v>2.9399999999999999E-3</v>
      </c>
      <c r="M56" s="14">
        <f t="shared" si="6"/>
        <v>2.0581000000000002E-2</v>
      </c>
      <c r="N56" s="14">
        <v>9.4175999999999982E-3</v>
      </c>
      <c r="O56" s="6">
        <f t="shared" si="5"/>
        <v>0.34601420000000005</v>
      </c>
    </row>
    <row r="57" spans="1:15" x14ac:dyDescent="0.7">
      <c r="A57" s="5"/>
      <c r="B57" s="5"/>
      <c r="C57" s="5">
        <v>24</v>
      </c>
      <c r="D57" s="6">
        <v>4.1639999999999997</v>
      </c>
      <c r="E57" s="6">
        <v>0</v>
      </c>
      <c r="F57" s="24">
        <v>4.0670000000000002</v>
      </c>
      <c r="G57" s="14">
        <f t="shared" si="0"/>
        <v>351388.8</v>
      </c>
      <c r="H57" s="14">
        <f t="shared" si="1"/>
        <v>0.3513888</v>
      </c>
      <c r="I57" s="14">
        <v>14570</v>
      </c>
      <c r="J57" s="37">
        <f t="shared" si="2"/>
        <v>1.457E-2</v>
      </c>
      <c r="K57" s="14">
        <v>2902</v>
      </c>
      <c r="L57" s="14">
        <f t="shared" si="3"/>
        <v>2.9020000000000001E-3</v>
      </c>
      <c r="M57" s="14">
        <f t="shared" si="6"/>
        <v>1.7472000000000001E-2</v>
      </c>
      <c r="N57" s="14">
        <v>9.4175999999999982E-3</v>
      </c>
      <c r="O57" s="6">
        <f t="shared" si="5"/>
        <v>0.32449919999999999</v>
      </c>
    </row>
    <row r="58" spans="1:15" x14ac:dyDescent="0.7">
      <c r="A58" s="5"/>
      <c r="B58" s="5"/>
      <c r="C58" s="5">
        <v>25</v>
      </c>
      <c r="D58" s="6">
        <v>3.9689999999999999</v>
      </c>
      <c r="E58" s="6">
        <v>0</v>
      </c>
      <c r="F58" s="24">
        <v>3.7370000000000001</v>
      </c>
      <c r="G58" s="14">
        <f t="shared" si="0"/>
        <v>322876.79999999999</v>
      </c>
      <c r="H58" s="14">
        <f t="shared" si="1"/>
        <v>0.32287679999999996</v>
      </c>
      <c r="I58" s="14">
        <v>12261</v>
      </c>
      <c r="J58" s="37">
        <f t="shared" si="2"/>
        <v>1.2260999999999999E-2</v>
      </c>
      <c r="K58" s="14">
        <v>4782</v>
      </c>
      <c r="L58" s="14">
        <f t="shared" si="3"/>
        <v>4.7819999999999998E-3</v>
      </c>
      <c r="M58" s="14">
        <f t="shared" si="6"/>
        <v>1.7042999999999999E-2</v>
      </c>
      <c r="N58" s="14">
        <v>9.4175999999999982E-3</v>
      </c>
      <c r="O58" s="6">
        <f t="shared" si="5"/>
        <v>0.29641620000000002</v>
      </c>
    </row>
    <row r="59" spans="1:15" x14ac:dyDescent="0.7">
      <c r="A59" s="5"/>
      <c r="B59" s="5"/>
      <c r="C59" s="5">
        <v>26</v>
      </c>
      <c r="D59" s="18">
        <v>3.5059999999999998</v>
      </c>
      <c r="E59" s="6">
        <v>0</v>
      </c>
      <c r="F59" s="24">
        <v>3.476</v>
      </c>
      <c r="G59" s="14">
        <f t="shared" si="0"/>
        <v>300326.40000000002</v>
      </c>
      <c r="H59" s="14">
        <f t="shared" si="1"/>
        <v>0.30032640000000005</v>
      </c>
      <c r="I59" s="14">
        <v>15936</v>
      </c>
      <c r="J59" s="37">
        <f t="shared" si="2"/>
        <v>1.5935999999999999E-2</v>
      </c>
      <c r="K59" s="14">
        <v>5091</v>
      </c>
      <c r="L59" s="14">
        <f t="shared" si="3"/>
        <v>5.091E-3</v>
      </c>
      <c r="M59" s="14">
        <f t="shared" si="6"/>
        <v>2.1026999999999997E-2</v>
      </c>
      <c r="N59" s="14">
        <v>9.4175999999999982E-3</v>
      </c>
      <c r="O59" s="6">
        <f t="shared" si="5"/>
        <v>0.26988180000000006</v>
      </c>
    </row>
    <row r="60" spans="1:15" x14ac:dyDescent="0.7">
      <c r="A60" s="5"/>
      <c r="B60" s="5"/>
      <c r="C60" s="5">
        <v>27</v>
      </c>
      <c r="D60" s="18">
        <v>3.4449999999999998</v>
      </c>
      <c r="E60" s="6">
        <v>0</v>
      </c>
      <c r="F60" s="24">
        <v>3.4020000000000001</v>
      </c>
      <c r="G60" s="14">
        <f t="shared" si="0"/>
        <v>293932.79999999999</v>
      </c>
      <c r="H60" s="14">
        <f t="shared" si="1"/>
        <v>0.29393279999999999</v>
      </c>
      <c r="I60" s="14">
        <v>13438</v>
      </c>
      <c r="J60" s="37">
        <f t="shared" si="2"/>
        <v>1.3438E-2</v>
      </c>
      <c r="K60" s="14">
        <v>1613</v>
      </c>
      <c r="L60" s="14">
        <f t="shared" si="3"/>
        <v>1.6130000000000001E-3</v>
      </c>
      <c r="M60" s="14">
        <f t="shared" si="6"/>
        <v>1.5051E-2</v>
      </c>
      <c r="N60" s="14">
        <v>9.4175999999999982E-3</v>
      </c>
      <c r="O60" s="6">
        <f t="shared" si="5"/>
        <v>0.26946420000000004</v>
      </c>
    </row>
    <row r="61" spans="1:15" s="12" customFormat="1" ht="25.2" thickBot="1" x14ac:dyDescent="0.75">
      <c r="A61" s="8"/>
      <c r="B61" s="8" t="s">
        <v>16</v>
      </c>
      <c r="C61" s="8">
        <v>28</v>
      </c>
      <c r="D61" s="9">
        <v>3.359</v>
      </c>
      <c r="E61" s="9">
        <v>0</v>
      </c>
      <c r="F61" s="29">
        <v>3.331</v>
      </c>
      <c r="G61" s="23">
        <f t="shared" si="0"/>
        <v>287798.40000000002</v>
      </c>
      <c r="H61" s="23">
        <f t="shared" si="1"/>
        <v>0.28779840000000001</v>
      </c>
      <c r="I61" s="23">
        <v>15357</v>
      </c>
      <c r="J61" s="38">
        <f t="shared" si="2"/>
        <v>1.5357000000000001E-2</v>
      </c>
      <c r="K61" s="23">
        <v>0</v>
      </c>
      <c r="L61" s="23">
        <f t="shared" si="3"/>
        <v>0</v>
      </c>
      <c r="M61" s="23">
        <f t="shared" si="6"/>
        <v>1.5357000000000001E-2</v>
      </c>
      <c r="N61" s="23">
        <v>1.3953599999999998E-2</v>
      </c>
      <c r="O61" s="9">
        <f t="shared" si="5"/>
        <v>0.25848779999999999</v>
      </c>
    </row>
    <row r="62" spans="1:15" x14ac:dyDescent="0.7">
      <c r="A62" s="2"/>
      <c r="B62" s="2" t="s">
        <v>17</v>
      </c>
      <c r="C62" s="2">
        <v>1</v>
      </c>
      <c r="D62" s="3">
        <v>3.302</v>
      </c>
      <c r="E62" s="3">
        <v>0</v>
      </c>
      <c r="F62" s="27">
        <v>3.28</v>
      </c>
      <c r="G62" s="20">
        <f t="shared" si="0"/>
        <v>283392</v>
      </c>
      <c r="H62" s="20">
        <f t="shared" si="1"/>
        <v>0.28339199999999998</v>
      </c>
      <c r="I62" s="20">
        <v>13681</v>
      </c>
      <c r="J62" s="39">
        <f t="shared" si="2"/>
        <v>1.3681E-2</v>
      </c>
      <c r="K62" s="20">
        <v>0</v>
      </c>
      <c r="L62" s="20">
        <f t="shared" si="3"/>
        <v>0</v>
      </c>
      <c r="M62" s="20">
        <f t="shared" si="6"/>
        <v>1.3681E-2</v>
      </c>
      <c r="N62" s="20">
        <v>9.4175999999999982E-3</v>
      </c>
      <c r="O62" s="3">
        <f t="shared" si="5"/>
        <v>0.26029340000000001</v>
      </c>
    </row>
    <row r="63" spans="1:15" x14ac:dyDescent="0.7">
      <c r="A63" s="5"/>
      <c r="B63" s="5"/>
      <c r="C63" s="5">
        <v>2</v>
      </c>
      <c r="D63" s="18">
        <v>3.258</v>
      </c>
      <c r="E63" s="6">
        <v>0</v>
      </c>
      <c r="F63" s="24">
        <v>3.202</v>
      </c>
      <c r="G63" s="14">
        <f t="shared" si="0"/>
        <v>276652.79999999999</v>
      </c>
      <c r="H63" s="14">
        <f t="shared" si="1"/>
        <v>0.27665279999999998</v>
      </c>
      <c r="I63" s="14">
        <v>16016</v>
      </c>
      <c r="J63" s="37">
        <f t="shared" si="2"/>
        <v>1.6015999999999999E-2</v>
      </c>
      <c r="K63" s="14">
        <v>0</v>
      </c>
      <c r="L63" s="14">
        <f t="shared" si="3"/>
        <v>0</v>
      </c>
      <c r="M63" s="14">
        <f t="shared" si="6"/>
        <v>1.6015999999999999E-2</v>
      </c>
      <c r="N63" s="14">
        <v>9.4175999999999982E-3</v>
      </c>
      <c r="O63" s="6">
        <f t="shared" si="5"/>
        <v>0.25121919999999998</v>
      </c>
    </row>
    <row r="64" spans="1:15" x14ac:dyDescent="0.7">
      <c r="A64" s="5"/>
      <c r="B64" s="5"/>
      <c r="C64" s="5">
        <v>3</v>
      </c>
      <c r="D64" s="18">
        <v>3.1459999999999999</v>
      </c>
      <c r="E64" s="6">
        <v>0</v>
      </c>
      <c r="F64" s="24">
        <v>3.1459999999999999</v>
      </c>
      <c r="G64" s="14">
        <f t="shared" si="0"/>
        <v>271814.39999999997</v>
      </c>
      <c r="H64" s="14">
        <f t="shared" si="1"/>
        <v>0.27181439999999996</v>
      </c>
      <c r="I64" s="14">
        <v>15927</v>
      </c>
      <c r="J64" s="37">
        <f t="shared" si="2"/>
        <v>1.5927E-2</v>
      </c>
      <c r="K64" s="14">
        <v>0</v>
      </c>
      <c r="L64" s="14">
        <f t="shared" si="3"/>
        <v>0</v>
      </c>
      <c r="M64" s="14">
        <f t="shared" si="6"/>
        <v>1.5927E-2</v>
      </c>
      <c r="N64" s="14">
        <v>9.4175999999999982E-3</v>
      </c>
      <c r="O64" s="6">
        <f t="shared" si="5"/>
        <v>0.24646979999999993</v>
      </c>
    </row>
    <row r="65" spans="1:15" x14ac:dyDescent="0.7">
      <c r="A65" s="5"/>
      <c r="B65" s="5"/>
      <c r="C65" s="5">
        <v>4</v>
      </c>
      <c r="D65" s="18">
        <v>3.1459999999999999</v>
      </c>
      <c r="E65" s="6">
        <v>0</v>
      </c>
      <c r="F65" s="24">
        <v>3.125</v>
      </c>
      <c r="G65" s="14">
        <f t="shared" si="0"/>
        <v>270000</v>
      </c>
      <c r="H65" s="14">
        <f t="shared" si="1"/>
        <v>0.27</v>
      </c>
      <c r="I65" s="14">
        <v>16527</v>
      </c>
      <c r="J65" s="37">
        <f t="shared" si="2"/>
        <v>1.6527E-2</v>
      </c>
      <c r="K65" s="14">
        <v>0</v>
      </c>
      <c r="L65" s="14">
        <f t="shared" si="3"/>
        <v>0</v>
      </c>
      <c r="M65" s="14">
        <f t="shared" si="6"/>
        <v>1.6527E-2</v>
      </c>
      <c r="N65" s="14">
        <v>1.5811200000000001E-2</v>
      </c>
      <c r="O65" s="6">
        <f t="shared" si="5"/>
        <v>0.23766180000000001</v>
      </c>
    </row>
    <row r="66" spans="1:15" x14ac:dyDescent="0.7">
      <c r="A66" s="5"/>
      <c r="B66" s="5"/>
      <c r="C66" s="5">
        <v>5</v>
      </c>
      <c r="D66" s="18">
        <v>3.1040000000000001</v>
      </c>
      <c r="E66" s="6">
        <v>0</v>
      </c>
      <c r="F66" s="24">
        <v>3.0619999999999998</v>
      </c>
      <c r="G66" s="14">
        <f t="shared" si="0"/>
        <v>264556.79999999999</v>
      </c>
      <c r="H66" s="14">
        <f t="shared" si="1"/>
        <v>0.26455679999999998</v>
      </c>
      <c r="I66" s="14">
        <v>13664</v>
      </c>
      <c r="J66" s="37">
        <f t="shared" si="2"/>
        <v>1.3664000000000001E-2</v>
      </c>
      <c r="K66" s="14">
        <v>0</v>
      </c>
      <c r="L66" s="14">
        <f t="shared" si="3"/>
        <v>0</v>
      </c>
      <c r="M66" s="14">
        <f t="shared" si="6"/>
        <v>1.3664000000000001E-2</v>
      </c>
      <c r="N66" s="14">
        <v>1.5811200000000001E-2</v>
      </c>
      <c r="O66" s="6">
        <f t="shared" si="5"/>
        <v>0.23508159999999997</v>
      </c>
    </row>
    <row r="67" spans="1:15" x14ac:dyDescent="0.7">
      <c r="A67" s="5"/>
      <c r="B67" s="5"/>
      <c r="C67" s="5">
        <v>6</v>
      </c>
      <c r="D67" s="18">
        <v>3.0190000000000001</v>
      </c>
      <c r="E67" s="6">
        <v>0</v>
      </c>
      <c r="F67" s="24">
        <v>2.95</v>
      </c>
      <c r="G67" s="14">
        <f t="shared" ref="G67:G130" si="7">F67*86400</f>
        <v>254880.00000000003</v>
      </c>
      <c r="H67" s="14">
        <f t="shared" ref="H67:H130" si="8">G67/1000000</f>
        <v>0.25488000000000005</v>
      </c>
      <c r="I67" s="14">
        <v>17271</v>
      </c>
      <c r="J67" s="37">
        <f t="shared" ref="J67:J130" si="9">I67/1000000</f>
        <v>1.7271000000000002E-2</v>
      </c>
      <c r="K67" s="14">
        <v>0</v>
      </c>
      <c r="L67" s="14">
        <f t="shared" ref="L67:L130" si="10">K67/1000000</f>
        <v>0</v>
      </c>
      <c r="M67" s="14">
        <f t="shared" ref="M67:M98" si="11">J67+L67</f>
        <v>1.7271000000000002E-2</v>
      </c>
      <c r="N67" s="14">
        <v>1.5811200000000001E-2</v>
      </c>
      <c r="O67" s="6">
        <f t="shared" si="5"/>
        <v>0.22179780000000004</v>
      </c>
    </row>
    <row r="68" spans="1:15" x14ac:dyDescent="0.7">
      <c r="A68" s="5"/>
      <c r="B68" s="5"/>
      <c r="C68" s="5">
        <v>7</v>
      </c>
      <c r="D68" s="18">
        <v>2.8809999999999998</v>
      </c>
      <c r="E68" s="6">
        <v>0</v>
      </c>
      <c r="F68" s="24">
        <v>3.0489999999999999</v>
      </c>
      <c r="G68" s="14">
        <f t="shared" si="7"/>
        <v>263433.59999999998</v>
      </c>
      <c r="H68" s="14">
        <f t="shared" si="8"/>
        <v>0.26343359999999999</v>
      </c>
      <c r="I68" s="14">
        <v>15192</v>
      </c>
      <c r="J68" s="37">
        <f t="shared" si="9"/>
        <v>1.5192000000000001E-2</v>
      </c>
      <c r="K68" s="14">
        <v>1073</v>
      </c>
      <c r="L68" s="14">
        <f t="shared" si="10"/>
        <v>1.073E-3</v>
      </c>
      <c r="M68" s="14">
        <f t="shared" si="11"/>
        <v>1.6265000000000002E-2</v>
      </c>
      <c r="N68" s="14">
        <v>3.7670400000000001E-3</v>
      </c>
      <c r="O68" s="6">
        <f t="shared" ref="O68:O131" si="12">H68-M68-N68</f>
        <v>0.24340155999999999</v>
      </c>
    </row>
    <row r="69" spans="1:15" x14ac:dyDescent="0.7">
      <c r="A69" s="5"/>
      <c r="B69" s="5"/>
      <c r="C69" s="5">
        <v>8</v>
      </c>
      <c r="D69" s="18">
        <v>3.218</v>
      </c>
      <c r="E69" s="6">
        <v>6.1</v>
      </c>
      <c r="F69" s="24">
        <v>3.3620000000000001</v>
      </c>
      <c r="G69" s="14">
        <f t="shared" si="7"/>
        <v>290476.79999999999</v>
      </c>
      <c r="H69" s="14">
        <f t="shared" si="8"/>
        <v>0.29047679999999998</v>
      </c>
      <c r="I69" s="14">
        <v>13018</v>
      </c>
      <c r="J69" s="37">
        <f t="shared" si="9"/>
        <v>1.3018E-2</v>
      </c>
      <c r="K69" s="14">
        <v>2429</v>
      </c>
      <c r="L69" s="14">
        <f t="shared" si="10"/>
        <v>2.4290000000000002E-3</v>
      </c>
      <c r="M69" s="14">
        <f t="shared" si="11"/>
        <v>1.5447000000000001E-2</v>
      </c>
      <c r="N69" s="14">
        <v>9.1238399999999994E-3</v>
      </c>
      <c r="O69" s="6">
        <f t="shared" si="12"/>
        <v>0.26590596</v>
      </c>
    </row>
    <row r="70" spans="1:15" x14ac:dyDescent="0.7">
      <c r="A70" s="5"/>
      <c r="B70" s="5"/>
      <c r="C70" s="5">
        <v>9</v>
      </c>
      <c r="D70" s="6">
        <v>3.5059999999999998</v>
      </c>
      <c r="E70" s="6">
        <v>0</v>
      </c>
      <c r="F70" s="24">
        <v>3.5059999999999998</v>
      </c>
      <c r="G70" s="14">
        <f t="shared" si="7"/>
        <v>302918.39999999997</v>
      </c>
      <c r="H70" s="14">
        <f t="shared" si="8"/>
        <v>0.30291839999999998</v>
      </c>
      <c r="I70" s="14">
        <v>18761</v>
      </c>
      <c r="J70" s="37">
        <f t="shared" si="9"/>
        <v>1.8761E-2</v>
      </c>
      <c r="K70" s="14">
        <v>5527</v>
      </c>
      <c r="L70" s="14">
        <f t="shared" si="10"/>
        <v>5.5269999999999998E-3</v>
      </c>
      <c r="M70" s="14">
        <f t="shared" si="11"/>
        <v>2.4288000000000001E-2</v>
      </c>
      <c r="N70" s="14">
        <v>9.1238399999999994E-3</v>
      </c>
      <c r="O70" s="6">
        <f t="shared" si="12"/>
        <v>0.26950656000000001</v>
      </c>
    </row>
    <row r="71" spans="1:15" x14ac:dyDescent="0.7">
      <c r="A71" s="5"/>
      <c r="B71" s="5"/>
      <c r="C71" s="5">
        <v>10</v>
      </c>
      <c r="D71" s="6">
        <v>3.5059999999999998</v>
      </c>
      <c r="E71" s="6">
        <v>0</v>
      </c>
      <c r="F71" s="24">
        <v>3.3620000000000001</v>
      </c>
      <c r="G71" s="14">
        <f t="shared" si="7"/>
        <v>290476.79999999999</v>
      </c>
      <c r="H71" s="14">
        <f t="shared" si="8"/>
        <v>0.29047679999999998</v>
      </c>
      <c r="I71" s="14">
        <v>20990</v>
      </c>
      <c r="J71" s="37">
        <f t="shared" si="9"/>
        <v>2.0990000000000002E-2</v>
      </c>
      <c r="K71" s="14">
        <v>5632</v>
      </c>
      <c r="L71" s="14">
        <f t="shared" si="10"/>
        <v>5.6319999999999999E-3</v>
      </c>
      <c r="M71" s="14">
        <f t="shared" si="11"/>
        <v>2.6622E-2</v>
      </c>
      <c r="N71" s="14">
        <v>9.1238399999999994E-3</v>
      </c>
      <c r="O71" s="6">
        <f t="shared" si="12"/>
        <v>0.25473096000000001</v>
      </c>
    </row>
    <row r="72" spans="1:15" x14ac:dyDescent="0.7">
      <c r="A72" s="5"/>
      <c r="B72" s="5"/>
      <c r="C72" s="5">
        <v>11</v>
      </c>
      <c r="D72" s="6">
        <v>3.218</v>
      </c>
      <c r="E72" s="6">
        <v>0</v>
      </c>
      <c r="F72" s="24">
        <v>3.14</v>
      </c>
      <c r="G72" s="14">
        <f t="shared" si="7"/>
        <v>271296</v>
      </c>
      <c r="H72" s="14">
        <f t="shared" si="8"/>
        <v>0.27129599999999998</v>
      </c>
      <c r="I72" s="14">
        <v>11952</v>
      </c>
      <c r="J72" s="37">
        <f t="shared" si="9"/>
        <v>1.1952000000000001E-2</v>
      </c>
      <c r="K72" s="14">
        <v>5136</v>
      </c>
      <c r="L72" s="14">
        <f t="shared" si="10"/>
        <v>5.1359999999999999E-3</v>
      </c>
      <c r="M72" s="14">
        <f t="shared" si="11"/>
        <v>1.7087999999999999E-2</v>
      </c>
      <c r="N72" s="14">
        <v>9.1238399999999994E-3</v>
      </c>
      <c r="O72" s="6">
        <f t="shared" si="12"/>
        <v>0.24508416</v>
      </c>
    </row>
    <row r="73" spans="1:15" x14ac:dyDescent="0.7">
      <c r="A73" s="5"/>
      <c r="B73" s="5"/>
      <c r="C73" s="5">
        <v>12</v>
      </c>
      <c r="D73" s="6">
        <v>3.0619999999999998</v>
      </c>
      <c r="E73" s="6">
        <v>0</v>
      </c>
      <c r="F73" s="24">
        <v>3.2850000000000001</v>
      </c>
      <c r="G73" s="14">
        <f t="shared" si="7"/>
        <v>283824</v>
      </c>
      <c r="H73" s="14">
        <f t="shared" si="8"/>
        <v>0.28382400000000002</v>
      </c>
      <c r="I73" s="16">
        <v>21010</v>
      </c>
      <c r="J73" s="37">
        <f t="shared" si="9"/>
        <v>2.1010000000000001E-2</v>
      </c>
      <c r="K73" s="14">
        <v>4645</v>
      </c>
      <c r="L73" s="14">
        <f t="shared" si="10"/>
        <v>4.6449999999999998E-3</v>
      </c>
      <c r="M73" s="14">
        <f t="shared" si="11"/>
        <v>2.5655000000000001E-2</v>
      </c>
      <c r="N73" s="14">
        <v>9.1238399999999994E-3</v>
      </c>
      <c r="O73" s="6">
        <f t="shared" si="12"/>
        <v>0.24904516000000004</v>
      </c>
    </row>
    <row r="74" spans="1:15" x14ac:dyDescent="0.7">
      <c r="A74" s="5"/>
      <c r="B74" s="5"/>
      <c r="C74" s="5">
        <v>13</v>
      </c>
      <c r="D74" s="18">
        <v>3.508</v>
      </c>
      <c r="E74" s="6">
        <v>0</v>
      </c>
      <c r="F74" s="24">
        <v>3.2850000000000001</v>
      </c>
      <c r="G74" s="14">
        <f t="shared" si="7"/>
        <v>283824</v>
      </c>
      <c r="H74" s="14">
        <f t="shared" si="8"/>
        <v>0.28382400000000002</v>
      </c>
      <c r="I74" s="14">
        <v>13170</v>
      </c>
      <c r="J74" s="37">
        <f t="shared" si="9"/>
        <v>1.3169999999999999E-2</v>
      </c>
      <c r="K74" s="14">
        <v>4627</v>
      </c>
      <c r="L74" s="14">
        <f t="shared" si="10"/>
        <v>4.627E-3</v>
      </c>
      <c r="M74" s="14">
        <f t="shared" si="11"/>
        <v>1.7797E-2</v>
      </c>
      <c r="N74" s="14">
        <v>3.7670400000000001E-3</v>
      </c>
      <c r="O74" s="6">
        <f t="shared" si="12"/>
        <v>0.26225996000000001</v>
      </c>
    </row>
    <row r="75" spans="1:15" x14ac:dyDescent="0.7">
      <c r="A75" s="5"/>
      <c r="B75" s="5"/>
      <c r="C75" s="5">
        <v>14</v>
      </c>
      <c r="D75" s="18">
        <v>3.0619999999999998</v>
      </c>
      <c r="E75" s="6">
        <v>0</v>
      </c>
      <c r="F75" s="24">
        <v>3.141</v>
      </c>
      <c r="G75" s="14">
        <f t="shared" si="7"/>
        <v>271382.40000000002</v>
      </c>
      <c r="H75" s="14">
        <f t="shared" si="8"/>
        <v>0.27138240000000002</v>
      </c>
      <c r="I75" s="14">
        <v>15577</v>
      </c>
      <c r="J75" s="37">
        <f t="shared" si="9"/>
        <v>1.5577000000000001E-2</v>
      </c>
      <c r="K75" s="14">
        <v>5707</v>
      </c>
      <c r="L75" s="14">
        <f t="shared" si="10"/>
        <v>5.7070000000000003E-3</v>
      </c>
      <c r="M75" s="14">
        <f t="shared" si="11"/>
        <v>2.1284000000000001E-2</v>
      </c>
      <c r="N75" s="14">
        <v>3.7670400000000001E-3</v>
      </c>
      <c r="O75" s="6">
        <f t="shared" si="12"/>
        <v>0.24633136</v>
      </c>
    </row>
    <row r="76" spans="1:15" x14ac:dyDescent="0.7">
      <c r="A76" s="5"/>
      <c r="B76" s="5"/>
      <c r="C76" s="5">
        <v>15</v>
      </c>
      <c r="D76" s="6">
        <v>3.2210000000000001</v>
      </c>
      <c r="E76" s="6">
        <v>0</v>
      </c>
      <c r="F76" s="24">
        <v>3.62</v>
      </c>
      <c r="G76" s="14">
        <f t="shared" si="7"/>
        <v>312768</v>
      </c>
      <c r="H76" s="14">
        <f t="shared" si="8"/>
        <v>0.31276799999999999</v>
      </c>
      <c r="I76" s="14">
        <v>15208</v>
      </c>
      <c r="J76" s="37">
        <f t="shared" si="9"/>
        <v>1.5207999999999999E-2</v>
      </c>
      <c r="K76" s="14">
        <v>2904</v>
      </c>
      <c r="L76" s="14">
        <f t="shared" si="10"/>
        <v>2.9039999999999999E-3</v>
      </c>
      <c r="M76" s="14">
        <f t="shared" si="11"/>
        <v>1.8112E-2</v>
      </c>
      <c r="N76" s="14">
        <v>3.7670400000000001E-3</v>
      </c>
      <c r="O76" s="6">
        <f t="shared" si="12"/>
        <v>0.29088895999999997</v>
      </c>
    </row>
    <row r="77" spans="1:15" x14ac:dyDescent="0.7">
      <c r="A77" s="5"/>
      <c r="B77" s="5"/>
      <c r="C77" s="5">
        <v>16</v>
      </c>
      <c r="D77" s="6">
        <v>4.0190000000000001</v>
      </c>
      <c r="E77" s="6">
        <v>0</v>
      </c>
      <c r="F77" s="24">
        <v>3.8140000000000001</v>
      </c>
      <c r="G77" s="14">
        <f t="shared" si="7"/>
        <v>329529.59999999998</v>
      </c>
      <c r="H77" s="14">
        <f t="shared" si="8"/>
        <v>0.32952959999999998</v>
      </c>
      <c r="I77" s="14">
        <v>14697</v>
      </c>
      <c r="J77" s="37">
        <f t="shared" si="9"/>
        <v>1.4697E-2</v>
      </c>
      <c r="K77" s="14">
        <v>5673</v>
      </c>
      <c r="L77" s="14">
        <f t="shared" si="10"/>
        <v>5.6730000000000001E-3</v>
      </c>
      <c r="M77" s="14">
        <f t="shared" si="11"/>
        <v>2.0369999999999999E-2</v>
      </c>
      <c r="N77" s="14">
        <v>3.7670400000000001E-3</v>
      </c>
      <c r="O77" s="6">
        <f t="shared" si="12"/>
        <v>0.30539255999999998</v>
      </c>
    </row>
    <row r="78" spans="1:15" x14ac:dyDescent="0.7">
      <c r="A78" s="5"/>
      <c r="B78" s="5"/>
      <c r="C78" s="5">
        <v>17</v>
      </c>
      <c r="D78" s="18">
        <v>3.61</v>
      </c>
      <c r="E78" s="6">
        <v>0</v>
      </c>
      <c r="F78" s="24">
        <v>3.3359999999999999</v>
      </c>
      <c r="G78" s="14">
        <f t="shared" si="7"/>
        <v>288230.39999999997</v>
      </c>
      <c r="H78" s="14">
        <f t="shared" si="8"/>
        <v>0.28823039999999994</v>
      </c>
      <c r="I78" s="14">
        <v>13145</v>
      </c>
      <c r="J78" s="37">
        <f t="shared" si="9"/>
        <v>1.3145E-2</v>
      </c>
      <c r="K78" s="14">
        <v>5786</v>
      </c>
      <c r="L78" s="14">
        <f t="shared" si="10"/>
        <v>5.7860000000000003E-3</v>
      </c>
      <c r="M78" s="14">
        <f t="shared" si="11"/>
        <v>1.8931E-2</v>
      </c>
      <c r="N78" s="14">
        <v>3.7670400000000001E-3</v>
      </c>
      <c r="O78" s="6">
        <f t="shared" si="12"/>
        <v>0.26553235999999997</v>
      </c>
    </row>
    <row r="79" spans="1:15" x14ac:dyDescent="0.7">
      <c r="A79" s="5"/>
      <c r="B79" s="5"/>
      <c r="C79" s="5">
        <v>18</v>
      </c>
      <c r="D79" s="18">
        <v>3.0619999999999998</v>
      </c>
      <c r="E79" s="6">
        <v>0.9</v>
      </c>
      <c r="F79" s="24">
        <v>3.1160000000000001</v>
      </c>
      <c r="G79" s="14">
        <f t="shared" si="7"/>
        <v>269222.40000000002</v>
      </c>
      <c r="H79" s="14">
        <f t="shared" si="8"/>
        <v>0.26922240000000003</v>
      </c>
      <c r="I79" s="14">
        <v>15882</v>
      </c>
      <c r="J79" s="37">
        <f t="shared" si="9"/>
        <v>1.5882E-2</v>
      </c>
      <c r="K79" s="14">
        <v>5500</v>
      </c>
      <c r="L79" s="14">
        <f t="shared" si="10"/>
        <v>5.4999999999999997E-3</v>
      </c>
      <c r="M79" s="14">
        <f t="shared" si="11"/>
        <v>2.1381999999999998E-2</v>
      </c>
      <c r="N79" s="14">
        <v>3.7670400000000001E-3</v>
      </c>
      <c r="O79" s="6">
        <f t="shared" si="12"/>
        <v>0.24407336000000002</v>
      </c>
    </row>
    <row r="80" spans="1:15" x14ac:dyDescent="0.7">
      <c r="A80" s="5"/>
      <c r="B80" s="5"/>
      <c r="C80" s="5">
        <v>19</v>
      </c>
      <c r="D80" s="18">
        <v>3.17</v>
      </c>
      <c r="E80" s="6">
        <v>0</v>
      </c>
      <c r="F80" s="24">
        <v>3.2389999999999999</v>
      </c>
      <c r="G80" s="14">
        <f t="shared" si="7"/>
        <v>279849.59999999998</v>
      </c>
      <c r="H80" s="14">
        <f t="shared" si="8"/>
        <v>0.27984959999999998</v>
      </c>
      <c r="I80" s="14">
        <v>14652</v>
      </c>
      <c r="J80" s="37">
        <f t="shared" si="9"/>
        <v>1.4652E-2</v>
      </c>
      <c r="K80" s="14">
        <v>4613</v>
      </c>
      <c r="L80" s="14">
        <f t="shared" si="10"/>
        <v>4.6129999999999999E-3</v>
      </c>
      <c r="M80" s="14">
        <f t="shared" si="11"/>
        <v>1.9265000000000001E-2</v>
      </c>
      <c r="N80" s="14">
        <v>3.7670400000000001E-3</v>
      </c>
      <c r="O80" s="6">
        <f t="shared" si="12"/>
        <v>0.25681756</v>
      </c>
    </row>
    <row r="81" spans="1:15" x14ac:dyDescent="0.7">
      <c r="A81" s="5"/>
      <c r="B81" s="5"/>
      <c r="C81" s="5">
        <v>20</v>
      </c>
      <c r="D81" s="6">
        <v>3.3079999999999998</v>
      </c>
      <c r="E81" s="6">
        <v>0</v>
      </c>
      <c r="F81" s="24">
        <v>4.1849999999999996</v>
      </c>
      <c r="G81" s="14">
        <f t="shared" si="7"/>
        <v>361583.99999999994</v>
      </c>
      <c r="H81" s="14">
        <f t="shared" si="8"/>
        <v>0.36158399999999996</v>
      </c>
      <c r="I81" s="14">
        <v>14098</v>
      </c>
      <c r="J81" s="37">
        <f t="shared" si="9"/>
        <v>1.4097999999999999E-2</v>
      </c>
      <c r="K81" s="14">
        <v>0</v>
      </c>
      <c r="L81" s="14">
        <f t="shared" si="10"/>
        <v>0</v>
      </c>
      <c r="M81" s="14">
        <f t="shared" si="11"/>
        <v>1.4097999999999999E-2</v>
      </c>
      <c r="N81" s="14">
        <v>3.7670400000000001E-3</v>
      </c>
      <c r="O81" s="6">
        <f t="shared" si="12"/>
        <v>0.34371895999999996</v>
      </c>
    </row>
    <row r="82" spans="1:15" x14ac:dyDescent="0.7">
      <c r="A82" s="5"/>
      <c r="B82" s="5"/>
      <c r="C82" s="5">
        <v>21</v>
      </c>
      <c r="D82" s="18">
        <v>5.0620000000000003</v>
      </c>
      <c r="E82" s="6">
        <v>0</v>
      </c>
      <c r="F82" s="24">
        <v>4.4450000000000003</v>
      </c>
      <c r="G82" s="14">
        <f t="shared" si="7"/>
        <v>384048</v>
      </c>
      <c r="H82" s="14">
        <f t="shared" si="8"/>
        <v>0.384048</v>
      </c>
      <c r="I82" s="14">
        <v>13989</v>
      </c>
      <c r="J82" s="37">
        <f t="shared" si="9"/>
        <v>1.3989E-2</v>
      </c>
      <c r="K82" s="14">
        <v>0</v>
      </c>
      <c r="L82" s="14">
        <f t="shared" si="10"/>
        <v>0</v>
      </c>
      <c r="M82" s="14">
        <f t="shared" si="11"/>
        <v>1.3989E-2</v>
      </c>
      <c r="N82" s="14">
        <v>3.7670400000000001E-3</v>
      </c>
      <c r="O82" s="6">
        <f t="shared" si="12"/>
        <v>0.36629196000000003</v>
      </c>
    </row>
    <row r="83" spans="1:15" x14ac:dyDescent="0.7">
      <c r="A83" s="5"/>
      <c r="B83" s="5"/>
      <c r="C83" s="5">
        <v>22</v>
      </c>
      <c r="D83" s="18">
        <v>3.8260000000000001</v>
      </c>
      <c r="E83" s="6">
        <v>0</v>
      </c>
      <c r="F83" s="24">
        <v>3.8260000000000001</v>
      </c>
      <c r="G83" s="14">
        <f t="shared" si="7"/>
        <v>330566.40000000002</v>
      </c>
      <c r="H83" s="14">
        <f t="shared" si="8"/>
        <v>0.33056640000000004</v>
      </c>
      <c r="I83" s="14">
        <v>13285</v>
      </c>
      <c r="J83" s="37">
        <f t="shared" si="9"/>
        <v>1.3285E-2</v>
      </c>
      <c r="K83" s="14">
        <v>0</v>
      </c>
      <c r="L83" s="14">
        <f t="shared" si="10"/>
        <v>0</v>
      </c>
      <c r="M83" s="14">
        <f t="shared" si="11"/>
        <v>1.3285E-2</v>
      </c>
      <c r="N83" s="14">
        <v>0</v>
      </c>
      <c r="O83" s="6">
        <f t="shared" si="12"/>
        <v>0.31728140000000005</v>
      </c>
    </row>
    <row r="84" spans="1:15" x14ac:dyDescent="0.7">
      <c r="A84" s="5"/>
      <c r="B84" s="5"/>
      <c r="C84" s="5">
        <v>23</v>
      </c>
      <c r="D84" s="18">
        <v>3.8260000000000001</v>
      </c>
      <c r="E84" s="6">
        <v>3.2</v>
      </c>
      <c r="F84" s="24">
        <v>4.3070000000000004</v>
      </c>
      <c r="G84" s="14">
        <f t="shared" si="7"/>
        <v>372124.80000000005</v>
      </c>
      <c r="H84" s="14">
        <f t="shared" si="8"/>
        <v>0.37212480000000003</v>
      </c>
      <c r="I84" s="14">
        <v>14755</v>
      </c>
      <c r="J84" s="37">
        <f t="shared" si="9"/>
        <v>1.4755000000000001E-2</v>
      </c>
      <c r="K84" s="14">
        <v>0</v>
      </c>
      <c r="L84" s="14">
        <f t="shared" si="10"/>
        <v>0</v>
      </c>
      <c r="M84" s="14">
        <f t="shared" si="11"/>
        <v>1.4755000000000001E-2</v>
      </c>
      <c r="N84" s="14">
        <v>1.204416E-2</v>
      </c>
      <c r="O84" s="6">
        <f t="shared" si="12"/>
        <v>0.34532563999999999</v>
      </c>
    </row>
    <row r="85" spans="1:15" x14ac:dyDescent="0.7">
      <c r="A85" s="5"/>
      <c r="B85" s="5"/>
      <c r="C85" s="5">
        <v>24</v>
      </c>
      <c r="D85" s="18">
        <v>4.7889999999999997</v>
      </c>
      <c r="E85" s="6">
        <v>0</v>
      </c>
      <c r="F85" s="24">
        <v>4.4189999999999996</v>
      </c>
      <c r="G85" s="14">
        <f t="shared" si="7"/>
        <v>381801.6</v>
      </c>
      <c r="H85" s="14">
        <f t="shared" si="8"/>
        <v>0.38180159999999996</v>
      </c>
      <c r="I85" s="14">
        <v>15340</v>
      </c>
      <c r="J85" s="37">
        <f t="shared" si="9"/>
        <v>1.5339999999999999E-2</v>
      </c>
      <c r="K85" s="14">
        <v>0</v>
      </c>
      <c r="L85" s="14">
        <f t="shared" si="10"/>
        <v>0</v>
      </c>
      <c r="M85" s="14">
        <f t="shared" si="11"/>
        <v>1.5339999999999999E-2</v>
      </c>
      <c r="N85" s="14">
        <v>0</v>
      </c>
      <c r="O85" s="6">
        <f t="shared" si="12"/>
        <v>0.36646159999999994</v>
      </c>
    </row>
    <row r="86" spans="1:15" x14ac:dyDescent="0.7">
      <c r="A86" s="5"/>
      <c r="B86" s="5"/>
      <c r="C86" s="5">
        <v>25</v>
      </c>
      <c r="D86" s="6">
        <v>4.05</v>
      </c>
      <c r="E86" s="6">
        <v>0</v>
      </c>
      <c r="F86" s="24">
        <v>3.827</v>
      </c>
      <c r="G86" s="14">
        <f t="shared" si="7"/>
        <v>330652.79999999999</v>
      </c>
      <c r="H86" s="14">
        <f t="shared" si="8"/>
        <v>0.33065279999999997</v>
      </c>
      <c r="I86" s="14">
        <v>14186</v>
      </c>
      <c r="J86" s="37">
        <f t="shared" si="9"/>
        <v>1.4186000000000001E-2</v>
      </c>
      <c r="K86" s="14">
        <v>0</v>
      </c>
      <c r="L86" s="14">
        <f t="shared" si="10"/>
        <v>0</v>
      </c>
      <c r="M86" s="14">
        <f t="shared" si="11"/>
        <v>1.4186000000000001E-2</v>
      </c>
      <c r="N86" s="14">
        <v>1.204416E-2</v>
      </c>
      <c r="O86" s="6">
        <f t="shared" si="12"/>
        <v>0.30442263999999997</v>
      </c>
    </row>
    <row r="87" spans="1:15" x14ac:dyDescent="0.7">
      <c r="A87" s="5"/>
      <c r="B87" s="5"/>
      <c r="C87" s="5">
        <v>26</v>
      </c>
      <c r="D87" s="18">
        <v>3.6030000000000002</v>
      </c>
      <c r="E87" s="6">
        <v>0</v>
      </c>
      <c r="F87" s="24">
        <v>3.4279999999999999</v>
      </c>
      <c r="G87" s="14">
        <f t="shared" si="7"/>
        <v>296179.20000000001</v>
      </c>
      <c r="H87" s="14">
        <f t="shared" si="8"/>
        <v>0.29617920000000003</v>
      </c>
      <c r="I87" s="14">
        <v>16588</v>
      </c>
      <c r="J87" s="37">
        <f t="shared" si="9"/>
        <v>1.6587999999999999E-2</v>
      </c>
      <c r="K87" s="14">
        <v>0</v>
      </c>
      <c r="L87" s="14">
        <f t="shared" si="10"/>
        <v>0</v>
      </c>
      <c r="M87" s="14">
        <f t="shared" si="11"/>
        <v>1.6587999999999999E-2</v>
      </c>
      <c r="N87" s="14">
        <v>1.204416E-2</v>
      </c>
      <c r="O87" s="6">
        <f t="shared" si="12"/>
        <v>0.26754704000000001</v>
      </c>
    </row>
    <row r="88" spans="1:15" x14ac:dyDescent="0.7">
      <c r="A88" s="5"/>
      <c r="B88" s="5"/>
      <c r="C88" s="5">
        <v>27</v>
      </c>
      <c r="D88" s="18">
        <v>3.2530000000000001</v>
      </c>
      <c r="E88" s="6">
        <v>0</v>
      </c>
      <c r="F88" s="24">
        <v>3.129</v>
      </c>
      <c r="G88" s="14">
        <f t="shared" si="7"/>
        <v>270345.59999999998</v>
      </c>
      <c r="H88" s="14">
        <f t="shared" si="8"/>
        <v>0.27034559999999996</v>
      </c>
      <c r="I88" s="14">
        <v>14509</v>
      </c>
      <c r="J88" s="37">
        <f t="shared" si="9"/>
        <v>1.4508999999999999E-2</v>
      </c>
      <c r="K88" s="14">
        <v>0</v>
      </c>
      <c r="L88" s="14">
        <f t="shared" si="10"/>
        <v>0</v>
      </c>
      <c r="M88" s="14">
        <f t="shared" si="11"/>
        <v>1.4508999999999999E-2</v>
      </c>
      <c r="N88" s="14">
        <v>1.204416E-2</v>
      </c>
      <c r="O88" s="6">
        <f t="shared" si="12"/>
        <v>0.24379243999999997</v>
      </c>
    </row>
    <row r="89" spans="1:15" x14ac:dyDescent="0.7">
      <c r="A89" s="5"/>
      <c r="B89" s="5"/>
      <c r="C89" s="5">
        <v>28</v>
      </c>
      <c r="D89" s="18">
        <v>3.0049999999999999</v>
      </c>
      <c r="E89" s="6">
        <v>0</v>
      </c>
      <c r="F89" s="24">
        <v>3.3130000000000002</v>
      </c>
      <c r="G89" s="14">
        <f t="shared" si="7"/>
        <v>286243.20000000001</v>
      </c>
      <c r="H89" s="14">
        <f t="shared" si="8"/>
        <v>0.28624320000000003</v>
      </c>
      <c r="I89" s="14">
        <v>15815</v>
      </c>
      <c r="J89" s="37">
        <f t="shared" si="9"/>
        <v>1.5814999999999999E-2</v>
      </c>
      <c r="K89" s="14">
        <v>0</v>
      </c>
      <c r="L89" s="14">
        <f t="shared" si="10"/>
        <v>0</v>
      </c>
      <c r="M89" s="14">
        <f t="shared" si="11"/>
        <v>1.5814999999999999E-2</v>
      </c>
      <c r="N89" s="14">
        <v>5.0112000000000004E-3</v>
      </c>
      <c r="O89" s="6">
        <f t="shared" si="12"/>
        <v>0.26541700000000001</v>
      </c>
    </row>
    <row r="90" spans="1:15" x14ac:dyDescent="0.7">
      <c r="A90" s="5"/>
      <c r="B90" s="5"/>
      <c r="C90" s="5">
        <v>29</v>
      </c>
      <c r="D90" s="6">
        <v>3.6219999999999999</v>
      </c>
      <c r="E90" s="6">
        <v>0</v>
      </c>
      <c r="F90" s="24">
        <v>3.581</v>
      </c>
      <c r="G90" s="14">
        <f t="shared" si="7"/>
        <v>309398.40000000002</v>
      </c>
      <c r="H90" s="14">
        <f t="shared" si="8"/>
        <v>0.30939840000000002</v>
      </c>
      <c r="I90" s="14">
        <v>13053</v>
      </c>
      <c r="J90" s="37">
        <f t="shared" si="9"/>
        <v>1.3053E-2</v>
      </c>
      <c r="K90" s="14">
        <v>3338</v>
      </c>
      <c r="L90" s="14">
        <f t="shared" si="10"/>
        <v>3.3379999999999998E-3</v>
      </c>
      <c r="M90" s="14">
        <f t="shared" si="11"/>
        <v>1.6390999999999999E-2</v>
      </c>
      <c r="N90" s="14">
        <v>1.257984E-2</v>
      </c>
      <c r="O90" s="6">
        <f t="shared" si="12"/>
        <v>0.28042756000000002</v>
      </c>
    </row>
    <row r="91" spans="1:15" x14ac:dyDescent="0.7">
      <c r="A91" s="5"/>
      <c r="B91" s="5"/>
      <c r="C91" s="5">
        <v>30</v>
      </c>
      <c r="D91" s="6">
        <v>3.54</v>
      </c>
      <c r="E91" s="6">
        <v>0</v>
      </c>
      <c r="F91" s="24">
        <v>3.4809999999999999</v>
      </c>
      <c r="G91" s="14">
        <f t="shared" si="7"/>
        <v>300758.39999999997</v>
      </c>
      <c r="H91" s="14">
        <f t="shared" si="8"/>
        <v>0.30075839999999998</v>
      </c>
      <c r="I91" s="14">
        <v>13140</v>
      </c>
      <c r="J91" s="37">
        <f t="shared" si="9"/>
        <v>1.3140000000000001E-2</v>
      </c>
      <c r="K91" s="14">
        <v>2141</v>
      </c>
      <c r="L91" s="14">
        <f t="shared" si="10"/>
        <v>2.1410000000000001E-3</v>
      </c>
      <c r="M91" s="14">
        <f t="shared" si="11"/>
        <v>1.5281000000000001E-2</v>
      </c>
      <c r="N91" s="14">
        <v>1.257984E-2</v>
      </c>
      <c r="O91" s="6">
        <f t="shared" si="12"/>
        <v>0.27289755999999998</v>
      </c>
    </row>
    <row r="92" spans="1:15" s="12" customFormat="1" ht="25.2" thickBot="1" x14ac:dyDescent="0.75">
      <c r="A92" s="8"/>
      <c r="B92" s="8" t="s">
        <v>17</v>
      </c>
      <c r="C92" s="8">
        <v>31</v>
      </c>
      <c r="D92" s="9">
        <v>3.4209999999999998</v>
      </c>
      <c r="E92" s="9">
        <v>0</v>
      </c>
      <c r="F92" s="29">
        <v>3.3420000000000001</v>
      </c>
      <c r="G92" s="23">
        <f t="shared" si="7"/>
        <v>288748.79999999999</v>
      </c>
      <c r="H92" s="23">
        <f t="shared" si="8"/>
        <v>0.28874879999999997</v>
      </c>
      <c r="I92" s="23">
        <v>14034</v>
      </c>
      <c r="J92" s="38">
        <f t="shared" si="9"/>
        <v>1.4034E-2</v>
      </c>
      <c r="K92" s="23">
        <v>0</v>
      </c>
      <c r="L92" s="23">
        <f t="shared" si="10"/>
        <v>0</v>
      </c>
      <c r="M92" s="23">
        <f t="shared" si="11"/>
        <v>1.4034E-2</v>
      </c>
      <c r="N92" s="23">
        <v>1.257984E-2</v>
      </c>
      <c r="O92" s="9">
        <f t="shared" si="12"/>
        <v>0.26213495999999997</v>
      </c>
    </row>
    <row r="93" spans="1:15" x14ac:dyDescent="0.7">
      <c r="A93" s="2"/>
      <c r="B93" s="2" t="s">
        <v>18</v>
      </c>
      <c r="C93" s="2">
        <v>1</v>
      </c>
      <c r="D93" s="17">
        <v>3.262</v>
      </c>
      <c r="E93" s="3">
        <v>6.2</v>
      </c>
      <c r="F93" s="27">
        <v>3.3420000000000001</v>
      </c>
      <c r="G93" s="20">
        <f t="shared" si="7"/>
        <v>288748.79999999999</v>
      </c>
      <c r="H93" s="20">
        <f t="shared" si="8"/>
        <v>0.28874879999999997</v>
      </c>
      <c r="I93" s="28">
        <v>15246</v>
      </c>
      <c r="J93" s="39">
        <f t="shared" si="9"/>
        <v>1.5245999999999999E-2</v>
      </c>
      <c r="K93" s="20">
        <v>1900</v>
      </c>
      <c r="L93" s="20">
        <f t="shared" si="10"/>
        <v>1.9E-3</v>
      </c>
      <c r="M93" s="20">
        <f t="shared" si="11"/>
        <v>1.7145999999999998E-2</v>
      </c>
      <c r="N93" s="20">
        <v>1.257984E-2</v>
      </c>
      <c r="O93" s="3">
        <f t="shared" si="12"/>
        <v>0.25902295999999997</v>
      </c>
    </row>
    <row r="94" spans="1:15" x14ac:dyDescent="0.7">
      <c r="A94" s="5"/>
      <c r="B94" s="5"/>
      <c r="C94" s="5">
        <v>2</v>
      </c>
      <c r="D94" s="6">
        <v>3.4020000000000001</v>
      </c>
      <c r="E94" s="6">
        <v>2.6</v>
      </c>
      <c r="F94" s="24">
        <v>3.4209999999999998</v>
      </c>
      <c r="G94" s="14">
        <f t="shared" si="7"/>
        <v>295574.39999999997</v>
      </c>
      <c r="H94" s="14">
        <f t="shared" si="8"/>
        <v>0.29557439999999996</v>
      </c>
      <c r="I94" s="15">
        <v>15598</v>
      </c>
      <c r="J94" s="37">
        <f t="shared" si="9"/>
        <v>1.5598000000000001E-2</v>
      </c>
      <c r="K94" s="14">
        <v>1323</v>
      </c>
      <c r="L94" s="14">
        <f t="shared" si="10"/>
        <v>1.323E-3</v>
      </c>
      <c r="M94" s="14">
        <f t="shared" si="11"/>
        <v>1.6921000000000002E-2</v>
      </c>
      <c r="N94" s="14">
        <v>1.257984E-2</v>
      </c>
      <c r="O94" s="6">
        <f t="shared" si="12"/>
        <v>0.26607355999999993</v>
      </c>
    </row>
    <row r="95" spans="1:15" x14ac:dyDescent="0.7">
      <c r="A95" s="5"/>
      <c r="B95" s="5"/>
      <c r="C95" s="5">
        <v>3</v>
      </c>
      <c r="D95" s="19">
        <v>11.152000000000001</v>
      </c>
      <c r="E95" s="6">
        <v>44.4</v>
      </c>
      <c r="F95" s="24">
        <v>5.2380000000000004</v>
      </c>
      <c r="G95" s="14">
        <f t="shared" si="7"/>
        <v>452563.20000000001</v>
      </c>
      <c r="H95" s="14">
        <f t="shared" si="8"/>
        <v>0.4525632</v>
      </c>
      <c r="I95" s="15">
        <v>12306</v>
      </c>
      <c r="J95" s="37">
        <f t="shared" si="9"/>
        <v>1.2305999999999999E-2</v>
      </c>
      <c r="K95" s="14">
        <v>0</v>
      </c>
      <c r="L95" s="14">
        <f t="shared" si="10"/>
        <v>0</v>
      </c>
      <c r="M95" s="14">
        <f t="shared" si="11"/>
        <v>1.2305999999999999E-2</v>
      </c>
      <c r="N95" s="14">
        <v>3.0378239999999997E-2</v>
      </c>
      <c r="O95" s="6">
        <f t="shared" si="12"/>
        <v>0.40987896000000001</v>
      </c>
    </row>
    <row r="96" spans="1:15" x14ac:dyDescent="0.7">
      <c r="A96" s="5"/>
      <c r="B96" s="5"/>
      <c r="C96" s="5">
        <v>4</v>
      </c>
      <c r="D96" s="6">
        <v>7.0350000000000001</v>
      </c>
      <c r="E96" s="6">
        <v>0</v>
      </c>
      <c r="F96" s="25">
        <v>6.806</v>
      </c>
      <c r="G96" s="14">
        <f t="shared" si="7"/>
        <v>588038.40000000002</v>
      </c>
      <c r="H96" s="14">
        <f t="shared" si="8"/>
        <v>0.58803840000000007</v>
      </c>
      <c r="I96" s="15">
        <v>13516</v>
      </c>
      <c r="J96" s="37">
        <f t="shared" si="9"/>
        <v>1.3516E-2</v>
      </c>
      <c r="K96" s="14">
        <v>0</v>
      </c>
      <c r="L96" s="14">
        <f t="shared" si="10"/>
        <v>0</v>
      </c>
      <c r="M96" s="14">
        <f t="shared" si="11"/>
        <v>1.3516E-2</v>
      </c>
      <c r="N96" s="14">
        <v>3.7670400000000001E-3</v>
      </c>
      <c r="O96" s="6">
        <f t="shared" si="12"/>
        <v>0.57075536000000004</v>
      </c>
    </row>
    <row r="97" spans="1:15" x14ac:dyDescent="0.7">
      <c r="A97" s="5"/>
      <c r="B97" s="5"/>
      <c r="C97" s="5">
        <v>5</v>
      </c>
      <c r="D97" s="6">
        <v>4.577</v>
      </c>
      <c r="E97" s="6">
        <v>0</v>
      </c>
      <c r="F97" s="25">
        <v>4.3840000000000003</v>
      </c>
      <c r="G97" s="14">
        <f t="shared" si="7"/>
        <v>378777.60000000003</v>
      </c>
      <c r="H97" s="14">
        <f t="shared" si="8"/>
        <v>0.37877760000000005</v>
      </c>
      <c r="I97" s="15">
        <v>27772</v>
      </c>
      <c r="J97" s="37">
        <f t="shared" si="9"/>
        <v>2.7772000000000002E-2</v>
      </c>
      <c r="K97" s="14">
        <v>4098</v>
      </c>
      <c r="L97" s="14">
        <f t="shared" si="10"/>
        <v>4.0980000000000001E-3</v>
      </c>
      <c r="M97" s="14">
        <f t="shared" si="11"/>
        <v>3.1870000000000002E-2</v>
      </c>
      <c r="N97" s="14">
        <v>0</v>
      </c>
      <c r="O97" s="6">
        <f t="shared" si="12"/>
        <v>0.34690760000000004</v>
      </c>
    </row>
    <row r="98" spans="1:15" x14ac:dyDescent="0.7">
      <c r="A98" s="5"/>
      <c r="B98" s="5"/>
      <c r="C98" s="5">
        <v>6</v>
      </c>
      <c r="D98" s="19">
        <v>4.1909999999999998</v>
      </c>
      <c r="E98" s="6">
        <v>0</v>
      </c>
      <c r="F98" s="25">
        <v>4.2009999999999996</v>
      </c>
      <c r="G98" s="14">
        <f t="shared" si="7"/>
        <v>362966.39999999997</v>
      </c>
      <c r="H98" s="14">
        <f t="shared" si="8"/>
        <v>0.36296639999999997</v>
      </c>
      <c r="I98" s="15">
        <v>31966</v>
      </c>
      <c r="J98" s="37">
        <f t="shared" si="9"/>
        <v>3.1966000000000001E-2</v>
      </c>
      <c r="K98" s="14">
        <v>4156</v>
      </c>
      <c r="L98" s="14">
        <f t="shared" si="10"/>
        <v>4.156E-3</v>
      </c>
      <c r="M98" s="14">
        <f t="shared" si="11"/>
        <v>3.6122000000000001E-2</v>
      </c>
      <c r="N98" s="14">
        <v>0</v>
      </c>
      <c r="O98" s="6">
        <f t="shared" si="12"/>
        <v>0.32684439999999998</v>
      </c>
    </row>
    <row r="99" spans="1:15" x14ac:dyDescent="0.7">
      <c r="A99" s="5"/>
      <c r="B99" s="5"/>
      <c r="C99" s="5">
        <v>7</v>
      </c>
      <c r="D99" s="19">
        <v>4.2119999999999997</v>
      </c>
      <c r="E99" s="6">
        <v>4.8</v>
      </c>
      <c r="F99" s="25">
        <v>5.8239999999999998</v>
      </c>
      <c r="G99" s="14">
        <f t="shared" si="7"/>
        <v>503193.59999999998</v>
      </c>
      <c r="H99" s="14">
        <f t="shared" si="8"/>
        <v>0.50319360000000002</v>
      </c>
      <c r="I99" s="15">
        <v>27168</v>
      </c>
      <c r="J99" s="37">
        <f t="shared" si="9"/>
        <v>2.7168000000000001E-2</v>
      </c>
      <c r="K99" s="14">
        <v>4164</v>
      </c>
      <c r="L99" s="14">
        <f t="shared" si="10"/>
        <v>4.1640000000000002E-3</v>
      </c>
      <c r="M99" s="14">
        <f t="shared" ref="M99:M130" si="13">J99+L99</f>
        <v>3.1331999999999999E-2</v>
      </c>
      <c r="N99" s="14">
        <v>0</v>
      </c>
      <c r="O99" s="6">
        <f t="shared" si="12"/>
        <v>0.47186159999999999</v>
      </c>
    </row>
    <row r="100" spans="1:15" x14ac:dyDescent="0.7">
      <c r="A100" s="5"/>
      <c r="B100" s="5"/>
      <c r="C100" s="5">
        <v>8</v>
      </c>
      <c r="D100" s="19">
        <v>7.4370000000000003</v>
      </c>
      <c r="E100" s="6">
        <v>1.1000000000000001</v>
      </c>
      <c r="F100" s="25">
        <v>6.141</v>
      </c>
      <c r="G100" s="14">
        <f t="shared" si="7"/>
        <v>530582.4</v>
      </c>
      <c r="H100" s="14">
        <f t="shared" si="8"/>
        <v>0.53058240000000001</v>
      </c>
      <c r="I100" s="15">
        <v>36652</v>
      </c>
      <c r="J100" s="37">
        <f t="shared" si="9"/>
        <v>3.6651999999999997E-2</v>
      </c>
      <c r="K100" s="14">
        <v>4898</v>
      </c>
      <c r="L100" s="14">
        <f>K100/1000000</f>
        <v>4.8979999999999996E-3</v>
      </c>
      <c r="M100" s="14">
        <f t="shared" si="13"/>
        <v>4.1549999999999997E-2</v>
      </c>
      <c r="N100" s="14">
        <v>0</v>
      </c>
      <c r="O100" s="6">
        <f t="shared" si="12"/>
        <v>0.48903240000000003</v>
      </c>
    </row>
    <row r="101" spans="1:15" x14ac:dyDescent="0.7">
      <c r="A101" s="5"/>
      <c r="B101" s="5"/>
      <c r="C101" s="5">
        <v>9</v>
      </c>
      <c r="D101" s="18">
        <v>4.8440000000000003</v>
      </c>
      <c r="E101" s="6">
        <v>0</v>
      </c>
      <c r="F101" s="25">
        <v>4.665</v>
      </c>
      <c r="G101" s="14">
        <f t="shared" si="7"/>
        <v>403056</v>
      </c>
      <c r="H101" s="14">
        <f t="shared" si="8"/>
        <v>0.40305600000000003</v>
      </c>
      <c r="I101" s="15">
        <v>32378</v>
      </c>
      <c r="J101" s="37">
        <f t="shared" si="9"/>
        <v>3.2377999999999997E-2</v>
      </c>
      <c r="K101" s="14">
        <v>5249</v>
      </c>
      <c r="L101" s="14">
        <f t="shared" si="10"/>
        <v>5.2490000000000002E-3</v>
      </c>
      <c r="M101" s="14">
        <f t="shared" si="13"/>
        <v>3.7626999999999994E-2</v>
      </c>
      <c r="N101" s="14">
        <v>0</v>
      </c>
      <c r="O101" s="6">
        <f t="shared" si="12"/>
        <v>0.365429</v>
      </c>
    </row>
    <row r="102" spans="1:15" x14ac:dyDescent="0.7">
      <c r="A102" s="5"/>
      <c r="B102" s="5"/>
      <c r="C102" s="5">
        <v>10</v>
      </c>
      <c r="D102" s="18">
        <v>4.4859999999999998</v>
      </c>
      <c r="E102" s="6">
        <v>0</v>
      </c>
      <c r="F102" s="25">
        <v>4.2119999999999997</v>
      </c>
      <c r="G102" s="14">
        <f t="shared" si="7"/>
        <v>363916.79999999999</v>
      </c>
      <c r="H102" s="14">
        <f t="shared" si="8"/>
        <v>0.36391679999999998</v>
      </c>
      <c r="I102" s="15">
        <v>31663</v>
      </c>
      <c r="J102" s="37">
        <f t="shared" si="9"/>
        <v>3.1662999999999997E-2</v>
      </c>
      <c r="K102" s="14">
        <v>486</v>
      </c>
      <c r="L102" s="14">
        <f t="shared" si="10"/>
        <v>4.86E-4</v>
      </c>
      <c r="M102" s="14">
        <f t="shared" si="13"/>
        <v>3.2148999999999997E-2</v>
      </c>
      <c r="N102" s="14">
        <v>0</v>
      </c>
      <c r="O102" s="6">
        <f t="shared" si="12"/>
        <v>0.3317678</v>
      </c>
    </row>
    <row r="103" spans="1:15" x14ac:dyDescent="0.7">
      <c r="A103" s="5"/>
      <c r="B103" s="5"/>
      <c r="C103" s="5">
        <v>11</v>
      </c>
      <c r="D103" s="18">
        <v>3.9390000000000001</v>
      </c>
      <c r="E103" s="6">
        <v>0</v>
      </c>
      <c r="F103" s="24">
        <v>3.7450000000000001</v>
      </c>
      <c r="G103" s="14">
        <f t="shared" si="7"/>
        <v>323568</v>
      </c>
      <c r="H103" s="14">
        <f t="shared" si="8"/>
        <v>0.32356800000000002</v>
      </c>
      <c r="I103" s="15">
        <v>31673</v>
      </c>
      <c r="J103" s="37">
        <f t="shared" si="9"/>
        <v>3.1673E-2</v>
      </c>
      <c r="K103" s="14">
        <v>2159</v>
      </c>
      <c r="L103" s="14">
        <f t="shared" si="10"/>
        <v>2.1589999999999999E-3</v>
      </c>
      <c r="M103" s="14">
        <f t="shared" si="13"/>
        <v>3.3832000000000001E-2</v>
      </c>
      <c r="N103" s="14">
        <v>0</v>
      </c>
      <c r="O103" s="6">
        <f t="shared" si="12"/>
        <v>0.28973599999999999</v>
      </c>
    </row>
    <row r="104" spans="1:15" x14ac:dyDescent="0.7">
      <c r="A104" s="5"/>
      <c r="B104" s="5"/>
      <c r="C104" s="5">
        <v>12</v>
      </c>
      <c r="D104" s="18">
        <v>3.5510000000000002</v>
      </c>
      <c r="E104" s="6">
        <v>0</v>
      </c>
      <c r="F104" s="24">
        <v>3.496</v>
      </c>
      <c r="G104" s="14">
        <f t="shared" si="7"/>
        <v>302054.40000000002</v>
      </c>
      <c r="H104" s="14">
        <f>G104/1000000</f>
        <v>0.3020544</v>
      </c>
      <c r="I104" s="15">
        <v>34684</v>
      </c>
      <c r="J104" s="37">
        <f t="shared" si="9"/>
        <v>3.4684E-2</v>
      </c>
      <c r="K104" s="14">
        <v>0</v>
      </c>
      <c r="L104" s="14">
        <f t="shared" si="10"/>
        <v>0</v>
      </c>
      <c r="M104" s="14">
        <f t="shared" si="13"/>
        <v>3.4684E-2</v>
      </c>
      <c r="N104" s="14">
        <v>0</v>
      </c>
      <c r="O104" s="6">
        <f t="shared" si="12"/>
        <v>0.26737040000000001</v>
      </c>
    </row>
    <row r="105" spans="1:15" x14ac:dyDescent="0.7">
      <c r="A105" s="5"/>
      <c r="B105" s="5"/>
      <c r="C105" s="5">
        <v>13</v>
      </c>
      <c r="D105" s="6">
        <v>3.44</v>
      </c>
      <c r="E105" s="6">
        <v>0</v>
      </c>
      <c r="F105" s="24">
        <v>3.3570000000000002</v>
      </c>
      <c r="G105" s="14">
        <f t="shared" si="7"/>
        <v>290044.80000000005</v>
      </c>
      <c r="H105" s="14">
        <f t="shared" si="8"/>
        <v>0.29004480000000005</v>
      </c>
      <c r="I105" s="15">
        <v>32671</v>
      </c>
      <c r="J105" s="37">
        <f t="shared" si="9"/>
        <v>3.2670999999999999E-2</v>
      </c>
      <c r="K105" s="14">
        <v>0</v>
      </c>
      <c r="L105" s="14">
        <f t="shared" si="10"/>
        <v>0</v>
      </c>
      <c r="M105" s="14">
        <f t="shared" si="13"/>
        <v>3.2670999999999999E-2</v>
      </c>
      <c r="N105" s="14">
        <v>3.9660399999999997E-3</v>
      </c>
      <c r="O105" s="6">
        <f t="shared" si="12"/>
        <v>0.25340776000000004</v>
      </c>
    </row>
    <row r="106" spans="1:15" x14ac:dyDescent="0.7">
      <c r="A106" s="5"/>
      <c r="B106" s="5"/>
      <c r="C106" s="5">
        <v>14</v>
      </c>
      <c r="D106" s="18">
        <v>3.274</v>
      </c>
      <c r="E106" s="6">
        <v>0</v>
      </c>
      <c r="F106" s="24">
        <v>3.1019999999999999</v>
      </c>
      <c r="G106" s="14">
        <f t="shared" si="7"/>
        <v>268012.79999999999</v>
      </c>
      <c r="H106" s="14">
        <f t="shared" si="8"/>
        <v>0.2680128</v>
      </c>
      <c r="I106" s="15">
        <v>41089</v>
      </c>
      <c r="J106" s="37">
        <f t="shared" si="9"/>
        <v>4.1089000000000001E-2</v>
      </c>
      <c r="K106" s="14">
        <v>0</v>
      </c>
      <c r="L106" s="14">
        <f t="shared" si="10"/>
        <v>0</v>
      </c>
      <c r="M106" s="14">
        <f t="shared" si="13"/>
        <v>4.1089000000000001E-2</v>
      </c>
      <c r="N106" s="14">
        <v>7.9315200000000009E-3</v>
      </c>
      <c r="O106" s="6">
        <f t="shared" si="12"/>
        <v>0.21899228000000001</v>
      </c>
    </row>
    <row r="107" spans="1:15" x14ac:dyDescent="0.7">
      <c r="A107" s="5"/>
      <c r="B107" s="5"/>
      <c r="C107" s="5">
        <v>15</v>
      </c>
      <c r="D107" s="18">
        <v>2.9289999999999998</v>
      </c>
      <c r="E107" s="6">
        <v>0</v>
      </c>
      <c r="F107" s="24">
        <v>2.8690000000000002</v>
      </c>
      <c r="G107" s="14">
        <f t="shared" si="7"/>
        <v>247881.60000000001</v>
      </c>
      <c r="H107" s="14">
        <f t="shared" si="8"/>
        <v>0.24788160000000001</v>
      </c>
      <c r="I107" s="15">
        <v>32779</v>
      </c>
      <c r="J107" s="37">
        <f t="shared" si="9"/>
        <v>3.2779000000000003E-2</v>
      </c>
      <c r="K107" s="14">
        <v>0</v>
      </c>
      <c r="L107" s="14">
        <f t="shared" si="10"/>
        <v>0</v>
      </c>
      <c r="M107" s="14">
        <f t="shared" si="13"/>
        <v>3.2779000000000003E-2</v>
      </c>
      <c r="N107" s="14">
        <v>7.9315200000000009E-3</v>
      </c>
      <c r="O107" s="6">
        <f t="shared" si="12"/>
        <v>0.20717108000000001</v>
      </c>
    </row>
    <row r="108" spans="1:15" x14ac:dyDescent="0.7">
      <c r="A108" s="5"/>
      <c r="B108" s="5"/>
      <c r="C108" s="5">
        <v>16</v>
      </c>
      <c r="D108" s="6">
        <v>2.8079999999999998</v>
      </c>
      <c r="E108" s="6">
        <v>0</v>
      </c>
      <c r="F108" s="24">
        <v>2.8079999999999998</v>
      </c>
      <c r="G108" s="14">
        <f t="shared" si="7"/>
        <v>242611.19999999998</v>
      </c>
      <c r="H108" s="14">
        <f t="shared" si="8"/>
        <v>0.24261119999999997</v>
      </c>
      <c r="I108" s="15">
        <v>25692</v>
      </c>
      <c r="J108" s="37">
        <f t="shared" si="9"/>
        <v>2.5692E-2</v>
      </c>
      <c r="K108" s="14">
        <v>0</v>
      </c>
      <c r="L108" s="14">
        <f t="shared" si="10"/>
        <v>0</v>
      </c>
      <c r="M108" s="14">
        <f t="shared" si="13"/>
        <v>2.5692E-2</v>
      </c>
      <c r="N108" s="14">
        <v>7.9315200000000009E-3</v>
      </c>
      <c r="O108" s="6">
        <f t="shared" si="12"/>
        <v>0.20898767999999998</v>
      </c>
    </row>
    <row r="109" spans="1:15" x14ac:dyDescent="0.7">
      <c r="A109" s="5"/>
      <c r="B109" s="5"/>
      <c r="C109" s="5">
        <v>17</v>
      </c>
      <c r="D109" s="18">
        <v>2.8079999999999998</v>
      </c>
      <c r="E109" s="6">
        <v>0</v>
      </c>
      <c r="F109" s="24">
        <v>2.944</v>
      </c>
      <c r="G109" s="14">
        <f t="shared" si="7"/>
        <v>254361.60000000001</v>
      </c>
      <c r="H109" s="14">
        <f t="shared" si="8"/>
        <v>0.25436160000000002</v>
      </c>
      <c r="I109" s="15">
        <v>29314</v>
      </c>
      <c r="J109" s="37">
        <f t="shared" si="9"/>
        <v>2.9314E-2</v>
      </c>
      <c r="K109" s="14">
        <v>0</v>
      </c>
      <c r="L109" s="14">
        <f t="shared" si="10"/>
        <v>0</v>
      </c>
      <c r="M109" s="14">
        <f t="shared" si="13"/>
        <v>2.9314E-2</v>
      </c>
      <c r="N109" s="14">
        <v>7.9315200000000009E-3</v>
      </c>
      <c r="O109" s="6">
        <f t="shared" si="12"/>
        <v>0.21711608000000002</v>
      </c>
    </row>
    <row r="110" spans="1:15" x14ac:dyDescent="0.7">
      <c r="A110" s="5"/>
      <c r="B110" s="5"/>
      <c r="C110" s="5">
        <v>18</v>
      </c>
      <c r="D110" s="6">
        <v>3.081</v>
      </c>
      <c r="E110" s="6">
        <v>0</v>
      </c>
      <c r="F110" s="24">
        <v>4.7770000000000001</v>
      </c>
      <c r="G110" s="14">
        <f t="shared" si="7"/>
        <v>412732.8</v>
      </c>
      <c r="H110" s="14">
        <f t="shared" si="8"/>
        <v>0.41273280000000001</v>
      </c>
      <c r="I110" s="15">
        <v>36146</v>
      </c>
      <c r="J110" s="37">
        <f t="shared" si="9"/>
        <v>3.6145999999999998E-2</v>
      </c>
      <c r="K110" s="14">
        <v>0</v>
      </c>
      <c r="L110" s="14">
        <f t="shared" si="10"/>
        <v>0</v>
      </c>
      <c r="M110" s="14">
        <f t="shared" si="13"/>
        <v>3.6145999999999998E-2</v>
      </c>
      <c r="N110" s="14">
        <v>0</v>
      </c>
      <c r="O110" s="6">
        <f t="shared" si="12"/>
        <v>0.3765868</v>
      </c>
    </row>
    <row r="111" spans="1:15" x14ac:dyDescent="0.7">
      <c r="A111" s="5"/>
      <c r="B111" s="5"/>
      <c r="C111" s="5">
        <v>19</v>
      </c>
      <c r="D111" s="18">
        <v>6.4729999999999999</v>
      </c>
      <c r="E111" s="6">
        <v>2.1</v>
      </c>
      <c r="F111" s="24">
        <v>6.5119999999999996</v>
      </c>
      <c r="G111" s="14">
        <f t="shared" si="7"/>
        <v>562636.79999999993</v>
      </c>
      <c r="H111" s="14">
        <f t="shared" si="8"/>
        <v>0.56263679999999994</v>
      </c>
      <c r="I111" s="15">
        <v>33831</v>
      </c>
      <c r="J111" s="37">
        <f t="shared" si="9"/>
        <v>3.3831E-2</v>
      </c>
      <c r="K111" s="14">
        <v>2558</v>
      </c>
      <c r="L111" s="14">
        <f t="shared" si="10"/>
        <v>2.5579999999999999E-3</v>
      </c>
      <c r="M111" s="14">
        <f t="shared" si="13"/>
        <v>3.6388999999999998E-2</v>
      </c>
      <c r="N111" s="14">
        <v>0</v>
      </c>
      <c r="O111" s="6">
        <f t="shared" si="12"/>
        <v>0.52624779999999993</v>
      </c>
    </row>
    <row r="112" spans="1:15" x14ac:dyDescent="0.7">
      <c r="A112" s="5"/>
      <c r="B112" s="5"/>
      <c r="C112" s="5">
        <v>20</v>
      </c>
      <c r="D112" s="18">
        <v>6.5510000000000002</v>
      </c>
      <c r="E112" s="6">
        <v>1.8</v>
      </c>
      <c r="F112" s="24">
        <v>6.5490000000000004</v>
      </c>
      <c r="G112" s="14">
        <f t="shared" si="7"/>
        <v>565833.6</v>
      </c>
      <c r="H112" s="14">
        <f t="shared" si="8"/>
        <v>0.56583359999999994</v>
      </c>
      <c r="I112" s="15">
        <v>34796</v>
      </c>
      <c r="J112" s="37">
        <f t="shared" si="9"/>
        <v>3.4796000000000001E-2</v>
      </c>
      <c r="K112" s="14">
        <v>4971</v>
      </c>
      <c r="L112" s="14">
        <f t="shared" si="10"/>
        <v>4.9709999999999997E-3</v>
      </c>
      <c r="M112" s="14">
        <f t="shared" si="13"/>
        <v>3.9766999999999997E-2</v>
      </c>
      <c r="N112" s="14">
        <v>0</v>
      </c>
      <c r="O112" s="6">
        <f t="shared" si="12"/>
        <v>0.52606659999999994</v>
      </c>
    </row>
    <row r="113" spans="1:15" x14ac:dyDescent="0.7">
      <c r="A113" s="5"/>
      <c r="B113" s="5"/>
      <c r="C113" s="5">
        <v>21</v>
      </c>
      <c r="D113" s="18">
        <v>6.5469999999999997</v>
      </c>
      <c r="E113" s="6">
        <v>0.6</v>
      </c>
      <c r="F113" s="24">
        <v>6.5510000000000002</v>
      </c>
      <c r="G113" s="14">
        <f t="shared" si="7"/>
        <v>566006.4</v>
      </c>
      <c r="H113" s="14">
        <f t="shared" si="8"/>
        <v>0.56600640000000002</v>
      </c>
      <c r="I113" s="15">
        <v>34064</v>
      </c>
      <c r="J113" s="37">
        <f t="shared" si="9"/>
        <v>3.4063999999999997E-2</v>
      </c>
      <c r="K113" s="14">
        <v>4541</v>
      </c>
      <c r="L113" s="14">
        <f t="shared" si="10"/>
        <v>4.5409999999999999E-3</v>
      </c>
      <c r="M113" s="14">
        <f t="shared" si="13"/>
        <v>3.8605E-2</v>
      </c>
      <c r="N113" s="14">
        <v>8.8127999999999991E-3</v>
      </c>
      <c r="O113" s="6">
        <f t="shared" si="12"/>
        <v>0.51858860000000007</v>
      </c>
    </row>
    <row r="114" spans="1:15" x14ac:dyDescent="0.7">
      <c r="A114" s="5"/>
      <c r="B114" s="5"/>
      <c r="C114" s="5">
        <v>22</v>
      </c>
      <c r="D114" s="18">
        <v>6.5510000000000002</v>
      </c>
      <c r="E114" s="6">
        <v>3.1</v>
      </c>
      <c r="F114" s="24">
        <v>6.0590000000000002</v>
      </c>
      <c r="G114" s="14">
        <f t="shared" si="7"/>
        <v>523497.60000000003</v>
      </c>
      <c r="H114" s="14">
        <f t="shared" si="8"/>
        <v>0.52349760000000001</v>
      </c>
      <c r="I114" s="15">
        <v>33213</v>
      </c>
      <c r="J114" s="37">
        <f t="shared" si="9"/>
        <v>3.3212999999999999E-2</v>
      </c>
      <c r="K114" s="14">
        <v>3821</v>
      </c>
      <c r="L114" s="14">
        <f t="shared" si="10"/>
        <v>3.8210000000000002E-3</v>
      </c>
      <c r="M114" s="14">
        <f t="shared" si="13"/>
        <v>3.7033999999999997E-2</v>
      </c>
      <c r="N114" s="14">
        <v>8.8127999999999991E-3</v>
      </c>
      <c r="O114" s="6">
        <f t="shared" si="12"/>
        <v>0.47765079999999999</v>
      </c>
    </row>
    <row r="115" spans="1:15" x14ac:dyDescent="0.7">
      <c r="A115" s="5"/>
      <c r="B115" s="5"/>
      <c r="C115" s="5">
        <v>23</v>
      </c>
      <c r="D115" s="18">
        <v>5.5659999999999998</v>
      </c>
      <c r="E115" s="6">
        <v>0</v>
      </c>
      <c r="F115" s="24">
        <v>5.3540000000000001</v>
      </c>
      <c r="G115" s="14">
        <f t="shared" si="7"/>
        <v>462585.60000000003</v>
      </c>
      <c r="H115" s="14">
        <f t="shared" si="8"/>
        <v>0.46258560000000004</v>
      </c>
      <c r="I115" s="15">
        <v>29118</v>
      </c>
      <c r="J115" s="37">
        <f t="shared" si="9"/>
        <v>2.9118000000000002E-2</v>
      </c>
      <c r="K115" s="14">
        <v>5183</v>
      </c>
      <c r="L115" s="14">
        <f t="shared" si="10"/>
        <v>5.1830000000000001E-3</v>
      </c>
      <c r="M115" s="14">
        <f t="shared" si="13"/>
        <v>3.4300999999999998E-2</v>
      </c>
      <c r="N115" s="14">
        <v>8.8127999999999991E-3</v>
      </c>
      <c r="O115" s="6">
        <f t="shared" si="12"/>
        <v>0.41947180000000001</v>
      </c>
    </row>
    <row r="116" spans="1:15" x14ac:dyDescent="0.7">
      <c r="A116" s="5"/>
      <c r="B116" s="5"/>
      <c r="C116" s="5">
        <v>24</v>
      </c>
      <c r="D116" s="18">
        <v>5.141</v>
      </c>
      <c r="E116" s="6">
        <v>0</v>
      </c>
      <c r="F116" s="24">
        <v>4.8109999999999999</v>
      </c>
      <c r="G116" s="14">
        <f t="shared" si="7"/>
        <v>415670.4</v>
      </c>
      <c r="H116" s="14">
        <f t="shared" si="8"/>
        <v>0.41567040000000005</v>
      </c>
      <c r="I116" s="15">
        <v>29706</v>
      </c>
      <c r="J116" s="37">
        <f t="shared" si="9"/>
        <v>2.9706E-2</v>
      </c>
      <c r="K116" s="14">
        <v>3628</v>
      </c>
      <c r="L116" s="14">
        <f t="shared" si="10"/>
        <v>3.6280000000000001E-3</v>
      </c>
      <c r="M116" s="14">
        <f t="shared" si="13"/>
        <v>3.3334000000000003E-2</v>
      </c>
      <c r="N116" s="14">
        <v>8.8127999999999991E-3</v>
      </c>
      <c r="O116" s="6">
        <f t="shared" si="12"/>
        <v>0.37352360000000001</v>
      </c>
    </row>
    <row r="117" spans="1:15" x14ac:dyDescent="0.7">
      <c r="A117" s="5"/>
      <c r="B117" s="5"/>
      <c r="C117" s="5">
        <v>25</v>
      </c>
      <c r="D117" s="18">
        <v>4.4809999999999999</v>
      </c>
      <c r="E117" s="6">
        <v>0</v>
      </c>
      <c r="F117" s="24">
        <v>4.5289999999999999</v>
      </c>
      <c r="G117" s="14">
        <f t="shared" si="7"/>
        <v>391305.6</v>
      </c>
      <c r="H117" s="14">
        <f t="shared" si="8"/>
        <v>0.39130559999999998</v>
      </c>
      <c r="I117" s="15">
        <v>15054</v>
      </c>
      <c r="J117" s="37">
        <f t="shared" si="9"/>
        <v>1.5054E-2</v>
      </c>
      <c r="K117" s="14">
        <v>3629</v>
      </c>
      <c r="L117" s="14">
        <f t="shared" si="10"/>
        <v>3.6289999999999998E-3</v>
      </c>
      <c r="M117" s="14">
        <f t="shared" si="13"/>
        <v>1.8682999999999998E-2</v>
      </c>
      <c r="N117" s="14">
        <v>8.8127999999999991E-3</v>
      </c>
      <c r="O117" s="6">
        <f t="shared" si="12"/>
        <v>0.36380979999999996</v>
      </c>
    </row>
    <row r="118" spans="1:15" x14ac:dyDescent="0.7">
      <c r="A118" s="5"/>
      <c r="B118" s="5"/>
      <c r="C118" s="5">
        <v>26</v>
      </c>
      <c r="D118" s="18">
        <v>4.577</v>
      </c>
      <c r="E118" s="6">
        <v>0</v>
      </c>
      <c r="F118" s="24">
        <v>4.4509999999999996</v>
      </c>
      <c r="G118" s="14">
        <f t="shared" si="7"/>
        <v>384566.39999999997</v>
      </c>
      <c r="H118" s="14">
        <f t="shared" si="8"/>
        <v>0.38456639999999997</v>
      </c>
      <c r="I118" s="15">
        <v>15644</v>
      </c>
      <c r="J118" s="37">
        <f t="shared" si="9"/>
        <v>1.5644000000000002E-2</v>
      </c>
      <c r="K118" s="14">
        <v>4649</v>
      </c>
      <c r="L118" s="14">
        <f t="shared" si="10"/>
        <v>4.6490000000000004E-3</v>
      </c>
      <c r="M118" s="14">
        <f t="shared" si="13"/>
        <v>2.0293000000000002E-2</v>
      </c>
      <c r="N118" s="14">
        <v>0</v>
      </c>
      <c r="O118" s="6">
        <f t="shared" si="12"/>
        <v>0.36427339999999997</v>
      </c>
    </row>
    <row r="119" spans="1:15" x14ac:dyDescent="0.7">
      <c r="A119" s="5"/>
      <c r="B119" s="5"/>
      <c r="C119" s="5">
        <v>27</v>
      </c>
      <c r="D119" s="18">
        <v>4.3250000000000002</v>
      </c>
      <c r="E119" s="6">
        <v>0</v>
      </c>
      <c r="F119" s="24">
        <v>4.3710000000000004</v>
      </c>
      <c r="G119" s="14">
        <f t="shared" si="7"/>
        <v>377654.4</v>
      </c>
      <c r="H119" s="14">
        <f t="shared" si="8"/>
        <v>0.3776544</v>
      </c>
      <c r="I119" s="15">
        <v>15354</v>
      </c>
      <c r="J119" s="37">
        <f t="shared" si="9"/>
        <v>1.5354E-2</v>
      </c>
      <c r="K119" s="14">
        <v>6000</v>
      </c>
      <c r="L119" s="14">
        <f t="shared" si="10"/>
        <v>6.0000000000000001E-3</v>
      </c>
      <c r="M119" s="14">
        <f t="shared" si="13"/>
        <v>2.1353999999999998E-2</v>
      </c>
      <c r="N119" s="14">
        <v>0</v>
      </c>
      <c r="O119" s="6">
        <f t="shared" si="12"/>
        <v>0.35630040000000002</v>
      </c>
    </row>
    <row r="120" spans="1:15" x14ac:dyDescent="0.7">
      <c r="A120" s="5"/>
      <c r="B120" s="5"/>
      <c r="C120" s="5">
        <v>28</v>
      </c>
      <c r="D120" s="18">
        <v>4.4180000000000001</v>
      </c>
      <c r="E120" s="6">
        <v>0</v>
      </c>
      <c r="F120" s="24">
        <v>4.1630000000000003</v>
      </c>
      <c r="G120" s="14">
        <f t="shared" si="7"/>
        <v>359683.2</v>
      </c>
      <c r="H120" s="14">
        <f t="shared" si="8"/>
        <v>0.35968320000000004</v>
      </c>
      <c r="I120" s="15">
        <v>16290</v>
      </c>
      <c r="J120" s="37">
        <f t="shared" si="9"/>
        <v>1.6289999999999999E-2</v>
      </c>
      <c r="K120" s="14">
        <v>5951</v>
      </c>
      <c r="L120" s="14">
        <f t="shared" si="10"/>
        <v>5.9509999999999997E-3</v>
      </c>
      <c r="M120" s="14">
        <f t="shared" si="13"/>
        <v>2.2240999999999997E-2</v>
      </c>
      <c r="N120" s="14">
        <v>0</v>
      </c>
      <c r="O120" s="6">
        <f t="shared" si="12"/>
        <v>0.33744220000000003</v>
      </c>
    </row>
    <row r="121" spans="1:15" x14ac:dyDescent="0.7">
      <c r="A121" s="5"/>
      <c r="B121" s="5"/>
      <c r="C121" s="5">
        <v>29</v>
      </c>
      <c r="D121" s="18">
        <v>3.9079999999999999</v>
      </c>
      <c r="E121" s="6">
        <v>0</v>
      </c>
      <c r="F121" s="24">
        <v>3.8940000000000001</v>
      </c>
      <c r="G121" s="14">
        <f t="shared" si="7"/>
        <v>336441.60000000003</v>
      </c>
      <c r="H121" s="14">
        <f t="shared" si="8"/>
        <v>0.33644160000000001</v>
      </c>
      <c r="I121" s="15">
        <v>14006</v>
      </c>
      <c r="J121" s="37">
        <f t="shared" si="9"/>
        <v>1.4005999999999999E-2</v>
      </c>
      <c r="K121" s="14">
        <v>4228</v>
      </c>
      <c r="L121" s="14">
        <f t="shared" si="10"/>
        <v>4.228E-3</v>
      </c>
      <c r="M121" s="14">
        <f t="shared" si="13"/>
        <v>1.8234E-2</v>
      </c>
      <c r="N121" s="14">
        <v>0</v>
      </c>
      <c r="O121" s="6">
        <f t="shared" si="12"/>
        <v>0.31820760000000003</v>
      </c>
    </row>
    <row r="122" spans="1:15" s="12" customFormat="1" ht="25.2" thickBot="1" x14ac:dyDescent="0.75">
      <c r="A122" s="8"/>
      <c r="B122" s="11" t="s">
        <v>18</v>
      </c>
      <c r="C122" s="8">
        <v>30</v>
      </c>
      <c r="D122" s="9">
        <v>3.88</v>
      </c>
      <c r="E122" s="9">
        <v>0</v>
      </c>
      <c r="F122" s="29">
        <v>3.88</v>
      </c>
      <c r="G122" s="23">
        <f t="shared" si="7"/>
        <v>335232</v>
      </c>
      <c r="H122" s="23">
        <f t="shared" si="8"/>
        <v>0.33523199999999997</v>
      </c>
      <c r="I122" s="30">
        <v>15123</v>
      </c>
      <c r="J122" s="38">
        <f t="shared" si="9"/>
        <v>1.5122999999999999E-2</v>
      </c>
      <c r="K122" s="23">
        <v>5233</v>
      </c>
      <c r="L122" s="23">
        <f t="shared" si="10"/>
        <v>5.2329999999999998E-3</v>
      </c>
      <c r="M122" s="23">
        <f t="shared" si="13"/>
        <v>2.0355999999999999E-2</v>
      </c>
      <c r="N122" s="23">
        <v>0</v>
      </c>
      <c r="O122" s="9">
        <f t="shared" si="12"/>
        <v>0.31487599999999999</v>
      </c>
    </row>
    <row r="123" spans="1:15" x14ac:dyDescent="0.7">
      <c r="A123" s="2"/>
      <c r="B123" s="2" t="s">
        <v>19</v>
      </c>
      <c r="C123" s="2">
        <v>1</v>
      </c>
      <c r="D123" s="3">
        <v>3.88</v>
      </c>
      <c r="E123" s="3">
        <v>0</v>
      </c>
      <c r="F123" s="27">
        <v>4.266</v>
      </c>
      <c r="G123" s="20">
        <f t="shared" si="7"/>
        <v>368582.40000000002</v>
      </c>
      <c r="H123" s="20">
        <f t="shared" si="8"/>
        <v>0.36858240000000003</v>
      </c>
      <c r="I123" s="20">
        <v>16221</v>
      </c>
      <c r="J123" s="39">
        <f t="shared" si="9"/>
        <v>1.6220999999999999E-2</v>
      </c>
      <c r="K123" s="20">
        <v>2376</v>
      </c>
      <c r="L123" s="20">
        <f t="shared" si="10"/>
        <v>2.3760000000000001E-3</v>
      </c>
      <c r="M123" s="20">
        <f t="shared" si="13"/>
        <v>1.8596999999999999E-2</v>
      </c>
      <c r="N123" s="20">
        <v>4.2076799999999998E-2</v>
      </c>
      <c r="O123" s="3">
        <f t="shared" si="12"/>
        <v>0.30790860000000009</v>
      </c>
    </row>
    <row r="124" spans="1:15" x14ac:dyDescent="0.7">
      <c r="A124" s="5"/>
      <c r="B124" s="5"/>
      <c r="C124" s="5">
        <v>2</v>
      </c>
      <c r="D124" s="6">
        <v>4.6529999999999996</v>
      </c>
      <c r="E124" s="6">
        <v>2.1</v>
      </c>
      <c r="F124" s="24">
        <v>4.9139999999999997</v>
      </c>
      <c r="G124" s="14">
        <f t="shared" si="7"/>
        <v>424569.59999999998</v>
      </c>
      <c r="H124" s="14">
        <f t="shared" si="8"/>
        <v>0.42456959999999999</v>
      </c>
      <c r="I124" s="14">
        <v>14142</v>
      </c>
      <c r="J124" s="37">
        <f t="shared" si="9"/>
        <v>1.4142E-2</v>
      </c>
      <c r="K124" s="14">
        <v>0</v>
      </c>
      <c r="L124" s="14">
        <f t="shared" si="10"/>
        <v>0</v>
      </c>
      <c r="M124" s="14">
        <f t="shared" si="13"/>
        <v>1.4142E-2</v>
      </c>
      <c r="N124" s="14">
        <v>4.2076799999999998E-2</v>
      </c>
      <c r="O124" s="6">
        <f t="shared" si="12"/>
        <v>0.36835079999999998</v>
      </c>
    </row>
    <row r="125" spans="1:15" x14ac:dyDescent="0.7">
      <c r="A125" s="5"/>
      <c r="B125" s="5"/>
      <c r="C125" s="5">
        <v>3</v>
      </c>
      <c r="D125" s="6">
        <v>5.1760000000000002</v>
      </c>
      <c r="E125" s="6">
        <v>0</v>
      </c>
      <c r="F125" s="24">
        <v>5.0730000000000004</v>
      </c>
      <c r="G125" s="14">
        <f t="shared" si="7"/>
        <v>438307.2</v>
      </c>
      <c r="H125" s="14">
        <f t="shared" si="8"/>
        <v>0.43830720000000001</v>
      </c>
      <c r="I125" s="14">
        <v>19968</v>
      </c>
      <c r="J125" s="37">
        <f t="shared" si="9"/>
        <v>1.9968E-2</v>
      </c>
      <c r="K125" s="14">
        <v>0</v>
      </c>
      <c r="L125" s="14">
        <f t="shared" si="10"/>
        <v>0</v>
      </c>
      <c r="M125" s="14">
        <f t="shared" si="13"/>
        <v>1.9968E-2</v>
      </c>
      <c r="N125" s="14">
        <v>8.726399999999998E-2</v>
      </c>
      <c r="O125" s="6">
        <f t="shared" si="12"/>
        <v>0.33107520000000001</v>
      </c>
    </row>
    <row r="126" spans="1:15" x14ac:dyDescent="0.7">
      <c r="A126" s="5"/>
      <c r="B126" s="5"/>
      <c r="C126" s="5">
        <v>4</v>
      </c>
      <c r="D126" s="6">
        <v>4.9710000000000001</v>
      </c>
      <c r="E126" s="6">
        <v>0</v>
      </c>
      <c r="F126" s="24">
        <v>4.7750000000000004</v>
      </c>
      <c r="G126" s="14">
        <f t="shared" si="7"/>
        <v>412560.00000000006</v>
      </c>
      <c r="H126" s="14">
        <f t="shared" si="8"/>
        <v>0.41256000000000004</v>
      </c>
      <c r="I126" s="14">
        <v>26180</v>
      </c>
      <c r="J126" s="37">
        <f t="shared" si="9"/>
        <v>2.6179999999999998E-2</v>
      </c>
      <c r="K126" s="14">
        <v>0</v>
      </c>
      <c r="L126" s="14">
        <f t="shared" si="10"/>
        <v>0</v>
      </c>
      <c r="M126" s="14">
        <f t="shared" si="13"/>
        <v>2.6179999999999998E-2</v>
      </c>
      <c r="N126" s="14">
        <v>0.12839039999999999</v>
      </c>
      <c r="O126" s="6">
        <f t="shared" si="12"/>
        <v>0.25798960000000004</v>
      </c>
    </row>
    <row r="127" spans="1:15" x14ac:dyDescent="0.7">
      <c r="A127" s="5"/>
      <c r="B127" s="5"/>
      <c r="C127" s="5">
        <v>5</v>
      </c>
      <c r="D127" s="6">
        <v>4.58</v>
      </c>
      <c r="E127" s="6">
        <v>0</v>
      </c>
      <c r="F127" s="24">
        <v>4.383</v>
      </c>
      <c r="G127" s="14">
        <f t="shared" si="7"/>
        <v>378691.2</v>
      </c>
      <c r="H127" s="14">
        <f t="shared" si="8"/>
        <v>0.37869120000000001</v>
      </c>
      <c r="I127" s="14">
        <v>28007</v>
      </c>
      <c r="J127" s="37">
        <f t="shared" si="9"/>
        <v>2.8007000000000001E-2</v>
      </c>
      <c r="K127" s="14">
        <v>0</v>
      </c>
      <c r="L127" s="14">
        <f t="shared" si="10"/>
        <v>0</v>
      </c>
      <c r="M127" s="14">
        <f t="shared" si="13"/>
        <v>2.8007000000000001E-2</v>
      </c>
      <c r="N127" s="14">
        <v>4.7087999999999998E-2</v>
      </c>
      <c r="O127" s="6">
        <f t="shared" si="12"/>
        <v>0.30359619999999998</v>
      </c>
    </row>
    <row r="128" spans="1:15" x14ac:dyDescent="0.7">
      <c r="A128" s="5"/>
      <c r="B128" s="5"/>
      <c r="C128" s="5">
        <v>6</v>
      </c>
      <c r="D128" s="6">
        <v>4.1859999999999999</v>
      </c>
      <c r="E128" s="6">
        <v>0</v>
      </c>
      <c r="F128" s="24">
        <v>4.68</v>
      </c>
      <c r="G128" s="14">
        <f t="shared" si="7"/>
        <v>404352</v>
      </c>
      <c r="H128" s="14">
        <f t="shared" si="8"/>
        <v>0.40435199999999999</v>
      </c>
      <c r="I128" s="14">
        <v>29051</v>
      </c>
      <c r="J128" s="37">
        <f t="shared" si="9"/>
        <v>2.9051E-2</v>
      </c>
      <c r="K128" s="14">
        <v>0</v>
      </c>
      <c r="L128" s="14">
        <f t="shared" si="10"/>
        <v>0</v>
      </c>
      <c r="M128" s="14">
        <f t="shared" si="13"/>
        <v>2.9051E-2</v>
      </c>
      <c r="N128" s="14">
        <v>0.128304</v>
      </c>
      <c r="O128" s="6">
        <f t="shared" si="12"/>
        <v>0.24699699999999999</v>
      </c>
    </row>
    <row r="129" spans="1:15" x14ac:dyDescent="0.7">
      <c r="A129" s="5"/>
      <c r="B129" s="5"/>
      <c r="C129" s="5">
        <v>7</v>
      </c>
      <c r="D129" s="6">
        <v>5.1740000000000004</v>
      </c>
      <c r="E129" s="6">
        <v>12.6</v>
      </c>
      <c r="F129" s="24">
        <v>3.1760000000000002</v>
      </c>
      <c r="G129" s="14">
        <f t="shared" si="7"/>
        <v>274406.40000000002</v>
      </c>
      <c r="H129" s="14">
        <f t="shared" si="8"/>
        <v>0.27440640000000005</v>
      </c>
      <c r="I129" s="14">
        <v>27302</v>
      </c>
      <c r="J129" s="37">
        <f t="shared" si="9"/>
        <v>2.7302E-2</v>
      </c>
      <c r="K129" s="14">
        <v>0</v>
      </c>
      <c r="L129" s="14">
        <f t="shared" si="10"/>
        <v>0</v>
      </c>
      <c r="M129" s="14">
        <f t="shared" si="13"/>
        <v>2.7302E-2</v>
      </c>
      <c r="N129" s="14">
        <v>0.128304</v>
      </c>
      <c r="O129" s="6">
        <f t="shared" si="12"/>
        <v>0.11880040000000006</v>
      </c>
    </row>
    <row r="130" spans="1:15" x14ac:dyDescent="0.7">
      <c r="A130" s="5"/>
      <c r="B130" s="5"/>
      <c r="C130" s="5">
        <v>8</v>
      </c>
      <c r="D130" s="6">
        <v>1.391</v>
      </c>
      <c r="E130" s="6">
        <v>0</v>
      </c>
      <c r="F130" s="24">
        <v>1.423</v>
      </c>
      <c r="G130" s="14">
        <f t="shared" si="7"/>
        <v>122947.2</v>
      </c>
      <c r="H130" s="14">
        <f t="shared" si="8"/>
        <v>0.12294719999999999</v>
      </c>
      <c r="I130" s="14">
        <v>29095</v>
      </c>
      <c r="J130" s="37">
        <f t="shared" si="9"/>
        <v>2.9094999999999999E-2</v>
      </c>
      <c r="K130" s="14">
        <v>5111</v>
      </c>
      <c r="L130" s="14">
        <f t="shared" si="10"/>
        <v>5.1110000000000001E-3</v>
      </c>
      <c r="M130" s="14">
        <f t="shared" si="13"/>
        <v>3.4206E-2</v>
      </c>
      <c r="N130" s="16">
        <v>0.25488</v>
      </c>
      <c r="O130" s="6">
        <f t="shared" si="12"/>
        <v>-0.1661388</v>
      </c>
    </row>
    <row r="131" spans="1:15" x14ac:dyDescent="0.7">
      <c r="A131" s="5"/>
      <c r="B131" s="5"/>
      <c r="C131" s="5">
        <v>9</v>
      </c>
      <c r="D131" s="6">
        <v>6.1099999999999994</v>
      </c>
      <c r="E131" s="6">
        <v>3.6</v>
      </c>
      <c r="F131" s="24">
        <v>1.456</v>
      </c>
      <c r="G131" s="14">
        <f t="shared" ref="G131:G194" si="14">F131*86400</f>
        <v>125798.39999999999</v>
      </c>
      <c r="H131" s="14">
        <f t="shared" ref="H131:H194" si="15">G131/1000000</f>
        <v>0.1257984</v>
      </c>
      <c r="I131" s="14">
        <v>16628</v>
      </c>
      <c r="J131" s="37">
        <f t="shared" ref="J131:J194" si="16">I131/1000000</f>
        <v>1.6628E-2</v>
      </c>
      <c r="K131" s="14">
        <v>3836</v>
      </c>
      <c r="L131" s="14">
        <f t="shared" ref="K131:L153" si="17">K131/1000000</f>
        <v>3.836E-3</v>
      </c>
      <c r="M131" s="14">
        <f t="shared" ref="M131:M138" si="18">J131+L131</f>
        <v>2.0464E-2</v>
      </c>
      <c r="N131" s="14">
        <v>0.22628160000000003</v>
      </c>
      <c r="O131" s="6">
        <f t="shared" si="12"/>
        <v>-0.12094720000000002</v>
      </c>
    </row>
    <row r="132" spans="1:15" x14ac:dyDescent="0.7">
      <c r="A132" s="5"/>
      <c r="B132" s="5"/>
      <c r="C132" s="5">
        <v>10</v>
      </c>
      <c r="D132" s="6">
        <v>13.645</v>
      </c>
      <c r="E132" s="6">
        <v>5.7</v>
      </c>
      <c r="F132" s="24">
        <v>1.2330000000000001</v>
      </c>
      <c r="G132" s="14">
        <f t="shared" si="14"/>
        <v>106531.20000000001</v>
      </c>
      <c r="H132" s="14">
        <f t="shared" si="15"/>
        <v>0.10653120000000001</v>
      </c>
      <c r="I132" s="14">
        <v>12007</v>
      </c>
      <c r="J132" s="37">
        <f t="shared" si="16"/>
        <v>1.2007E-2</v>
      </c>
      <c r="K132" s="14">
        <v>3587</v>
      </c>
      <c r="L132" s="14">
        <f t="shared" si="17"/>
        <v>3.5869999999999999E-3</v>
      </c>
      <c r="M132" s="14">
        <f t="shared" si="18"/>
        <v>1.5594E-2</v>
      </c>
      <c r="N132" s="14">
        <v>0.22127040000000003</v>
      </c>
      <c r="O132" s="6">
        <f t="shared" ref="O132:O195" si="19">H132-M132-N132</f>
        <v>-0.13033320000000004</v>
      </c>
    </row>
    <row r="133" spans="1:15" x14ac:dyDescent="0.7">
      <c r="A133" s="5"/>
      <c r="B133" s="5"/>
      <c r="C133" s="5">
        <v>11</v>
      </c>
      <c r="D133" s="6">
        <v>19.407</v>
      </c>
      <c r="E133" s="6">
        <v>20.6</v>
      </c>
      <c r="F133" s="24">
        <v>1.0109999999999999</v>
      </c>
      <c r="G133" s="14">
        <f t="shared" si="14"/>
        <v>87350.399999999994</v>
      </c>
      <c r="H133" s="14">
        <f t="shared" si="15"/>
        <v>8.7350399999999995E-2</v>
      </c>
      <c r="I133" s="14">
        <v>27614</v>
      </c>
      <c r="J133" s="37">
        <f t="shared" si="16"/>
        <v>2.7614E-2</v>
      </c>
      <c r="K133" s="14">
        <v>1317</v>
      </c>
      <c r="L133" s="14">
        <f t="shared" si="17"/>
        <v>1.317E-3</v>
      </c>
      <c r="M133" s="14">
        <f t="shared" si="18"/>
        <v>2.8930999999999998E-2</v>
      </c>
      <c r="N133" s="14">
        <v>7.4908799999999984E-2</v>
      </c>
      <c r="O133" s="6">
        <f t="shared" si="19"/>
        <v>-1.6489399999999987E-2</v>
      </c>
    </row>
    <row r="134" spans="1:15" x14ac:dyDescent="0.7">
      <c r="A134" s="5"/>
      <c r="B134" s="5"/>
      <c r="C134" s="5">
        <v>12</v>
      </c>
      <c r="D134" s="6">
        <v>23.996000000000002</v>
      </c>
      <c r="E134" s="6">
        <v>0.6</v>
      </c>
      <c r="F134" s="24">
        <v>0.50600000000000001</v>
      </c>
      <c r="G134" s="14">
        <f t="shared" si="14"/>
        <v>43718.400000000001</v>
      </c>
      <c r="H134" s="14">
        <f t="shared" si="15"/>
        <v>4.3718400000000004E-2</v>
      </c>
      <c r="I134" s="14">
        <v>22063</v>
      </c>
      <c r="J134" s="37">
        <f t="shared" si="16"/>
        <v>2.2062999999999999E-2</v>
      </c>
      <c r="K134" s="14">
        <v>4122</v>
      </c>
      <c r="L134" s="14">
        <f t="shared" si="17"/>
        <v>4.1219999999999998E-3</v>
      </c>
      <c r="M134" s="14">
        <f t="shared" si="18"/>
        <v>2.6185E-2</v>
      </c>
      <c r="N134" s="14">
        <v>9.0115199999999993E-2</v>
      </c>
      <c r="O134" s="6">
        <f t="shared" si="19"/>
        <v>-7.2581799999999988E-2</v>
      </c>
    </row>
    <row r="135" spans="1:15" x14ac:dyDescent="0.7">
      <c r="A135" s="5"/>
      <c r="B135" s="5"/>
      <c r="C135" s="5">
        <v>13</v>
      </c>
      <c r="D135" s="6">
        <v>14.663</v>
      </c>
      <c r="E135" s="6">
        <v>0.2</v>
      </c>
      <c r="F135" s="24">
        <v>0</v>
      </c>
      <c r="G135" s="14">
        <f t="shared" si="14"/>
        <v>0</v>
      </c>
      <c r="H135" s="14">
        <f t="shared" si="15"/>
        <v>0</v>
      </c>
      <c r="I135" s="14">
        <v>12623</v>
      </c>
      <c r="J135" s="37">
        <f t="shared" si="16"/>
        <v>1.2623000000000001E-2</v>
      </c>
      <c r="K135" s="14">
        <v>2496</v>
      </c>
      <c r="L135" s="14">
        <f t="shared" si="17"/>
        <v>2.496E-3</v>
      </c>
      <c r="M135" s="14">
        <f t="shared" si="18"/>
        <v>1.5119E-2</v>
      </c>
      <c r="N135" s="14">
        <v>5.4172799999999993E-2</v>
      </c>
      <c r="O135" s="6">
        <f t="shared" si="19"/>
        <v>-6.9291799999999987E-2</v>
      </c>
    </row>
    <row r="136" spans="1:15" x14ac:dyDescent="0.7">
      <c r="A136" s="5"/>
      <c r="B136" s="5"/>
      <c r="C136" s="5">
        <v>14</v>
      </c>
      <c r="D136" s="6">
        <v>10.465999999999999</v>
      </c>
      <c r="E136" s="6">
        <v>1.8</v>
      </c>
      <c r="F136" s="24">
        <v>0</v>
      </c>
      <c r="G136" s="14">
        <f t="shared" si="14"/>
        <v>0</v>
      </c>
      <c r="H136" s="14">
        <f t="shared" si="15"/>
        <v>0</v>
      </c>
      <c r="I136" s="14">
        <v>14573</v>
      </c>
      <c r="J136" s="37">
        <f t="shared" si="16"/>
        <v>1.4572999999999999E-2</v>
      </c>
      <c r="K136" s="14">
        <v>0</v>
      </c>
      <c r="L136" s="14">
        <f t="shared" si="17"/>
        <v>0</v>
      </c>
      <c r="M136" s="14">
        <f t="shared" si="18"/>
        <v>1.4572999999999999E-2</v>
      </c>
      <c r="N136" s="14">
        <v>0</v>
      </c>
      <c r="O136" s="6">
        <f t="shared" si="19"/>
        <v>-1.4572999999999999E-2</v>
      </c>
    </row>
    <row r="137" spans="1:15" x14ac:dyDescent="0.7">
      <c r="A137" s="5"/>
      <c r="B137" s="5"/>
      <c r="C137" s="5">
        <v>15</v>
      </c>
      <c r="D137" s="6">
        <v>6.94</v>
      </c>
      <c r="E137" s="6">
        <v>3.1</v>
      </c>
      <c r="F137" s="24">
        <v>0</v>
      </c>
      <c r="G137" s="14">
        <f t="shared" si="14"/>
        <v>0</v>
      </c>
      <c r="H137" s="14">
        <f t="shared" si="15"/>
        <v>0</v>
      </c>
      <c r="I137" s="14">
        <v>14625</v>
      </c>
      <c r="J137" s="37">
        <f t="shared" si="16"/>
        <v>1.4625000000000001E-2</v>
      </c>
      <c r="K137" s="14">
        <v>0</v>
      </c>
      <c r="L137" s="14">
        <f t="shared" si="17"/>
        <v>0</v>
      </c>
      <c r="M137" s="14">
        <f t="shared" si="18"/>
        <v>1.4625000000000001E-2</v>
      </c>
      <c r="N137" s="14">
        <v>2.0822399999999998E-2</v>
      </c>
      <c r="O137" s="6">
        <f t="shared" si="19"/>
        <v>-3.5447399999999997E-2</v>
      </c>
    </row>
    <row r="138" spans="1:15" x14ac:dyDescent="0.7">
      <c r="A138" s="5"/>
      <c r="B138" s="5"/>
      <c r="C138" s="5">
        <v>16</v>
      </c>
      <c r="D138" s="6">
        <v>5.5090000000000003</v>
      </c>
      <c r="E138" s="6">
        <v>0.3</v>
      </c>
      <c r="F138" s="24">
        <v>0</v>
      </c>
      <c r="G138" s="14">
        <f t="shared" si="14"/>
        <v>0</v>
      </c>
      <c r="H138" s="14">
        <f t="shared" si="15"/>
        <v>0</v>
      </c>
      <c r="I138" s="14">
        <v>16434</v>
      </c>
      <c r="J138" s="37">
        <f t="shared" si="16"/>
        <v>1.6434000000000001E-2</v>
      </c>
      <c r="K138" s="14">
        <v>0</v>
      </c>
      <c r="L138" s="14">
        <f t="shared" si="17"/>
        <v>0</v>
      </c>
      <c r="M138" s="14">
        <f t="shared" si="18"/>
        <v>1.6434000000000001E-2</v>
      </c>
      <c r="N138" s="14">
        <v>2.0822399999999998E-2</v>
      </c>
      <c r="O138" s="6">
        <f t="shared" si="19"/>
        <v>-3.7256399999999995E-2</v>
      </c>
    </row>
    <row r="139" spans="1:15" x14ac:dyDescent="0.7">
      <c r="A139" s="5"/>
      <c r="B139" s="5"/>
      <c r="C139" s="5">
        <v>17</v>
      </c>
      <c r="D139" s="6">
        <v>7.31</v>
      </c>
      <c r="E139" s="6">
        <v>4.7</v>
      </c>
      <c r="F139" s="24">
        <v>0</v>
      </c>
      <c r="G139" s="14">
        <f t="shared" si="14"/>
        <v>0</v>
      </c>
      <c r="H139" s="14">
        <f t="shared" si="15"/>
        <v>0</v>
      </c>
      <c r="I139" s="14">
        <v>17649</v>
      </c>
      <c r="J139" s="37">
        <f t="shared" si="16"/>
        <v>1.7649000000000001E-2</v>
      </c>
      <c r="K139" s="14">
        <v>0</v>
      </c>
      <c r="L139" s="14">
        <f t="shared" si="17"/>
        <v>0</v>
      </c>
      <c r="M139" s="14">
        <f t="shared" ref="M139:M153" si="20">J139+L139</f>
        <v>1.7649000000000001E-2</v>
      </c>
      <c r="N139" s="14">
        <v>0</v>
      </c>
      <c r="O139" s="6">
        <f t="shared" si="19"/>
        <v>-1.7649000000000001E-2</v>
      </c>
    </row>
    <row r="140" spans="1:15" x14ac:dyDescent="0.7">
      <c r="A140" s="5"/>
      <c r="B140" s="5"/>
      <c r="C140" s="5">
        <v>18</v>
      </c>
      <c r="D140" s="6">
        <v>6.7560000000000002</v>
      </c>
      <c r="E140" s="6">
        <v>0</v>
      </c>
      <c r="F140" s="24">
        <v>0</v>
      </c>
      <c r="G140" s="14">
        <f t="shared" si="14"/>
        <v>0</v>
      </c>
      <c r="H140" s="14">
        <f t="shared" si="15"/>
        <v>0</v>
      </c>
      <c r="I140" s="14">
        <v>24385</v>
      </c>
      <c r="J140" s="37">
        <f t="shared" si="16"/>
        <v>2.4385E-2</v>
      </c>
      <c r="K140" s="14">
        <v>0</v>
      </c>
      <c r="L140" s="14">
        <f t="shared" si="17"/>
        <v>0</v>
      </c>
      <c r="M140" s="14">
        <f t="shared" si="20"/>
        <v>2.4385E-2</v>
      </c>
      <c r="N140" s="14">
        <v>0</v>
      </c>
      <c r="O140" s="6">
        <f t="shared" si="19"/>
        <v>-2.4385E-2</v>
      </c>
    </row>
    <row r="141" spans="1:15" x14ac:dyDescent="0.7">
      <c r="A141" s="5"/>
      <c r="B141" s="5"/>
      <c r="C141" s="5">
        <v>19</v>
      </c>
      <c r="D141" s="6">
        <v>7.8979999999999997</v>
      </c>
      <c r="E141" s="6">
        <v>2.0499999999999998</v>
      </c>
      <c r="F141" s="24">
        <v>0</v>
      </c>
      <c r="G141" s="14">
        <f t="shared" si="14"/>
        <v>0</v>
      </c>
      <c r="H141" s="14">
        <f t="shared" si="15"/>
        <v>0</v>
      </c>
      <c r="I141" s="14">
        <v>30849</v>
      </c>
      <c r="J141" s="37">
        <f t="shared" si="16"/>
        <v>3.0849000000000001E-2</v>
      </c>
      <c r="K141" s="14">
        <v>1899</v>
      </c>
      <c r="L141" s="14">
        <f t="shared" si="17"/>
        <v>1.8990000000000001E-3</v>
      </c>
      <c r="M141" s="14">
        <f t="shared" si="20"/>
        <v>3.2747999999999999E-2</v>
      </c>
      <c r="N141" s="14">
        <v>0</v>
      </c>
      <c r="O141" s="6">
        <f t="shared" si="19"/>
        <v>-3.2747999999999999E-2</v>
      </c>
    </row>
    <row r="142" spans="1:15" x14ac:dyDescent="0.7">
      <c r="A142" s="5"/>
      <c r="B142" s="5"/>
      <c r="C142" s="5">
        <v>20</v>
      </c>
      <c r="D142" s="6">
        <v>9.9049999999999994</v>
      </c>
      <c r="E142" s="6">
        <v>0</v>
      </c>
      <c r="F142" s="24">
        <v>0</v>
      </c>
      <c r="G142" s="14">
        <f t="shared" si="14"/>
        <v>0</v>
      </c>
      <c r="H142" s="14">
        <f t="shared" si="15"/>
        <v>0</v>
      </c>
      <c r="I142" s="14">
        <v>29633</v>
      </c>
      <c r="J142" s="37">
        <f t="shared" si="16"/>
        <v>2.9633E-2</v>
      </c>
      <c r="K142" s="14">
        <v>0</v>
      </c>
      <c r="L142" s="14">
        <f t="shared" si="17"/>
        <v>0</v>
      </c>
      <c r="M142" s="14">
        <f t="shared" si="20"/>
        <v>2.9633E-2</v>
      </c>
      <c r="N142" s="14">
        <v>7.3440000000000005E-2</v>
      </c>
      <c r="O142" s="6">
        <f t="shared" si="19"/>
        <v>-0.103073</v>
      </c>
    </row>
    <row r="143" spans="1:15" x14ac:dyDescent="0.7">
      <c r="A143" s="5"/>
      <c r="B143" s="5"/>
      <c r="C143" s="5">
        <v>21</v>
      </c>
      <c r="D143" s="6">
        <v>22.119999999999997</v>
      </c>
      <c r="E143" s="6">
        <v>19.5</v>
      </c>
      <c r="F143" s="24">
        <v>0</v>
      </c>
      <c r="G143" s="14">
        <f t="shared" si="14"/>
        <v>0</v>
      </c>
      <c r="H143" s="14">
        <f t="shared" si="15"/>
        <v>0</v>
      </c>
      <c r="I143" s="14">
        <v>13882</v>
      </c>
      <c r="J143" s="37">
        <f t="shared" si="16"/>
        <v>1.3882E-2</v>
      </c>
      <c r="K143" s="14">
        <v>0</v>
      </c>
      <c r="L143" s="14">
        <f t="shared" si="17"/>
        <v>0</v>
      </c>
      <c r="M143" s="14">
        <f t="shared" si="20"/>
        <v>1.3882E-2</v>
      </c>
      <c r="N143" s="14">
        <v>1.4154911999999999</v>
      </c>
      <c r="O143" s="6">
        <f t="shared" si="19"/>
        <v>-1.4293731999999999</v>
      </c>
    </row>
    <row r="144" spans="1:15" x14ac:dyDescent="0.7">
      <c r="A144" s="5"/>
      <c r="B144" s="5"/>
      <c r="C144" s="5">
        <v>22</v>
      </c>
      <c r="D144" s="6">
        <v>101.26900000000001</v>
      </c>
      <c r="E144" s="6">
        <v>21.2</v>
      </c>
      <c r="F144" s="24">
        <v>4.7</v>
      </c>
      <c r="G144" s="14">
        <f t="shared" si="14"/>
        <v>406080</v>
      </c>
      <c r="H144" s="14">
        <f t="shared" si="15"/>
        <v>0.40608</v>
      </c>
      <c r="I144" s="14">
        <v>21282</v>
      </c>
      <c r="J144" s="37">
        <f t="shared" si="16"/>
        <v>2.1281999999999999E-2</v>
      </c>
      <c r="K144" s="14">
        <v>1906</v>
      </c>
      <c r="L144" s="14">
        <f t="shared" si="17"/>
        <v>1.9059999999999999E-3</v>
      </c>
      <c r="M144" s="14">
        <f t="shared" si="20"/>
        <v>2.3188E-2</v>
      </c>
      <c r="N144" s="14">
        <v>0.17280000000000001</v>
      </c>
      <c r="O144" s="6">
        <f t="shared" si="19"/>
        <v>0.210092</v>
      </c>
    </row>
    <row r="145" spans="1:15" x14ac:dyDescent="0.7">
      <c r="A145" s="5"/>
      <c r="B145" s="5"/>
      <c r="C145" s="5">
        <v>23</v>
      </c>
      <c r="D145" s="6">
        <v>49.198999999999998</v>
      </c>
      <c r="E145" s="6">
        <v>1.7</v>
      </c>
      <c r="F145" s="24">
        <v>2.83</v>
      </c>
      <c r="G145" s="14">
        <f t="shared" si="14"/>
        <v>244512</v>
      </c>
      <c r="H145" s="14">
        <f t="shared" si="15"/>
        <v>0.24451200000000001</v>
      </c>
      <c r="I145" s="14">
        <v>22594</v>
      </c>
      <c r="J145" s="37">
        <f t="shared" si="16"/>
        <v>2.2594E-2</v>
      </c>
      <c r="K145" s="14">
        <v>6510</v>
      </c>
      <c r="L145" s="14">
        <f t="shared" si="17"/>
        <v>6.5100000000000002E-3</v>
      </c>
      <c r="M145" s="14">
        <f t="shared" si="20"/>
        <v>2.9103999999999998E-2</v>
      </c>
      <c r="N145" s="14">
        <v>0.15551999999999999</v>
      </c>
      <c r="O145" s="6">
        <f t="shared" si="19"/>
        <v>5.9888000000000025E-2</v>
      </c>
    </row>
    <row r="146" spans="1:15" x14ac:dyDescent="0.7">
      <c r="A146" s="5"/>
      <c r="B146" s="5"/>
      <c r="C146" s="5">
        <v>24</v>
      </c>
      <c r="D146" s="6">
        <v>25.202000000000002</v>
      </c>
      <c r="E146" s="6">
        <v>1.8</v>
      </c>
      <c r="F146" s="24">
        <v>2.0369999999999999</v>
      </c>
      <c r="G146" s="14">
        <f t="shared" si="14"/>
        <v>175996.79999999999</v>
      </c>
      <c r="H146" s="14">
        <f t="shared" si="15"/>
        <v>0.17599679999999998</v>
      </c>
      <c r="I146" s="14">
        <v>15459</v>
      </c>
      <c r="J146" s="37">
        <f t="shared" si="16"/>
        <v>1.5459000000000001E-2</v>
      </c>
      <c r="K146" s="14">
        <v>6128</v>
      </c>
      <c r="L146" s="14">
        <f t="shared" si="17"/>
        <v>6.1279999999999998E-3</v>
      </c>
      <c r="M146" s="14">
        <f t="shared" si="20"/>
        <v>2.1587000000000002E-2</v>
      </c>
      <c r="N146" s="14">
        <v>0.13</v>
      </c>
      <c r="O146" s="6">
        <f t="shared" si="19"/>
        <v>2.4409799999999982E-2</v>
      </c>
    </row>
    <row r="147" spans="1:15" x14ac:dyDescent="0.7">
      <c r="A147" s="5"/>
      <c r="B147" s="5"/>
      <c r="C147" s="5">
        <v>25</v>
      </c>
      <c r="D147" s="6">
        <v>29.663</v>
      </c>
      <c r="E147" s="6">
        <v>2.65</v>
      </c>
      <c r="F147" s="24">
        <v>1.47</v>
      </c>
      <c r="G147" s="14">
        <f t="shared" si="14"/>
        <v>127008</v>
      </c>
      <c r="H147" s="14">
        <f t="shared" si="15"/>
        <v>0.12700800000000001</v>
      </c>
      <c r="I147" s="14">
        <v>16977</v>
      </c>
      <c r="J147" s="37">
        <f t="shared" si="16"/>
        <v>1.6976999999999999E-2</v>
      </c>
      <c r="K147" s="14">
        <v>6529</v>
      </c>
      <c r="L147" s="14">
        <f t="shared" si="17"/>
        <v>6.5290000000000001E-3</v>
      </c>
      <c r="M147" s="14">
        <f t="shared" si="20"/>
        <v>2.3505999999999999E-2</v>
      </c>
      <c r="N147" s="14">
        <v>9.7000000000000003E-2</v>
      </c>
      <c r="O147" s="6">
        <f t="shared" si="19"/>
        <v>6.5020000000000078E-3</v>
      </c>
    </row>
    <row r="148" spans="1:15" x14ac:dyDescent="0.7">
      <c r="A148" s="5"/>
      <c r="B148" s="5"/>
      <c r="C148" s="5">
        <v>26</v>
      </c>
      <c r="D148" s="6">
        <v>18.103999999999999</v>
      </c>
      <c r="E148" s="6">
        <v>0</v>
      </c>
      <c r="F148" s="24">
        <v>1.47</v>
      </c>
      <c r="G148" s="14">
        <f t="shared" si="14"/>
        <v>127008</v>
      </c>
      <c r="H148" s="14">
        <f t="shared" si="15"/>
        <v>0.12700800000000001</v>
      </c>
      <c r="I148" s="14">
        <v>14275</v>
      </c>
      <c r="J148" s="37">
        <f t="shared" si="16"/>
        <v>1.4274999999999999E-2</v>
      </c>
      <c r="K148" s="14">
        <f t="shared" si="17"/>
        <v>1.4274999999999999E-8</v>
      </c>
      <c r="L148" s="14">
        <f t="shared" si="17"/>
        <v>1.4274999999999998E-14</v>
      </c>
      <c r="M148" s="14">
        <f t="shared" si="20"/>
        <v>1.4275000000014275E-2</v>
      </c>
      <c r="N148" s="14">
        <v>0.106</v>
      </c>
      <c r="O148" s="6">
        <f t="shared" si="19"/>
        <v>6.7329999999857365E-3</v>
      </c>
    </row>
    <row r="149" spans="1:15" x14ac:dyDescent="0.7">
      <c r="A149" s="5"/>
      <c r="B149" s="5"/>
      <c r="C149" s="5">
        <v>27</v>
      </c>
      <c r="D149" s="6">
        <v>14.007999999999999</v>
      </c>
      <c r="E149" s="6">
        <v>0</v>
      </c>
      <c r="F149" s="24">
        <v>1.47</v>
      </c>
      <c r="G149" s="14">
        <f t="shared" si="14"/>
        <v>127008</v>
      </c>
      <c r="H149" s="14">
        <f t="shared" si="15"/>
        <v>0.12700800000000001</v>
      </c>
      <c r="I149" s="14">
        <v>19312</v>
      </c>
      <c r="J149" s="37">
        <f t="shared" si="16"/>
        <v>1.9311999999999999E-2</v>
      </c>
      <c r="K149" s="14">
        <f t="shared" si="17"/>
        <v>1.9311999999999998E-8</v>
      </c>
      <c r="L149" s="14">
        <f t="shared" si="17"/>
        <v>1.9311999999999998E-14</v>
      </c>
      <c r="M149" s="14">
        <f t="shared" si="20"/>
        <v>1.931200000001931E-2</v>
      </c>
      <c r="N149" s="14">
        <v>0.106</v>
      </c>
      <c r="O149" s="6">
        <f t="shared" si="19"/>
        <v>1.6959999999806991E-3</v>
      </c>
    </row>
    <row r="150" spans="1:15" x14ac:dyDescent="0.7">
      <c r="A150" s="5"/>
      <c r="B150" s="5"/>
      <c r="C150" s="5">
        <v>28</v>
      </c>
      <c r="D150" s="6">
        <v>11.329999999999998</v>
      </c>
      <c r="E150" s="6">
        <v>1.1000000000000001</v>
      </c>
      <c r="F150" s="24">
        <v>0</v>
      </c>
      <c r="G150" s="14">
        <f t="shared" si="14"/>
        <v>0</v>
      </c>
      <c r="H150" s="14">
        <f t="shared" si="15"/>
        <v>0</v>
      </c>
      <c r="I150" s="14">
        <v>14436</v>
      </c>
      <c r="J150" s="37">
        <f t="shared" si="16"/>
        <v>1.4435999999999999E-2</v>
      </c>
      <c r="K150" s="14">
        <f t="shared" si="17"/>
        <v>1.4435999999999999E-8</v>
      </c>
      <c r="L150" s="14">
        <f t="shared" si="17"/>
        <v>1.4436E-14</v>
      </c>
      <c r="M150" s="14">
        <f t="shared" si="20"/>
        <v>1.4436000000014436E-2</v>
      </c>
      <c r="N150" s="14">
        <v>4.1000000000000002E-2</v>
      </c>
      <c r="O150" s="6">
        <f t="shared" si="19"/>
        <v>-5.5436000000014439E-2</v>
      </c>
    </row>
    <row r="151" spans="1:15" x14ac:dyDescent="0.7">
      <c r="A151" s="5"/>
      <c r="B151" s="5"/>
      <c r="C151" s="5">
        <v>29</v>
      </c>
      <c r="D151" s="6">
        <v>8.2430000000000003</v>
      </c>
      <c r="E151" s="6">
        <v>0</v>
      </c>
      <c r="F151" s="24">
        <v>0</v>
      </c>
      <c r="G151" s="14">
        <f t="shared" si="14"/>
        <v>0</v>
      </c>
      <c r="H151" s="14">
        <f t="shared" si="15"/>
        <v>0</v>
      </c>
      <c r="I151" s="14">
        <v>16719</v>
      </c>
      <c r="J151" s="37">
        <f t="shared" si="16"/>
        <v>1.6719000000000001E-2</v>
      </c>
      <c r="K151" s="14">
        <f t="shared" si="17"/>
        <v>1.6719000000000002E-8</v>
      </c>
      <c r="L151" s="14">
        <f t="shared" si="17"/>
        <v>1.6719000000000004E-14</v>
      </c>
      <c r="M151" s="14">
        <f t="shared" si="20"/>
        <v>1.671900000001672E-2</v>
      </c>
      <c r="N151" s="14">
        <v>3.6999999999999998E-2</v>
      </c>
      <c r="O151" s="6">
        <f t="shared" si="19"/>
        <v>-5.3719000000016719E-2</v>
      </c>
    </row>
    <row r="152" spans="1:15" x14ac:dyDescent="0.7">
      <c r="A152" s="5"/>
      <c r="B152" s="5"/>
      <c r="C152" s="5">
        <v>30</v>
      </c>
      <c r="D152" s="6">
        <v>7.9429999999999996</v>
      </c>
      <c r="E152" s="6">
        <v>0</v>
      </c>
      <c r="F152" s="24">
        <v>0</v>
      </c>
      <c r="G152" s="14">
        <f t="shared" si="14"/>
        <v>0</v>
      </c>
      <c r="H152" s="14">
        <f t="shared" si="15"/>
        <v>0</v>
      </c>
      <c r="I152" s="14">
        <v>17550</v>
      </c>
      <c r="J152" s="37">
        <f t="shared" si="16"/>
        <v>1.755E-2</v>
      </c>
      <c r="K152" s="14">
        <f t="shared" si="17"/>
        <v>1.7549999999999998E-8</v>
      </c>
      <c r="L152" s="14">
        <f t="shared" si="17"/>
        <v>1.7549999999999998E-14</v>
      </c>
      <c r="M152" s="14">
        <f>J152+L152</f>
        <v>1.7550000000017548E-2</v>
      </c>
      <c r="N152" s="14">
        <v>3.6999999999999998E-2</v>
      </c>
      <c r="O152" s="6">
        <f t="shared" si="19"/>
        <v>-5.4550000000017543E-2</v>
      </c>
    </row>
    <row r="153" spans="1:15" s="12" customFormat="1" ht="25.2" thickBot="1" x14ac:dyDescent="0.75">
      <c r="A153" s="8"/>
      <c r="B153" s="8" t="s">
        <v>19</v>
      </c>
      <c r="C153" s="8">
        <v>31</v>
      </c>
      <c r="D153" s="9">
        <v>7.8310000000000004</v>
      </c>
      <c r="E153" s="9">
        <v>0</v>
      </c>
      <c r="F153" s="29">
        <v>0</v>
      </c>
      <c r="G153" s="23">
        <f t="shared" si="14"/>
        <v>0</v>
      </c>
      <c r="H153" s="23">
        <f t="shared" si="15"/>
        <v>0</v>
      </c>
      <c r="I153" s="23">
        <v>15145</v>
      </c>
      <c r="J153" s="38">
        <f t="shared" si="16"/>
        <v>1.5145E-2</v>
      </c>
      <c r="K153" s="23">
        <f t="shared" si="17"/>
        <v>1.5145000000000001E-8</v>
      </c>
      <c r="L153" s="23">
        <f t="shared" si="17"/>
        <v>1.5145000000000001E-14</v>
      </c>
      <c r="M153" s="23">
        <f t="shared" si="20"/>
        <v>1.5145000000015145E-2</v>
      </c>
      <c r="N153" s="23">
        <v>2.4E-2</v>
      </c>
      <c r="O153" s="9">
        <f t="shared" si="19"/>
        <v>-3.9145000000015147E-2</v>
      </c>
    </row>
    <row r="154" spans="1:15" x14ac:dyDescent="0.7">
      <c r="A154" s="2"/>
      <c r="B154" s="2" t="s">
        <v>20</v>
      </c>
      <c r="C154" s="2">
        <v>1</v>
      </c>
      <c r="D154" s="3">
        <v>10.634</v>
      </c>
      <c r="E154" s="3">
        <v>2.6</v>
      </c>
      <c r="F154" s="31">
        <v>0</v>
      </c>
      <c r="G154" s="20">
        <f t="shared" si="14"/>
        <v>0</v>
      </c>
      <c r="H154" s="20">
        <f t="shared" si="15"/>
        <v>0</v>
      </c>
      <c r="I154" s="20">
        <v>16021</v>
      </c>
      <c r="J154" s="39">
        <f t="shared" si="16"/>
        <v>1.6021000000000001E-2</v>
      </c>
      <c r="K154" s="20">
        <v>5010</v>
      </c>
      <c r="L154" s="20">
        <f t="shared" ref="L154:L217" si="21">K154/1000000</f>
        <v>5.0099999999999997E-3</v>
      </c>
      <c r="M154" s="20">
        <f t="shared" ref="M154:M185" si="22">J154+L154</f>
        <v>2.1031000000000001E-2</v>
      </c>
      <c r="N154" s="20">
        <v>3.7670400000000001E-3</v>
      </c>
      <c r="O154" s="3">
        <f t="shared" si="19"/>
        <v>-2.479804E-2</v>
      </c>
    </row>
    <row r="155" spans="1:15" x14ac:dyDescent="0.7">
      <c r="A155" s="5"/>
      <c r="B155" s="5"/>
      <c r="C155" s="5">
        <v>2</v>
      </c>
      <c r="D155" s="6">
        <v>8.33</v>
      </c>
      <c r="E155" s="6">
        <v>8.4</v>
      </c>
      <c r="F155" s="25">
        <v>0</v>
      </c>
      <c r="G155" s="14">
        <f t="shared" si="14"/>
        <v>0</v>
      </c>
      <c r="H155" s="14">
        <f t="shared" si="15"/>
        <v>0</v>
      </c>
      <c r="I155" s="14">
        <v>15326</v>
      </c>
      <c r="J155" s="37">
        <f t="shared" si="16"/>
        <v>1.5325999999999999E-2</v>
      </c>
      <c r="K155" s="14">
        <v>1880</v>
      </c>
      <c r="L155" s="14">
        <f t="shared" si="21"/>
        <v>1.8799999999999999E-3</v>
      </c>
      <c r="M155" s="14">
        <f t="shared" si="22"/>
        <v>1.7205999999999999E-2</v>
      </c>
      <c r="N155" s="14">
        <v>3.7670400000000001E-3</v>
      </c>
      <c r="O155" s="6">
        <f t="shared" si="19"/>
        <v>-2.0973039999999998E-2</v>
      </c>
    </row>
    <row r="156" spans="1:15" x14ac:dyDescent="0.7">
      <c r="A156" s="5"/>
      <c r="B156" s="5"/>
      <c r="C156" s="5">
        <v>3</v>
      </c>
      <c r="D156" s="6">
        <v>7.077</v>
      </c>
      <c r="E156" s="6">
        <v>0</v>
      </c>
      <c r="F156" s="25">
        <v>6.7859999999999996</v>
      </c>
      <c r="G156" s="14">
        <f t="shared" si="14"/>
        <v>586310.39999999991</v>
      </c>
      <c r="H156" s="14">
        <f t="shared" si="15"/>
        <v>0.5863103999999999</v>
      </c>
      <c r="I156" s="14">
        <v>18900</v>
      </c>
      <c r="J156" s="37">
        <f t="shared" si="16"/>
        <v>1.89E-2</v>
      </c>
      <c r="K156" s="14">
        <v>2533</v>
      </c>
      <c r="L156" s="14">
        <f t="shared" si="21"/>
        <v>2.5330000000000001E-3</v>
      </c>
      <c r="M156" s="14">
        <f t="shared" si="22"/>
        <v>2.1433000000000001E-2</v>
      </c>
      <c r="N156" s="14">
        <v>3.7670400000000001E-3</v>
      </c>
      <c r="O156" s="6">
        <f t="shared" si="19"/>
        <v>0.56111035999999981</v>
      </c>
    </row>
    <row r="157" spans="1:15" x14ac:dyDescent="0.7">
      <c r="A157" s="5"/>
      <c r="B157" s="5"/>
      <c r="C157" s="5">
        <v>4</v>
      </c>
      <c r="D157" s="6">
        <v>6.4950000000000001</v>
      </c>
      <c r="E157" s="6">
        <v>0</v>
      </c>
      <c r="F157" s="25">
        <v>5.008</v>
      </c>
      <c r="G157" s="14">
        <f t="shared" si="14"/>
        <v>432691.20000000001</v>
      </c>
      <c r="H157" s="14">
        <f t="shared" si="15"/>
        <v>0.4326912</v>
      </c>
      <c r="I157" s="14">
        <v>15827</v>
      </c>
      <c r="J157" s="37">
        <f t="shared" si="16"/>
        <v>1.5827000000000001E-2</v>
      </c>
      <c r="K157" s="14">
        <v>1254</v>
      </c>
      <c r="L157" s="14">
        <f t="shared" si="21"/>
        <v>1.2539999999999999E-3</v>
      </c>
      <c r="M157" s="14">
        <f t="shared" si="22"/>
        <v>1.7080999999999999E-2</v>
      </c>
      <c r="N157" s="14">
        <v>0.28456703999999999</v>
      </c>
      <c r="O157" s="6">
        <f t="shared" si="19"/>
        <v>0.13104315999999999</v>
      </c>
    </row>
    <row r="158" spans="1:15" x14ac:dyDescent="0.7">
      <c r="A158" s="5"/>
      <c r="B158" s="5"/>
      <c r="C158" s="5">
        <v>5</v>
      </c>
      <c r="D158" s="6">
        <v>6.2460000000000004</v>
      </c>
      <c r="E158" s="6">
        <v>0</v>
      </c>
      <c r="F158" s="25">
        <v>2.766</v>
      </c>
      <c r="G158" s="14">
        <f t="shared" si="14"/>
        <v>238982.39999999999</v>
      </c>
      <c r="H158" s="14">
        <f t="shared" si="15"/>
        <v>0.23898239999999998</v>
      </c>
      <c r="I158" s="14">
        <v>17982</v>
      </c>
      <c r="J158" s="37">
        <f t="shared" si="16"/>
        <v>1.7982000000000001E-2</v>
      </c>
      <c r="K158" s="14">
        <v>5291</v>
      </c>
      <c r="L158" s="14">
        <f>K158/1000000</f>
        <v>5.2909999999999997E-3</v>
      </c>
      <c r="M158" s="14">
        <f t="shared" si="22"/>
        <v>2.3273000000000002E-2</v>
      </c>
      <c r="N158" s="14">
        <v>0.28456703999999999</v>
      </c>
      <c r="O158" s="6">
        <f t="shared" si="19"/>
        <v>-6.8857639999999998E-2</v>
      </c>
    </row>
    <row r="159" spans="1:15" x14ac:dyDescent="0.7">
      <c r="A159" s="5"/>
      <c r="B159" s="5"/>
      <c r="C159" s="5">
        <v>6</v>
      </c>
      <c r="D159" s="6">
        <v>6.2080000000000002</v>
      </c>
      <c r="E159" s="6">
        <v>0</v>
      </c>
      <c r="F159" s="25">
        <v>1.5169999999999999</v>
      </c>
      <c r="G159" s="14">
        <f t="shared" si="14"/>
        <v>131068.79999999999</v>
      </c>
      <c r="H159" s="14">
        <f t="shared" si="15"/>
        <v>0.13106879999999999</v>
      </c>
      <c r="I159" s="14">
        <v>14909</v>
      </c>
      <c r="J159" s="37">
        <f t="shared" si="16"/>
        <v>1.4909E-2</v>
      </c>
      <c r="K159" s="14">
        <v>4852</v>
      </c>
      <c r="L159" s="14">
        <f t="shared" si="21"/>
        <v>4.8520000000000004E-3</v>
      </c>
      <c r="M159" s="14">
        <f t="shared" si="22"/>
        <v>1.9761000000000001E-2</v>
      </c>
      <c r="N159" s="14">
        <v>0.28456703999999999</v>
      </c>
      <c r="O159" s="6">
        <f t="shared" si="19"/>
        <v>-0.17325924000000001</v>
      </c>
    </row>
    <row r="160" spans="1:15" x14ac:dyDescent="0.7">
      <c r="A160" s="5"/>
      <c r="B160" s="5"/>
      <c r="C160" s="5">
        <v>7</v>
      </c>
      <c r="D160" s="6">
        <v>5.1499999999999995</v>
      </c>
      <c r="E160" s="6">
        <v>1.9</v>
      </c>
      <c r="F160" s="25">
        <v>1.0229999999999999</v>
      </c>
      <c r="G160" s="14">
        <f t="shared" si="14"/>
        <v>88387.199999999997</v>
      </c>
      <c r="H160" s="14">
        <f t="shared" si="15"/>
        <v>8.8387199999999999E-2</v>
      </c>
      <c r="I160" s="14">
        <v>13866</v>
      </c>
      <c r="J160" s="37">
        <f t="shared" si="16"/>
        <v>1.3866E-2</v>
      </c>
      <c r="K160" s="14">
        <v>5853</v>
      </c>
      <c r="L160" s="14">
        <f>K160/1000000</f>
        <v>5.8529999999999997E-3</v>
      </c>
      <c r="M160" s="14">
        <f t="shared" si="22"/>
        <v>1.9719E-2</v>
      </c>
      <c r="N160" s="14">
        <v>0.10139904</v>
      </c>
      <c r="O160" s="6">
        <f t="shared" si="19"/>
        <v>-3.2730839999999997E-2</v>
      </c>
    </row>
    <row r="161" spans="1:15" x14ac:dyDescent="0.7">
      <c r="A161" s="5"/>
      <c r="B161" s="5"/>
      <c r="C161" s="5">
        <v>8</v>
      </c>
      <c r="D161" s="6">
        <v>4.6539999999999999</v>
      </c>
      <c r="E161" s="6">
        <v>0</v>
      </c>
      <c r="F161" s="25">
        <v>0</v>
      </c>
      <c r="G161" s="14">
        <f t="shared" si="14"/>
        <v>0</v>
      </c>
      <c r="H161" s="14">
        <f t="shared" si="15"/>
        <v>0</v>
      </c>
      <c r="I161" s="14">
        <v>17884</v>
      </c>
      <c r="J161" s="37">
        <f t="shared" si="16"/>
        <v>1.7884000000000001E-2</v>
      </c>
      <c r="K161" s="14">
        <v>1330</v>
      </c>
      <c r="L161" s="14">
        <f t="shared" si="21"/>
        <v>1.33E-3</v>
      </c>
      <c r="M161" s="14">
        <f t="shared" si="22"/>
        <v>1.9214000000000002E-2</v>
      </c>
      <c r="N161" s="14">
        <v>4.2647040000000004E-2</v>
      </c>
      <c r="O161" s="6">
        <f t="shared" si="19"/>
        <v>-6.1861040000000006E-2</v>
      </c>
    </row>
    <row r="162" spans="1:15" x14ac:dyDescent="0.7">
      <c r="A162" s="5"/>
      <c r="B162" s="5"/>
      <c r="C162" s="5">
        <v>9</v>
      </c>
      <c r="D162" s="6">
        <v>7.71</v>
      </c>
      <c r="E162" s="6">
        <v>1.1000000000000001</v>
      </c>
      <c r="F162" s="25">
        <v>0</v>
      </c>
      <c r="G162" s="14">
        <f t="shared" si="14"/>
        <v>0</v>
      </c>
      <c r="H162" s="14">
        <f t="shared" si="15"/>
        <v>0</v>
      </c>
      <c r="I162" s="14">
        <v>15390</v>
      </c>
      <c r="J162" s="37">
        <f t="shared" si="16"/>
        <v>1.5389999999999999E-2</v>
      </c>
      <c r="K162" s="14">
        <v>1955</v>
      </c>
      <c r="L162" s="14">
        <f t="shared" si="21"/>
        <v>1.9550000000000001E-3</v>
      </c>
      <c r="M162" s="14">
        <f t="shared" si="22"/>
        <v>1.7344999999999999E-2</v>
      </c>
      <c r="N162" s="14">
        <v>3.7670400000000001E-3</v>
      </c>
      <c r="O162" s="6">
        <f t="shared" si="19"/>
        <v>-2.1112039999999999E-2</v>
      </c>
    </row>
    <row r="163" spans="1:15" x14ac:dyDescent="0.7">
      <c r="A163" s="5"/>
      <c r="B163" s="5"/>
      <c r="C163" s="5">
        <v>10</v>
      </c>
      <c r="D163" s="6">
        <v>5.3689999999999998</v>
      </c>
      <c r="E163" s="6">
        <v>0</v>
      </c>
      <c r="F163" s="25">
        <v>0</v>
      </c>
      <c r="G163" s="14">
        <f t="shared" si="14"/>
        <v>0</v>
      </c>
      <c r="H163" s="14">
        <f t="shared" si="15"/>
        <v>0</v>
      </c>
      <c r="I163" s="14">
        <v>16452</v>
      </c>
      <c r="J163" s="37">
        <f t="shared" si="16"/>
        <v>1.6452000000000001E-2</v>
      </c>
      <c r="K163" s="14">
        <v>2069</v>
      </c>
      <c r="L163" s="14">
        <f t="shared" si="21"/>
        <v>2.0690000000000001E-3</v>
      </c>
      <c r="M163" s="14">
        <f t="shared" si="22"/>
        <v>1.8521000000000003E-2</v>
      </c>
      <c r="N163" s="14">
        <v>3.7670400000000001E-3</v>
      </c>
      <c r="O163" s="6">
        <f t="shared" si="19"/>
        <v>-2.2288040000000002E-2</v>
      </c>
    </row>
    <row r="164" spans="1:15" x14ac:dyDescent="0.7">
      <c r="A164" s="5"/>
      <c r="B164" s="5"/>
      <c r="C164" s="5">
        <v>11</v>
      </c>
      <c r="D164" s="6">
        <v>6.8979999999999997</v>
      </c>
      <c r="E164" s="6">
        <v>0</v>
      </c>
      <c r="F164" s="25">
        <v>0</v>
      </c>
      <c r="G164" s="14">
        <f t="shared" si="14"/>
        <v>0</v>
      </c>
      <c r="H164" s="14">
        <f t="shared" si="15"/>
        <v>0</v>
      </c>
      <c r="I164" s="14">
        <v>20079</v>
      </c>
      <c r="J164" s="37">
        <f t="shared" si="16"/>
        <v>2.0079E-2</v>
      </c>
      <c r="K164" s="14">
        <v>1465</v>
      </c>
      <c r="L164" s="14">
        <f t="shared" si="21"/>
        <v>1.4649999999999999E-3</v>
      </c>
      <c r="M164" s="14">
        <f t="shared" si="22"/>
        <v>2.1544000000000001E-2</v>
      </c>
      <c r="N164" s="14">
        <v>3.7670400000000001E-3</v>
      </c>
      <c r="O164" s="6">
        <f t="shared" si="19"/>
        <v>-2.531104E-2</v>
      </c>
    </row>
    <row r="165" spans="1:15" x14ac:dyDescent="0.7">
      <c r="A165" s="5"/>
      <c r="B165" s="5"/>
      <c r="C165" s="5">
        <v>12</v>
      </c>
      <c r="D165" s="6">
        <v>6.8979999999999997</v>
      </c>
      <c r="E165" s="6">
        <v>2.4</v>
      </c>
      <c r="F165" s="25">
        <v>0</v>
      </c>
      <c r="G165" s="14">
        <f t="shared" si="14"/>
        <v>0</v>
      </c>
      <c r="H165" s="14">
        <f t="shared" si="15"/>
        <v>0</v>
      </c>
      <c r="I165" s="14">
        <v>17796</v>
      </c>
      <c r="J165" s="37">
        <f t="shared" si="16"/>
        <v>1.7795999999999999E-2</v>
      </c>
      <c r="K165" s="14">
        <v>2244</v>
      </c>
      <c r="L165" s="14">
        <f t="shared" si="21"/>
        <v>2.2439999999999999E-3</v>
      </c>
      <c r="M165" s="14">
        <f t="shared" si="22"/>
        <v>2.0039999999999999E-2</v>
      </c>
      <c r="N165" s="14">
        <v>3.7670400000000001E-3</v>
      </c>
      <c r="O165" s="6">
        <f t="shared" si="19"/>
        <v>-2.3807039999999998E-2</v>
      </c>
    </row>
    <row r="166" spans="1:15" x14ac:dyDescent="0.7">
      <c r="A166" s="5"/>
      <c r="B166" s="5"/>
      <c r="C166" s="5">
        <v>13</v>
      </c>
      <c r="D166" s="6">
        <v>6.1180000000000003</v>
      </c>
      <c r="E166" s="6">
        <v>0</v>
      </c>
      <c r="F166" s="25">
        <v>0</v>
      </c>
      <c r="G166" s="14">
        <f t="shared" si="14"/>
        <v>0</v>
      </c>
      <c r="H166" s="14">
        <f t="shared" si="15"/>
        <v>0</v>
      </c>
      <c r="I166" s="14">
        <v>17113</v>
      </c>
      <c r="J166" s="37">
        <f t="shared" si="16"/>
        <v>1.7113E-2</v>
      </c>
      <c r="K166" s="14">
        <v>3694</v>
      </c>
      <c r="L166" s="14">
        <f t="shared" si="21"/>
        <v>3.6939999999999998E-3</v>
      </c>
      <c r="M166" s="14">
        <f t="shared" si="22"/>
        <v>2.0806999999999999E-2</v>
      </c>
      <c r="N166" s="14">
        <v>3.7670400000000001E-3</v>
      </c>
      <c r="O166" s="6">
        <f t="shared" si="19"/>
        <v>-2.4574039999999998E-2</v>
      </c>
    </row>
    <row r="167" spans="1:15" x14ac:dyDescent="0.7">
      <c r="A167" s="5"/>
      <c r="B167" s="5"/>
      <c r="C167" s="5">
        <v>14</v>
      </c>
      <c r="D167" s="6">
        <v>6.1180000000000003</v>
      </c>
      <c r="E167" s="6">
        <v>3.1</v>
      </c>
      <c r="F167" s="25">
        <v>0</v>
      </c>
      <c r="G167" s="14">
        <f t="shared" si="14"/>
        <v>0</v>
      </c>
      <c r="H167" s="14">
        <f t="shared" si="15"/>
        <v>0</v>
      </c>
      <c r="I167" s="14">
        <v>18230</v>
      </c>
      <c r="J167" s="37">
        <f t="shared" si="16"/>
        <v>1.823E-2</v>
      </c>
      <c r="K167" s="14">
        <v>1202</v>
      </c>
      <c r="L167" s="14">
        <f t="shared" si="21"/>
        <v>1.2019999999999999E-3</v>
      </c>
      <c r="M167" s="14">
        <f t="shared" si="22"/>
        <v>1.9431999999999998E-2</v>
      </c>
      <c r="N167" s="14">
        <v>3.7670400000000001E-3</v>
      </c>
      <c r="O167" s="6">
        <f t="shared" si="19"/>
        <v>-2.3199039999999997E-2</v>
      </c>
    </row>
    <row r="168" spans="1:15" x14ac:dyDescent="0.7">
      <c r="A168" s="5"/>
      <c r="B168" s="5"/>
      <c r="C168" s="5">
        <v>15</v>
      </c>
      <c r="D168" s="6">
        <v>6.8979999999999997</v>
      </c>
      <c r="E168" s="6">
        <v>0</v>
      </c>
      <c r="F168" s="25">
        <v>2.1909999999999998</v>
      </c>
      <c r="G168" s="14">
        <f t="shared" si="14"/>
        <v>189302.39999999999</v>
      </c>
      <c r="H168" s="14">
        <f t="shared" si="15"/>
        <v>0.18930239999999998</v>
      </c>
      <c r="I168" s="14">
        <v>19258</v>
      </c>
      <c r="J168" s="37">
        <f t="shared" si="16"/>
        <v>1.9258000000000001E-2</v>
      </c>
      <c r="K168" s="14">
        <v>1</v>
      </c>
      <c r="L168" s="14">
        <f t="shared" si="21"/>
        <v>9.9999999999999995E-7</v>
      </c>
      <c r="M168" s="14">
        <f t="shared" si="22"/>
        <v>1.9259000000000002E-2</v>
      </c>
      <c r="N168" s="14">
        <v>3.7670400000000001E-3</v>
      </c>
      <c r="O168" s="6">
        <f t="shared" si="19"/>
        <v>0.16627635999999998</v>
      </c>
    </row>
    <row r="169" spans="1:15" x14ac:dyDescent="0.7">
      <c r="A169" s="5"/>
      <c r="B169" s="5"/>
      <c r="C169" s="5">
        <v>16</v>
      </c>
      <c r="D169" s="6">
        <v>8.0519999999999996</v>
      </c>
      <c r="E169" s="6">
        <v>19.399999999999999</v>
      </c>
      <c r="F169" s="25">
        <v>7.9420000000000002</v>
      </c>
      <c r="G169" s="14">
        <f t="shared" si="14"/>
        <v>686188.8</v>
      </c>
      <c r="H169" s="14">
        <f t="shared" si="15"/>
        <v>0.68618880000000004</v>
      </c>
      <c r="I169" s="14">
        <v>18368</v>
      </c>
      <c r="J169" s="37">
        <f t="shared" si="16"/>
        <v>1.8367999999999999E-2</v>
      </c>
      <c r="K169" s="14">
        <v>56</v>
      </c>
      <c r="L169" s="14">
        <f t="shared" si="21"/>
        <v>5.5999999999999999E-5</v>
      </c>
      <c r="M169" s="14">
        <f t="shared" si="22"/>
        <v>1.8423999999999999E-2</v>
      </c>
      <c r="N169" s="14">
        <v>3.7670400000000001E-3</v>
      </c>
      <c r="O169" s="6">
        <f t="shared" si="19"/>
        <v>0.66399775999999999</v>
      </c>
    </row>
    <row r="170" spans="1:15" x14ac:dyDescent="0.7">
      <c r="A170" s="5"/>
      <c r="B170" s="5"/>
      <c r="C170" s="5">
        <v>17</v>
      </c>
      <c r="D170" s="6">
        <v>7.8330000000000002</v>
      </c>
      <c r="E170" s="6">
        <v>0</v>
      </c>
      <c r="F170" s="25">
        <v>7.7140000000000004</v>
      </c>
      <c r="G170" s="14">
        <f t="shared" si="14"/>
        <v>666489.60000000009</v>
      </c>
      <c r="H170" s="14">
        <f t="shared" si="15"/>
        <v>0.66648960000000013</v>
      </c>
      <c r="I170" s="14">
        <v>17594</v>
      </c>
      <c r="J170" s="37">
        <f t="shared" si="16"/>
        <v>1.7593999999999999E-2</v>
      </c>
      <c r="K170" s="14">
        <v>0</v>
      </c>
      <c r="L170" s="14">
        <f t="shared" si="21"/>
        <v>0</v>
      </c>
      <c r="M170" s="14">
        <f t="shared" si="22"/>
        <v>1.7593999999999999E-2</v>
      </c>
      <c r="N170" s="14">
        <v>3.7670400000000001E-3</v>
      </c>
      <c r="O170" s="6">
        <f t="shared" si="19"/>
        <v>0.64512856000000007</v>
      </c>
    </row>
    <row r="171" spans="1:15" x14ac:dyDescent="0.7">
      <c r="A171" s="5"/>
      <c r="B171" s="5"/>
      <c r="C171" s="5">
        <v>18</v>
      </c>
      <c r="D171" s="6">
        <v>7.5949999999999998</v>
      </c>
      <c r="E171" s="6">
        <v>7.2</v>
      </c>
      <c r="F171" s="25">
        <v>7.6820000000000004</v>
      </c>
      <c r="G171" s="14">
        <f t="shared" si="14"/>
        <v>663724.80000000005</v>
      </c>
      <c r="H171" s="14">
        <f t="shared" si="15"/>
        <v>0.6637248</v>
      </c>
      <c r="I171" s="14">
        <v>19609</v>
      </c>
      <c r="J171" s="37">
        <f t="shared" si="16"/>
        <v>1.9609000000000001E-2</v>
      </c>
      <c r="K171" s="14">
        <v>0</v>
      </c>
      <c r="L171" s="14">
        <f t="shared" si="21"/>
        <v>0</v>
      </c>
      <c r="M171" s="14">
        <f t="shared" si="22"/>
        <v>1.9609000000000001E-2</v>
      </c>
      <c r="N171" s="14">
        <v>3.7670400000000001E-3</v>
      </c>
      <c r="O171" s="6">
        <f t="shared" si="19"/>
        <v>0.64034875999999996</v>
      </c>
    </row>
    <row r="172" spans="1:15" x14ac:dyDescent="0.7">
      <c r="A172" s="5"/>
      <c r="B172" s="5"/>
      <c r="C172" s="5">
        <v>19</v>
      </c>
      <c r="D172" s="6">
        <v>7.7679999999999998</v>
      </c>
      <c r="E172" s="6">
        <v>2.1</v>
      </c>
      <c r="F172" s="25">
        <v>7.3789999999999996</v>
      </c>
      <c r="G172" s="14">
        <f t="shared" si="14"/>
        <v>637545.6</v>
      </c>
      <c r="H172" s="14">
        <f t="shared" si="15"/>
        <v>0.63754559999999993</v>
      </c>
      <c r="I172" s="16">
        <v>19144</v>
      </c>
      <c r="J172" s="37">
        <f t="shared" si="16"/>
        <v>1.9144000000000001E-2</v>
      </c>
      <c r="K172" s="14">
        <v>1379</v>
      </c>
      <c r="L172" s="14">
        <f t="shared" si="21"/>
        <v>1.379E-3</v>
      </c>
      <c r="M172" s="14">
        <f t="shared" si="22"/>
        <v>2.0523E-2</v>
      </c>
      <c r="N172" s="14">
        <v>3.7670400000000001E-3</v>
      </c>
      <c r="O172" s="6">
        <f t="shared" si="19"/>
        <v>0.61325555999999992</v>
      </c>
    </row>
    <row r="173" spans="1:15" x14ac:dyDescent="0.7">
      <c r="A173" s="5"/>
      <c r="B173" s="5"/>
      <c r="C173" s="5">
        <v>20</v>
      </c>
      <c r="D173" s="6">
        <v>6.99</v>
      </c>
      <c r="E173" s="6">
        <v>0</v>
      </c>
      <c r="F173" s="25">
        <v>6.3289999999999997</v>
      </c>
      <c r="G173" s="14">
        <f t="shared" si="14"/>
        <v>546825.6</v>
      </c>
      <c r="H173" s="14">
        <f t="shared" si="15"/>
        <v>0.54682560000000002</v>
      </c>
      <c r="I173" s="14">
        <v>19555</v>
      </c>
      <c r="J173" s="37">
        <f t="shared" si="16"/>
        <v>1.9554999999999999E-2</v>
      </c>
      <c r="K173" s="14">
        <v>0</v>
      </c>
      <c r="L173" s="14">
        <f t="shared" si="21"/>
        <v>0</v>
      </c>
      <c r="M173" s="14">
        <f t="shared" si="22"/>
        <v>1.9554999999999999E-2</v>
      </c>
      <c r="N173" s="14">
        <v>3.7670400000000001E-3</v>
      </c>
      <c r="O173" s="6">
        <f t="shared" si="19"/>
        <v>0.52350355999999998</v>
      </c>
    </row>
    <row r="174" spans="1:15" x14ac:dyDescent="0.7">
      <c r="A174" s="5"/>
      <c r="B174" s="5"/>
      <c r="C174" s="5">
        <v>21</v>
      </c>
      <c r="D174" s="6">
        <v>5.6680000000000001</v>
      </c>
      <c r="E174" s="6">
        <v>1.2</v>
      </c>
      <c r="F174" s="25">
        <v>5.3470000000000004</v>
      </c>
      <c r="G174" s="14">
        <f t="shared" si="14"/>
        <v>461980.80000000005</v>
      </c>
      <c r="H174" s="14">
        <f t="shared" si="15"/>
        <v>0.46198080000000002</v>
      </c>
      <c r="I174" s="14">
        <v>19407</v>
      </c>
      <c r="J174" s="37">
        <f t="shared" si="16"/>
        <v>1.9407000000000001E-2</v>
      </c>
      <c r="K174" s="14">
        <v>0</v>
      </c>
      <c r="L174" s="14">
        <f t="shared" si="21"/>
        <v>0</v>
      </c>
      <c r="M174" s="14">
        <f t="shared" si="22"/>
        <v>1.9407000000000001E-2</v>
      </c>
      <c r="N174" s="14">
        <v>3.7670400000000001E-3</v>
      </c>
      <c r="O174" s="6">
        <f t="shared" si="19"/>
        <v>0.43880676000000002</v>
      </c>
    </row>
    <row r="175" spans="1:15" x14ac:dyDescent="0.7">
      <c r="A175" s="5"/>
      <c r="B175" s="5"/>
      <c r="C175" s="5">
        <v>22</v>
      </c>
      <c r="D175" s="6">
        <v>5.0259999999999998</v>
      </c>
      <c r="E175" s="6">
        <v>0</v>
      </c>
      <c r="F175" s="25">
        <v>5.0209999999999999</v>
      </c>
      <c r="G175" s="14">
        <f t="shared" si="14"/>
        <v>433814.39999999997</v>
      </c>
      <c r="H175" s="14">
        <f t="shared" si="15"/>
        <v>0.43381439999999999</v>
      </c>
      <c r="I175" s="14">
        <v>18675</v>
      </c>
      <c r="J175" s="37">
        <f t="shared" si="16"/>
        <v>1.8675000000000001E-2</v>
      </c>
      <c r="K175" s="14">
        <v>0</v>
      </c>
      <c r="L175" s="14">
        <f>K175/1000000</f>
        <v>0</v>
      </c>
      <c r="M175" s="14">
        <f t="shared" si="22"/>
        <v>1.8675000000000001E-2</v>
      </c>
      <c r="N175" s="14">
        <v>3.7670400000000001E-3</v>
      </c>
      <c r="O175" s="6">
        <f t="shared" si="19"/>
        <v>0.41137235999999999</v>
      </c>
    </row>
    <row r="176" spans="1:15" x14ac:dyDescent="0.7">
      <c r="A176" s="5"/>
      <c r="B176" s="5"/>
      <c r="C176" s="5">
        <v>23</v>
      </c>
      <c r="D176" s="6">
        <v>5.0170000000000003</v>
      </c>
      <c r="E176" s="6">
        <v>0</v>
      </c>
      <c r="F176" s="25">
        <v>4.9649999999999999</v>
      </c>
      <c r="G176" s="14">
        <f t="shared" si="14"/>
        <v>428976</v>
      </c>
      <c r="H176" s="14">
        <f t="shared" si="15"/>
        <v>0.42897600000000002</v>
      </c>
      <c r="I176" s="14">
        <v>20513</v>
      </c>
      <c r="J176" s="37">
        <f t="shared" si="16"/>
        <v>2.0513E-2</v>
      </c>
      <c r="K176" s="14">
        <v>0</v>
      </c>
      <c r="L176" s="14">
        <f t="shared" si="21"/>
        <v>0</v>
      </c>
      <c r="M176" s="14">
        <f t="shared" si="22"/>
        <v>2.0513E-2</v>
      </c>
      <c r="N176" s="14">
        <v>3.7670400000000001E-3</v>
      </c>
      <c r="O176" s="6">
        <f t="shared" si="19"/>
        <v>0.40469596000000002</v>
      </c>
    </row>
    <row r="177" spans="1:15" x14ac:dyDescent="0.7">
      <c r="A177" s="5"/>
      <c r="B177" s="5"/>
      <c r="C177" s="5">
        <v>24</v>
      </c>
      <c r="D177" s="6">
        <v>4.9139999999999997</v>
      </c>
      <c r="E177" s="6">
        <v>0</v>
      </c>
      <c r="F177" s="25">
        <v>4.8179999999999996</v>
      </c>
      <c r="G177" s="14">
        <f t="shared" si="14"/>
        <v>416275.19999999995</v>
      </c>
      <c r="H177" s="14">
        <f t="shared" si="15"/>
        <v>0.41627519999999996</v>
      </c>
      <c r="I177" s="16">
        <v>19818</v>
      </c>
      <c r="J177" s="37">
        <f t="shared" si="16"/>
        <v>1.9817999999999999E-2</v>
      </c>
      <c r="K177" s="14">
        <v>0</v>
      </c>
      <c r="L177" s="14">
        <f t="shared" si="21"/>
        <v>0</v>
      </c>
      <c r="M177" s="14">
        <f t="shared" si="22"/>
        <v>1.9817999999999999E-2</v>
      </c>
      <c r="N177" s="14">
        <v>3.7670400000000001E-3</v>
      </c>
      <c r="O177" s="6">
        <f t="shared" si="19"/>
        <v>0.39269015999999995</v>
      </c>
    </row>
    <row r="178" spans="1:15" x14ac:dyDescent="0.7">
      <c r="A178" s="5"/>
      <c r="B178" s="5"/>
      <c r="C178" s="5">
        <v>25</v>
      </c>
      <c r="D178" s="6">
        <v>4.7229999999999999</v>
      </c>
      <c r="E178" s="6">
        <v>0</v>
      </c>
      <c r="F178" s="25">
        <v>4.766</v>
      </c>
      <c r="G178" s="14">
        <f t="shared" si="14"/>
        <v>411782.40000000002</v>
      </c>
      <c r="H178" s="14">
        <f t="shared" si="15"/>
        <v>0.41178240000000005</v>
      </c>
      <c r="I178" s="16">
        <v>18318</v>
      </c>
      <c r="J178" s="37">
        <f t="shared" si="16"/>
        <v>1.8318000000000001E-2</v>
      </c>
      <c r="K178" s="14">
        <v>4676</v>
      </c>
      <c r="L178" s="14">
        <f t="shared" si="21"/>
        <v>4.6759999999999996E-3</v>
      </c>
      <c r="M178" s="14">
        <f t="shared" si="22"/>
        <v>2.2994000000000001E-2</v>
      </c>
      <c r="N178" s="14">
        <v>3.7670400000000001E-3</v>
      </c>
      <c r="O178" s="6">
        <f t="shared" si="19"/>
        <v>0.38502136000000003</v>
      </c>
    </row>
    <row r="179" spans="1:15" x14ac:dyDescent="0.7">
      <c r="A179" s="5"/>
      <c r="B179" s="5"/>
      <c r="C179" s="5">
        <v>26</v>
      </c>
      <c r="D179" s="6">
        <v>4.8090000000000002</v>
      </c>
      <c r="E179" s="6">
        <v>6.7</v>
      </c>
      <c r="F179" s="25">
        <v>4.9290000000000003</v>
      </c>
      <c r="G179" s="14">
        <f t="shared" si="14"/>
        <v>425865.60000000003</v>
      </c>
      <c r="H179" s="14">
        <f t="shared" si="15"/>
        <v>0.42586560000000001</v>
      </c>
      <c r="I179" s="14">
        <v>19337</v>
      </c>
      <c r="J179" s="37">
        <f t="shared" si="16"/>
        <v>1.9337E-2</v>
      </c>
      <c r="K179" s="14">
        <v>0</v>
      </c>
      <c r="L179" s="14">
        <f t="shared" si="21"/>
        <v>0</v>
      </c>
      <c r="M179" s="14">
        <f t="shared" si="22"/>
        <v>1.9337E-2</v>
      </c>
      <c r="N179" s="14">
        <v>3.7670400000000001E-3</v>
      </c>
      <c r="O179" s="6">
        <f t="shared" si="19"/>
        <v>0.40276156000000002</v>
      </c>
    </row>
    <row r="180" spans="1:15" x14ac:dyDescent="0.7">
      <c r="A180" s="5"/>
      <c r="B180" s="5"/>
      <c r="C180" s="5">
        <v>27</v>
      </c>
      <c r="D180" s="6">
        <v>5.0490000000000004</v>
      </c>
      <c r="E180" s="6">
        <v>0</v>
      </c>
      <c r="F180" s="25">
        <v>5.4560000000000004</v>
      </c>
      <c r="G180" s="14">
        <f t="shared" si="14"/>
        <v>471398.40000000002</v>
      </c>
      <c r="H180" s="14">
        <f t="shared" si="15"/>
        <v>0.47139840000000005</v>
      </c>
      <c r="I180" s="14">
        <v>23595</v>
      </c>
      <c r="J180" s="37">
        <f t="shared" si="16"/>
        <v>2.3595000000000001E-2</v>
      </c>
      <c r="K180" s="14">
        <v>0</v>
      </c>
      <c r="L180" s="14">
        <f t="shared" si="21"/>
        <v>0</v>
      </c>
      <c r="M180" s="14">
        <f t="shared" si="22"/>
        <v>2.3595000000000001E-2</v>
      </c>
      <c r="N180" s="14">
        <v>1.3184639999999999E-2</v>
      </c>
      <c r="O180" s="6">
        <f t="shared" si="19"/>
        <v>0.43461876000000005</v>
      </c>
    </row>
    <row r="181" spans="1:15" x14ac:dyDescent="0.7">
      <c r="A181" s="5"/>
      <c r="B181" s="5"/>
      <c r="C181" s="5">
        <v>28</v>
      </c>
      <c r="D181" s="6">
        <v>5.8639999999999999</v>
      </c>
      <c r="E181" s="6">
        <v>0</v>
      </c>
      <c r="F181" s="25">
        <v>5.75</v>
      </c>
      <c r="G181" s="14">
        <f t="shared" si="14"/>
        <v>496800</v>
      </c>
      <c r="H181" s="14">
        <f t="shared" si="15"/>
        <v>0.49680000000000002</v>
      </c>
      <c r="I181" s="14">
        <v>22207</v>
      </c>
      <c r="J181" s="37">
        <f t="shared" si="16"/>
        <v>2.2207000000000001E-2</v>
      </c>
      <c r="K181" s="14">
        <v>0</v>
      </c>
      <c r="L181" s="14">
        <f t="shared" si="21"/>
        <v>0</v>
      </c>
      <c r="M181" s="14">
        <f t="shared" si="22"/>
        <v>2.2207000000000001E-2</v>
      </c>
      <c r="N181" s="14">
        <v>1.3184639999999999E-2</v>
      </c>
      <c r="O181" s="6">
        <f t="shared" si="19"/>
        <v>0.46140836000000002</v>
      </c>
    </row>
    <row r="182" spans="1:15" x14ac:dyDescent="0.7">
      <c r="A182" s="5"/>
      <c r="B182" s="5"/>
      <c r="C182" s="5">
        <v>29</v>
      </c>
      <c r="D182" s="6">
        <v>5.6360000000000001</v>
      </c>
      <c r="E182" s="6">
        <v>0</v>
      </c>
      <c r="F182" s="25">
        <v>5.6360000000000001</v>
      </c>
      <c r="G182" s="14">
        <f t="shared" si="14"/>
        <v>486950.40000000002</v>
      </c>
      <c r="H182" s="14">
        <f t="shared" si="15"/>
        <v>0.48695040000000001</v>
      </c>
      <c r="I182" s="14">
        <v>22589</v>
      </c>
      <c r="J182" s="37">
        <f t="shared" si="16"/>
        <v>2.2589000000000001E-2</v>
      </c>
      <c r="K182" s="14">
        <v>0</v>
      </c>
      <c r="L182" s="14">
        <f t="shared" si="21"/>
        <v>0</v>
      </c>
      <c r="M182" s="14">
        <f t="shared" si="22"/>
        <v>2.2589000000000001E-2</v>
      </c>
      <c r="N182" s="14">
        <v>1.3184639999999999E-2</v>
      </c>
      <c r="O182" s="6">
        <f t="shared" si="19"/>
        <v>0.45117675999999995</v>
      </c>
    </row>
    <row r="183" spans="1:15" s="12" customFormat="1" ht="25.2" thickBot="1" x14ac:dyDescent="0.75">
      <c r="A183" s="8"/>
      <c r="B183" s="8" t="s">
        <v>20</v>
      </c>
      <c r="C183" s="8">
        <v>30</v>
      </c>
      <c r="D183" s="9">
        <v>5.6360000000000001</v>
      </c>
      <c r="E183" s="9">
        <v>10.199999999999999</v>
      </c>
      <c r="F183" s="32">
        <v>4.0869999999999997</v>
      </c>
      <c r="G183" s="23">
        <f t="shared" si="14"/>
        <v>353116.8</v>
      </c>
      <c r="H183" s="23">
        <f t="shared" si="15"/>
        <v>0.35311680000000001</v>
      </c>
      <c r="I183" s="23">
        <v>22385</v>
      </c>
      <c r="J183" s="38">
        <f t="shared" si="16"/>
        <v>2.2384999999999999E-2</v>
      </c>
      <c r="K183" s="23">
        <v>4755</v>
      </c>
      <c r="L183" s="23">
        <f t="shared" si="21"/>
        <v>4.7549999999999997E-3</v>
      </c>
      <c r="M183" s="23">
        <f t="shared" si="22"/>
        <v>2.7139999999999997E-2</v>
      </c>
      <c r="N183" s="23">
        <v>1.3184639999999999E-2</v>
      </c>
      <c r="O183" s="9">
        <f t="shared" si="19"/>
        <v>0.31279215999999999</v>
      </c>
    </row>
    <row r="184" spans="1:15" x14ac:dyDescent="0.7">
      <c r="A184" s="2"/>
      <c r="B184" s="2" t="s">
        <v>21</v>
      </c>
      <c r="C184" s="2">
        <v>1</v>
      </c>
      <c r="D184" s="3">
        <v>11.972900000000001</v>
      </c>
      <c r="E184" s="3">
        <v>6.4</v>
      </c>
      <c r="F184" s="27">
        <v>4.2990000000000004</v>
      </c>
      <c r="G184" s="20">
        <f t="shared" si="14"/>
        <v>371433.60000000003</v>
      </c>
      <c r="H184" s="20">
        <f t="shared" si="15"/>
        <v>0.37143360000000003</v>
      </c>
      <c r="I184" s="20">
        <v>22647</v>
      </c>
      <c r="J184" s="39">
        <f t="shared" si="16"/>
        <v>2.2647E-2</v>
      </c>
      <c r="K184" s="20">
        <v>6299</v>
      </c>
      <c r="L184" s="20">
        <f t="shared" si="21"/>
        <v>6.2989999999999999E-3</v>
      </c>
      <c r="M184" s="20">
        <f t="shared" si="22"/>
        <v>2.8946E-2</v>
      </c>
      <c r="N184" s="20">
        <v>1.344384E-2</v>
      </c>
      <c r="O184" s="3">
        <f t="shared" si="19"/>
        <v>0.32904376000000002</v>
      </c>
    </row>
    <row r="185" spans="1:15" x14ac:dyDescent="0.7">
      <c r="A185" s="5"/>
      <c r="B185" s="5"/>
      <c r="C185" s="5">
        <v>2</v>
      </c>
      <c r="D185" s="6">
        <v>18.248999999999999</v>
      </c>
      <c r="E185" s="6">
        <v>5.5</v>
      </c>
      <c r="F185" s="24">
        <v>8.0510000000000002</v>
      </c>
      <c r="G185" s="14">
        <f t="shared" si="14"/>
        <v>695606.4</v>
      </c>
      <c r="H185" s="14">
        <f t="shared" si="15"/>
        <v>0.69560640000000007</v>
      </c>
      <c r="I185" s="14">
        <v>18277</v>
      </c>
      <c r="J185" s="37">
        <f t="shared" si="16"/>
        <v>1.8277000000000002E-2</v>
      </c>
      <c r="K185" s="14">
        <v>5698</v>
      </c>
      <c r="L185" s="14">
        <f t="shared" si="21"/>
        <v>5.6979999999999999E-3</v>
      </c>
      <c r="M185" s="14">
        <f t="shared" si="22"/>
        <v>2.3975000000000003E-2</v>
      </c>
      <c r="N185" s="14">
        <v>1.344384E-2</v>
      </c>
      <c r="O185" s="6">
        <f t="shared" si="19"/>
        <v>0.65818756000000012</v>
      </c>
    </row>
    <row r="186" spans="1:15" x14ac:dyDescent="0.7">
      <c r="A186" s="5"/>
      <c r="B186" s="5"/>
      <c r="C186" s="5">
        <v>3</v>
      </c>
      <c r="D186" s="6">
        <v>18.329999999999998</v>
      </c>
      <c r="E186" s="6">
        <v>1.1000000000000001</v>
      </c>
      <c r="F186" s="24">
        <v>8.0109999999999992</v>
      </c>
      <c r="G186" s="14">
        <f t="shared" si="14"/>
        <v>692150.39999999991</v>
      </c>
      <c r="H186" s="14">
        <f t="shared" si="15"/>
        <v>0.69215039999999994</v>
      </c>
      <c r="I186" s="14">
        <v>20026</v>
      </c>
      <c r="J186" s="37">
        <f t="shared" si="16"/>
        <v>2.0025999999999999E-2</v>
      </c>
      <c r="K186" s="14">
        <v>3674</v>
      </c>
      <c r="L186" s="14">
        <f t="shared" si="21"/>
        <v>3.6740000000000002E-3</v>
      </c>
      <c r="M186" s="14">
        <f t="shared" ref="M186:M217" si="23">J186+L186</f>
        <v>2.3699999999999999E-2</v>
      </c>
      <c r="N186" s="14">
        <v>1.344384E-2</v>
      </c>
      <c r="O186" s="6">
        <f t="shared" si="19"/>
        <v>0.65500656000000002</v>
      </c>
    </row>
    <row r="187" spans="1:15" x14ac:dyDescent="0.7">
      <c r="A187" s="5"/>
      <c r="B187" s="5"/>
      <c r="C187" s="5">
        <v>4</v>
      </c>
      <c r="D187" s="6">
        <v>7.9820000000000002</v>
      </c>
      <c r="E187" s="6">
        <v>0</v>
      </c>
      <c r="F187" s="24">
        <v>7.7640000000000002</v>
      </c>
      <c r="G187" s="14">
        <f t="shared" si="14"/>
        <v>670809.59999999998</v>
      </c>
      <c r="H187" s="14">
        <f t="shared" si="15"/>
        <v>0.67080960000000001</v>
      </c>
      <c r="I187" s="14">
        <v>24062</v>
      </c>
      <c r="J187" s="37">
        <f t="shared" si="16"/>
        <v>2.4062E-2</v>
      </c>
      <c r="K187" s="15">
        <v>2942</v>
      </c>
      <c r="L187" s="14">
        <f t="shared" si="21"/>
        <v>2.9420000000000002E-3</v>
      </c>
      <c r="M187" s="14">
        <f t="shared" si="23"/>
        <v>2.7004E-2</v>
      </c>
      <c r="N187" s="14">
        <v>1.4048639999999999E-2</v>
      </c>
      <c r="O187" s="6">
        <f t="shared" si="19"/>
        <v>0.62975696000000003</v>
      </c>
    </row>
    <row r="188" spans="1:15" x14ac:dyDescent="0.7">
      <c r="A188" s="5"/>
      <c r="B188" s="5"/>
      <c r="C188" s="5">
        <v>5</v>
      </c>
      <c r="D188" s="6">
        <v>7.9630000000000001</v>
      </c>
      <c r="E188" s="6">
        <v>0</v>
      </c>
      <c r="F188" s="24">
        <v>7.3</v>
      </c>
      <c r="G188" s="14">
        <f t="shared" si="14"/>
        <v>630720</v>
      </c>
      <c r="H188" s="14">
        <f t="shared" si="15"/>
        <v>0.63071999999999995</v>
      </c>
      <c r="I188" s="14">
        <v>26336</v>
      </c>
      <c r="J188" s="37">
        <f t="shared" si="16"/>
        <v>2.6335999999999998E-2</v>
      </c>
      <c r="K188" s="15">
        <v>0</v>
      </c>
      <c r="L188" s="14">
        <f t="shared" si="21"/>
        <v>0</v>
      </c>
      <c r="M188" s="14">
        <f t="shared" si="23"/>
        <v>2.6335999999999998E-2</v>
      </c>
      <c r="N188" s="14">
        <v>1.4048639999999999E-2</v>
      </c>
      <c r="O188" s="6">
        <f t="shared" si="19"/>
        <v>0.59033535999999998</v>
      </c>
    </row>
    <row r="189" spans="1:15" x14ac:dyDescent="0.7">
      <c r="A189" s="5"/>
      <c r="B189" s="5"/>
      <c r="C189" s="5">
        <v>6</v>
      </c>
      <c r="D189" s="6">
        <v>7.0540000000000003</v>
      </c>
      <c r="E189" s="6">
        <v>0</v>
      </c>
      <c r="F189" s="24">
        <v>6.944</v>
      </c>
      <c r="G189" s="14">
        <f t="shared" si="14"/>
        <v>599961.59999999998</v>
      </c>
      <c r="H189" s="14">
        <f t="shared" si="15"/>
        <v>0.59996159999999998</v>
      </c>
      <c r="I189" s="14">
        <v>37920</v>
      </c>
      <c r="J189" s="37">
        <f t="shared" si="16"/>
        <v>3.7920000000000002E-2</v>
      </c>
      <c r="K189" s="15">
        <v>10</v>
      </c>
      <c r="L189" s="14">
        <f t="shared" si="21"/>
        <v>1.0000000000000001E-5</v>
      </c>
      <c r="M189" s="14">
        <f t="shared" si="23"/>
        <v>3.7930000000000005E-2</v>
      </c>
      <c r="N189" s="14">
        <v>1.4048639999999999E-2</v>
      </c>
      <c r="O189" s="6">
        <f t="shared" si="19"/>
        <v>0.54798296000000002</v>
      </c>
    </row>
    <row r="190" spans="1:15" x14ac:dyDescent="0.7">
      <c r="A190" s="5"/>
      <c r="B190" s="5"/>
      <c r="C190" s="5">
        <v>7</v>
      </c>
      <c r="D190" s="6">
        <v>6.835</v>
      </c>
      <c r="E190" s="6">
        <v>20.3</v>
      </c>
      <c r="F190" s="24">
        <v>6.944</v>
      </c>
      <c r="G190" s="14">
        <f t="shared" si="14"/>
        <v>599961.59999999998</v>
      </c>
      <c r="H190" s="14">
        <f t="shared" si="15"/>
        <v>0.59996159999999998</v>
      </c>
      <c r="I190" s="14">
        <v>36836</v>
      </c>
      <c r="J190" s="37">
        <f t="shared" si="16"/>
        <v>3.6836000000000001E-2</v>
      </c>
      <c r="K190" s="15">
        <v>2594</v>
      </c>
      <c r="L190" s="14">
        <f t="shared" si="21"/>
        <v>2.594E-3</v>
      </c>
      <c r="M190" s="14">
        <f t="shared" si="23"/>
        <v>3.943E-2</v>
      </c>
      <c r="N190" s="14">
        <v>1.4048639999999999E-2</v>
      </c>
      <c r="O190" s="6">
        <f t="shared" si="19"/>
        <v>0.54648296000000007</v>
      </c>
    </row>
    <row r="191" spans="1:15" x14ac:dyDescent="0.7">
      <c r="A191" s="5"/>
      <c r="B191" s="5"/>
      <c r="C191" s="5">
        <v>8</v>
      </c>
      <c r="D191" s="6">
        <v>12.423</v>
      </c>
      <c r="E191" s="6">
        <v>5.6</v>
      </c>
      <c r="F191" s="24">
        <v>4.54</v>
      </c>
      <c r="G191" s="14">
        <f t="shared" si="14"/>
        <v>392256</v>
      </c>
      <c r="H191" s="14">
        <f t="shared" si="15"/>
        <v>0.39225599999999999</v>
      </c>
      <c r="I191" s="14">
        <v>37526</v>
      </c>
      <c r="J191" s="37">
        <f t="shared" si="16"/>
        <v>3.7525999999999997E-2</v>
      </c>
      <c r="K191" s="15">
        <v>3367</v>
      </c>
      <c r="L191" s="14">
        <f t="shared" si="21"/>
        <v>3.3670000000000002E-3</v>
      </c>
      <c r="M191" s="14">
        <f t="shared" si="23"/>
        <v>4.0892999999999999E-2</v>
      </c>
      <c r="N191" s="14">
        <v>1.4048639999999999E-2</v>
      </c>
      <c r="O191" s="6">
        <f t="shared" si="19"/>
        <v>0.33731435999999998</v>
      </c>
    </row>
    <row r="192" spans="1:15" x14ac:dyDescent="0.7">
      <c r="A192" s="5"/>
      <c r="B192" s="5"/>
      <c r="C192" s="5">
        <v>9</v>
      </c>
      <c r="D192" s="6">
        <v>22.672999999999998</v>
      </c>
      <c r="E192" s="6">
        <v>0.5</v>
      </c>
      <c r="F192" s="24">
        <v>3.02</v>
      </c>
      <c r="G192" s="14">
        <f t="shared" si="14"/>
        <v>260928</v>
      </c>
      <c r="H192" s="14">
        <f t="shared" si="15"/>
        <v>0.26092799999999999</v>
      </c>
      <c r="I192" s="14">
        <v>27205</v>
      </c>
      <c r="J192" s="37">
        <f t="shared" si="16"/>
        <v>2.7205E-2</v>
      </c>
      <c r="K192" s="15">
        <v>3571</v>
      </c>
      <c r="L192" s="14">
        <f t="shared" si="21"/>
        <v>3.571E-3</v>
      </c>
      <c r="M192" s="14">
        <f t="shared" si="23"/>
        <v>3.0776000000000001E-2</v>
      </c>
      <c r="N192" s="14">
        <v>1.4048639999999999E-2</v>
      </c>
      <c r="O192" s="6">
        <f t="shared" si="19"/>
        <v>0.21610335999999999</v>
      </c>
    </row>
    <row r="193" spans="1:15" x14ac:dyDescent="0.7">
      <c r="A193" s="5"/>
      <c r="B193" s="5"/>
      <c r="C193" s="5">
        <v>10</v>
      </c>
      <c r="D193" s="6">
        <v>12.566000000000001</v>
      </c>
      <c r="E193" s="6">
        <v>0</v>
      </c>
      <c r="F193" s="24">
        <v>5.5179999999999998</v>
      </c>
      <c r="G193" s="14">
        <f t="shared" si="14"/>
        <v>476755.19999999995</v>
      </c>
      <c r="H193" s="14">
        <f t="shared" si="15"/>
        <v>0.47675519999999993</v>
      </c>
      <c r="I193" s="14">
        <v>19386</v>
      </c>
      <c r="J193" s="37">
        <f t="shared" si="16"/>
        <v>1.9386E-2</v>
      </c>
      <c r="K193" s="15">
        <v>0</v>
      </c>
      <c r="L193" s="14">
        <f t="shared" si="21"/>
        <v>0</v>
      </c>
      <c r="M193" s="14">
        <f t="shared" si="23"/>
        <v>1.9386E-2</v>
      </c>
      <c r="N193" s="14">
        <v>1.4048639999999999E-2</v>
      </c>
      <c r="O193" s="6">
        <f t="shared" si="19"/>
        <v>0.44332055999999992</v>
      </c>
    </row>
    <row r="194" spans="1:15" x14ac:dyDescent="0.7">
      <c r="A194" s="5"/>
      <c r="B194" s="5"/>
      <c r="C194" s="5">
        <v>11</v>
      </c>
      <c r="D194" s="6">
        <v>33.653999999999996</v>
      </c>
      <c r="E194" s="6">
        <v>0</v>
      </c>
      <c r="F194" s="24">
        <v>11.021000000000001</v>
      </c>
      <c r="G194" s="14">
        <f t="shared" si="14"/>
        <v>952214.4</v>
      </c>
      <c r="H194" s="14">
        <f t="shared" si="15"/>
        <v>0.95221440000000002</v>
      </c>
      <c r="I194" s="14">
        <v>21438</v>
      </c>
      <c r="J194" s="37">
        <f t="shared" si="16"/>
        <v>2.1437999999999999E-2</v>
      </c>
      <c r="K194" s="15">
        <v>0</v>
      </c>
      <c r="L194" s="14">
        <f t="shared" si="21"/>
        <v>0</v>
      </c>
      <c r="M194" s="14">
        <f t="shared" si="23"/>
        <v>2.1437999999999999E-2</v>
      </c>
      <c r="N194" s="14">
        <v>1.4048639999999999E-2</v>
      </c>
      <c r="O194" s="6">
        <f t="shared" si="19"/>
        <v>0.91672776000000011</v>
      </c>
    </row>
    <row r="195" spans="1:15" x14ac:dyDescent="0.7">
      <c r="A195" s="5"/>
      <c r="B195" s="5"/>
      <c r="C195" s="5">
        <v>12</v>
      </c>
      <c r="D195" s="6">
        <v>23.578000000000003</v>
      </c>
      <c r="E195" s="6">
        <v>6.3</v>
      </c>
      <c r="F195" s="24">
        <v>15.022</v>
      </c>
      <c r="G195" s="14">
        <f t="shared" ref="G195:G258" si="24">F195*86400</f>
        <v>1297900.8</v>
      </c>
      <c r="H195" s="14">
        <f t="shared" ref="H195:H258" si="25">G195/1000000</f>
        <v>1.2979008000000001</v>
      </c>
      <c r="I195" s="14">
        <v>17452</v>
      </c>
      <c r="J195" s="37">
        <f t="shared" ref="J195:J258" si="26">I195/1000000</f>
        <v>1.7451999999999999E-2</v>
      </c>
      <c r="K195" s="15">
        <v>0</v>
      </c>
      <c r="L195" s="14">
        <f t="shared" si="21"/>
        <v>0</v>
      </c>
      <c r="M195" s="14">
        <f t="shared" si="23"/>
        <v>1.7451999999999999E-2</v>
      </c>
      <c r="N195" s="14">
        <v>1.4048639999999999E-2</v>
      </c>
      <c r="O195" s="6">
        <f t="shared" si="19"/>
        <v>1.2664001600000001</v>
      </c>
    </row>
    <row r="196" spans="1:15" x14ac:dyDescent="0.7">
      <c r="A196" s="5"/>
      <c r="B196" s="5"/>
      <c r="C196" s="5">
        <v>13</v>
      </c>
      <c r="D196" s="6">
        <v>19.672000000000001</v>
      </c>
      <c r="E196" s="6">
        <v>0</v>
      </c>
      <c r="F196" s="24">
        <v>15.022</v>
      </c>
      <c r="G196" s="14">
        <f t="shared" si="24"/>
        <v>1297900.8</v>
      </c>
      <c r="H196" s="14">
        <f t="shared" si="25"/>
        <v>1.2979008000000001</v>
      </c>
      <c r="I196" s="14">
        <v>18082</v>
      </c>
      <c r="J196" s="37">
        <f t="shared" si="26"/>
        <v>1.8082000000000001E-2</v>
      </c>
      <c r="K196" s="15">
        <v>0</v>
      </c>
      <c r="L196" s="14">
        <f t="shared" si="21"/>
        <v>0</v>
      </c>
      <c r="M196" s="14">
        <f t="shared" si="23"/>
        <v>1.8082000000000001E-2</v>
      </c>
      <c r="N196" s="14">
        <v>1.4048639999999999E-2</v>
      </c>
      <c r="O196" s="6">
        <f t="shared" ref="O196:O259" si="27">H196-M196-N196</f>
        <v>1.2657701600000002</v>
      </c>
    </row>
    <row r="197" spans="1:15" x14ac:dyDescent="0.7">
      <c r="A197" s="5"/>
      <c r="B197" s="5"/>
      <c r="C197" s="5">
        <v>14</v>
      </c>
      <c r="D197" s="6">
        <v>23.579000000000001</v>
      </c>
      <c r="E197" s="6">
        <v>17.600000000000001</v>
      </c>
      <c r="F197" s="24">
        <v>15.042</v>
      </c>
      <c r="G197" s="14">
        <f t="shared" si="24"/>
        <v>1299628.8</v>
      </c>
      <c r="H197" s="14">
        <f t="shared" si="25"/>
        <v>1.2996288</v>
      </c>
      <c r="I197" s="14">
        <v>17577</v>
      </c>
      <c r="J197" s="37">
        <f t="shared" si="26"/>
        <v>1.7576999999999999E-2</v>
      </c>
      <c r="K197" s="15">
        <v>26</v>
      </c>
      <c r="L197" s="14">
        <f t="shared" si="21"/>
        <v>2.5999999999999998E-5</v>
      </c>
      <c r="M197" s="14">
        <f t="shared" si="23"/>
        <v>1.7603000000000001E-2</v>
      </c>
      <c r="N197" s="14">
        <v>1.4048639999999999E-2</v>
      </c>
      <c r="O197" s="6">
        <f t="shared" si="27"/>
        <v>1.26797716</v>
      </c>
    </row>
    <row r="198" spans="1:15" x14ac:dyDescent="0.7">
      <c r="A198" s="5"/>
      <c r="B198" s="5"/>
      <c r="C198" s="5">
        <v>15</v>
      </c>
      <c r="D198" s="6">
        <v>29.218</v>
      </c>
      <c r="E198" s="6">
        <v>26.5</v>
      </c>
      <c r="F198" s="24">
        <v>15.055</v>
      </c>
      <c r="G198" s="14">
        <f t="shared" si="24"/>
        <v>1300752</v>
      </c>
      <c r="H198" s="14">
        <f t="shared" si="25"/>
        <v>1.3007519999999999</v>
      </c>
      <c r="I198" s="14">
        <v>18704</v>
      </c>
      <c r="J198" s="37">
        <f t="shared" si="26"/>
        <v>1.8703999999999998E-2</v>
      </c>
      <c r="K198" s="15">
        <v>0</v>
      </c>
      <c r="L198" s="14">
        <f t="shared" si="21"/>
        <v>0</v>
      </c>
      <c r="M198" s="14">
        <f t="shared" si="23"/>
        <v>1.8703999999999998E-2</v>
      </c>
      <c r="N198" s="14">
        <v>1.4048639999999999E-2</v>
      </c>
      <c r="O198" s="6">
        <f t="shared" si="27"/>
        <v>1.2679993599999999</v>
      </c>
    </row>
    <row r="199" spans="1:15" x14ac:dyDescent="0.7">
      <c r="A199" s="5"/>
      <c r="B199" s="5"/>
      <c r="C199" s="5">
        <v>16</v>
      </c>
      <c r="D199" s="6">
        <v>29.218</v>
      </c>
      <c r="E199" s="6">
        <v>4.0999999999999996</v>
      </c>
      <c r="F199" s="24">
        <v>15.047000000000001</v>
      </c>
      <c r="G199" s="14">
        <f t="shared" si="24"/>
        <v>1300060.8</v>
      </c>
      <c r="H199" s="14">
        <f t="shared" si="25"/>
        <v>1.3000608</v>
      </c>
      <c r="I199" s="14">
        <v>28583</v>
      </c>
      <c r="J199" s="37">
        <f t="shared" si="26"/>
        <v>2.8583000000000001E-2</v>
      </c>
      <c r="K199" s="15">
        <v>0</v>
      </c>
      <c r="L199" s="14">
        <f t="shared" si="21"/>
        <v>0</v>
      </c>
      <c r="M199" s="14">
        <f t="shared" si="23"/>
        <v>2.8583000000000001E-2</v>
      </c>
      <c r="N199" s="14">
        <v>1.4048639999999999E-2</v>
      </c>
      <c r="O199" s="6">
        <f t="shared" si="27"/>
        <v>1.25742916</v>
      </c>
    </row>
    <row r="200" spans="1:15" x14ac:dyDescent="0.7">
      <c r="A200" s="5"/>
      <c r="B200" s="5"/>
      <c r="C200" s="5">
        <v>17</v>
      </c>
      <c r="D200" s="6">
        <v>15.039</v>
      </c>
      <c r="E200" s="6">
        <v>5.2</v>
      </c>
      <c r="F200" s="24">
        <v>15.03</v>
      </c>
      <c r="G200" s="14">
        <f t="shared" si="24"/>
        <v>1298592</v>
      </c>
      <c r="H200" s="14">
        <f t="shared" si="25"/>
        <v>1.298592</v>
      </c>
      <c r="I200" s="14">
        <v>33603</v>
      </c>
      <c r="J200" s="37">
        <f t="shared" si="26"/>
        <v>3.3603000000000001E-2</v>
      </c>
      <c r="K200" s="15">
        <v>0</v>
      </c>
      <c r="L200" s="14">
        <f t="shared" si="21"/>
        <v>0</v>
      </c>
      <c r="M200" s="14">
        <f t="shared" si="23"/>
        <v>3.3603000000000001E-2</v>
      </c>
      <c r="N200" s="14">
        <v>1.4048639999999999E-2</v>
      </c>
      <c r="O200" s="6">
        <f t="shared" si="27"/>
        <v>1.25094036</v>
      </c>
    </row>
    <row r="201" spans="1:15" x14ac:dyDescent="0.7">
      <c r="A201" s="5"/>
      <c r="B201" s="5"/>
      <c r="C201" s="5">
        <v>18</v>
      </c>
      <c r="D201" s="6">
        <v>19.683999999999997</v>
      </c>
      <c r="E201" s="6">
        <v>0</v>
      </c>
      <c r="F201" s="24">
        <v>14.965999999999999</v>
      </c>
      <c r="G201" s="14">
        <f t="shared" si="24"/>
        <v>1293062.3999999999</v>
      </c>
      <c r="H201" s="14">
        <f t="shared" si="25"/>
        <v>1.2930623999999999</v>
      </c>
      <c r="I201" s="14">
        <v>27270</v>
      </c>
      <c r="J201" s="37">
        <f t="shared" si="26"/>
        <v>2.7269999999999999E-2</v>
      </c>
      <c r="K201" s="15">
        <v>0</v>
      </c>
      <c r="L201" s="14">
        <f t="shared" si="21"/>
        <v>0</v>
      </c>
      <c r="M201" s="14">
        <f t="shared" si="23"/>
        <v>2.7269999999999999E-2</v>
      </c>
      <c r="N201" s="14">
        <v>1.4048639999999999E-2</v>
      </c>
      <c r="O201" s="6">
        <f t="shared" si="27"/>
        <v>1.2517437600000001</v>
      </c>
    </row>
    <row r="202" spans="1:15" x14ac:dyDescent="0.7">
      <c r="A202" s="5"/>
      <c r="B202" s="5"/>
      <c r="C202" s="5">
        <v>19</v>
      </c>
      <c r="D202" s="6">
        <v>14.901999999999999</v>
      </c>
      <c r="E202" s="6">
        <v>0</v>
      </c>
      <c r="F202" s="24">
        <v>14.629</v>
      </c>
      <c r="G202" s="14">
        <f t="shared" si="24"/>
        <v>1263945.5999999999</v>
      </c>
      <c r="H202" s="14">
        <f t="shared" si="25"/>
        <v>1.2639455999999998</v>
      </c>
      <c r="I202" s="14">
        <v>28720</v>
      </c>
      <c r="J202" s="37">
        <f t="shared" si="26"/>
        <v>2.8719999999999999E-2</v>
      </c>
      <c r="K202" s="15">
        <v>0</v>
      </c>
      <c r="L202" s="14">
        <f t="shared" si="21"/>
        <v>0</v>
      </c>
      <c r="M202" s="14">
        <f t="shared" si="23"/>
        <v>2.8719999999999999E-2</v>
      </c>
      <c r="N202" s="14">
        <v>1.4048639999999999E-2</v>
      </c>
      <c r="O202" s="6">
        <f t="shared" si="27"/>
        <v>1.2211769599999998</v>
      </c>
    </row>
    <row r="203" spans="1:15" x14ac:dyDescent="0.7">
      <c r="A203" s="5"/>
      <c r="B203" s="5"/>
      <c r="C203" s="5">
        <v>20</v>
      </c>
      <c r="D203" s="6">
        <v>14.356</v>
      </c>
      <c r="E203" s="6">
        <v>10.1</v>
      </c>
      <c r="F203" s="24">
        <v>14.6</v>
      </c>
      <c r="G203" s="14">
        <f t="shared" si="24"/>
        <v>1261440</v>
      </c>
      <c r="H203" s="14">
        <f t="shared" si="25"/>
        <v>1.2614399999999999</v>
      </c>
      <c r="I203" s="16">
        <v>31488</v>
      </c>
      <c r="J203" s="37">
        <f t="shared" si="26"/>
        <v>3.1488000000000002E-2</v>
      </c>
      <c r="K203" s="15">
        <v>0</v>
      </c>
      <c r="L203" s="14">
        <f t="shared" si="21"/>
        <v>0</v>
      </c>
      <c r="M203" s="14">
        <f t="shared" si="23"/>
        <v>3.1488000000000002E-2</v>
      </c>
      <c r="N203" s="14">
        <v>1.4048639999999999E-2</v>
      </c>
      <c r="O203" s="6">
        <f t="shared" si="27"/>
        <v>1.21590336</v>
      </c>
    </row>
    <row r="204" spans="1:15" x14ac:dyDescent="0.7">
      <c r="A204" s="5"/>
      <c r="B204" s="5"/>
      <c r="C204" s="5">
        <v>21</v>
      </c>
      <c r="D204" s="6">
        <v>14.843</v>
      </c>
      <c r="E204" s="6">
        <v>0</v>
      </c>
      <c r="F204" s="24">
        <v>14.946999999999999</v>
      </c>
      <c r="G204" s="14">
        <f t="shared" si="24"/>
        <v>1291420.7999999998</v>
      </c>
      <c r="H204" s="14">
        <f t="shared" si="25"/>
        <v>1.2914207999999998</v>
      </c>
      <c r="I204" s="14">
        <v>34661</v>
      </c>
      <c r="J204" s="37">
        <f t="shared" si="26"/>
        <v>3.4660999999999997E-2</v>
      </c>
      <c r="K204" s="15">
        <v>0</v>
      </c>
      <c r="L204" s="14">
        <f t="shared" si="21"/>
        <v>0</v>
      </c>
      <c r="M204" s="14">
        <f t="shared" si="23"/>
        <v>3.4660999999999997E-2</v>
      </c>
      <c r="N204" s="14">
        <v>1.4048639999999999E-2</v>
      </c>
      <c r="O204" s="6">
        <f t="shared" si="27"/>
        <v>1.2427111599999998</v>
      </c>
    </row>
    <row r="205" spans="1:15" x14ac:dyDescent="0.7">
      <c r="A205" s="5"/>
      <c r="B205" s="5"/>
      <c r="C205" s="5">
        <v>22</v>
      </c>
      <c r="D205" s="6">
        <v>23.600999999999999</v>
      </c>
      <c r="E205" s="6">
        <v>23.8</v>
      </c>
      <c r="F205" s="24">
        <v>15.055</v>
      </c>
      <c r="G205" s="14">
        <f t="shared" si="24"/>
        <v>1300752</v>
      </c>
      <c r="H205" s="14">
        <f t="shared" si="25"/>
        <v>1.3007519999999999</v>
      </c>
      <c r="I205" s="14">
        <v>31136</v>
      </c>
      <c r="J205" s="37">
        <f t="shared" si="26"/>
        <v>3.1136E-2</v>
      </c>
      <c r="K205" s="15">
        <v>0</v>
      </c>
      <c r="L205" s="14">
        <f t="shared" si="21"/>
        <v>0</v>
      </c>
      <c r="M205" s="14">
        <f t="shared" si="23"/>
        <v>3.1136E-2</v>
      </c>
      <c r="N205" s="14">
        <v>1.4048639999999999E-2</v>
      </c>
      <c r="O205" s="6">
        <f t="shared" si="27"/>
        <v>1.2555673599999999</v>
      </c>
    </row>
    <row r="206" spans="1:15" x14ac:dyDescent="0.7">
      <c r="A206" s="5"/>
      <c r="B206" s="5"/>
      <c r="C206" s="5">
        <v>23</v>
      </c>
      <c r="D206" s="6">
        <v>33.454999999999998</v>
      </c>
      <c r="E206" s="6">
        <v>57.2</v>
      </c>
      <c r="F206" s="24">
        <v>15.058999999999999</v>
      </c>
      <c r="G206" s="14">
        <f t="shared" si="24"/>
        <v>1301097.5999999999</v>
      </c>
      <c r="H206" s="14">
        <f t="shared" si="25"/>
        <v>1.3010975999999999</v>
      </c>
      <c r="I206" s="14">
        <v>35577</v>
      </c>
      <c r="J206" s="37">
        <f t="shared" si="26"/>
        <v>3.5576999999999998E-2</v>
      </c>
      <c r="K206" s="15">
        <v>0</v>
      </c>
      <c r="L206" s="14">
        <f t="shared" si="21"/>
        <v>0</v>
      </c>
      <c r="M206" s="14">
        <f t="shared" si="23"/>
        <v>3.5576999999999998E-2</v>
      </c>
      <c r="N206" s="14">
        <v>1.4048639999999999E-2</v>
      </c>
      <c r="O206" s="6">
        <f t="shared" si="27"/>
        <v>1.2514719599999999</v>
      </c>
    </row>
    <row r="207" spans="1:15" x14ac:dyDescent="0.7">
      <c r="A207" s="5"/>
      <c r="B207" s="5"/>
      <c r="C207" s="5">
        <v>24</v>
      </c>
      <c r="D207" s="6">
        <v>38.044000000000004</v>
      </c>
      <c r="E207" s="6">
        <v>27.1</v>
      </c>
      <c r="F207" s="24">
        <v>15.058999999999999</v>
      </c>
      <c r="G207" s="14">
        <f t="shared" si="24"/>
        <v>1301097.5999999999</v>
      </c>
      <c r="H207" s="14">
        <f t="shared" si="25"/>
        <v>1.3010975999999999</v>
      </c>
      <c r="I207" s="14">
        <v>35554</v>
      </c>
      <c r="J207" s="37">
        <f t="shared" si="26"/>
        <v>3.5554000000000002E-2</v>
      </c>
      <c r="K207" s="15">
        <v>0</v>
      </c>
      <c r="L207" s="14">
        <f t="shared" si="21"/>
        <v>0</v>
      </c>
      <c r="M207" s="14">
        <f t="shared" si="23"/>
        <v>3.5554000000000002E-2</v>
      </c>
      <c r="N207" s="14">
        <v>1.4048639999999999E-2</v>
      </c>
      <c r="O207" s="6">
        <f t="shared" si="27"/>
        <v>1.2514949599999998</v>
      </c>
    </row>
    <row r="208" spans="1:15" x14ac:dyDescent="0.7">
      <c r="A208" s="5"/>
      <c r="B208" s="5"/>
      <c r="C208" s="5">
        <v>25</v>
      </c>
      <c r="D208" s="6">
        <v>33.454999999999998</v>
      </c>
      <c r="E208" s="6">
        <v>1.61</v>
      </c>
      <c r="F208" s="24">
        <v>15.055</v>
      </c>
      <c r="G208" s="14">
        <f t="shared" si="24"/>
        <v>1300752</v>
      </c>
      <c r="H208" s="14">
        <f t="shared" si="25"/>
        <v>1.3007519999999999</v>
      </c>
      <c r="I208" s="14">
        <v>33196</v>
      </c>
      <c r="J208" s="37">
        <f t="shared" si="26"/>
        <v>3.3196000000000003E-2</v>
      </c>
      <c r="K208" s="15">
        <v>0</v>
      </c>
      <c r="L208" s="14">
        <f t="shared" si="21"/>
        <v>0</v>
      </c>
      <c r="M208" s="14">
        <f t="shared" si="23"/>
        <v>3.3196000000000003E-2</v>
      </c>
      <c r="N208" s="14">
        <v>1.4048639999999999E-2</v>
      </c>
      <c r="O208" s="6">
        <f t="shared" si="27"/>
        <v>1.25350736</v>
      </c>
    </row>
    <row r="209" spans="1:15" x14ac:dyDescent="0.7">
      <c r="A209" s="5"/>
      <c r="B209" s="5"/>
      <c r="C209" s="5">
        <v>26</v>
      </c>
      <c r="D209" s="6">
        <v>23.600999999999999</v>
      </c>
      <c r="E209" s="6">
        <v>0</v>
      </c>
      <c r="F209" s="24">
        <v>15.047000000000001</v>
      </c>
      <c r="G209" s="14">
        <f t="shared" si="24"/>
        <v>1300060.8</v>
      </c>
      <c r="H209" s="14">
        <f t="shared" si="25"/>
        <v>1.3000608</v>
      </c>
      <c r="I209" s="14">
        <v>36765</v>
      </c>
      <c r="J209" s="37">
        <f t="shared" si="26"/>
        <v>3.6764999999999999E-2</v>
      </c>
      <c r="K209" s="15">
        <v>0</v>
      </c>
      <c r="L209" s="14">
        <f t="shared" si="21"/>
        <v>0</v>
      </c>
      <c r="M209" s="14">
        <f t="shared" si="23"/>
        <v>3.6764999999999999E-2</v>
      </c>
      <c r="N209" s="14">
        <v>1.4048639999999999E-2</v>
      </c>
      <c r="O209" s="6">
        <f t="shared" si="27"/>
        <v>1.2492471600000001</v>
      </c>
    </row>
    <row r="210" spans="1:15" x14ac:dyDescent="0.7">
      <c r="A210" s="5"/>
      <c r="B210" s="5"/>
      <c r="C210" s="5">
        <v>27</v>
      </c>
      <c r="D210" s="6">
        <v>17.77</v>
      </c>
      <c r="E210" s="6">
        <v>0</v>
      </c>
      <c r="F210" s="24">
        <v>15.523</v>
      </c>
      <c r="G210" s="14">
        <f t="shared" si="24"/>
        <v>1341187.2</v>
      </c>
      <c r="H210" s="14">
        <f t="shared" si="25"/>
        <v>1.3411872</v>
      </c>
      <c r="I210" s="14">
        <v>34374</v>
      </c>
      <c r="J210" s="37">
        <f t="shared" si="26"/>
        <v>3.4374000000000002E-2</v>
      </c>
      <c r="K210" s="15">
        <v>0</v>
      </c>
      <c r="L210" s="14">
        <f t="shared" si="21"/>
        <v>0</v>
      </c>
      <c r="M210" s="14">
        <f t="shared" si="23"/>
        <v>3.4374000000000002E-2</v>
      </c>
      <c r="N210" s="14">
        <v>1.4048639999999999E-2</v>
      </c>
      <c r="O210" s="6">
        <f t="shared" si="27"/>
        <v>1.2927645600000002</v>
      </c>
    </row>
    <row r="211" spans="1:15" x14ac:dyDescent="0.7">
      <c r="A211" s="5"/>
      <c r="B211" s="5"/>
      <c r="C211" s="5">
        <v>28</v>
      </c>
      <c r="D211" s="6">
        <v>16.001999999999999</v>
      </c>
      <c r="E211" s="6">
        <v>0</v>
      </c>
      <c r="F211" s="24">
        <v>14.929</v>
      </c>
      <c r="G211" s="14">
        <f t="shared" si="24"/>
        <v>1289865.6000000001</v>
      </c>
      <c r="H211" s="14">
        <f t="shared" si="25"/>
        <v>1.2898656000000002</v>
      </c>
      <c r="I211" s="14">
        <v>35100</v>
      </c>
      <c r="J211" s="37">
        <f t="shared" si="26"/>
        <v>3.5099999999999999E-2</v>
      </c>
      <c r="K211" s="15">
        <v>4198</v>
      </c>
      <c r="L211" s="14">
        <f t="shared" si="21"/>
        <v>4.1980000000000003E-3</v>
      </c>
      <c r="M211" s="14">
        <f t="shared" si="23"/>
        <v>3.9298E-2</v>
      </c>
      <c r="N211" s="14">
        <v>1.4048639999999999E-2</v>
      </c>
      <c r="O211" s="6">
        <f t="shared" si="27"/>
        <v>1.2365189600000002</v>
      </c>
    </row>
    <row r="212" spans="1:15" x14ac:dyDescent="0.7">
      <c r="A212" s="5"/>
      <c r="B212" s="5"/>
      <c r="C212" s="5">
        <v>29</v>
      </c>
      <c r="D212" s="6">
        <v>13.855</v>
      </c>
      <c r="E212" s="6">
        <v>0</v>
      </c>
      <c r="F212" s="24">
        <v>13.717000000000001</v>
      </c>
      <c r="G212" s="14">
        <f t="shared" si="24"/>
        <v>1185148.8</v>
      </c>
      <c r="H212" s="14">
        <f t="shared" si="25"/>
        <v>1.1851488000000001</v>
      </c>
      <c r="I212" s="14">
        <v>37330</v>
      </c>
      <c r="J212" s="37">
        <f t="shared" si="26"/>
        <v>3.7330000000000002E-2</v>
      </c>
      <c r="K212" s="15">
        <v>6399</v>
      </c>
      <c r="L212" s="14">
        <f t="shared" si="21"/>
        <v>6.3990000000000002E-3</v>
      </c>
      <c r="M212" s="14">
        <f t="shared" si="23"/>
        <v>4.3729000000000004E-2</v>
      </c>
      <c r="N212" s="14">
        <v>1.4048639999999999E-2</v>
      </c>
      <c r="O212" s="6">
        <f t="shared" si="27"/>
        <v>1.1273711600000003</v>
      </c>
    </row>
    <row r="213" spans="1:15" x14ac:dyDescent="0.7">
      <c r="A213" s="5"/>
      <c r="B213" s="5"/>
      <c r="C213" s="5">
        <v>30</v>
      </c>
      <c r="D213" s="6">
        <v>13.579000000000001</v>
      </c>
      <c r="E213" s="6">
        <v>0</v>
      </c>
      <c r="F213" s="24">
        <v>14.292</v>
      </c>
      <c r="G213" s="14">
        <f t="shared" si="24"/>
        <v>1234828.8</v>
      </c>
      <c r="H213" s="14">
        <f t="shared" si="25"/>
        <v>1.2348288000000001</v>
      </c>
      <c r="I213" s="14">
        <v>39066</v>
      </c>
      <c r="J213" s="37">
        <f t="shared" si="26"/>
        <v>3.9065999999999997E-2</v>
      </c>
      <c r="K213" s="15">
        <v>6731</v>
      </c>
      <c r="L213" s="14">
        <f t="shared" si="21"/>
        <v>6.731E-3</v>
      </c>
      <c r="M213" s="14">
        <f t="shared" si="23"/>
        <v>4.5796999999999997E-2</v>
      </c>
      <c r="N213" s="14">
        <v>1.4048639999999999E-2</v>
      </c>
      <c r="O213" s="6">
        <f t="shared" si="27"/>
        <v>1.17498316</v>
      </c>
    </row>
    <row r="214" spans="1:15" s="12" customFormat="1" ht="25.2" thickBot="1" x14ac:dyDescent="0.75">
      <c r="A214" s="8"/>
      <c r="B214" s="8" t="s">
        <v>21</v>
      </c>
      <c r="C214" s="8">
        <v>31</v>
      </c>
      <c r="D214" s="9">
        <v>15.004</v>
      </c>
      <c r="E214" s="9">
        <v>27</v>
      </c>
      <c r="F214" s="29">
        <v>15.013999999999999</v>
      </c>
      <c r="G214" s="23">
        <f t="shared" si="24"/>
        <v>1297209.5999999999</v>
      </c>
      <c r="H214" s="23">
        <f t="shared" si="25"/>
        <v>1.2972096</v>
      </c>
      <c r="I214" s="23">
        <v>37193</v>
      </c>
      <c r="J214" s="38">
        <f t="shared" si="26"/>
        <v>3.7192999999999997E-2</v>
      </c>
      <c r="K214" s="30">
        <v>5890</v>
      </c>
      <c r="L214" s="23">
        <f t="shared" si="21"/>
        <v>5.8900000000000003E-3</v>
      </c>
      <c r="M214" s="23">
        <f t="shared" si="23"/>
        <v>4.3082999999999996E-2</v>
      </c>
      <c r="N214" s="23">
        <v>1.4048639999999999E-2</v>
      </c>
      <c r="O214" s="9">
        <f t="shared" si="27"/>
        <v>1.24007796</v>
      </c>
    </row>
    <row r="215" spans="1:15" x14ac:dyDescent="0.7">
      <c r="A215" s="2"/>
      <c r="B215" s="2" t="s">
        <v>22</v>
      </c>
      <c r="C215" s="2">
        <v>1</v>
      </c>
      <c r="D215" s="3">
        <v>21.921999999999997</v>
      </c>
      <c r="E215" s="3">
        <v>6.5</v>
      </c>
      <c r="F215" s="27">
        <v>15.035</v>
      </c>
      <c r="G215" s="20">
        <f t="shared" si="24"/>
        <v>1299024</v>
      </c>
      <c r="H215" s="20">
        <f t="shared" si="25"/>
        <v>1.299024</v>
      </c>
      <c r="I215" s="20">
        <v>27951</v>
      </c>
      <c r="J215" s="39">
        <f t="shared" si="26"/>
        <v>2.7951E-2</v>
      </c>
      <c r="K215" s="28">
        <v>5598</v>
      </c>
      <c r="L215" s="20">
        <f t="shared" si="21"/>
        <v>5.5979999999999997E-3</v>
      </c>
      <c r="M215" s="20">
        <f t="shared" si="23"/>
        <v>3.3549000000000002E-2</v>
      </c>
      <c r="N215" s="20">
        <v>1.4048639999999999E-2</v>
      </c>
      <c r="O215" s="3">
        <f t="shared" si="27"/>
        <v>1.25142636</v>
      </c>
    </row>
    <row r="216" spans="1:15" x14ac:dyDescent="0.7">
      <c r="A216" s="5"/>
      <c r="B216" s="5"/>
      <c r="C216" s="5">
        <v>2</v>
      </c>
      <c r="D216" s="6">
        <v>24.466000000000001</v>
      </c>
      <c r="E216" s="6">
        <v>2.2999999999999998</v>
      </c>
      <c r="F216" s="24">
        <v>15.038</v>
      </c>
      <c r="G216" s="14">
        <f t="shared" si="24"/>
        <v>1299283.2</v>
      </c>
      <c r="H216" s="14">
        <f t="shared" si="25"/>
        <v>1.2992831999999999</v>
      </c>
      <c r="I216" s="14">
        <v>18465</v>
      </c>
      <c r="J216" s="37">
        <f t="shared" si="26"/>
        <v>1.8464999999999999E-2</v>
      </c>
      <c r="K216" s="15">
        <v>5640</v>
      </c>
      <c r="L216" s="14">
        <f>K216/1000000</f>
        <v>5.64E-3</v>
      </c>
      <c r="M216" s="14">
        <f t="shared" si="23"/>
        <v>2.4104999999999998E-2</v>
      </c>
      <c r="N216" s="14">
        <v>1.4048639999999999E-2</v>
      </c>
      <c r="O216" s="6">
        <f t="shared" si="27"/>
        <v>1.2611295599999999</v>
      </c>
    </row>
    <row r="217" spans="1:15" x14ac:dyDescent="0.7">
      <c r="A217" s="5"/>
      <c r="B217" s="5"/>
      <c r="C217" s="5">
        <v>3</v>
      </c>
      <c r="D217" s="6">
        <v>22.739000000000001</v>
      </c>
      <c r="E217" s="6">
        <v>16.5</v>
      </c>
      <c r="F217" s="24">
        <v>15.036</v>
      </c>
      <c r="G217" s="14">
        <f t="shared" si="24"/>
        <v>1299110.3999999999</v>
      </c>
      <c r="H217" s="14">
        <f t="shared" si="25"/>
        <v>1.2991104</v>
      </c>
      <c r="I217" s="14">
        <v>18215</v>
      </c>
      <c r="J217" s="37">
        <f t="shared" si="26"/>
        <v>1.8214999999999999E-2</v>
      </c>
      <c r="K217" s="14">
        <v>6617</v>
      </c>
      <c r="L217" s="14">
        <f t="shared" si="21"/>
        <v>6.6169999999999996E-3</v>
      </c>
      <c r="M217" s="14">
        <f t="shared" si="23"/>
        <v>2.4832E-2</v>
      </c>
      <c r="N217" s="14">
        <v>1.4048639999999999E-2</v>
      </c>
      <c r="O217" s="6">
        <f t="shared" si="27"/>
        <v>1.2602297600000001</v>
      </c>
    </row>
    <row r="218" spans="1:15" x14ac:dyDescent="0.7">
      <c r="A218" s="5"/>
      <c r="B218" s="5"/>
      <c r="C218" s="5">
        <v>4</v>
      </c>
      <c r="D218" s="6">
        <v>25.359000000000002</v>
      </c>
      <c r="E218" s="6">
        <v>0</v>
      </c>
      <c r="F218" s="24">
        <v>15.037000000000001</v>
      </c>
      <c r="G218" s="14">
        <f t="shared" si="24"/>
        <v>1299196.8</v>
      </c>
      <c r="H218" s="14">
        <f t="shared" si="25"/>
        <v>1.2991968</v>
      </c>
      <c r="I218" s="14">
        <v>29012</v>
      </c>
      <c r="J218" s="37">
        <f t="shared" si="26"/>
        <v>2.9012E-2</v>
      </c>
      <c r="K218" s="14">
        <v>5874</v>
      </c>
      <c r="L218" s="14">
        <f t="shared" ref="L218:L281" si="28">K218/1000000</f>
        <v>5.8739999999999999E-3</v>
      </c>
      <c r="M218" s="14">
        <f t="shared" ref="M218:M249" si="29">J218+L218</f>
        <v>3.4886E-2</v>
      </c>
      <c r="N218" s="14">
        <v>1.4048639999999999E-2</v>
      </c>
      <c r="O218" s="6">
        <f t="shared" si="27"/>
        <v>1.2502621600000001</v>
      </c>
    </row>
    <row r="219" spans="1:15" x14ac:dyDescent="0.7">
      <c r="A219" s="5"/>
      <c r="B219" s="5"/>
      <c r="C219" s="5">
        <v>5</v>
      </c>
      <c r="D219" s="6">
        <v>23.582000000000001</v>
      </c>
      <c r="E219" s="6">
        <v>6.8</v>
      </c>
      <c r="F219" s="24">
        <v>15.03</v>
      </c>
      <c r="G219" s="14">
        <f t="shared" si="24"/>
        <v>1298592</v>
      </c>
      <c r="H219" s="14">
        <f t="shared" si="25"/>
        <v>1.298592</v>
      </c>
      <c r="I219" s="14">
        <v>34070</v>
      </c>
      <c r="J219" s="37">
        <f t="shared" si="26"/>
        <v>3.4070000000000003E-2</v>
      </c>
      <c r="K219" s="14">
        <v>0</v>
      </c>
      <c r="L219" s="14">
        <f t="shared" si="28"/>
        <v>0</v>
      </c>
      <c r="M219" s="14">
        <f t="shared" si="29"/>
        <v>3.4070000000000003E-2</v>
      </c>
      <c r="N219" s="14">
        <v>1.4048639999999999E-2</v>
      </c>
      <c r="O219" s="6">
        <f t="shared" si="27"/>
        <v>1.25047336</v>
      </c>
    </row>
    <row r="220" spans="1:15" x14ac:dyDescent="0.7">
      <c r="A220" s="5"/>
      <c r="B220" s="5"/>
      <c r="C220" s="5">
        <v>6</v>
      </c>
      <c r="D220" s="6">
        <v>42.938000000000002</v>
      </c>
      <c r="E220" s="6">
        <v>7.9</v>
      </c>
      <c r="F220" s="24">
        <v>15.034000000000001</v>
      </c>
      <c r="G220" s="14">
        <f t="shared" si="24"/>
        <v>1298937.6000000001</v>
      </c>
      <c r="H220" s="14">
        <f t="shared" si="25"/>
        <v>1.2989376000000001</v>
      </c>
      <c r="I220" s="14">
        <v>37889</v>
      </c>
      <c r="J220" s="37">
        <f t="shared" si="26"/>
        <v>3.7888999999999999E-2</v>
      </c>
      <c r="K220" s="14">
        <v>0</v>
      </c>
      <c r="L220" s="14">
        <f t="shared" si="28"/>
        <v>0</v>
      </c>
      <c r="M220" s="14">
        <f t="shared" si="29"/>
        <v>3.7888999999999999E-2</v>
      </c>
      <c r="N220" s="14">
        <v>1.4048639999999999E-2</v>
      </c>
      <c r="O220" s="6">
        <f t="shared" si="27"/>
        <v>1.2469999600000001</v>
      </c>
    </row>
    <row r="221" spans="1:15" x14ac:dyDescent="0.7">
      <c r="A221" s="5"/>
      <c r="B221" s="5"/>
      <c r="C221" s="5">
        <v>7</v>
      </c>
      <c r="D221" s="6">
        <v>53.667999999999999</v>
      </c>
      <c r="E221" s="6">
        <v>6.5</v>
      </c>
      <c r="F221" s="24">
        <v>13.041</v>
      </c>
      <c r="G221" s="14">
        <f t="shared" si="24"/>
        <v>1126742.4000000001</v>
      </c>
      <c r="H221" s="14">
        <f t="shared" si="25"/>
        <v>1.1267424000000001</v>
      </c>
      <c r="I221" s="14">
        <v>40290</v>
      </c>
      <c r="J221" s="37">
        <f t="shared" si="26"/>
        <v>4.0289999999999999E-2</v>
      </c>
      <c r="K221" s="14">
        <v>0</v>
      </c>
      <c r="L221" s="14">
        <f t="shared" si="28"/>
        <v>0</v>
      </c>
      <c r="M221" s="14">
        <f t="shared" si="29"/>
        <v>4.0289999999999999E-2</v>
      </c>
      <c r="N221" s="14">
        <v>1.4048639999999999E-2</v>
      </c>
      <c r="O221" s="6">
        <f t="shared" si="27"/>
        <v>1.0724037600000003</v>
      </c>
    </row>
    <row r="222" spans="1:15" x14ac:dyDescent="0.7">
      <c r="A222" s="5"/>
      <c r="B222" s="5"/>
      <c r="C222" s="5">
        <v>8</v>
      </c>
      <c r="D222" s="6">
        <v>102.84700000000001</v>
      </c>
      <c r="E222" s="6">
        <v>30.2</v>
      </c>
      <c r="F222" s="24">
        <v>11.048</v>
      </c>
      <c r="G222" s="14">
        <f t="shared" si="24"/>
        <v>954547.19999999995</v>
      </c>
      <c r="H222" s="14">
        <f t="shared" si="25"/>
        <v>0.95454719999999993</v>
      </c>
      <c r="I222" s="14">
        <v>27442</v>
      </c>
      <c r="J222" s="37">
        <f t="shared" si="26"/>
        <v>2.7442000000000001E-2</v>
      </c>
      <c r="K222" s="14">
        <v>0</v>
      </c>
      <c r="L222" s="14">
        <f t="shared" si="28"/>
        <v>0</v>
      </c>
      <c r="M222" s="14">
        <f t="shared" si="29"/>
        <v>2.7442000000000001E-2</v>
      </c>
      <c r="N222" s="14">
        <v>0.28676159999999995</v>
      </c>
      <c r="O222" s="6">
        <f t="shared" si="27"/>
        <v>0.64034360000000001</v>
      </c>
    </row>
    <row r="223" spans="1:15" x14ac:dyDescent="0.7">
      <c r="A223" s="5"/>
      <c r="B223" s="5"/>
      <c r="C223" s="5">
        <v>9</v>
      </c>
      <c r="D223" s="6">
        <v>93.573000000000008</v>
      </c>
      <c r="E223" s="6">
        <v>49.5</v>
      </c>
      <c r="F223" s="24">
        <v>11.042999999999999</v>
      </c>
      <c r="G223" s="14">
        <f t="shared" si="24"/>
        <v>954115.2</v>
      </c>
      <c r="H223" s="14">
        <f t="shared" si="25"/>
        <v>0.95411519999999994</v>
      </c>
      <c r="I223" s="14">
        <v>19631</v>
      </c>
      <c r="J223" s="37">
        <f t="shared" si="26"/>
        <v>1.9630999999999999E-2</v>
      </c>
      <c r="K223" s="14">
        <v>0</v>
      </c>
      <c r="L223" s="14">
        <f t="shared" si="28"/>
        <v>0</v>
      </c>
      <c r="M223" s="14">
        <f t="shared" si="29"/>
        <v>1.9630999999999999E-2</v>
      </c>
      <c r="N223" s="14">
        <v>6.2121599999999999E-2</v>
      </c>
      <c r="O223" s="6">
        <f t="shared" si="27"/>
        <v>0.87236259999999999</v>
      </c>
    </row>
    <row r="224" spans="1:15" x14ac:dyDescent="0.7">
      <c r="A224" s="5"/>
      <c r="B224" s="5"/>
      <c r="C224" s="5">
        <v>10</v>
      </c>
      <c r="D224" s="6">
        <v>89.462000000000003</v>
      </c>
      <c r="E224" s="6">
        <v>0</v>
      </c>
      <c r="F224" s="24">
        <v>10.081</v>
      </c>
      <c r="G224" s="14">
        <f t="shared" si="24"/>
        <v>870998.39999999991</v>
      </c>
      <c r="H224" s="14">
        <f t="shared" si="25"/>
        <v>0.87099839999999995</v>
      </c>
      <c r="I224" s="14">
        <v>20119</v>
      </c>
      <c r="J224" s="37">
        <f t="shared" si="26"/>
        <v>2.0119000000000001E-2</v>
      </c>
      <c r="K224" s="14">
        <v>0</v>
      </c>
      <c r="L224" s="14">
        <f t="shared" si="28"/>
        <v>0</v>
      </c>
      <c r="M224" s="14">
        <f t="shared" si="29"/>
        <v>2.0119000000000001E-2</v>
      </c>
      <c r="N224" s="14">
        <v>0.28676159999999995</v>
      </c>
      <c r="O224" s="6">
        <f t="shared" si="27"/>
        <v>0.5641178</v>
      </c>
    </row>
    <row r="225" spans="1:15" x14ac:dyDescent="0.7">
      <c r="A225" s="5"/>
      <c r="B225" s="5"/>
      <c r="C225" s="5">
        <v>11</v>
      </c>
      <c r="D225" s="6">
        <v>84.149000000000001</v>
      </c>
      <c r="E225" s="6">
        <v>18.100000000000001</v>
      </c>
      <c r="F225" s="24">
        <v>9.1199999999999992</v>
      </c>
      <c r="G225" s="14">
        <f t="shared" si="24"/>
        <v>787967.99999999988</v>
      </c>
      <c r="H225" s="14">
        <f t="shared" si="25"/>
        <v>0.78796799999999989</v>
      </c>
      <c r="I225" s="14">
        <v>19376</v>
      </c>
      <c r="J225" s="37">
        <f t="shared" si="26"/>
        <v>1.9376000000000001E-2</v>
      </c>
      <c r="K225" s="14">
        <v>0</v>
      </c>
      <c r="L225" s="14">
        <f t="shared" si="28"/>
        <v>0</v>
      </c>
      <c r="M225" s="14">
        <f t="shared" si="29"/>
        <v>1.9376000000000001E-2</v>
      </c>
      <c r="N225" s="14">
        <v>6.2121599999999999E-2</v>
      </c>
      <c r="O225" s="6">
        <f t="shared" si="27"/>
        <v>0.70647039999999994</v>
      </c>
    </row>
    <row r="226" spans="1:15" x14ac:dyDescent="0.7">
      <c r="A226" s="5"/>
      <c r="B226" s="5"/>
      <c r="C226" s="5">
        <v>12</v>
      </c>
      <c r="D226" s="6">
        <v>68.078000000000003</v>
      </c>
      <c r="E226" s="6">
        <v>26.7</v>
      </c>
      <c r="F226" s="24">
        <v>9.1430000000000007</v>
      </c>
      <c r="G226" s="14">
        <f t="shared" si="24"/>
        <v>789955.20000000007</v>
      </c>
      <c r="H226" s="14">
        <f t="shared" si="25"/>
        <v>0.78995520000000008</v>
      </c>
      <c r="I226" s="14">
        <v>18276</v>
      </c>
      <c r="J226" s="37">
        <f t="shared" si="26"/>
        <v>1.8276000000000001E-2</v>
      </c>
      <c r="K226" s="14">
        <v>0</v>
      </c>
      <c r="L226" s="14">
        <f t="shared" si="28"/>
        <v>0</v>
      </c>
      <c r="M226" s="14">
        <f t="shared" si="29"/>
        <v>1.8276000000000001E-2</v>
      </c>
      <c r="N226" s="14">
        <v>6.2121599999999999E-2</v>
      </c>
      <c r="O226" s="6">
        <f t="shared" si="27"/>
        <v>0.70955760000000012</v>
      </c>
    </row>
    <row r="227" spans="1:15" x14ac:dyDescent="0.7">
      <c r="A227" s="5"/>
      <c r="B227" s="5"/>
      <c r="C227" s="5">
        <v>13</v>
      </c>
      <c r="D227" s="6">
        <v>227.81700000000001</v>
      </c>
      <c r="E227" s="6">
        <v>17.2</v>
      </c>
      <c r="F227" s="24">
        <v>9.1530000000000005</v>
      </c>
      <c r="G227" s="14">
        <f t="shared" si="24"/>
        <v>790819.20000000007</v>
      </c>
      <c r="H227" s="14">
        <f t="shared" si="25"/>
        <v>0.79081920000000006</v>
      </c>
      <c r="I227" s="14">
        <v>24410</v>
      </c>
      <c r="J227" s="37">
        <f t="shared" si="26"/>
        <v>2.4410000000000001E-2</v>
      </c>
      <c r="K227" s="14">
        <v>0</v>
      </c>
      <c r="L227" s="14">
        <f t="shared" si="28"/>
        <v>0</v>
      </c>
      <c r="M227" s="14">
        <f t="shared" si="29"/>
        <v>2.4410000000000001E-2</v>
      </c>
      <c r="N227" s="14">
        <v>6.2121599999999999E-2</v>
      </c>
      <c r="O227" s="6">
        <f t="shared" si="27"/>
        <v>0.70428760000000001</v>
      </c>
    </row>
    <row r="228" spans="1:15" x14ac:dyDescent="0.7">
      <c r="A228" s="5"/>
      <c r="B228" s="5"/>
      <c r="C228" s="5">
        <v>14</v>
      </c>
      <c r="D228" s="6">
        <v>115.07899999999999</v>
      </c>
      <c r="E228" s="6">
        <v>0</v>
      </c>
      <c r="F228" s="24">
        <v>9.1359999999999992</v>
      </c>
      <c r="G228" s="14">
        <f t="shared" si="24"/>
        <v>789350.39999999991</v>
      </c>
      <c r="H228" s="14">
        <f t="shared" si="25"/>
        <v>0.7893503999999999</v>
      </c>
      <c r="I228" s="14">
        <v>23974</v>
      </c>
      <c r="J228" s="37">
        <f t="shared" si="26"/>
        <v>2.3973999999999999E-2</v>
      </c>
      <c r="K228" s="14">
        <v>30</v>
      </c>
      <c r="L228" s="14">
        <f t="shared" si="28"/>
        <v>3.0000000000000001E-5</v>
      </c>
      <c r="M228" s="14">
        <f t="shared" si="29"/>
        <v>2.4003999999999998E-2</v>
      </c>
      <c r="N228" s="14">
        <v>5.3481599999999997E-2</v>
      </c>
      <c r="O228" s="6">
        <f t="shared" si="27"/>
        <v>0.71186479999999985</v>
      </c>
    </row>
    <row r="229" spans="1:15" x14ac:dyDescent="0.7">
      <c r="A229" s="5"/>
      <c r="B229" s="5"/>
      <c r="C229" s="5">
        <v>15</v>
      </c>
      <c r="D229" s="6">
        <v>71.102999999999994</v>
      </c>
      <c r="E229" s="6">
        <v>0</v>
      </c>
      <c r="F229" s="24">
        <v>9.1310000000000002</v>
      </c>
      <c r="G229" s="14">
        <f t="shared" si="24"/>
        <v>788918.4</v>
      </c>
      <c r="H229" s="14">
        <f t="shared" si="25"/>
        <v>0.78891840000000002</v>
      </c>
      <c r="I229" s="14">
        <v>18917</v>
      </c>
      <c r="J229" s="37">
        <f t="shared" si="26"/>
        <v>1.8917E-2</v>
      </c>
      <c r="K229" s="14">
        <v>0</v>
      </c>
      <c r="L229" s="14">
        <f t="shared" si="28"/>
        <v>0</v>
      </c>
      <c r="M229" s="14">
        <f t="shared" si="29"/>
        <v>1.8917E-2</v>
      </c>
      <c r="N229" s="14">
        <v>5.3481599999999997E-2</v>
      </c>
      <c r="O229" s="6">
        <f t="shared" si="27"/>
        <v>0.71651980000000004</v>
      </c>
    </row>
    <row r="230" spans="1:15" x14ac:dyDescent="0.7">
      <c r="A230" s="5"/>
      <c r="B230" s="5"/>
      <c r="C230" s="5">
        <v>16</v>
      </c>
      <c r="D230" s="6">
        <v>52.085000000000001</v>
      </c>
      <c r="E230" s="6">
        <v>2.6</v>
      </c>
      <c r="F230" s="24">
        <v>9.1349999999999998</v>
      </c>
      <c r="G230" s="14">
        <f t="shared" si="24"/>
        <v>789264</v>
      </c>
      <c r="H230" s="14">
        <f t="shared" si="25"/>
        <v>0.78926399999999997</v>
      </c>
      <c r="I230" s="14">
        <v>18073</v>
      </c>
      <c r="J230" s="37">
        <f t="shared" si="26"/>
        <v>1.8072999999999999E-2</v>
      </c>
      <c r="K230" s="14">
        <v>0</v>
      </c>
      <c r="L230" s="14">
        <f t="shared" si="28"/>
        <v>0</v>
      </c>
      <c r="M230" s="14">
        <f t="shared" si="29"/>
        <v>1.8072999999999999E-2</v>
      </c>
      <c r="N230" s="14">
        <v>6.2121599999999999E-2</v>
      </c>
      <c r="O230" s="6">
        <f t="shared" si="27"/>
        <v>0.70906939999999996</v>
      </c>
    </row>
    <row r="231" spans="1:15" x14ac:dyDescent="0.7">
      <c r="A231" s="5"/>
      <c r="B231" s="5"/>
      <c r="C231" s="5">
        <v>17</v>
      </c>
      <c r="D231" s="6">
        <v>61.173000000000002</v>
      </c>
      <c r="E231" s="6">
        <v>39.700000000000003</v>
      </c>
      <c r="F231" s="24">
        <v>9.1639999999999997</v>
      </c>
      <c r="G231" s="14">
        <f t="shared" si="24"/>
        <v>791769.59999999998</v>
      </c>
      <c r="H231" s="14">
        <f t="shared" si="25"/>
        <v>0.79176959999999996</v>
      </c>
      <c r="I231" s="14">
        <v>16687</v>
      </c>
      <c r="J231" s="37">
        <f t="shared" si="26"/>
        <v>1.6687E-2</v>
      </c>
      <c r="K231" s="14">
        <v>0</v>
      </c>
      <c r="L231" s="14">
        <f t="shared" si="28"/>
        <v>0</v>
      </c>
      <c r="M231" s="14">
        <f t="shared" si="29"/>
        <v>1.6687E-2</v>
      </c>
      <c r="N231" s="14">
        <v>6.2121599999999999E-2</v>
      </c>
      <c r="O231" s="6">
        <f t="shared" si="27"/>
        <v>0.71296099999999996</v>
      </c>
    </row>
    <row r="232" spans="1:15" x14ac:dyDescent="0.7">
      <c r="A232" s="5"/>
      <c r="B232" s="5"/>
      <c r="C232" s="5">
        <v>18</v>
      </c>
      <c r="D232" s="6">
        <v>65.975999999999999</v>
      </c>
      <c r="E232" s="6">
        <v>3.2</v>
      </c>
      <c r="F232" s="24">
        <v>9.3140000000000001</v>
      </c>
      <c r="G232" s="14">
        <f t="shared" si="24"/>
        <v>804729.6</v>
      </c>
      <c r="H232" s="14">
        <f t="shared" si="25"/>
        <v>0.80472959999999993</v>
      </c>
      <c r="I232" s="14">
        <v>18797</v>
      </c>
      <c r="J232" s="37">
        <f t="shared" si="26"/>
        <v>1.8797000000000001E-2</v>
      </c>
      <c r="K232" s="14">
        <v>0</v>
      </c>
      <c r="L232" s="14">
        <f t="shared" si="28"/>
        <v>0</v>
      </c>
      <c r="M232" s="14">
        <f t="shared" si="29"/>
        <v>1.8797000000000001E-2</v>
      </c>
      <c r="N232" s="14">
        <v>6.2121599999999999E-2</v>
      </c>
      <c r="O232" s="6">
        <f t="shared" si="27"/>
        <v>0.72381099999999998</v>
      </c>
    </row>
    <row r="233" spans="1:15" x14ac:dyDescent="0.7">
      <c r="A233" s="5"/>
      <c r="B233" s="5"/>
      <c r="C233" s="5">
        <v>19</v>
      </c>
      <c r="D233" s="6">
        <v>47.125999999999998</v>
      </c>
      <c r="E233" s="6">
        <v>0</v>
      </c>
      <c r="F233" s="24">
        <v>9.48</v>
      </c>
      <c r="G233" s="14">
        <f>F233*86400</f>
        <v>819072</v>
      </c>
      <c r="H233" s="14">
        <f t="shared" si="25"/>
        <v>0.81907200000000002</v>
      </c>
      <c r="I233" s="14">
        <v>19419</v>
      </c>
      <c r="J233" s="37">
        <f t="shared" si="26"/>
        <v>1.9418999999999999E-2</v>
      </c>
      <c r="K233" s="14">
        <v>0</v>
      </c>
      <c r="L233" s="14">
        <f t="shared" si="28"/>
        <v>0</v>
      </c>
      <c r="M233" s="14">
        <f t="shared" si="29"/>
        <v>1.9418999999999999E-2</v>
      </c>
      <c r="N233" s="14">
        <v>6.2121599999999999E-2</v>
      </c>
      <c r="O233" s="6">
        <f t="shared" si="27"/>
        <v>0.73753140000000006</v>
      </c>
    </row>
    <row r="234" spans="1:15" x14ac:dyDescent="0.7">
      <c r="A234" s="5"/>
      <c r="B234" s="5"/>
      <c r="C234" s="5">
        <v>20</v>
      </c>
      <c r="D234" s="6">
        <v>39.947000000000003</v>
      </c>
      <c r="E234" s="6">
        <v>0</v>
      </c>
      <c r="F234" s="24">
        <v>9.4719999999999995</v>
      </c>
      <c r="G234" s="14">
        <f t="shared" si="24"/>
        <v>818380.79999999993</v>
      </c>
      <c r="H234" s="14">
        <f t="shared" si="25"/>
        <v>0.81838079999999991</v>
      </c>
      <c r="I234" s="14">
        <v>17695</v>
      </c>
      <c r="J234" s="37">
        <f t="shared" si="26"/>
        <v>1.7694999999999999E-2</v>
      </c>
      <c r="K234" s="14">
        <v>3671</v>
      </c>
      <c r="L234" s="14">
        <f t="shared" si="28"/>
        <v>3.6709999999999998E-3</v>
      </c>
      <c r="M234" s="14">
        <f t="shared" si="29"/>
        <v>2.1366E-2</v>
      </c>
      <c r="N234" s="14">
        <v>6.2121599999999999E-2</v>
      </c>
      <c r="O234" s="6">
        <f t="shared" si="27"/>
        <v>0.73489319999999991</v>
      </c>
    </row>
    <row r="235" spans="1:15" x14ac:dyDescent="0.7">
      <c r="A235" s="5"/>
      <c r="B235" s="5"/>
      <c r="C235" s="5">
        <v>21</v>
      </c>
      <c r="D235" s="6">
        <v>38.646999999999998</v>
      </c>
      <c r="E235" s="6">
        <v>0</v>
      </c>
      <c r="F235" s="24">
        <v>9.4649999999999999</v>
      </c>
      <c r="G235" s="14">
        <f t="shared" si="24"/>
        <v>817776</v>
      </c>
      <c r="H235" s="14">
        <f t="shared" si="25"/>
        <v>0.81777599999999995</v>
      </c>
      <c r="I235" s="14">
        <v>16333</v>
      </c>
      <c r="J235" s="37">
        <f t="shared" si="26"/>
        <v>1.6333E-2</v>
      </c>
      <c r="K235" s="14">
        <v>6494</v>
      </c>
      <c r="L235" s="14">
        <f t="shared" si="28"/>
        <v>6.4939999999999998E-3</v>
      </c>
      <c r="M235" s="14">
        <f t="shared" si="29"/>
        <v>2.2827E-2</v>
      </c>
      <c r="N235" s="14">
        <v>6.2121599999999999E-2</v>
      </c>
      <c r="O235" s="6">
        <f t="shared" si="27"/>
        <v>0.73282739999999991</v>
      </c>
    </row>
    <row r="236" spans="1:15" x14ac:dyDescent="0.7">
      <c r="A236" s="5"/>
      <c r="B236" s="5"/>
      <c r="C236" s="5">
        <v>22</v>
      </c>
      <c r="D236" s="6">
        <v>33.643000000000001</v>
      </c>
      <c r="E236" s="6">
        <v>3.9</v>
      </c>
      <c r="F236" s="24">
        <v>9.4719999999999995</v>
      </c>
      <c r="G236" s="14">
        <f t="shared" si="24"/>
        <v>818380.79999999993</v>
      </c>
      <c r="H236" s="14">
        <f t="shared" si="25"/>
        <v>0.81838079999999991</v>
      </c>
      <c r="I236" s="14">
        <v>17508</v>
      </c>
      <c r="J236" s="37">
        <f t="shared" si="26"/>
        <v>1.7507999999999999E-2</v>
      </c>
      <c r="K236" s="14">
        <v>6260</v>
      </c>
      <c r="L236" s="14">
        <f t="shared" si="28"/>
        <v>6.2599999999999999E-3</v>
      </c>
      <c r="M236" s="14">
        <f t="shared" si="29"/>
        <v>2.3767999999999997E-2</v>
      </c>
      <c r="N236" s="14">
        <v>6.2121599999999999E-2</v>
      </c>
      <c r="O236" s="6">
        <f t="shared" si="27"/>
        <v>0.7324911999999999</v>
      </c>
    </row>
    <row r="237" spans="1:15" x14ac:dyDescent="0.7">
      <c r="A237" s="5"/>
      <c r="B237" s="5"/>
      <c r="C237" s="5">
        <v>23</v>
      </c>
      <c r="D237" s="6">
        <v>42.606999999999999</v>
      </c>
      <c r="E237" s="6">
        <v>9.5</v>
      </c>
      <c r="F237" s="24">
        <v>9.4779999999999998</v>
      </c>
      <c r="G237" s="14">
        <f t="shared" si="24"/>
        <v>818899.2</v>
      </c>
      <c r="H237" s="14">
        <f t="shared" si="25"/>
        <v>0.81889919999999994</v>
      </c>
      <c r="I237" s="14">
        <v>18019</v>
      </c>
      <c r="J237" s="37">
        <f t="shared" si="26"/>
        <v>1.8019E-2</v>
      </c>
      <c r="K237" s="14">
        <v>5892</v>
      </c>
      <c r="L237" s="14">
        <f t="shared" si="28"/>
        <v>5.8919999999999997E-3</v>
      </c>
      <c r="M237" s="14">
        <f t="shared" si="29"/>
        <v>2.3911000000000002E-2</v>
      </c>
      <c r="N237" s="14">
        <v>6.2121599999999999E-2</v>
      </c>
      <c r="O237" s="6">
        <f t="shared" si="27"/>
        <v>0.73286659999999992</v>
      </c>
    </row>
    <row r="238" spans="1:15" x14ac:dyDescent="0.7">
      <c r="A238" s="5"/>
      <c r="B238" s="5"/>
      <c r="C238" s="5">
        <v>24</v>
      </c>
      <c r="D238" s="6">
        <v>39.947000000000003</v>
      </c>
      <c r="E238" s="6">
        <v>0</v>
      </c>
      <c r="F238" s="24">
        <v>9.4710000000000001</v>
      </c>
      <c r="G238" s="14">
        <f t="shared" si="24"/>
        <v>818294.4</v>
      </c>
      <c r="H238" s="14">
        <f t="shared" si="25"/>
        <v>0.81829439999999998</v>
      </c>
      <c r="I238" s="14">
        <v>18841</v>
      </c>
      <c r="J238" s="37">
        <f t="shared" si="26"/>
        <v>1.8841E-2</v>
      </c>
      <c r="K238" s="14">
        <v>5835</v>
      </c>
      <c r="L238" s="14">
        <f t="shared" si="28"/>
        <v>5.8349999999999999E-3</v>
      </c>
      <c r="M238" s="14">
        <f t="shared" si="29"/>
        <v>2.4676E-2</v>
      </c>
      <c r="N238" s="14">
        <v>6.2121599999999999E-2</v>
      </c>
      <c r="O238" s="6">
        <f t="shared" si="27"/>
        <v>0.73149679999999995</v>
      </c>
    </row>
    <row r="239" spans="1:15" x14ac:dyDescent="0.7">
      <c r="A239" s="5"/>
      <c r="B239" s="5"/>
      <c r="C239" s="5">
        <v>25</v>
      </c>
      <c r="D239" s="6">
        <v>29.936999999999998</v>
      </c>
      <c r="E239" s="6">
        <v>7.9</v>
      </c>
      <c r="F239" s="24">
        <v>9.4830000000000005</v>
      </c>
      <c r="G239" s="14">
        <f t="shared" si="24"/>
        <v>819331.20000000007</v>
      </c>
      <c r="H239" s="14">
        <f t="shared" si="25"/>
        <v>0.81933120000000004</v>
      </c>
      <c r="I239" s="14">
        <v>15059</v>
      </c>
      <c r="J239" s="37">
        <f t="shared" si="26"/>
        <v>1.5058999999999999E-2</v>
      </c>
      <c r="K239" s="14">
        <v>4963</v>
      </c>
      <c r="L239" s="14">
        <f t="shared" si="28"/>
        <v>4.9630000000000004E-3</v>
      </c>
      <c r="M239" s="14">
        <f t="shared" si="29"/>
        <v>2.0021999999999998E-2</v>
      </c>
      <c r="N239" s="14">
        <v>6.2121599999999999E-2</v>
      </c>
      <c r="O239" s="6">
        <f t="shared" si="27"/>
        <v>0.73718760000000005</v>
      </c>
    </row>
    <row r="240" spans="1:15" x14ac:dyDescent="0.7">
      <c r="A240" s="5"/>
      <c r="B240" s="5"/>
      <c r="C240" s="5">
        <v>26</v>
      </c>
      <c r="D240" s="6">
        <v>50.996000000000002</v>
      </c>
      <c r="E240" s="6">
        <v>1.2</v>
      </c>
      <c r="F240" s="24">
        <v>8.0890000000000004</v>
      </c>
      <c r="G240" s="14">
        <f t="shared" si="24"/>
        <v>698889.60000000009</v>
      </c>
      <c r="H240" s="14">
        <f t="shared" si="25"/>
        <v>0.69888960000000011</v>
      </c>
      <c r="I240" s="14">
        <v>18944</v>
      </c>
      <c r="J240" s="37">
        <f t="shared" si="26"/>
        <v>1.8943999999999999E-2</v>
      </c>
      <c r="K240" s="14">
        <v>6067</v>
      </c>
      <c r="L240" s="14">
        <f t="shared" si="28"/>
        <v>6.0670000000000003E-3</v>
      </c>
      <c r="M240" s="14">
        <f t="shared" si="29"/>
        <v>2.5010999999999999E-2</v>
      </c>
      <c r="N240" s="14">
        <v>0.2003616</v>
      </c>
      <c r="O240" s="6">
        <f t="shared" si="27"/>
        <v>0.47351700000000008</v>
      </c>
    </row>
    <row r="241" spans="1:15" x14ac:dyDescent="0.7">
      <c r="A241" s="5"/>
      <c r="B241" s="5"/>
      <c r="C241" s="5">
        <v>27</v>
      </c>
      <c r="D241" s="6">
        <v>107.941</v>
      </c>
      <c r="E241" s="6">
        <v>21.2</v>
      </c>
      <c r="F241" s="24">
        <v>6.55</v>
      </c>
      <c r="G241" s="14">
        <f t="shared" si="24"/>
        <v>565920</v>
      </c>
      <c r="H241" s="14">
        <f t="shared" si="25"/>
        <v>0.56591999999999998</v>
      </c>
      <c r="I241" s="14">
        <v>17854</v>
      </c>
      <c r="J241" s="37">
        <f t="shared" si="26"/>
        <v>1.7853999999999998E-2</v>
      </c>
      <c r="K241" s="14">
        <v>5162</v>
      </c>
      <c r="L241" s="14">
        <f t="shared" si="28"/>
        <v>5.1619999999999999E-3</v>
      </c>
      <c r="M241" s="14">
        <f t="shared" si="29"/>
        <v>2.3015999999999998E-2</v>
      </c>
      <c r="N241" s="14">
        <v>6.2121599999999999E-2</v>
      </c>
      <c r="O241" s="6">
        <f t="shared" si="27"/>
        <v>0.48078239999999994</v>
      </c>
    </row>
    <row r="242" spans="1:15" x14ac:dyDescent="0.7">
      <c r="A242" s="5"/>
      <c r="B242" s="5"/>
      <c r="C242" s="5">
        <v>28</v>
      </c>
      <c r="D242" s="6">
        <v>98.338999999999999</v>
      </c>
      <c r="E242" s="6">
        <v>95.7</v>
      </c>
      <c r="F242" s="24">
        <v>7.81</v>
      </c>
      <c r="G242" s="14">
        <f t="shared" si="24"/>
        <v>674784</v>
      </c>
      <c r="H242" s="14">
        <f t="shared" si="25"/>
        <v>0.67478400000000005</v>
      </c>
      <c r="I242" s="14">
        <v>18639</v>
      </c>
      <c r="J242" s="37">
        <f t="shared" si="26"/>
        <v>1.8638999999999999E-2</v>
      </c>
      <c r="K242" s="14">
        <v>5461</v>
      </c>
      <c r="L242" s="14">
        <f t="shared" si="28"/>
        <v>5.4609999999999997E-3</v>
      </c>
      <c r="M242" s="14">
        <f t="shared" si="29"/>
        <v>2.41E-2</v>
      </c>
      <c r="N242" s="14">
        <v>6.2121599999999999E-2</v>
      </c>
      <c r="O242" s="6">
        <f t="shared" si="27"/>
        <v>0.58856240000000004</v>
      </c>
    </row>
    <row r="243" spans="1:15" x14ac:dyDescent="0.7">
      <c r="A243" s="5"/>
      <c r="B243" s="5"/>
      <c r="C243" s="5">
        <v>29</v>
      </c>
      <c r="D243" s="6">
        <v>47.713999999999999</v>
      </c>
      <c r="E243" s="6">
        <v>0</v>
      </c>
      <c r="F243" s="24">
        <v>9.0739999999999998</v>
      </c>
      <c r="G243" s="14">
        <f t="shared" si="24"/>
        <v>783993.6</v>
      </c>
      <c r="H243" s="14">
        <f t="shared" si="25"/>
        <v>0.78399359999999996</v>
      </c>
      <c r="I243" s="14">
        <v>17382</v>
      </c>
      <c r="J243" s="37">
        <f t="shared" si="26"/>
        <v>1.7382000000000002E-2</v>
      </c>
      <c r="K243" s="14">
        <v>2100</v>
      </c>
      <c r="L243" s="14">
        <f t="shared" si="28"/>
        <v>2.0999999999999999E-3</v>
      </c>
      <c r="M243" s="14">
        <f t="shared" si="29"/>
        <v>1.9482000000000003E-2</v>
      </c>
      <c r="N243" s="14">
        <v>6.2121599999999999E-2</v>
      </c>
      <c r="O243" s="6">
        <f t="shared" si="27"/>
        <v>0.70238999999999996</v>
      </c>
    </row>
    <row r="244" spans="1:15" x14ac:dyDescent="0.7">
      <c r="A244" s="5"/>
      <c r="B244" s="5"/>
      <c r="C244" s="5">
        <v>30</v>
      </c>
      <c r="D244" s="6">
        <v>34.474999999999994</v>
      </c>
      <c r="E244" s="6">
        <v>0</v>
      </c>
      <c r="F244" s="24">
        <v>9.07</v>
      </c>
      <c r="G244" s="14">
        <f t="shared" si="24"/>
        <v>783648</v>
      </c>
      <c r="H244" s="14">
        <f t="shared" si="25"/>
        <v>0.78364800000000001</v>
      </c>
      <c r="I244" s="14">
        <v>18617</v>
      </c>
      <c r="J244" s="37">
        <f t="shared" si="26"/>
        <v>1.8617000000000002E-2</v>
      </c>
      <c r="K244" s="14">
        <v>0</v>
      </c>
      <c r="L244" s="14">
        <f t="shared" si="28"/>
        <v>0</v>
      </c>
      <c r="M244" s="14">
        <f t="shared" si="29"/>
        <v>1.8617000000000002E-2</v>
      </c>
      <c r="N244" s="14">
        <v>6.2121599999999999E-2</v>
      </c>
      <c r="O244" s="6">
        <f t="shared" si="27"/>
        <v>0.70290940000000002</v>
      </c>
    </row>
    <row r="245" spans="1:15" s="12" customFormat="1" ht="25.2" thickBot="1" x14ac:dyDescent="0.75">
      <c r="A245" s="8"/>
      <c r="B245" s="8" t="s">
        <v>22</v>
      </c>
      <c r="C245" s="8">
        <v>31</v>
      </c>
      <c r="D245" s="9">
        <v>27.463999999999999</v>
      </c>
      <c r="E245" s="9">
        <v>0</v>
      </c>
      <c r="F245" s="29">
        <v>9.0730000000000004</v>
      </c>
      <c r="G245" s="23">
        <f t="shared" si="24"/>
        <v>783907.20000000007</v>
      </c>
      <c r="H245" s="23">
        <f t="shared" si="25"/>
        <v>0.78390720000000003</v>
      </c>
      <c r="I245" s="23">
        <v>19963</v>
      </c>
      <c r="J245" s="38">
        <f t="shared" si="26"/>
        <v>1.9963000000000002E-2</v>
      </c>
      <c r="K245" s="23">
        <v>0</v>
      </c>
      <c r="L245" s="23">
        <f t="shared" si="28"/>
        <v>0</v>
      </c>
      <c r="M245" s="23">
        <f t="shared" si="29"/>
        <v>1.9963000000000002E-2</v>
      </c>
      <c r="N245" s="23">
        <v>6.2121599999999999E-2</v>
      </c>
      <c r="O245" s="9">
        <f t="shared" si="27"/>
        <v>0.70182260000000007</v>
      </c>
    </row>
    <row r="246" spans="1:15" x14ac:dyDescent="0.7">
      <c r="A246" s="2"/>
      <c r="B246" s="2" t="s">
        <v>23</v>
      </c>
      <c r="C246" s="2">
        <v>1</v>
      </c>
      <c r="D246" s="3">
        <v>32.061999999999998</v>
      </c>
      <c r="E246" s="3">
        <v>0.5</v>
      </c>
      <c r="F246" s="27">
        <v>9.08</v>
      </c>
      <c r="G246" s="20">
        <f t="shared" si="24"/>
        <v>784512</v>
      </c>
      <c r="H246" s="20">
        <f t="shared" si="25"/>
        <v>0.78451199999999999</v>
      </c>
      <c r="I246" s="20">
        <v>18007</v>
      </c>
      <c r="J246" s="39">
        <f t="shared" si="26"/>
        <v>1.8006999999999999E-2</v>
      </c>
      <c r="K246" s="20">
        <v>30</v>
      </c>
      <c r="L246" s="20">
        <f t="shared" si="28"/>
        <v>3.0000000000000001E-5</v>
      </c>
      <c r="M246" s="20">
        <f t="shared" si="29"/>
        <v>1.8036999999999997E-2</v>
      </c>
      <c r="N246" s="20">
        <v>3.62016E-2</v>
      </c>
      <c r="O246" s="3">
        <f t="shared" si="27"/>
        <v>0.73027339999999996</v>
      </c>
    </row>
    <row r="247" spans="1:15" x14ac:dyDescent="0.7">
      <c r="A247" s="5"/>
      <c r="B247" s="5"/>
      <c r="C247" s="5">
        <v>2</v>
      </c>
      <c r="D247" s="6">
        <v>34.482999999999997</v>
      </c>
      <c r="E247" s="6">
        <v>0</v>
      </c>
      <c r="F247" s="24">
        <v>9.0730000000000004</v>
      </c>
      <c r="G247" s="14">
        <f t="shared" si="24"/>
        <v>783907.20000000007</v>
      </c>
      <c r="H247" s="14">
        <f t="shared" si="25"/>
        <v>0.78390720000000003</v>
      </c>
      <c r="I247" s="14">
        <v>20601</v>
      </c>
      <c r="J247" s="37">
        <f t="shared" si="26"/>
        <v>2.0601000000000001E-2</v>
      </c>
      <c r="K247" s="14">
        <v>6594</v>
      </c>
      <c r="L247" s="14">
        <f t="shared" si="28"/>
        <v>6.594E-3</v>
      </c>
      <c r="M247" s="14">
        <f t="shared" si="29"/>
        <v>2.7195E-2</v>
      </c>
      <c r="N247" s="14">
        <v>3.62016E-2</v>
      </c>
      <c r="O247" s="6">
        <f t="shared" si="27"/>
        <v>0.72051060000000011</v>
      </c>
    </row>
    <row r="248" spans="1:15" x14ac:dyDescent="0.7">
      <c r="A248" s="5"/>
      <c r="B248" s="5"/>
      <c r="C248" s="5">
        <v>3</v>
      </c>
      <c r="D248" s="6">
        <v>29.713000000000001</v>
      </c>
      <c r="E248" s="6">
        <v>0</v>
      </c>
      <c r="F248" s="24">
        <v>9.0570000000000004</v>
      </c>
      <c r="G248" s="14">
        <f t="shared" si="24"/>
        <v>782524.8</v>
      </c>
      <c r="H248" s="14">
        <f t="shared" si="25"/>
        <v>0.78252480000000002</v>
      </c>
      <c r="I248" s="14">
        <v>20255</v>
      </c>
      <c r="J248" s="37">
        <f t="shared" si="26"/>
        <v>2.0254999999999999E-2</v>
      </c>
      <c r="K248" s="14">
        <v>5882</v>
      </c>
      <c r="L248" s="14">
        <f t="shared" si="28"/>
        <v>5.8820000000000001E-3</v>
      </c>
      <c r="M248" s="14">
        <f t="shared" si="29"/>
        <v>2.6137000000000001E-2</v>
      </c>
      <c r="N248" s="14">
        <v>3.62016E-2</v>
      </c>
      <c r="O248" s="6">
        <f t="shared" si="27"/>
        <v>0.72018620000000011</v>
      </c>
    </row>
    <row r="249" spans="1:15" x14ac:dyDescent="0.7">
      <c r="A249" s="5"/>
      <c r="B249" s="5"/>
      <c r="C249" s="5">
        <v>4</v>
      </c>
      <c r="D249" s="6">
        <v>27.448</v>
      </c>
      <c r="E249" s="6">
        <v>0.2</v>
      </c>
      <c r="F249" s="24">
        <v>11.56</v>
      </c>
      <c r="G249" s="14">
        <f t="shared" si="24"/>
        <v>998784</v>
      </c>
      <c r="H249" s="14">
        <f t="shared" si="25"/>
        <v>0.99878400000000001</v>
      </c>
      <c r="I249" s="14">
        <v>20193</v>
      </c>
      <c r="J249" s="37">
        <f t="shared" si="26"/>
        <v>2.0192999999999999E-2</v>
      </c>
      <c r="K249" s="14">
        <v>0</v>
      </c>
      <c r="L249" s="14">
        <f t="shared" si="28"/>
        <v>0</v>
      </c>
      <c r="M249" s="14">
        <f t="shared" si="29"/>
        <v>2.0192999999999999E-2</v>
      </c>
      <c r="N249" s="14">
        <v>3.62016E-2</v>
      </c>
      <c r="O249" s="6">
        <f t="shared" si="27"/>
        <v>0.94238939999999993</v>
      </c>
    </row>
    <row r="250" spans="1:15" x14ac:dyDescent="0.7">
      <c r="A250" s="5"/>
      <c r="B250" s="5"/>
      <c r="C250" s="5">
        <v>5</v>
      </c>
      <c r="D250" s="6">
        <v>18.044</v>
      </c>
      <c r="E250" s="6">
        <v>0</v>
      </c>
      <c r="F250" s="24">
        <v>11.573</v>
      </c>
      <c r="G250" s="14">
        <f t="shared" si="24"/>
        <v>999907.20000000007</v>
      </c>
      <c r="H250" s="14">
        <f t="shared" si="25"/>
        <v>0.99990720000000011</v>
      </c>
      <c r="I250" s="14">
        <v>18759</v>
      </c>
      <c r="J250" s="37">
        <f t="shared" si="26"/>
        <v>1.8759000000000001E-2</v>
      </c>
      <c r="K250" s="14">
        <v>0</v>
      </c>
      <c r="L250" s="14">
        <f t="shared" si="28"/>
        <v>0</v>
      </c>
      <c r="M250" s="14">
        <f t="shared" ref="M250:M281" si="30">J250+L250</f>
        <v>1.8759000000000001E-2</v>
      </c>
      <c r="N250" s="14">
        <v>3.62016E-2</v>
      </c>
      <c r="O250" s="6">
        <f t="shared" si="27"/>
        <v>0.94494660000000019</v>
      </c>
    </row>
    <row r="251" spans="1:15" x14ac:dyDescent="0.7">
      <c r="A251" s="5"/>
      <c r="B251" s="5"/>
      <c r="C251" s="5">
        <v>6</v>
      </c>
      <c r="D251" s="6">
        <v>15.972999999999999</v>
      </c>
      <c r="E251" s="6">
        <v>0.3</v>
      </c>
      <c r="F251" s="24">
        <v>9.0749999999999993</v>
      </c>
      <c r="G251" s="14">
        <f t="shared" si="24"/>
        <v>784079.99999999988</v>
      </c>
      <c r="H251" s="14">
        <f t="shared" si="25"/>
        <v>0.78407999999999989</v>
      </c>
      <c r="I251" s="14">
        <v>17877</v>
      </c>
      <c r="J251" s="37">
        <f t="shared" si="26"/>
        <v>1.7877000000000001E-2</v>
      </c>
      <c r="K251" s="14">
        <v>0</v>
      </c>
      <c r="L251" s="14">
        <f t="shared" si="28"/>
        <v>0</v>
      </c>
      <c r="M251" s="14">
        <f t="shared" si="30"/>
        <v>1.7877000000000001E-2</v>
      </c>
      <c r="N251" s="14">
        <v>3.62016E-2</v>
      </c>
      <c r="O251" s="6">
        <f t="shared" si="27"/>
        <v>0.73000139999999991</v>
      </c>
    </row>
    <row r="252" spans="1:15" x14ac:dyDescent="0.7">
      <c r="A252" s="5"/>
      <c r="B252" s="5"/>
      <c r="C252" s="5">
        <v>7</v>
      </c>
      <c r="D252" s="6">
        <v>15.191000000000001</v>
      </c>
      <c r="E252" s="6">
        <v>3.5</v>
      </c>
      <c r="F252" s="24">
        <v>9.0719999999999992</v>
      </c>
      <c r="G252" s="14">
        <f t="shared" si="24"/>
        <v>783820.79999999993</v>
      </c>
      <c r="H252" s="14">
        <f t="shared" si="25"/>
        <v>0.78382079999999998</v>
      </c>
      <c r="I252" s="14">
        <v>17767</v>
      </c>
      <c r="J252" s="37">
        <f t="shared" si="26"/>
        <v>1.7767000000000002E-2</v>
      </c>
      <c r="K252" s="14">
        <v>6426</v>
      </c>
      <c r="L252" s="14">
        <f t="shared" si="28"/>
        <v>6.4260000000000003E-3</v>
      </c>
      <c r="M252" s="14">
        <f t="shared" si="30"/>
        <v>2.4193000000000003E-2</v>
      </c>
      <c r="N252" s="14">
        <v>3.62016E-2</v>
      </c>
      <c r="O252" s="6">
        <f t="shared" si="27"/>
        <v>0.72342620000000002</v>
      </c>
    </row>
    <row r="253" spans="1:15" x14ac:dyDescent="0.7">
      <c r="A253" s="5"/>
      <c r="B253" s="5"/>
      <c r="C253" s="5">
        <v>8</v>
      </c>
      <c r="D253" s="6">
        <v>13.725</v>
      </c>
      <c r="E253" s="6">
        <v>0.4</v>
      </c>
      <c r="F253" s="24">
        <v>9.0779999999999994</v>
      </c>
      <c r="G253" s="14">
        <f t="shared" si="24"/>
        <v>784339.2</v>
      </c>
      <c r="H253" s="14">
        <f t="shared" si="25"/>
        <v>0.7843391999999999</v>
      </c>
      <c r="I253" s="14">
        <v>19893</v>
      </c>
      <c r="J253" s="37">
        <f t="shared" si="26"/>
        <v>1.9893000000000001E-2</v>
      </c>
      <c r="K253" s="14">
        <v>2777</v>
      </c>
      <c r="L253" s="14">
        <f t="shared" si="28"/>
        <v>2.777E-3</v>
      </c>
      <c r="M253" s="14">
        <f t="shared" si="30"/>
        <v>2.2670000000000003E-2</v>
      </c>
      <c r="N253" s="14">
        <v>8.8041600000000012E-2</v>
      </c>
      <c r="O253" s="6">
        <f t="shared" si="27"/>
        <v>0.67362759999999988</v>
      </c>
    </row>
    <row r="254" spans="1:15" x14ac:dyDescent="0.7">
      <c r="A254" s="5"/>
      <c r="B254" s="5"/>
      <c r="C254" s="5">
        <v>9</v>
      </c>
      <c r="D254" s="6">
        <v>27.481999999999999</v>
      </c>
      <c r="E254" s="6">
        <v>35.6</v>
      </c>
      <c r="F254" s="24">
        <v>6.7889999999999997</v>
      </c>
      <c r="G254" s="14">
        <f t="shared" si="24"/>
        <v>586569.6</v>
      </c>
      <c r="H254" s="14">
        <f t="shared" si="25"/>
        <v>0.58656960000000002</v>
      </c>
      <c r="I254" s="14">
        <v>19267</v>
      </c>
      <c r="J254" s="37">
        <f t="shared" si="26"/>
        <v>1.9266999999999999E-2</v>
      </c>
      <c r="K254" s="14">
        <v>4342</v>
      </c>
      <c r="L254" s="14">
        <f t="shared" si="28"/>
        <v>4.3420000000000004E-3</v>
      </c>
      <c r="M254" s="14">
        <f t="shared" si="30"/>
        <v>2.3608999999999998E-2</v>
      </c>
      <c r="N254" s="14">
        <v>8.8041600000000012E-2</v>
      </c>
      <c r="O254" s="6">
        <f t="shared" si="27"/>
        <v>0.47491900000000004</v>
      </c>
    </row>
    <row r="255" spans="1:15" x14ac:dyDescent="0.7">
      <c r="A255" s="5"/>
      <c r="B255" s="5"/>
      <c r="C255" s="5">
        <v>10</v>
      </c>
      <c r="D255" s="6">
        <v>51.927999999999997</v>
      </c>
      <c r="E255" s="6">
        <v>13.6</v>
      </c>
      <c r="F255" s="24">
        <v>4.5019999999999998</v>
      </c>
      <c r="G255" s="14">
        <f t="shared" si="24"/>
        <v>388972.79999999999</v>
      </c>
      <c r="H255" s="14">
        <f t="shared" si="25"/>
        <v>0.38897280000000001</v>
      </c>
      <c r="I255" s="16">
        <v>17959</v>
      </c>
      <c r="J255" s="37">
        <f t="shared" si="26"/>
        <v>1.7958999999999999E-2</v>
      </c>
      <c r="K255" s="14">
        <v>4848</v>
      </c>
      <c r="L255" s="14">
        <f t="shared" si="28"/>
        <v>4.8479999999999999E-3</v>
      </c>
      <c r="M255" s="14">
        <f t="shared" si="30"/>
        <v>2.2807000000000001E-2</v>
      </c>
      <c r="N255" s="14">
        <v>8.8041600000000012E-2</v>
      </c>
      <c r="O255" s="6">
        <f t="shared" si="27"/>
        <v>0.27812419999999999</v>
      </c>
    </row>
    <row r="256" spans="1:15" x14ac:dyDescent="0.7">
      <c r="A256" s="5"/>
      <c r="B256" s="5"/>
      <c r="C256" s="5">
        <v>11</v>
      </c>
      <c r="D256" s="6">
        <v>50.420999999999999</v>
      </c>
      <c r="E256" s="6">
        <v>10.199999999999999</v>
      </c>
      <c r="F256" s="24">
        <v>4.5369999999999999</v>
      </c>
      <c r="G256" s="14">
        <f t="shared" si="24"/>
        <v>391996.8</v>
      </c>
      <c r="H256" s="14">
        <f t="shared" si="25"/>
        <v>0.39199679999999998</v>
      </c>
      <c r="I256" s="14">
        <v>18435</v>
      </c>
      <c r="J256" s="37">
        <f t="shared" si="26"/>
        <v>1.8435E-2</v>
      </c>
      <c r="K256" s="14">
        <v>6304</v>
      </c>
      <c r="L256" s="14">
        <f t="shared" si="28"/>
        <v>6.3039999999999997E-3</v>
      </c>
      <c r="M256" s="14">
        <f t="shared" si="30"/>
        <v>2.4739000000000001E-2</v>
      </c>
      <c r="N256" s="14">
        <v>0.38180159999999996</v>
      </c>
      <c r="O256" s="6">
        <f t="shared" si="27"/>
        <v>-1.4543799999999996E-2</v>
      </c>
    </row>
    <row r="257" spans="1:15" x14ac:dyDescent="0.7">
      <c r="A257" s="5"/>
      <c r="B257" s="5"/>
      <c r="C257" s="5">
        <v>12</v>
      </c>
      <c r="D257" s="6">
        <v>98.257000000000005</v>
      </c>
      <c r="E257" s="6">
        <v>82.4</v>
      </c>
      <c r="F257" s="24">
        <v>4.5750000000000002</v>
      </c>
      <c r="G257" s="14">
        <f t="shared" si="24"/>
        <v>395280</v>
      </c>
      <c r="H257" s="14">
        <f t="shared" si="25"/>
        <v>0.39528000000000002</v>
      </c>
      <c r="I257" s="14">
        <v>21912</v>
      </c>
      <c r="J257" s="37">
        <f t="shared" si="26"/>
        <v>2.1912000000000001E-2</v>
      </c>
      <c r="K257" s="14">
        <v>906</v>
      </c>
      <c r="L257" s="14">
        <f t="shared" si="28"/>
        <v>9.0600000000000001E-4</v>
      </c>
      <c r="M257" s="14">
        <f t="shared" si="30"/>
        <v>2.2818000000000001E-2</v>
      </c>
      <c r="N257" s="14">
        <v>0.84836159999999994</v>
      </c>
      <c r="O257" s="6">
        <f t="shared" si="27"/>
        <v>-0.47589959999999992</v>
      </c>
    </row>
    <row r="258" spans="1:15" x14ac:dyDescent="0.7">
      <c r="A258" s="5"/>
      <c r="B258" s="5"/>
      <c r="C258" s="5">
        <v>13</v>
      </c>
      <c r="D258" s="6">
        <v>102.092</v>
      </c>
      <c r="E258" s="6">
        <v>11.2</v>
      </c>
      <c r="F258" s="24">
        <v>4.5880000000000001</v>
      </c>
      <c r="G258" s="14">
        <f t="shared" si="24"/>
        <v>396403.20000000001</v>
      </c>
      <c r="H258" s="14">
        <f t="shared" si="25"/>
        <v>0.39640320000000001</v>
      </c>
      <c r="I258" s="14">
        <v>34298</v>
      </c>
      <c r="J258" s="37">
        <f t="shared" si="26"/>
        <v>3.4298000000000002E-2</v>
      </c>
      <c r="K258" s="14">
        <v>0</v>
      </c>
      <c r="L258" s="14">
        <f t="shared" si="28"/>
        <v>0</v>
      </c>
      <c r="M258" s="14">
        <f t="shared" si="30"/>
        <v>3.4298000000000002E-2</v>
      </c>
      <c r="N258" s="14">
        <v>0.83972159999999996</v>
      </c>
      <c r="O258" s="6">
        <f t="shared" si="27"/>
        <v>-0.47761639999999994</v>
      </c>
    </row>
    <row r="259" spans="1:15" x14ac:dyDescent="0.7">
      <c r="A259" s="5"/>
      <c r="B259" s="5"/>
      <c r="C259" s="5">
        <v>14</v>
      </c>
      <c r="D259" s="6">
        <v>109.896</v>
      </c>
      <c r="E259" s="6">
        <v>8.1</v>
      </c>
      <c r="F259" s="24">
        <v>4.5940000000000003</v>
      </c>
      <c r="G259" s="14">
        <f t="shared" ref="G259:G322" si="31">F259*86400</f>
        <v>396921.60000000003</v>
      </c>
      <c r="H259" s="14">
        <f t="shared" ref="H259:H322" si="32">G259/1000000</f>
        <v>0.39692160000000004</v>
      </c>
      <c r="I259" s="14">
        <v>38458</v>
      </c>
      <c r="J259" s="37">
        <f t="shared" ref="J259:J322" si="33">I259/1000000</f>
        <v>3.8457999999999999E-2</v>
      </c>
      <c r="K259" s="14">
        <v>0</v>
      </c>
      <c r="L259" s="14">
        <f t="shared" si="28"/>
        <v>0</v>
      </c>
      <c r="M259" s="14">
        <f t="shared" si="30"/>
        <v>3.8457999999999999E-2</v>
      </c>
      <c r="N259" s="14">
        <v>0.83972159999999996</v>
      </c>
      <c r="O259" s="6">
        <f t="shared" si="27"/>
        <v>-0.48125799999999991</v>
      </c>
    </row>
    <row r="260" spans="1:15" x14ac:dyDescent="0.7">
      <c r="A260" s="5"/>
      <c r="B260" s="5"/>
      <c r="C260" s="5">
        <v>15</v>
      </c>
      <c r="D260" s="6">
        <v>136.58600000000001</v>
      </c>
      <c r="E260" s="6">
        <v>0</v>
      </c>
      <c r="F260" s="24">
        <v>4.5869999999999997</v>
      </c>
      <c r="G260" s="14">
        <f t="shared" si="31"/>
        <v>396316.8</v>
      </c>
      <c r="H260" s="14">
        <f t="shared" si="32"/>
        <v>0.39631679999999997</v>
      </c>
      <c r="I260" s="14">
        <v>25510</v>
      </c>
      <c r="J260" s="37">
        <f t="shared" si="33"/>
        <v>2.5510000000000001E-2</v>
      </c>
      <c r="K260" s="14">
        <v>0</v>
      </c>
      <c r="L260" s="14">
        <f t="shared" si="28"/>
        <v>0</v>
      </c>
      <c r="M260" s="14">
        <f t="shared" si="30"/>
        <v>2.5510000000000001E-2</v>
      </c>
      <c r="N260" s="14">
        <v>6.2121599999999999E-2</v>
      </c>
      <c r="O260" s="6">
        <f t="shared" ref="O260:O323" si="34">H260-M260-N260</f>
        <v>0.30868519999999999</v>
      </c>
    </row>
    <row r="261" spans="1:15" x14ac:dyDescent="0.7">
      <c r="A261" s="5"/>
      <c r="B261" s="5"/>
      <c r="C261" s="5">
        <v>16</v>
      </c>
      <c r="D261" s="6">
        <v>136.58600000000001</v>
      </c>
      <c r="E261" s="6">
        <v>0</v>
      </c>
      <c r="F261" s="24">
        <v>4.58</v>
      </c>
      <c r="G261" s="14">
        <f t="shared" si="31"/>
        <v>395712</v>
      </c>
      <c r="H261" s="14">
        <f t="shared" si="32"/>
        <v>0.39571200000000001</v>
      </c>
      <c r="I261" s="14">
        <v>22600</v>
      </c>
      <c r="J261" s="37">
        <f t="shared" si="33"/>
        <v>2.2599999999999999E-2</v>
      </c>
      <c r="K261" s="14">
        <v>0</v>
      </c>
      <c r="L261" s="14">
        <f t="shared" si="28"/>
        <v>0</v>
      </c>
      <c r="M261" s="14">
        <f t="shared" si="30"/>
        <v>2.2599999999999999E-2</v>
      </c>
      <c r="N261" s="14">
        <v>6.2121599999999999E-2</v>
      </c>
      <c r="O261" s="6">
        <f t="shared" si="34"/>
        <v>0.3109904</v>
      </c>
    </row>
    <row r="262" spans="1:15" x14ac:dyDescent="0.7">
      <c r="A262" s="5"/>
      <c r="B262" s="5"/>
      <c r="C262" s="5">
        <v>17</v>
      </c>
      <c r="D262" s="6">
        <v>115.871</v>
      </c>
      <c r="E262" s="6">
        <v>0</v>
      </c>
      <c r="F262" s="24">
        <v>4.5720000000000001</v>
      </c>
      <c r="G262" s="14">
        <f t="shared" si="31"/>
        <v>395020.79999999999</v>
      </c>
      <c r="H262" s="14">
        <f t="shared" si="32"/>
        <v>0.39502080000000001</v>
      </c>
      <c r="I262" s="14">
        <v>24083</v>
      </c>
      <c r="J262" s="37">
        <f t="shared" si="33"/>
        <v>2.4083E-2</v>
      </c>
      <c r="K262" s="14">
        <v>0</v>
      </c>
      <c r="L262" s="14">
        <f t="shared" si="28"/>
        <v>0</v>
      </c>
      <c r="M262" s="14">
        <f t="shared" si="30"/>
        <v>2.4083E-2</v>
      </c>
      <c r="N262" s="14">
        <v>6.2121599999999999E-2</v>
      </c>
      <c r="O262" s="6">
        <f t="shared" si="34"/>
        <v>0.30881619999999999</v>
      </c>
    </row>
    <row r="263" spans="1:15" x14ac:dyDescent="0.7">
      <c r="A263" s="5"/>
      <c r="B263" s="5"/>
      <c r="C263" s="5">
        <v>18</v>
      </c>
      <c r="D263" s="6">
        <v>81.688999999999993</v>
      </c>
      <c r="E263" s="6">
        <v>1.8</v>
      </c>
      <c r="F263" s="24">
        <v>4.556</v>
      </c>
      <c r="G263" s="14">
        <f t="shared" si="31"/>
        <v>393638.40000000002</v>
      </c>
      <c r="H263" s="14">
        <f t="shared" si="32"/>
        <v>0.3936384</v>
      </c>
      <c r="I263" s="14">
        <v>17221</v>
      </c>
      <c r="J263" s="37">
        <f t="shared" si="33"/>
        <v>1.7221E-2</v>
      </c>
      <c r="K263" s="14">
        <v>5683</v>
      </c>
      <c r="L263" s="14">
        <f t="shared" si="28"/>
        <v>5.6829999999999997E-3</v>
      </c>
      <c r="M263" s="14">
        <f t="shared" si="30"/>
        <v>2.2904000000000001E-2</v>
      </c>
      <c r="N263" s="14">
        <v>5.1839999999999997E-2</v>
      </c>
      <c r="O263" s="6">
        <f t="shared" si="34"/>
        <v>0.31889440000000002</v>
      </c>
    </row>
    <row r="264" spans="1:15" x14ac:dyDescent="0.7">
      <c r="A264" s="5"/>
      <c r="B264" s="5"/>
      <c r="C264" s="5">
        <v>19</v>
      </c>
      <c r="D264" s="6">
        <v>76.437999999999988</v>
      </c>
      <c r="E264" s="6">
        <v>12.4</v>
      </c>
      <c r="F264" s="24">
        <v>4.5650000000000004</v>
      </c>
      <c r="G264" s="14">
        <f t="shared" si="31"/>
        <v>394416.00000000006</v>
      </c>
      <c r="H264" s="14">
        <f t="shared" si="32"/>
        <v>0.39441600000000004</v>
      </c>
      <c r="I264" s="14">
        <v>20912</v>
      </c>
      <c r="J264" s="37">
        <f t="shared" si="33"/>
        <v>2.0912E-2</v>
      </c>
      <c r="K264" s="14">
        <v>5833</v>
      </c>
      <c r="L264" s="14">
        <f t="shared" si="28"/>
        <v>5.8329999999999996E-3</v>
      </c>
      <c r="M264" s="14">
        <f t="shared" si="30"/>
        <v>2.6744999999999998E-2</v>
      </c>
      <c r="N264" s="14">
        <v>6.2121599999999999E-2</v>
      </c>
      <c r="O264" s="6">
        <f t="shared" si="34"/>
        <v>0.30554940000000003</v>
      </c>
    </row>
    <row r="265" spans="1:15" x14ac:dyDescent="0.7">
      <c r="A265" s="5"/>
      <c r="B265" s="5"/>
      <c r="C265" s="5">
        <v>20</v>
      </c>
      <c r="D265" s="6">
        <v>66.23599999999999</v>
      </c>
      <c r="E265" s="6">
        <v>0</v>
      </c>
      <c r="F265" s="24">
        <v>6.81</v>
      </c>
      <c r="G265" s="14">
        <f t="shared" si="31"/>
        <v>588384</v>
      </c>
      <c r="H265" s="14">
        <f t="shared" si="32"/>
        <v>0.58838400000000002</v>
      </c>
      <c r="I265" s="14">
        <v>37092</v>
      </c>
      <c r="J265" s="37">
        <f t="shared" si="33"/>
        <v>3.7092E-2</v>
      </c>
      <c r="K265" s="14">
        <v>61</v>
      </c>
      <c r="L265" s="14">
        <f t="shared" si="28"/>
        <v>6.0999999999999999E-5</v>
      </c>
      <c r="M265" s="14">
        <f t="shared" si="30"/>
        <v>3.7152999999999999E-2</v>
      </c>
      <c r="N265" s="14">
        <v>7.0761600000000008E-2</v>
      </c>
      <c r="O265" s="6">
        <f t="shared" si="34"/>
        <v>0.48046940000000005</v>
      </c>
    </row>
    <row r="266" spans="1:15" x14ac:dyDescent="0.7">
      <c r="A266" s="5"/>
      <c r="B266" s="5"/>
      <c r="C266" s="5">
        <v>21</v>
      </c>
      <c r="D266" s="6">
        <v>62.663000000000004</v>
      </c>
      <c r="E266" s="6">
        <v>2.7</v>
      </c>
      <c r="F266" s="24">
        <v>9.0850000000000009</v>
      </c>
      <c r="G266" s="14">
        <f t="shared" si="31"/>
        <v>784944.00000000012</v>
      </c>
      <c r="H266" s="14">
        <f t="shared" si="32"/>
        <v>0.78494400000000009</v>
      </c>
      <c r="I266" s="14">
        <v>21069</v>
      </c>
      <c r="J266" s="37">
        <f t="shared" si="33"/>
        <v>2.1069000000000001E-2</v>
      </c>
      <c r="K266" s="14">
        <v>0</v>
      </c>
      <c r="L266" s="14">
        <f t="shared" si="28"/>
        <v>0</v>
      </c>
      <c r="M266" s="14">
        <f t="shared" si="30"/>
        <v>2.1069000000000001E-2</v>
      </c>
      <c r="N266" s="14">
        <v>7.0761600000000008E-2</v>
      </c>
      <c r="O266" s="6">
        <f t="shared" si="34"/>
        <v>0.6931134000000001</v>
      </c>
    </row>
    <row r="267" spans="1:15" x14ac:dyDescent="0.7">
      <c r="A267" s="5"/>
      <c r="B267" s="5"/>
      <c r="C267" s="5">
        <v>22</v>
      </c>
      <c r="D267" s="6">
        <v>82.68</v>
      </c>
      <c r="E267" s="6">
        <v>0.4</v>
      </c>
      <c r="F267" s="24">
        <v>9.08</v>
      </c>
      <c r="G267" s="14">
        <f t="shared" si="31"/>
        <v>784512</v>
      </c>
      <c r="H267" s="14">
        <f t="shared" si="32"/>
        <v>0.78451199999999999</v>
      </c>
      <c r="I267" s="14">
        <v>20949</v>
      </c>
      <c r="J267" s="37">
        <f t="shared" si="33"/>
        <v>2.0948999999999999E-2</v>
      </c>
      <c r="K267" s="14">
        <v>0</v>
      </c>
      <c r="L267" s="14">
        <f t="shared" si="28"/>
        <v>0</v>
      </c>
      <c r="M267" s="14">
        <f t="shared" si="30"/>
        <v>2.0948999999999999E-2</v>
      </c>
      <c r="N267" s="14">
        <v>7.0761600000000008E-2</v>
      </c>
      <c r="O267" s="6">
        <f t="shared" si="34"/>
        <v>0.69280140000000001</v>
      </c>
    </row>
    <row r="268" spans="1:15" x14ac:dyDescent="0.7">
      <c r="A268" s="5"/>
      <c r="B268" s="5"/>
      <c r="C268" s="5">
        <v>23</v>
      </c>
      <c r="D268" s="6">
        <v>77.480999999999995</v>
      </c>
      <c r="E268" s="6">
        <v>8.6</v>
      </c>
      <c r="F268" s="24">
        <v>9.0760000000000005</v>
      </c>
      <c r="G268" s="14">
        <f t="shared" si="31"/>
        <v>784166.40000000002</v>
      </c>
      <c r="H268" s="14">
        <f t="shared" si="32"/>
        <v>0.78416640000000004</v>
      </c>
      <c r="I268" s="14">
        <v>21244</v>
      </c>
      <c r="J268" s="37">
        <f t="shared" si="33"/>
        <v>2.1243999999999999E-2</v>
      </c>
      <c r="K268" s="14">
        <v>0</v>
      </c>
      <c r="L268" s="14">
        <f t="shared" si="28"/>
        <v>0</v>
      </c>
      <c r="M268" s="14">
        <f t="shared" si="30"/>
        <v>2.1243999999999999E-2</v>
      </c>
      <c r="N268" s="14">
        <v>7.0761600000000008E-2</v>
      </c>
      <c r="O268" s="6">
        <f t="shared" si="34"/>
        <v>0.69216080000000002</v>
      </c>
    </row>
    <row r="269" spans="1:15" x14ac:dyDescent="0.7">
      <c r="A269" s="5"/>
      <c r="B269" s="5"/>
      <c r="C269" s="5">
        <v>24</v>
      </c>
      <c r="D269" s="6">
        <v>64.260000000000005</v>
      </c>
      <c r="E269" s="6">
        <v>11.9</v>
      </c>
      <c r="F269" s="24">
        <v>6.6529999999999996</v>
      </c>
      <c r="G269" s="14">
        <f t="shared" si="31"/>
        <v>574819.19999999995</v>
      </c>
      <c r="H269" s="14">
        <f t="shared" si="32"/>
        <v>0.57481919999999997</v>
      </c>
      <c r="I269" s="14">
        <v>21590</v>
      </c>
      <c r="J269" s="37">
        <f t="shared" si="33"/>
        <v>2.1590000000000002E-2</v>
      </c>
      <c r="K269" s="14">
        <v>0</v>
      </c>
      <c r="L269" s="14">
        <f t="shared" si="28"/>
        <v>0</v>
      </c>
      <c r="M269" s="14">
        <f t="shared" si="30"/>
        <v>2.1590000000000002E-2</v>
      </c>
      <c r="N269" s="14">
        <v>0.49247999999999997</v>
      </c>
      <c r="O269" s="6">
        <f t="shared" si="34"/>
        <v>6.0749200000000003E-2</v>
      </c>
    </row>
    <row r="270" spans="1:15" x14ac:dyDescent="0.7">
      <c r="A270" s="5"/>
      <c r="B270" s="5"/>
      <c r="C270" s="5">
        <v>25</v>
      </c>
      <c r="D270" s="6">
        <v>88.59</v>
      </c>
      <c r="E270" s="6">
        <v>56.5</v>
      </c>
      <c r="F270" s="24">
        <v>4.2300000000000004</v>
      </c>
      <c r="G270" s="14">
        <f t="shared" si="31"/>
        <v>365472.00000000006</v>
      </c>
      <c r="H270" s="14">
        <f t="shared" si="32"/>
        <v>0.36547200000000007</v>
      </c>
      <c r="I270" s="14">
        <v>19922</v>
      </c>
      <c r="J270" s="37">
        <f t="shared" si="33"/>
        <v>1.9921999999999999E-2</v>
      </c>
      <c r="K270" s="14">
        <v>0</v>
      </c>
      <c r="L270" s="14">
        <f t="shared" si="28"/>
        <v>0</v>
      </c>
      <c r="M270" s="14">
        <f t="shared" si="30"/>
        <v>1.9921999999999999E-2</v>
      </c>
      <c r="N270" s="14">
        <v>0.95532480000000009</v>
      </c>
      <c r="O270" s="6">
        <f t="shared" si="34"/>
        <v>-0.60977480000000006</v>
      </c>
    </row>
    <row r="271" spans="1:15" x14ac:dyDescent="0.7">
      <c r="A271" s="5"/>
      <c r="B271" s="5"/>
      <c r="C271" s="5">
        <v>26</v>
      </c>
      <c r="D271" s="6">
        <v>86.76100000000001</v>
      </c>
      <c r="E271" s="6">
        <v>12.1</v>
      </c>
      <c r="F271" s="24">
        <v>4.2380000000000004</v>
      </c>
      <c r="G271" s="14">
        <f t="shared" si="31"/>
        <v>366163.20000000001</v>
      </c>
      <c r="H271" s="14">
        <f t="shared" si="32"/>
        <v>0.36616320000000002</v>
      </c>
      <c r="I271" s="14">
        <v>21703</v>
      </c>
      <c r="J271" s="37">
        <f t="shared" si="33"/>
        <v>2.1703E-2</v>
      </c>
      <c r="K271" s="14">
        <v>147</v>
      </c>
      <c r="L271" s="14">
        <f t="shared" si="28"/>
        <v>1.47E-4</v>
      </c>
      <c r="M271" s="14">
        <f t="shared" si="30"/>
        <v>2.1850000000000001E-2</v>
      </c>
      <c r="N271" s="14">
        <v>0.37212479999999998</v>
      </c>
      <c r="O271" s="6">
        <f t="shared" si="34"/>
        <v>-2.7811599999999936E-2</v>
      </c>
    </row>
    <row r="272" spans="1:15" x14ac:dyDescent="0.7">
      <c r="A272" s="5"/>
      <c r="B272" s="5"/>
      <c r="C272" s="5">
        <v>27</v>
      </c>
      <c r="D272" s="6">
        <v>90.438999999999993</v>
      </c>
      <c r="E272" s="6">
        <v>6.6</v>
      </c>
      <c r="F272" s="24">
        <v>4.1440000000000001</v>
      </c>
      <c r="G272" s="14">
        <f t="shared" si="31"/>
        <v>358041.60000000003</v>
      </c>
      <c r="H272" s="14">
        <f t="shared" si="32"/>
        <v>0.35804160000000002</v>
      </c>
      <c r="I272" s="14">
        <v>26033</v>
      </c>
      <c r="J272" s="37">
        <f t="shared" si="33"/>
        <v>2.6033000000000001E-2</v>
      </c>
      <c r="K272" s="14">
        <v>0</v>
      </c>
      <c r="L272" s="14">
        <f t="shared" si="28"/>
        <v>0</v>
      </c>
      <c r="M272" s="14">
        <f t="shared" si="30"/>
        <v>2.6033000000000001E-2</v>
      </c>
      <c r="N272" s="14">
        <v>0.35484480000000002</v>
      </c>
      <c r="O272" s="6">
        <f t="shared" si="34"/>
        <v>-2.2836200000000029E-2</v>
      </c>
    </row>
    <row r="273" spans="1:15" x14ac:dyDescent="0.7">
      <c r="A273" s="5"/>
      <c r="B273" s="5"/>
      <c r="C273" s="5">
        <v>28</v>
      </c>
      <c r="D273" s="6">
        <v>64.075000000000003</v>
      </c>
      <c r="E273" s="6">
        <v>0</v>
      </c>
      <c r="F273" s="24">
        <v>4.0419999999999998</v>
      </c>
      <c r="G273" s="14">
        <f t="shared" si="31"/>
        <v>349228.79999999999</v>
      </c>
      <c r="H273" s="14">
        <f t="shared" si="32"/>
        <v>0.34922880000000001</v>
      </c>
      <c r="I273" s="14">
        <v>23206</v>
      </c>
      <c r="J273" s="37">
        <f t="shared" si="33"/>
        <v>2.3206000000000001E-2</v>
      </c>
      <c r="K273" s="14">
        <v>0</v>
      </c>
      <c r="L273" s="14">
        <f t="shared" si="28"/>
        <v>0</v>
      </c>
      <c r="M273" s="14">
        <f t="shared" si="30"/>
        <v>2.3206000000000001E-2</v>
      </c>
      <c r="N273" s="14">
        <v>0.33324480000000001</v>
      </c>
      <c r="O273" s="6">
        <f t="shared" si="34"/>
        <v>-7.2220000000000062E-3</v>
      </c>
    </row>
    <row r="274" spans="1:15" x14ac:dyDescent="0.7">
      <c r="A274" s="5"/>
      <c r="B274" s="5"/>
      <c r="C274" s="5">
        <v>29</v>
      </c>
      <c r="D274" s="6">
        <v>56.075000000000003</v>
      </c>
      <c r="E274" s="6">
        <v>0</v>
      </c>
      <c r="F274" s="24">
        <v>4.0830000000000002</v>
      </c>
      <c r="G274" s="14">
        <f t="shared" si="31"/>
        <v>352771.2</v>
      </c>
      <c r="H274" s="14">
        <f t="shared" si="32"/>
        <v>0.35277120000000001</v>
      </c>
      <c r="I274" s="14">
        <v>16559</v>
      </c>
      <c r="J274" s="37">
        <f t="shared" si="33"/>
        <v>1.6559000000000001E-2</v>
      </c>
      <c r="K274" s="14">
        <v>0</v>
      </c>
      <c r="L274" s="14">
        <f t="shared" si="28"/>
        <v>0</v>
      </c>
      <c r="M274" s="14">
        <f t="shared" si="30"/>
        <v>1.6559000000000001E-2</v>
      </c>
      <c r="N274" s="14">
        <v>0.29004479999999999</v>
      </c>
      <c r="O274" s="6">
        <f t="shared" si="34"/>
        <v>4.6167400000000025E-2</v>
      </c>
    </row>
    <row r="275" spans="1:15" s="12" customFormat="1" ht="25.2" thickBot="1" x14ac:dyDescent="0.75">
      <c r="A275" s="8"/>
      <c r="B275" s="8" t="s">
        <v>23</v>
      </c>
      <c r="C275" s="8">
        <v>30</v>
      </c>
      <c r="D275" s="9">
        <v>51.497999999999998</v>
      </c>
      <c r="E275" s="9">
        <v>0</v>
      </c>
      <c r="F275" s="29">
        <v>4.0380000000000003</v>
      </c>
      <c r="G275" s="23">
        <f t="shared" si="31"/>
        <v>348883.20000000001</v>
      </c>
      <c r="H275" s="23">
        <f t="shared" si="32"/>
        <v>0.3488832</v>
      </c>
      <c r="I275" s="30">
        <v>18117</v>
      </c>
      <c r="J275" s="38">
        <f t="shared" si="33"/>
        <v>1.8117000000000001E-2</v>
      </c>
      <c r="K275" s="23">
        <v>0</v>
      </c>
      <c r="L275" s="23">
        <f t="shared" si="28"/>
        <v>0</v>
      </c>
      <c r="M275" s="23">
        <f t="shared" si="30"/>
        <v>1.8117000000000001E-2</v>
      </c>
      <c r="N275" s="23">
        <v>0.24684479999999998</v>
      </c>
      <c r="O275" s="9">
        <f t="shared" si="34"/>
        <v>8.3921400000000035E-2</v>
      </c>
    </row>
    <row r="276" spans="1:15" x14ac:dyDescent="0.7">
      <c r="A276" s="2"/>
      <c r="B276" s="2" t="s">
        <v>24</v>
      </c>
      <c r="C276" s="2">
        <v>1</v>
      </c>
      <c r="D276" s="3">
        <v>54.521000000000001</v>
      </c>
      <c r="E276" s="3">
        <v>14.2</v>
      </c>
      <c r="F276" s="27">
        <v>4.0419999999999998</v>
      </c>
      <c r="G276" s="20">
        <f t="shared" si="31"/>
        <v>349228.79999999999</v>
      </c>
      <c r="H276" s="20">
        <f t="shared" si="32"/>
        <v>0.34922880000000001</v>
      </c>
      <c r="I276" s="28">
        <v>22051</v>
      </c>
      <c r="J276" s="39">
        <f t="shared" si="33"/>
        <v>2.2051000000000001E-2</v>
      </c>
      <c r="K276" s="20">
        <v>0</v>
      </c>
      <c r="L276" s="20">
        <f t="shared" si="28"/>
        <v>0</v>
      </c>
      <c r="M276" s="20">
        <f t="shared" si="30"/>
        <v>2.2051000000000001E-2</v>
      </c>
      <c r="N276" s="20">
        <v>0.216</v>
      </c>
      <c r="O276" s="3">
        <f t="shared" si="34"/>
        <v>0.11117780000000002</v>
      </c>
    </row>
    <row r="277" spans="1:15" x14ac:dyDescent="0.7">
      <c r="A277" s="5"/>
      <c r="B277" s="5"/>
      <c r="C277" s="5">
        <v>2</v>
      </c>
      <c r="D277" s="6">
        <v>271.72399999999999</v>
      </c>
      <c r="E277" s="6">
        <v>61.1</v>
      </c>
      <c r="F277" s="24">
        <v>4.048</v>
      </c>
      <c r="G277" s="14">
        <f t="shared" si="31"/>
        <v>349747.20000000001</v>
      </c>
      <c r="H277" s="14">
        <f t="shared" si="32"/>
        <v>0.34974720000000004</v>
      </c>
      <c r="I277" s="15">
        <v>21033</v>
      </c>
      <c r="J277" s="37">
        <f t="shared" si="33"/>
        <v>2.1033E-2</v>
      </c>
      <c r="K277" s="14">
        <v>0</v>
      </c>
      <c r="L277" s="14">
        <f t="shared" si="28"/>
        <v>0</v>
      </c>
      <c r="M277" s="14">
        <f t="shared" si="30"/>
        <v>2.1033E-2</v>
      </c>
      <c r="N277" s="14">
        <v>0.25919999999999999</v>
      </c>
      <c r="O277" s="6">
        <f t="shared" si="34"/>
        <v>6.9514200000000026E-2</v>
      </c>
    </row>
    <row r="278" spans="1:15" x14ac:dyDescent="0.7">
      <c r="A278" s="5"/>
      <c r="B278" s="5"/>
      <c r="C278" s="5">
        <v>3</v>
      </c>
      <c r="D278" s="6">
        <v>368.39700000000005</v>
      </c>
      <c r="E278" s="6">
        <v>2.7</v>
      </c>
      <c r="F278" s="25">
        <v>4.0490000000000004</v>
      </c>
      <c r="G278" s="14">
        <f t="shared" si="31"/>
        <v>349833.60000000003</v>
      </c>
      <c r="H278" s="14">
        <f t="shared" si="32"/>
        <v>0.34983360000000002</v>
      </c>
      <c r="I278" s="15">
        <v>32541</v>
      </c>
      <c r="J278" s="37">
        <f t="shared" si="33"/>
        <v>3.2541E-2</v>
      </c>
      <c r="K278" s="14">
        <v>0</v>
      </c>
      <c r="L278" s="14">
        <f t="shared" si="28"/>
        <v>0</v>
      </c>
      <c r="M278" s="14">
        <f t="shared" si="30"/>
        <v>3.2541E-2</v>
      </c>
      <c r="N278" s="14">
        <v>4.3200000000000002E-2</v>
      </c>
      <c r="O278" s="6">
        <f t="shared" si="34"/>
        <v>0.27409260000000002</v>
      </c>
    </row>
    <row r="279" spans="1:15" x14ac:dyDescent="0.7">
      <c r="A279" s="5"/>
      <c r="B279" s="5"/>
      <c r="C279" s="5">
        <v>4</v>
      </c>
      <c r="D279" s="6">
        <v>229.78799999999998</v>
      </c>
      <c r="E279" s="6">
        <v>29.1</v>
      </c>
      <c r="F279" s="25">
        <v>4.0410000000000004</v>
      </c>
      <c r="G279" s="14">
        <f t="shared" si="31"/>
        <v>349142.4</v>
      </c>
      <c r="H279" s="14">
        <f t="shared" si="32"/>
        <v>0.34914240000000002</v>
      </c>
      <c r="I279" s="15">
        <v>36183</v>
      </c>
      <c r="J279" s="37">
        <f t="shared" si="33"/>
        <v>3.6183E-2</v>
      </c>
      <c r="K279" s="14">
        <v>0</v>
      </c>
      <c r="L279" s="14">
        <f t="shared" si="28"/>
        <v>0</v>
      </c>
      <c r="M279" s="14">
        <f t="shared" si="30"/>
        <v>3.6183E-2</v>
      </c>
      <c r="N279" s="14">
        <v>6.3763199999999992E-2</v>
      </c>
      <c r="O279" s="6">
        <f t="shared" si="34"/>
        <v>0.24919620000000001</v>
      </c>
    </row>
    <row r="280" spans="1:15" x14ac:dyDescent="0.7">
      <c r="A280" s="5"/>
      <c r="B280" s="5"/>
      <c r="C280" s="5">
        <v>5</v>
      </c>
      <c r="D280" s="6">
        <v>157.88500000000002</v>
      </c>
      <c r="E280" s="6">
        <v>15.2</v>
      </c>
      <c r="F280" s="25">
        <v>3.044</v>
      </c>
      <c r="G280" s="14">
        <f t="shared" si="31"/>
        <v>263001.59999999998</v>
      </c>
      <c r="H280" s="14">
        <f t="shared" si="32"/>
        <v>0.2630016</v>
      </c>
      <c r="I280" s="15">
        <v>36857</v>
      </c>
      <c r="J280" s="37">
        <f t="shared" si="33"/>
        <v>3.6857000000000001E-2</v>
      </c>
      <c r="K280" s="14">
        <v>0</v>
      </c>
      <c r="L280" s="14">
        <f t="shared" si="28"/>
        <v>0</v>
      </c>
      <c r="M280" s="14">
        <f t="shared" si="30"/>
        <v>3.6857000000000001E-2</v>
      </c>
      <c r="N280" s="14">
        <v>6.3763199999999992E-2</v>
      </c>
      <c r="O280" s="6">
        <f t="shared" si="34"/>
        <v>0.16238140000000001</v>
      </c>
    </row>
    <row r="281" spans="1:15" x14ac:dyDescent="0.7">
      <c r="A281" s="5"/>
      <c r="B281" s="5"/>
      <c r="C281" s="5">
        <v>6</v>
      </c>
      <c r="D281" s="6">
        <v>113.40299999999999</v>
      </c>
      <c r="E281" s="6">
        <v>0</v>
      </c>
      <c r="F281" s="25">
        <v>2.0470000000000002</v>
      </c>
      <c r="G281" s="14">
        <f t="shared" si="31"/>
        <v>176860.80000000002</v>
      </c>
      <c r="H281" s="14">
        <f t="shared" si="32"/>
        <v>0.17686080000000001</v>
      </c>
      <c r="I281" s="15">
        <v>35408</v>
      </c>
      <c r="J281" s="37">
        <f t="shared" si="33"/>
        <v>3.5408000000000002E-2</v>
      </c>
      <c r="K281" s="14">
        <v>0</v>
      </c>
      <c r="L281" s="14">
        <f t="shared" si="28"/>
        <v>0</v>
      </c>
      <c r="M281" s="14">
        <f t="shared" si="30"/>
        <v>3.5408000000000002E-2</v>
      </c>
      <c r="N281" s="14">
        <v>6.3763199999999992E-2</v>
      </c>
      <c r="O281" s="6">
        <f t="shared" si="34"/>
        <v>7.7689600000000025E-2</v>
      </c>
    </row>
    <row r="282" spans="1:15" x14ac:dyDescent="0.7">
      <c r="A282" s="5"/>
      <c r="B282" s="5"/>
      <c r="C282" s="5">
        <v>7</v>
      </c>
      <c r="D282" s="6">
        <v>90.352000000000004</v>
      </c>
      <c r="E282" s="6">
        <v>0</v>
      </c>
      <c r="F282" s="25">
        <v>3.0489999999999999</v>
      </c>
      <c r="G282" s="14">
        <f t="shared" si="31"/>
        <v>263433.59999999998</v>
      </c>
      <c r="H282" s="14">
        <f t="shared" si="32"/>
        <v>0.26343359999999999</v>
      </c>
      <c r="I282" s="15">
        <v>36263</v>
      </c>
      <c r="J282" s="37">
        <f t="shared" si="33"/>
        <v>3.6262999999999997E-2</v>
      </c>
      <c r="K282" s="14">
        <v>0</v>
      </c>
      <c r="L282" s="14">
        <f>K282/1000000</f>
        <v>0</v>
      </c>
      <c r="M282" s="14">
        <f t="shared" ref="M282:M313" si="35">J282+L282</f>
        <v>3.6262999999999997E-2</v>
      </c>
      <c r="N282" s="14">
        <v>6.3763199999999992E-2</v>
      </c>
      <c r="O282" s="6">
        <f t="shared" si="34"/>
        <v>0.16340740000000001</v>
      </c>
    </row>
    <row r="283" spans="1:15" x14ac:dyDescent="0.7">
      <c r="A283" s="5"/>
      <c r="B283" s="5"/>
      <c r="C283" s="5">
        <v>8</v>
      </c>
      <c r="D283" s="6">
        <v>76.557000000000002</v>
      </c>
      <c r="E283" s="6">
        <v>3.8</v>
      </c>
      <c r="F283" s="25">
        <v>4.05</v>
      </c>
      <c r="G283" s="14">
        <f t="shared" si="31"/>
        <v>349920</v>
      </c>
      <c r="H283" s="14">
        <f t="shared" si="32"/>
        <v>0.34992000000000001</v>
      </c>
      <c r="I283" s="15">
        <v>31368</v>
      </c>
      <c r="J283" s="37">
        <f t="shared" si="33"/>
        <v>3.1368E-2</v>
      </c>
      <c r="K283" s="14">
        <v>0</v>
      </c>
      <c r="L283" s="14">
        <f t="shared" ref="L283:L336" si="36">K283/1000000</f>
        <v>0</v>
      </c>
      <c r="M283" s="14">
        <f t="shared" si="35"/>
        <v>3.1368E-2</v>
      </c>
      <c r="N283" s="14">
        <v>6.3763199999999992E-2</v>
      </c>
      <c r="O283" s="6">
        <f t="shared" si="34"/>
        <v>0.25478880000000004</v>
      </c>
    </row>
    <row r="284" spans="1:15" x14ac:dyDescent="0.7">
      <c r="A284" s="5"/>
      <c r="B284" s="5"/>
      <c r="C284" s="5">
        <v>9</v>
      </c>
      <c r="D284" s="6">
        <v>59.016000000000005</v>
      </c>
      <c r="E284" s="6">
        <v>0</v>
      </c>
      <c r="F284" s="25">
        <v>4.0469999999999997</v>
      </c>
      <c r="G284" s="14">
        <f t="shared" si="31"/>
        <v>349660.8</v>
      </c>
      <c r="H284" s="14">
        <f t="shared" si="32"/>
        <v>0.34966079999999999</v>
      </c>
      <c r="I284" s="15">
        <v>35111</v>
      </c>
      <c r="J284" s="37">
        <f t="shared" si="33"/>
        <v>3.5111000000000003E-2</v>
      </c>
      <c r="K284" s="14">
        <v>0</v>
      </c>
      <c r="L284" s="14">
        <f t="shared" si="36"/>
        <v>0</v>
      </c>
      <c r="M284" s="14">
        <f t="shared" si="35"/>
        <v>3.5111000000000003E-2</v>
      </c>
      <c r="N284" s="14">
        <v>6.3763199999999992E-2</v>
      </c>
      <c r="O284" s="6">
        <f t="shared" si="34"/>
        <v>0.25078659999999997</v>
      </c>
    </row>
    <row r="285" spans="1:15" x14ac:dyDescent="0.7">
      <c r="A285" s="5"/>
      <c r="B285" s="5"/>
      <c r="C285" s="5">
        <v>10</v>
      </c>
      <c r="D285" s="6">
        <v>45.887999999999998</v>
      </c>
      <c r="E285" s="6">
        <v>0</v>
      </c>
      <c r="F285" s="24">
        <v>4.0590000000000002</v>
      </c>
      <c r="G285" s="14">
        <f t="shared" si="31"/>
        <v>350697.60000000003</v>
      </c>
      <c r="H285" s="14">
        <f t="shared" si="32"/>
        <v>0.35069760000000005</v>
      </c>
      <c r="I285" s="15">
        <v>34587</v>
      </c>
      <c r="J285" s="37">
        <f t="shared" si="33"/>
        <v>3.4587E-2</v>
      </c>
      <c r="K285" s="14">
        <v>0</v>
      </c>
      <c r="L285" s="14">
        <f t="shared" si="36"/>
        <v>0</v>
      </c>
      <c r="M285" s="14">
        <f t="shared" si="35"/>
        <v>3.4587E-2</v>
      </c>
      <c r="N285" s="14">
        <v>8.1043199999999996E-2</v>
      </c>
      <c r="O285" s="6">
        <f t="shared" si="34"/>
        <v>0.23506740000000009</v>
      </c>
    </row>
    <row r="286" spans="1:15" x14ac:dyDescent="0.7">
      <c r="A286" s="5"/>
      <c r="B286" s="5"/>
      <c r="C286" s="5">
        <v>11</v>
      </c>
      <c r="D286" s="6">
        <v>84.786000000000001</v>
      </c>
      <c r="E286" s="6">
        <v>28.6</v>
      </c>
      <c r="F286" s="24">
        <v>4.0709999999999997</v>
      </c>
      <c r="G286" s="14">
        <f t="shared" si="31"/>
        <v>351734.39999999997</v>
      </c>
      <c r="H286" s="14">
        <f>G286/1000000</f>
        <v>0.35173439999999995</v>
      </c>
      <c r="I286" s="15">
        <v>35140</v>
      </c>
      <c r="J286" s="37">
        <f t="shared" si="33"/>
        <v>3.5139999999999998E-2</v>
      </c>
      <c r="K286" s="14">
        <v>0</v>
      </c>
      <c r="L286" s="14">
        <f t="shared" si="36"/>
        <v>0</v>
      </c>
      <c r="M286" s="14">
        <f t="shared" si="35"/>
        <v>3.5139999999999998E-2</v>
      </c>
      <c r="N286" s="14">
        <v>0.25384319999999999</v>
      </c>
      <c r="O286" s="6">
        <f t="shared" si="34"/>
        <v>6.2751199999999951E-2</v>
      </c>
    </row>
    <row r="287" spans="1:15" x14ac:dyDescent="0.7">
      <c r="A287" s="5"/>
      <c r="B287" s="5"/>
      <c r="C287" s="5">
        <v>12</v>
      </c>
      <c r="D287" s="6">
        <v>72.471000000000004</v>
      </c>
      <c r="E287" s="6">
        <v>0</v>
      </c>
      <c r="F287" s="24">
        <v>4.0679999999999996</v>
      </c>
      <c r="G287" s="14">
        <f t="shared" si="31"/>
        <v>351475.19999999995</v>
      </c>
      <c r="H287" s="14">
        <f t="shared" si="32"/>
        <v>0.35147519999999993</v>
      </c>
      <c r="I287" s="15">
        <v>32693</v>
      </c>
      <c r="J287" s="37">
        <f t="shared" si="33"/>
        <v>3.2693E-2</v>
      </c>
      <c r="K287" s="14">
        <v>0</v>
      </c>
      <c r="L287" s="14">
        <f t="shared" si="36"/>
        <v>0</v>
      </c>
      <c r="M287" s="14">
        <f t="shared" si="35"/>
        <v>3.2693E-2</v>
      </c>
      <c r="N287" s="14">
        <v>0.28840320000000003</v>
      </c>
      <c r="O287" s="6">
        <f t="shared" si="34"/>
        <v>3.0378999999999878E-2</v>
      </c>
    </row>
    <row r="288" spans="1:15" x14ac:dyDescent="0.7">
      <c r="A288" s="5"/>
      <c r="B288" s="5"/>
      <c r="C288" s="5">
        <v>13</v>
      </c>
      <c r="D288" s="6">
        <v>64.097999999999999</v>
      </c>
      <c r="E288" s="6">
        <v>0</v>
      </c>
      <c r="F288" s="24">
        <v>4.0640000000000001</v>
      </c>
      <c r="G288" s="14">
        <f t="shared" si="31"/>
        <v>351129.59999999998</v>
      </c>
      <c r="H288" s="14">
        <f t="shared" si="32"/>
        <v>0.35112959999999999</v>
      </c>
      <c r="I288" s="15">
        <v>32970</v>
      </c>
      <c r="J288" s="37">
        <f t="shared" si="33"/>
        <v>3.2969999999999999E-2</v>
      </c>
      <c r="K288" s="14">
        <v>0</v>
      </c>
      <c r="L288" s="14">
        <f t="shared" si="36"/>
        <v>0</v>
      </c>
      <c r="M288" s="14">
        <f t="shared" si="35"/>
        <v>3.2969999999999999E-2</v>
      </c>
      <c r="N288" s="14">
        <v>0.25384319999999999</v>
      </c>
      <c r="O288" s="6">
        <f t="shared" si="34"/>
        <v>6.4316399999999996E-2</v>
      </c>
    </row>
    <row r="289" spans="1:15" x14ac:dyDescent="0.7">
      <c r="A289" s="5"/>
      <c r="B289" s="5"/>
      <c r="C289" s="5">
        <v>14</v>
      </c>
      <c r="D289" s="6">
        <v>56.095999999999997</v>
      </c>
      <c r="E289" s="6">
        <v>0</v>
      </c>
      <c r="F289" s="24">
        <v>4.069</v>
      </c>
      <c r="G289" s="14">
        <f t="shared" si="31"/>
        <v>351561.6</v>
      </c>
      <c r="H289" s="14">
        <f t="shared" si="32"/>
        <v>0.35156159999999997</v>
      </c>
      <c r="I289" s="15">
        <v>33183</v>
      </c>
      <c r="J289" s="37">
        <f t="shared" si="33"/>
        <v>3.3182999999999997E-2</v>
      </c>
      <c r="K289" s="14">
        <v>0</v>
      </c>
      <c r="L289" s="14">
        <f t="shared" si="36"/>
        <v>0</v>
      </c>
      <c r="M289" s="14">
        <f t="shared" si="35"/>
        <v>3.3182999999999997E-2</v>
      </c>
      <c r="N289" s="14">
        <v>0.25816320000000004</v>
      </c>
      <c r="O289" s="6">
        <f t="shared" si="34"/>
        <v>6.0215399999999919E-2</v>
      </c>
    </row>
    <row r="290" spans="1:15" x14ac:dyDescent="0.7">
      <c r="A290" s="5"/>
      <c r="B290" s="5"/>
      <c r="C290" s="5">
        <v>15</v>
      </c>
      <c r="D290" s="6">
        <v>88.430999999999997</v>
      </c>
      <c r="E290" s="6">
        <v>3.2</v>
      </c>
      <c r="F290" s="24">
        <v>4.069</v>
      </c>
      <c r="G290" s="14">
        <f t="shared" si="31"/>
        <v>351561.6</v>
      </c>
      <c r="H290" s="14">
        <f t="shared" si="32"/>
        <v>0.35156159999999997</v>
      </c>
      <c r="I290" s="15">
        <v>34020</v>
      </c>
      <c r="J290" s="37">
        <f t="shared" si="33"/>
        <v>3.4020000000000002E-2</v>
      </c>
      <c r="K290" s="14">
        <v>0</v>
      </c>
      <c r="L290" s="14">
        <f t="shared" si="36"/>
        <v>0</v>
      </c>
      <c r="M290" s="14">
        <f t="shared" si="35"/>
        <v>3.4020000000000002E-2</v>
      </c>
      <c r="N290" s="14">
        <v>0.22792320000000002</v>
      </c>
      <c r="O290" s="6">
        <f t="shared" si="34"/>
        <v>8.9618399999999959E-2</v>
      </c>
    </row>
    <row r="291" spans="1:15" x14ac:dyDescent="0.7">
      <c r="A291" s="5"/>
      <c r="B291" s="5"/>
      <c r="C291" s="5">
        <v>16</v>
      </c>
      <c r="D291" s="6">
        <v>56.095999999999997</v>
      </c>
      <c r="E291" s="6">
        <v>0</v>
      </c>
      <c r="F291" s="24">
        <v>4.0609999999999999</v>
      </c>
      <c r="G291" s="14">
        <f t="shared" si="31"/>
        <v>350870.4</v>
      </c>
      <c r="H291" s="14">
        <f t="shared" si="32"/>
        <v>0.35087040000000003</v>
      </c>
      <c r="I291" s="15">
        <v>33319</v>
      </c>
      <c r="J291" s="37">
        <f t="shared" si="33"/>
        <v>3.3319000000000001E-2</v>
      </c>
      <c r="K291" s="14">
        <v>0</v>
      </c>
      <c r="L291" s="14">
        <f t="shared" si="36"/>
        <v>0</v>
      </c>
      <c r="M291" s="14">
        <f t="shared" si="35"/>
        <v>3.3319000000000001E-2</v>
      </c>
      <c r="N291" s="14">
        <v>7.2403200000000001E-2</v>
      </c>
      <c r="O291" s="6">
        <f t="shared" si="34"/>
        <v>0.24514820000000004</v>
      </c>
    </row>
    <row r="292" spans="1:15" x14ac:dyDescent="0.7">
      <c r="A292" s="5"/>
      <c r="B292" s="5"/>
      <c r="C292" s="5">
        <v>17</v>
      </c>
      <c r="D292" s="6">
        <v>53.003</v>
      </c>
      <c r="E292" s="6">
        <v>0.7</v>
      </c>
      <c r="F292" s="24">
        <v>4.0579999999999998</v>
      </c>
      <c r="G292" s="14">
        <f t="shared" si="31"/>
        <v>350611.20000000001</v>
      </c>
      <c r="H292" s="14">
        <f t="shared" si="32"/>
        <v>0.35061120000000001</v>
      </c>
      <c r="I292" s="15">
        <v>34200</v>
      </c>
      <c r="J292" s="37">
        <f t="shared" si="33"/>
        <v>3.4200000000000001E-2</v>
      </c>
      <c r="K292" s="14">
        <v>0</v>
      </c>
      <c r="L292" s="14">
        <f t="shared" si="36"/>
        <v>0</v>
      </c>
      <c r="M292" s="14">
        <f t="shared" si="35"/>
        <v>3.4200000000000001E-2</v>
      </c>
      <c r="N292" s="14">
        <v>7.2403200000000001E-2</v>
      </c>
      <c r="O292" s="6">
        <f t="shared" si="34"/>
        <v>0.244008</v>
      </c>
    </row>
    <row r="293" spans="1:15" x14ac:dyDescent="0.7">
      <c r="A293" s="5"/>
      <c r="B293" s="5"/>
      <c r="C293" s="5">
        <v>18</v>
      </c>
      <c r="D293" s="6">
        <v>48.484999999999999</v>
      </c>
      <c r="E293" s="6">
        <v>0</v>
      </c>
      <c r="F293" s="24">
        <v>4.056</v>
      </c>
      <c r="G293" s="14">
        <f t="shared" si="31"/>
        <v>350438.40000000002</v>
      </c>
      <c r="H293" s="14">
        <f t="shared" si="32"/>
        <v>0.35043840000000004</v>
      </c>
      <c r="I293" s="15">
        <v>24052</v>
      </c>
      <c r="J293" s="37">
        <f t="shared" si="33"/>
        <v>2.4052E-2</v>
      </c>
      <c r="K293" s="14">
        <v>0</v>
      </c>
      <c r="L293" s="14">
        <f t="shared" si="36"/>
        <v>0</v>
      </c>
      <c r="M293" s="14">
        <f t="shared" si="35"/>
        <v>2.4052E-2</v>
      </c>
      <c r="N293" s="14">
        <v>8.9683199999999991E-2</v>
      </c>
      <c r="O293" s="6">
        <f t="shared" si="34"/>
        <v>0.23670320000000003</v>
      </c>
    </row>
    <row r="294" spans="1:15" x14ac:dyDescent="0.7">
      <c r="A294" s="5"/>
      <c r="B294" s="5"/>
      <c r="C294" s="5">
        <v>19</v>
      </c>
      <c r="D294" s="6">
        <v>44.114000000000004</v>
      </c>
      <c r="E294" s="6">
        <v>0</v>
      </c>
      <c r="F294" s="24">
        <v>7.0659999999999998</v>
      </c>
      <c r="G294" s="14">
        <f t="shared" si="31"/>
        <v>610502.40000000002</v>
      </c>
      <c r="H294" s="14">
        <f t="shared" si="32"/>
        <v>0.6105024</v>
      </c>
      <c r="I294" s="15">
        <v>26736</v>
      </c>
      <c r="J294" s="37">
        <f t="shared" si="33"/>
        <v>2.6735999999999999E-2</v>
      </c>
      <c r="K294" s="14">
        <v>0</v>
      </c>
      <c r="L294" s="14">
        <f t="shared" si="36"/>
        <v>0</v>
      </c>
      <c r="M294" s="14">
        <f t="shared" si="35"/>
        <v>2.6735999999999999E-2</v>
      </c>
      <c r="N294" s="14">
        <v>7.2403200000000001E-2</v>
      </c>
      <c r="O294" s="6">
        <f t="shared" si="34"/>
        <v>0.51136320000000002</v>
      </c>
    </row>
    <row r="295" spans="1:15" x14ac:dyDescent="0.7">
      <c r="A295" s="5"/>
      <c r="B295" s="5"/>
      <c r="C295" s="5">
        <v>20</v>
      </c>
      <c r="D295" s="6">
        <v>40.552</v>
      </c>
      <c r="E295" s="6">
        <v>0</v>
      </c>
      <c r="F295" s="24">
        <v>10.073</v>
      </c>
      <c r="G295" s="14">
        <f t="shared" si="31"/>
        <v>870307.20000000007</v>
      </c>
      <c r="H295" s="14">
        <f t="shared" si="32"/>
        <v>0.87030720000000006</v>
      </c>
      <c r="I295" s="15">
        <v>27855</v>
      </c>
      <c r="J295" s="37">
        <f t="shared" si="33"/>
        <v>2.7855000000000001E-2</v>
      </c>
      <c r="K295" s="14">
        <v>0</v>
      </c>
      <c r="L295" s="14">
        <f t="shared" si="36"/>
        <v>0</v>
      </c>
      <c r="M295" s="14">
        <f t="shared" si="35"/>
        <v>2.7855000000000001E-2</v>
      </c>
      <c r="N295" s="14">
        <v>7.2403200000000001E-2</v>
      </c>
      <c r="O295" s="6">
        <f t="shared" si="34"/>
        <v>0.77004900000000009</v>
      </c>
    </row>
    <row r="296" spans="1:15" x14ac:dyDescent="0.7">
      <c r="A296" s="5"/>
      <c r="B296" s="5"/>
      <c r="C296" s="5">
        <v>21</v>
      </c>
      <c r="D296" s="6">
        <v>36.721000000000004</v>
      </c>
      <c r="E296" s="6">
        <v>0</v>
      </c>
      <c r="F296" s="24">
        <v>10.068</v>
      </c>
      <c r="G296" s="14">
        <f t="shared" si="31"/>
        <v>869875.19999999995</v>
      </c>
      <c r="H296" s="14">
        <f t="shared" si="32"/>
        <v>0.86987519999999996</v>
      </c>
      <c r="I296" s="15">
        <v>32710</v>
      </c>
      <c r="J296" s="37">
        <f t="shared" si="33"/>
        <v>3.2710000000000003E-2</v>
      </c>
      <c r="K296" s="14">
        <v>0</v>
      </c>
      <c r="L296" s="14">
        <f t="shared" si="36"/>
        <v>0</v>
      </c>
      <c r="M296" s="14">
        <f t="shared" si="35"/>
        <v>3.2710000000000003E-2</v>
      </c>
      <c r="N296" s="14">
        <v>7.2403200000000001E-2</v>
      </c>
      <c r="O296" s="6">
        <f t="shared" si="34"/>
        <v>0.76476199999999994</v>
      </c>
    </row>
    <row r="297" spans="1:15" x14ac:dyDescent="0.7">
      <c r="A297" s="5"/>
      <c r="B297" s="5"/>
      <c r="C297" s="5">
        <v>22</v>
      </c>
      <c r="D297" s="6">
        <v>34.25</v>
      </c>
      <c r="E297" s="6">
        <v>0</v>
      </c>
      <c r="F297" s="24">
        <v>10.067</v>
      </c>
      <c r="G297" s="14">
        <f t="shared" si="31"/>
        <v>869788.8</v>
      </c>
      <c r="H297" s="14">
        <f t="shared" si="32"/>
        <v>0.86978880000000003</v>
      </c>
      <c r="I297" s="15">
        <v>32457</v>
      </c>
      <c r="J297" s="37">
        <f t="shared" si="33"/>
        <v>3.2457E-2</v>
      </c>
      <c r="K297" s="14">
        <v>0</v>
      </c>
      <c r="L297" s="14">
        <f t="shared" si="36"/>
        <v>0</v>
      </c>
      <c r="M297" s="14">
        <f t="shared" si="35"/>
        <v>3.2457E-2</v>
      </c>
      <c r="N297" s="14">
        <v>7.2403200000000001E-2</v>
      </c>
      <c r="O297" s="6">
        <f t="shared" si="34"/>
        <v>0.76492860000000007</v>
      </c>
    </row>
    <row r="298" spans="1:15" x14ac:dyDescent="0.7">
      <c r="A298" s="5"/>
      <c r="B298" s="5"/>
      <c r="C298" s="5">
        <v>23</v>
      </c>
      <c r="D298" s="6">
        <v>33.054000000000002</v>
      </c>
      <c r="E298" s="6">
        <v>5.6</v>
      </c>
      <c r="F298" s="24">
        <v>10.067</v>
      </c>
      <c r="G298" s="14">
        <f t="shared" si="31"/>
        <v>869788.8</v>
      </c>
      <c r="H298" s="14">
        <f t="shared" si="32"/>
        <v>0.86978880000000003</v>
      </c>
      <c r="I298" s="15">
        <v>39667</v>
      </c>
      <c r="J298" s="37">
        <f t="shared" si="33"/>
        <v>3.9667000000000001E-2</v>
      </c>
      <c r="K298" s="14">
        <v>0</v>
      </c>
      <c r="L298" s="14">
        <f t="shared" si="36"/>
        <v>0</v>
      </c>
      <c r="M298" s="14">
        <f t="shared" si="35"/>
        <v>3.9667000000000001E-2</v>
      </c>
      <c r="N298" s="14">
        <v>7.2403200000000001E-2</v>
      </c>
      <c r="O298" s="6">
        <f t="shared" si="34"/>
        <v>0.75771860000000002</v>
      </c>
    </row>
    <row r="299" spans="1:15" x14ac:dyDescent="0.7">
      <c r="A299" s="5"/>
      <c r="B299" s="5"/>
      <c r="C299" s="5">
        <v>24</v>
      </c>
      <c r="D299" s="6">
        <v>33.054000000000002</v>
      </c>
      <c r="E299" s="6">
        <v>0</v>
      </c>
      <c r="F299" s="24">
        <v>10.064</v>
      </c>
      <c r="G299" s="14">
        <f t="shared" si="31"/>
        <v>869529.59999999998</v>
      </c>
      <c r="H299" s="14">
        <f t="shared" si="32"/>
        <v>0.86952960000000001</v>
      </c>
      <c r="I299" s="15">
        <v>24759</v>
      </c>
      <c r="J299" s="37">
        <f t="shared" si="33"/>
        <v>2.4759E-2</v>
      </c>
      <c r="K299" s="14">
        <v>0</v>
      </c>
      <c r="L299" s="14">
        <f t="shared" si="36"/>
        <v>0</v>
      </c>
      <c r="M299" s="14">
        <f t="shared" si="35"/>
        <v>2.4759E-2</v>
      </c>
      <c r="N299" s="14">
        <v>7.2403200000000001E-2</v>
      </c>
      <c r="O299" s="6">
        <f t="shared" si="34"/>
        <v>0.77236740000000004</v>
      </c>
    </row>
    <row r="300" spans="1:15" x14ac:dyDescent="0.7">
      <c r="A300" s="5"/>
      <c r="B300" s="5"/>
      <c r="C300" s="5">
        <v>25</v>
      </c>
      <c r="D300" s="6">
        <v>30.710999999999999</v>
      </c>
      <c r="E300" s="6">
        <v>0</v>
      </c>
      <c r="F300" s="24">
        <v>11.066000000000001</v>
      </c>
      <c r="G300" s="14">
        <f t="shared" si="31"/>
        <v>956102.4</v>
      </c>
      <c r="H300" s="14">
        <f t="shared" si="32"/>
        <v>0.95610240000000002</v>
      </c>
      <c r="I300" s="15">
        <v>24007</v>
      </c>
      <c r="J300" s="37">
        <f t="shared" si="33"/>
        <v>2.4007000000000001E-2</v>
      </c>
      <c r="K300" s="14">
        <v>0</v>
      </c>
      <c r="L300" s="14">
        <f t="shared" si="36"/>
        <v>0</v>
      </c>
      <c r="M300" s="14">
        <f t="shared" si="35"/>
        <v>2.4007000000000001E-2</v>
      </c>
      <c r="N300" s="14">
        <v>8.9683199999999991E-2</v>
      </c>
      <c r="O300" s="6">
        <f t="shared" si="34"/>
        <v>0.84241220000000006</v>
      </c>
    </row>
    <row r="301" spans="1:15" x14ac:dyDescent="0.7">
      <c r="A301" s="5"/>
      <c r="B301" s="5"/>
      <c r="C301" s="5">
        <v>26</v>
      </c>
      <c r="D301" s="6">
        <v>27.254999999999999</v>
      </c>
      <c r="E301" s="6">
        <v>0</v>
      </c>
      <c r="F301" s="24">
        <v>12.068</v>
      </c>
      <c r="G301" s="14">
        <f t="shared" si="31"/>
        <v>1042675.2</v>
      </c>
      <c r="H301" s="14">
        <f t="shared" si="32"/>
        <v>1.0426751999999999</v>
      </c>
      <c r="I301" s="15">
        <v>24891</v>
      </c>
      <c r="J301" s="37">
        <f t="shared" si="33"/>
        <v>2.4891E-2</v>
      </c>
      <c r="K301" s="14">
        <v>0</v>
      </c>
      <c r="L301" s="14">
        <f t="shared" si="36"/>
        <v>0</v>
      </c>
      <c r="M301" s="14">
        <f t="shared" si="35"/>
        <v>2.4891E-2</v>
      </c>
      <c r="N301" s="14">
        <v>8.9683199999999991E-2</v>
      </c>
      <c r="O301" s="6">
        <f t="shared" si="34"/>
        <v>0.92810099999999995</v>
      </c>
    </row>
    <row r="302" spans="1:15" x14ac:dyDescent="0.7">
      <c r="A302" s="5"/>
      <c r="B302" s="5"/>
      <c r="C302" s="5">
        <v>27</v>
      </c>
      <c r="D302" s="6">
        <v>26.247</v>
      </c>
      <c r="E302" s="6">
        <v>0</v>
      </c>
      <c r="F302" s="24">
        <v>12.066000000000001</v>
      </c>
      <c r="G302" s="14">
        <f t="shared" si="31"/>
        <v>1042502.4</v>
      </c>
      <c r="H302" s="14">
        <f t="shared" si="32"/>
        <v>1.0425024000000001</v>
      </c>
      <c r="I302" s="15">
        <v>26840</v>
      </c>
      <c r="J302" s="37">
        <f t="shared" si="33"/>
        <v>2.6839999999999999E-2</v>
      </c>
      <c r="K302" s="14">
        <v>3537</v>
      </c>
      <c r="L302" s="14">
        <f t="shared" si="36"/>
        <v>3.5370000000000002E-3</v>
      </c>
      <c r="M302" s="14">
        <f t="shared" si="35"/>
        <v>3.0377000000000001E-2</v>
      </c>
      <c r="N302" s="14">
        <v>8.9683199999999991E-2</v>
      </c>
      <c r="O302" s="6">
        <f t="shared" si="34"/>
        <v>0.92244219999999999</v>
      </c>
    </row>
    <row r="303" spans="1:15" x14ac:dyDescent="0.7">
      <c r="A303" s="5"/>
      <c r="B303" s="5"/>
      <c r="C303" s="5">
        <v>28</v>
      </c>
      <c r="D303" s="6">
        <v>30.464999999999996</v>
      </c>
      <c r="E303" s="6">
        <v>0</v>
      </c>
      <c r="F303" s="24">
        <v>12.068</v>
      </c>
      <c r="G303" s="14">
        <f t="shared" si="31"/>
        <v>1042675.2</v>
      </c>
      <c r="H303" s="14">
        <f t="shared" si="32"/>
        <v>1.0426751999999999</v>
      </c>
      <c r="I303" s="15">
        <v>21676</v>
      </c>
      <c r="J303" s="37">
        <f t="shared" si="33"/>
        <v>2.1676000000000001E-2</v>
      </c>
      <c r="K303" s="14">
        <v>3729</v>
      </c>
      <c r="L303" s="14">
        <f t="shared" si="36"/>
        <v>3.7290000000000001E-3</v>
      </c>
      <c r="M303" s="14">
        <f t="shared" si="35"/>
        <v>2.5405E-2</v>
      </c>
      <c r="N303" s="14">
        <v>8.9683199999999991E-2</v>
      </c>
      <c r="O303" s="6">
        <f t="shared" si="34"/>
        <v>0.92758700000000005</v>
      </c>
    </row>
    <row r="304" spans="1:15" x14ac:dyDescent="0.7">
      <c r="A304" s="5"/>
      <c r="B304" s="5"/>
      <c r="C304" s="5">
        <v>29</v>
      </c>
      <c r="D304" s="6">
        <v>29.367999999999999</v>
      </c>
      <c r="E304" s="6">
        <v>0</v>
      </c>
      <c r="F304" s="24">
        <v>10.076000000000001</v>
      </c>
      <c r="G304" s="14">
        <f t="shared" si="31"/>
        <v>870566.40000000002</v>
      </c>
      <c r="H304" s="14">
        <f t="shared" si="32"/>
        <v>0.87056640000000007</v>
      </c>
      <c r="I304" s="15">
        <v>26901</v>
      </c>
      <c r="J304" s="37">
        <f t="shared" si="33"/>
        <v>2.6901000000000001E-2</v>
      </c>
      <c r="K304" s="14">
        <v>3539</v>
      </c>
      <c r="L304" s="14">
        <f t="shared" si="36"/>
        <v>3.539E-3</v>
      </c>
      <c r="M304" s="14">
        <f t="shared" si="35"/>
        <v>3.0440000000000002E-2</v>
      </c>
      <c r="N304" s="14">
        <v>0.12052799999999998</v>
      </c>
      <c r="O304" s="6">
        <f t="shared" si="34"/>
        <v>0.71959840000000008</v>
      </c>
    </row>
    <row r="305" spans="1:15" x14ac:dyDescent="0.7">
      <c r="A305" s="5"/>
      <c r="B305" s="5"/>
      <c r="C305" s="5">
        <v>30</v>
      </c>
      <c r="D305" s="6">
        <v>29.889000000000003</v>
      </c>
      <c r="E305" s="6">
        <v>0.7</v>
      </c>
      <c r="F305" s="24">
        <v>8.0830000000000002</v>
      </c>
      <c r="G305" s="14">
        <f t="shared" si="31"/>
        <v>698371.20000000007</v>
      </c>
      <c r="H305" s="14">
        <f t="shared" si="32"/>
        <v>0.69837120000000008</v>
      </c>
      <c r="I305" s="14">
        <v>25248</v>
      </c>
      <c r="J305" s="37">
        <f t="shared" si="33"/>
        <v>2.5248E-2</v>
      </c>
      <c r="K305" s="14">
        <v>6621</v>
      </c>
      <c r="L305" s="14">
        <f t="shared" si="36"/>
        <v>6.6210000000000001E-3</v>
      </c>
      <c r="M305" s="14">
        <f t="shared" si="35"/>
        <v>3.1869000000000001E-2</v>
      </c>
      <c r="N305" s="14">
        <v>0.12052799999999998</v>
      </c>
      <c r="O305" s="6">
        <f t="shared" si="34"/>
        <v>0.54597420000000008</v>
      </c>
    </row>
    <row r="306" spans="1:15" s="12" customFormat="1" ht="25.2" thickBot="1" x14ac:dyDescent="0.75">
      <c r="A306" s="8"/>
      <c r="B306" s="8" t="s">
        <v>24</v>
      </c>
      <c r="C306" s="8">
        <v>31</v>
      </c>
      <c r="D306" s="9">
        <v>29.889000000000003</v>
      </c>
      <c r="E306" s="9">
        <v>0</v>
      </c>
      <c r="F306" s="29">
        <v>8.0830000000000002</v>
      </c>
      <c r="G306" s="23">
        <f t="shared" si="31"/>
        <v>698371.20000000007</v>
      </c>
      <c r="H306" s="23">
        <f t="shared" si="32"/>
        <v>0.69837120000000008</v>
      </c>
      <c r="I306" s="23">
        <v>29253</v>
      </c>
      <c r="J306" s="38">
        <f t="shared" si="33"/>
        <v>2.9253000000000001E-2</v>
      </c>
      <c r="K306" s="23">
        <v>5937</v>
      </c>
      <c r="L306" s="23">
        <f t="shared" si="36"/>
        <v>5.9369999999999996E-3</v>
      </c>
      <c r="M306" s="23">
        <f t="shared" si="35"/>
        <v>3.5189999999999999E-2</v>
      </c>
      <c r="N306" s="23">
        <v>0.12052799999999998</v>
      </c>
      <c r="O306" s="9">
        <f t="shared" si="34"/>
        <v>0.54265320000000017</v>
      </c>
    </row>
    <row r="307" spans="1:15" s="35" customFormat="1" x14ac:dyDescent="0.7">
      <c r="A307" s="33"/>
      <c r="B307" s="33" t="s">
        <v>25</v>
      </c>
      <c r="C307" s="33">
        <v>1</v>
      </c>
      <c r="D307" s="34">
        <v>29.889000000000003</v>
      </c>
      <c r="E307" s="34">
        <v>0</v>
      </c>
      <c r="F307" s="27">
        <v>8.0830000000000002</v>
      </c>
      <c r="G307" s="28">
        <f t="shared" si="31"/>
        <v>698371.20000000007</v>
      </c>
      <c r="H307" s="28">
        <f t="shared" si="32"/>
        <v>0.69837120000000008</v>
      </c>
      <c r="I307" s="28">
        <v>25323</v>
      </c>
      <c r="J307" s="27">
        <f t="shared" si="33"/>
        <v>2.5322999999999998E-2</v>
      </c>
      <c r="K307" s="28">
        <v>3978</v>
      </c>
      <c r="L307" s="28">
        <f t="shared" si="36"/>
        <v>3.9779999999999998E-3</v>
      </c>
      <c r="M307" s="28">
        <f t="shared" si="35"/>
        <v>2.9300999999999997E-2</v>
      </c>
      <c r="N307" s="28">
        <v>0.12052799999999998</v>
      </c>
      <c r="O307" s="34">
        <f t="shared" si="34"/>
        <v>0.54854220000000009</v>
      </c>
    </row>
    <row r="308" spans="1:15" x14ac:dyDescent="0.7">
      <c r="A308" s="2"/>
      <c r="B308" s="2"/>
      <c r="C308" s="2">
        <v>2</v>
      </c>
      <c r="D308" s="3">
        <v>31.071000000000002</v>
      </c>
      <c r="E308" s="3">
        <v>0</v>
      </c>
      <c r="F308" s="27">
        <v>8.0869999999999997</v>
      </c>
      <c r="G308" s="20">
        <f t="shared" si="31"/>
        <v>698716.79999999993</v>
      </c>
      <c r="H308" s="20">
        <f t="shared" si="32"/>
        <v>0.69871679999999992</v>
      </c>
      <c r="I308" s="20">
        <v>27472</v>
      </c>
      <c r="J308" s="39">
        <f t="shared" si="33"/>
        <v>2.7472E-2</v>
      </c>
      <c r="K308" s="20">
        <v>3753</v>
      </c>
      <c r="L308" s="20">
        <f t="shared" si="36"/>
        <v>3.7529999999999998E-3</v>
      </c>
      <c r="M308" s="20">
        <f t="shared" si="35"/>
        <v>3.1224999999999999E-2</v>
      </c>
      <c r="N308" s="20">
        <v>0.12052799999999998</v>
      </c>
      <c r="O308" s="3">
        <f t="shared" si="34"/>
        <v>0.5469638</v>
      </c>
    </row>
    <row r="309" spans="1:15" x14ac:dyDescent="0.7">
      <c r="A309" s="5"/>
      <c r="B309" s="5"/>
      <c r="C309" s="5">
        <v>3</v>
      </c>
      <c r="D309" s="6">
        <v>29.889000000000003</v>
      </c>
      <c r="E309" s="6">
        <v>0</v>
      </c>
      <c r="F309" s="24">
        <v>8.0830000000000002</v>
      </c>
      <c r="G309" s="14">
        <f t="shared" si="31"/>
        <v>698371.20000000007</v>
      </c>
      <c r="H309" s="14">
        <f t="shared" si="32"/>
        <v>0.69837120000000008</v>
      </c>
      <c r="I309" s="14">
        <v>30892</v>
      </c>
      <c r="J309" s="37">
        <f t="shared" si="33"/>
        <v>3.0891999999999999E-2</v>
      </c>
      <c r="K309" s="14">
        <v>3276</v>
      </c>
      <c r="L309" s="14">
        <f t="shared" si="36"/>
        <v>3.2759999999999998E-3</v>
      </c>
      <c r="M309" s="14">
        <f t="shared" si="35"/>
        <v>3.4167999999999997E-2</v>
      </c>
      <c r="N309" s="14">
        <v>0.12052799999999998</v>
      </c>
      <c r="O309" s="6">
        <f t="shared" si="34"/>
        <v>0.54367520000000014</v>
      </c>
    </row>
    <row r="310" spans="1:15" x14ac:dyDescent="0.7">
      <c r="A310" s="5"/>
      <c r="B310" s="5"/>
      <c r="C310" s="5">
        <v>4</v>
      </c>
      <c r="D310" s="6">
        <v>28.725999999999999</v>
      </c>
      <c r="E310" s="6">
        <v>0</v>
      </c>
      <c r="F310" s="24">
        <v>8.0779999999999994</v>
      </c>
      <c r="G310" s="14">
        <f t="shared" si="31"/>
        <v>697939.2</v>
      </c>
      <c r="H310" s="14">
        <f t="shared" si="32"/>
        <v>0.69793919999999998</v>
      </c>
      <c r="I310" s="14">
        <v>26118</v>
      </c>
      <c r="J310" s="37">
        <f t="shared" si="33"/>
        <v>2.6117999999999999E-2</v>
      </c>
      <c r="K310" s="14">
        <v>4087</v>
      </c>
      <c r="L310" s="14">
        <f t="shared" si="36"/>
        <v>4.0870000000000004E-3</v>
      </c>
      <c r="M310" s="14">
        <f t="shared" si="35"/>
        <v>3.0204999999999999E-2</v>
      </c>
      <c r="N310" s="14">
        <v>0.12052799999999998</v>
      </c>
      <c r="O310" s="6">
        <f t="shared" si="34"/>
        <v>0.54720619999999998</v>
      </c>
    </row>
    <row r="311" spans="1:15" x14ac:dyDescent="0.7">
      <c r="A311" s="5"/>
      <c r="B311" s="5"/>
      <c r="C311" s="5">
        <v>5</v>
      </c>
      <c r="D311" s="6">
        <v>28.725999999999999</v>
      </c>
      <c r="E311" s="6">
        <v>0</v>
      </c>
      <c r="F311" s="24">
        <v>8.0779999999999994</v>
      </c>
      <c r="G311" s="14">
        <f t="shared" si="31"/>
        <v>697939.2</v>
      </c>
      <c r="H311" s="14">
        <f t="shared" si="32"/>
        <v>0.69793919999999998</v>
      </c>
      <c r="I311" s="14">
        <v>26009</v>
      </c>
      <c r="J311" s="37">
        <f t="shared" si="33"/>
        <v>2.6009000000000001E-2</v>
      </c>
      <c r="K311" s="14">
        <v>3203</v>
      </c>
      <c r="L311" s="14">
        <f t="shared" si="36"/>
        <v>3.2030000000000001E-3</v>
      </c>
      <c r="M311" s="14">
        <f t="shared" si="35"/>
        <v>2.9212000000000002E-2</v>
      </c>
      <c r="N311" s="14">
        <v>0.12052799999999998</v>
      </c>
      <c r="O311" s="6">
        <f t="shared" si="34"/>
        <v>0.5481992</v>
      </c>
    </row>
    <row r="312" spans="1:15" x14ac:dyDescent="0.7">
      <c r="A312" s="5"/>
      <c r="B312" s="5"/>
      <c r="C312" s="5">
        <v>6</v>
      </c>
      <c r="D312" s="6">
        <v>27.587</v>
      </c>
      <c r="E312" s="6">
        <v>0</v>
      </c>
      <c r="F312" s="24">
        <v>8.0709999999999997</v>
      </c>
      <c r="G312" s="14">
        <f t="shared" si="31"/>
        <v>697334.4</v>
      </c>
      <c r="H312" s="14">
        <f t="shared" si="32"/>
        <v>0.69733440000000002</v>
      </c>
      <c r="I312" s="14">
        <v>23950</v>
      </c>
      <c r="J312" s="37">
        <f t="shared" si="33"/>
        <v>2.3949999999999999E-2</v>
      </c>
      <c r="K312" s="14">
        <v>6309</v>
      </c>
      <c r="L312" s="14">
        <f t="shared" si="36"/>
        <v>6.3090000000000004E-3</v>
      </c>
      <c r="M312" s="14">
        <f t="shared" si="35"/>
        <v>3.0259000000000001E-2</v>
      </c>
      <c r="N312" s="16">
        <v>0.12052799999999998</v>
      </c>
      <c r="O312" s="6">
        <f t="shared" si="34"/>
        <v>0.54654740000000002</v>
      </c>
    </row>
    <row r="313" spans="1:15" x14ac:dyDescent="0.7">
      <c r="A313" s="5"/>
      <c r="B313" s="5"/>
      <c r="C313" s="5">
        <v>7</v>
      </c>
      <c r="D313" s="6">
        <v>25.372</v>
      </c>
      <c r="E313" s="6">
        <v>0</v>
      </c>
      <c r="F313" s="24">
        <v>8.0679999999999996</v>
      </c>
      <c r="G313" s="14">
        <f t="shared" si="31"/>
        <v>697075.19999999995</v>
      </c>
      <c r="H313" s="14">
        <f t="shared" si="32"/>
        <v>0.69707520000000001</v>
      </c>
      <c r="I313" s="14">
        <v>24565</v>
      </c>
      <c r="J313" s="37">
        <f t="shared" si="33"/>
        <v>2.4565E-2</v>
      </c>
      <c r="K313" s="14">
        <v>3348</v>
      </c>
      <c r="L313" s="14">
        <f t="shared" si="36"/>
        <v>3.3479999999999998E-3</v>
      </c>
      <c r="M313" s="14">
        <f t="shared" si="35"/>
        <v>2.7913E-2</v>
      </c>
      <c r="N313" s="14">
        <v>0.12052799999999998</v>
      </c>
      <c r="O313" s="6">
        <f t="shared" si="34"/>
        <v>0.54863420000000007</v>
      </c>
    </row>
    <row r="314" spans="1:15" x14ac:dyDescent="0.7">
      <c r="A314" s="5"/>
      <c r="B314" s="5"/>
      <c r="C314" s="5">
        <v>8</v>
      </c>
      <c r="D314" s="6">
        <v>25.372</v>
      </c>
      <c r="E314" s="6">
        <v>0</v>
      </c>
      <c r="F314" s="24">
        <v>8.0679999999999996</v>
      </c>
      <c r="G314" s="14">
        <f t="shared" si="31"/>
        <v>697075.19999999995</v>
      </c>
      <c r="H314" s="14">
        <f t="shared" si="32"/>
        <v>0.69707520000000001</v>
      </c>
      <c r="I314" s="14">
        <v>24502</v>
      </c>
      <c r="J314" s="37">
        <f t="shared" si="33"/>
        <v>2.4501999999999999E-2</v>
      </c>
      <c r="K314" s="14">
        <v>0</v>
      </c>
      <c r="L314" s="14">
        <f t="shared" si="36"/>
        <v>0</v>
      </c>
      <c r="M314" s="14">
        <f t="shared" ref="M314:M320" si="37">J314+L314</f>
        <v>2.4501999999999999E-2</v>
      </c>
      <c r="N314" s="14">
        <v>0.11188799999999999</v>
      </c>
      <c r="O314" s="6">
        <f t="shared" si="34"/>
        <v>0.56068519999999999</v>
      </c>
    </row>
    <row r="315" spans="1:15" x14ac:dyDescent="0.7">
      <c r="A315" s="5"/>
      <c r="B315" s="5"/>
      <c r="C315" s="5">
        <v>9</v>
      </c>
      <c r="D315" s="6">
        <v>24.298000000000002</v>
      </c>
      <c r="E315" s="6">
        <v>0</v>
      </c>
      <c r="F315" s="24">
        <v>8.0640000000000001</v>
      </c>
      <c r="G315" s="14">
        <f t="shared" si="31"/>
        <v>696729.59999999998</v>
      </c>
      <c r="H315" s="14">
        <f t="shared" si="32"/>
        <v>0.69672959999999995</v>
      </c>
      <c r="I315" s="14">
        <v>23887</v>
      </c>
      <c r="J315" s="37">
        <f t="shared" si="33"/>
        <v>2.3886999999999999E-2</v>
      </c>
      <c r="K315" s="14">
        <v>0</v>
      </c>
      <c r="L315" s="14">
        <f t="shared" si="36"/>
        <v>0</v>
      </c>
      <c r="M315" s="14">
        <f t="shared" si="37"/>
        <v>2.3886999999999999E-2</v>
      </c>
      <c r="N315" s="14">
        <v>0.11188799999999999</v>
      </c>
      <c r="O315" s="6">
        <f t="shared" si="34"/>
        <v>0.56095459999999997</v>
      </c>
    </row>
    <row r="316" spans="1:15" x14ac:dyDescent="0.7">
      <c r="A316" s="5"/>
      <c r="B316" s="5"/>
      <c r="C316" s="5">
        <v>10</v>
      </c>
      <c r="D316" s="6">
        <v>24.298000000000002</v>
      </c>
      <c r="E316" s="6">
        <v>0</v>
      </c>
      <c r="F316" s="24">
        <v>8.0640000000000001</v>
      </c>
      <c r="G316" s="14">
        <f t="shared" si="31"/>
        <v>696729.59999999998</v>
      </c>
      <c r="H316" s="14">
        <f t="shared" si="32"/>
        <v>0.69672959999999995</v>
      </c>
      <c r="I316" s="14">
        <v>26768</v>
      </c>
      <c r="J316" s="37">
        <f t="shared" si="33"/>
        <v>2.6768E-2</v>
      </c>
      <c r="K316" s="14">
        <v>0</v>
      </c>
      <c r="L316" s="14">
        <f t="shared" si="36"/>
        <v>0</v>
      </c>
      <c r="M316" s="14">
        <f t="shared" si="37"/>
        <v>2.6768E-2</v>
      </c>
      <c r="N316" s="14">
        <v>0.11188799999999999</v>
      </c>
      <c r="O316" s="6">
        <f t="shared" si="34"/>
        <v>0.55807359999999995</v>
      </c>
    </row>
    <row r="317" spans="1:15" x14ac:dyDescent="0.7">
      <c r="A317" s="5"/>
      <c r="B317" s="5"/>
      <c r="C317" s="5">
        <v>11</v>
      </c>
      <c r="D317" s="6">
        <v>24.298000000000002</v>
      </c>
      <c r="E317" s="6">
        <v>0</v>
      </c>
      <c r="F317" s="24">
        <v>8.0640000000000001</v>
      </c>
      <c r="G317" s="14">
        <f t="shared" si="31"/>
        <v>696729.59999999998</v>
      </c>
      <c r="H317" s="14">
        <f t="shared" si="32"/>
        <v>0.69672959999999995</v>
      </c>
      <c r="I317" s="14">
        <v>27255</v>
      </c>
      <c r="J317" s="37">
        <f t="shared" si="33"/>
        <v>2.7255000000000001E-2</v>
      </c>
      <c r="K317" s="14">
        <v>0</v>
      </c>
      <c r="L317" s="14">
        <f t="shared" si="36"/>
        <v>0</v>
      </c>
      <c r="M317" s="14">
        <f t="shared" si="37"/>
        <v>2.7255000000000001E-2</v>
      </c>
      <c r="N317" s="14">
        <v>0.11188799999999999</v>
      </c>
      <c r="O317" s="6">
        <f t="shared" si="34"/>
        <v>0.55758659999999993</v>
      </c>
    </row>
    <row r="318" spans="1:15" x14ac:dyDescent="0.7">
      <c r="A318" s="5"/>
      <c r="B318" s="5"/>
      <c r="C318" s="5">
        <v>12</v>
      </c>
      <c r="D318" s="6">
        <v>23.247</v>
      </c>
      <c r="E318" s="6">
        <v>0</v>
      </c>
      <c r="F318" s="24">
        <v>8.06</v>
      </c>
      <c r="G318" s="14">
        <f t="shared" si="31"/>
        <v>696384</v>
      </c>
      <c r="H318" s="14">
        <f t="shared" si="32"/>
        <v>0.696384</v>
      </c>
      <c r="I318" s="14">
        <v>30881</v>
      </c>
      <c r="J318" s="37">
        <f t="shared" si="33"/>
        <v>3.0880999999999999E-2</v>
      </c>
      <c r="K318" s="14">
        <v>3818</v>
      </c>
      <c r="L318" s="14">
        <f t="shared" si="36"/>
        <v>3.8180000000000002E-3</v>
      </c>
      <c r="M318" s="14">
        <f t="shared" si="37"/>
        <v>3.4699000000000001E-2</v>
      </c>
      <c r="N318" s="14">
        <v>0.11188799999999999</v>
      </c>
      <c r="O318" s="6">
        <f t="shared" si="34"/>
        <v>0.54979699999999998</v>
      </c>
    </row>
    <row r="319" spans="1:15" x14ac:dyDescent="0.7">
      <c r="A319" s="5"/>
      <c r="B319" s="5"/>
      <c r="C319" s="5">
        <v>13</v>
      </c>
      <c r="D319" s="6">
        <v>23.247</v>
      </c>
      <c r="E319" s="6">
        <v>0</v>
      </c>
      <c r="F319" s="24">
        <v>8.06</v>
      </c>
      <c r="G319" s="14">
        <f t="shared" si="31"/>
        <v>696384</v>
      </c>
      <c r="H319" s="14">
        <f t="shared" si="32"/>
        <v>0.696384</v>
      </c>
      <c r="I319" s="14">
        <v>28472</v>
      </c>
      <c r="J319" s="37">
        <f t="shared" si="33"/>
        <v>2.8472000000000001E-2</v>
      </c>
      <c r="K319" s="14">
        <v>5875</v>
      </c>
      <c r="L319" s="14">
        <f t="shared" si="36"/>
        <v>5.875E-3</v>
      </c>
      <c r="M319" s="14">
        <f t="shared" si="37"/>
        <v>3.4347000000000003E-2</v>
      </c>
      <c r="N319" s="14">
        <v>0.11188799999999999</v>
      </c>
      <c r="O319" s="6">
        <f t="shared" si="34"/>
        <v>0.550149</v>
      </c>
    </row>
    <row r="320" spans="1:15" x14ac:dyDescent="0.7">
      <c r="A320" s="5"/>
      <c r="B320" s="5"/>
      <c r="C320" s="5">
        <v>14</v>
      </c>
      <c r="D320" s="6">
        <v>22.219000000000001</v>
      </c>
      <c r="E320" s="6">
        <v>0</v>
      </c>
      <c r="F320" s="24">
        <v>10.066000000000001</v>
      </c>
      <c r="G320" s="14">
        <f t="shared" si="31"/>
        <v>869702.4</v>
      </c>
      <c r="H320" s="14">
        <f t="shared" si="32"/>
        <v>0.86970239999999999</v>
      </c>
      <c r="I320" s="14">
        <v>28564</v>
      </c>
      <c r="J320" s="37">
        <f t="shared" si="33"/>
        <v>2.8563999999999999E-2</v>
      </c>
      <c r="K320" s="14">
        <v>5984</v>
      </c>
      <c r="L320" s="14">
        <f t="shared" si="36"/>
        <v>5.9839999999999997E-3</v>
      </c>
      <c r="M320" s="14">
        <f t="shared" si="37"/>
        <v>3.4547999999999995E-2</v>
      </c>
      <c r="N320" s="14">
        <v>0.31103999999999998</v>
      </c>
      <c r="O320" s="6">
        <f t="shared" si="34"/>
        <v>0.52411439999999998</v>
      </c>
    </row>
    <row r="321" spans="1:15" x14ac:dyDescent="0.7">
      <c r="A321" s="5"/>
      <c r="B321" s="5"/>
      <c r="C321" s="5">
        <v>15</v>
      </c>
      <c r="D321" s="6">
        <v>20.621000000000002</v>
      </c>
      <c r="E321" s="6">
        <v>0</v>
      </c>
      <c r="F321" s="24">
        <v>12.071</v>
      </c>
      <c r="G321" s="14">
        <f t="shared" si="31"/>
        <v>1042934.4</v>
      </c>
      <c r="H321" s="14">
        <f t="shared" si="32"/>
        <v>1.0429344</v>
      </c>
      <c r="I321" s="14">
        <v>28521</v>
      </c>
      <c r="J321" s="37">
        <f t="shared" si="33"/>
        <v>2.8521000000000001E-2</v>
      </c>
      <c r="K321" s="14">
        <v>2894</v>
      </c>
      <c r="L321" s="14">
        <f t="shared" si="36"/>
        <v>2.8939999999999999E-3</v>
      </c>
      <c r="M321" s="14">
        <f t="shared" ref="M321:M335" si="38">J321+L321</f>
        <v>3.1414999999999998E-2</v>
      </c>
      <c r="N321" s="14">
        <v>0.32832</v>
      </c>
      <c r="O321" s="6">
        <f t="shared" si="34"/>
        <v>0.68319940000000012</v>
      </c>
    </row>
    <row r="322" spans="1:15" x14ac:dyDescent="0.7">
      <c r="A322" s="5"/>
      <c r="B322" s="5"/>
      <c r="C322" s="5">
        <v>16</v>
      </c>
      <c r="D322" s="6">
        <v>21.494</v>
      </c>
      <c r="E322" s="6">
        <v>26.1</v>
      </c>
      <c r="F322" s="24">
        <v>12.074999999999999</v>
      </c>
      <c r="G322" s="14">
        <f t="shared" si="31"/>
        <v>1043279.9999999999</v>
      </c>
      <c r="H322" s="14">
        <f t="shared" si="32"/>
        <v>1.04328</v>
      </c>
      <c r="I322" s="14">
        <v>29964</v>
      </c>
      <c r="J322" s="37">
        <f t="shared" si="33"/>
        <v>2.9964000000000001E-2</v>
      </c>
      <c r="K322" s="14">
        <v>0</v>
      </c>
      <c r="L322" s="14">
        <f t="shared" si="36"/>
        <v>0</v>
      </c>
      <c r="M322" s="14">
        <f t="shared" si="38"/>
        <v>2.9964000000000001E-2</v>
      </c>
      <c r="N322" s="14">
        <v>0.20735999999999999</v>
      </c>
      <c r="O322" s="6">
        <f t="shared" si="34"/>
        <v>0.80595599999999989</v>
      </c>
    </row>
    <row r="323" spans="1:15" x14ac:dyDescent="0.7">
      <c r="A323" s="5"/>
      <c r="B323" s="5"/>
      <c r="C323" s="5">
        <v>17</v>
      </c>
      <c r="D323" s="6">
        <v>23.317</v>
      </c>
      <c r="E323" s="6">
        <v>0</v>
      </c>
      <c r="F323" s="24">
        <v>12.08</v>
      </c>
      <c r="G323" s="14">
        <f t="shared" ref="G323:G336" si="39">F323*86400</f>
        <v>1043712</v>
      </c>
      <c r="H323" s="14">
        <f t="shared" ref="H323:H336" si="40">G323/1000000</f>
        <v>1.043712</v>
      </c>
      <c r="I323" s="14">
        <v>28973</v>
      </c>
      <c r="J323" s="37">
        <f t="shared" ref="J323:J336" si="41">I323/1000000</f>
        <v>2.8972999999999999E-2</v>
      </c>
      <c r="K323" s="14">
        <v>0</v>
      </c>
      <c r="L323" s="14">
        <f t="shared" si="36"/>
        <v>0</v>
      </c>
      <c r="M323" s="14">
        <f t="shared" si="38"/>
        <v>2.8972999999999999E-2</v>
      </c>
      <c r="N323" s="14">
        <v>0.44063999999999998</v>
      </c>
      <c r="O323" s="6">
        <f t="shared" si="34"/>
        <v>0.57409900000000014</v>
      </c>
    </row>
    <row r="324" spans="1:15" x14ac:dyDescent="0.7">
      <c r="A324" s="5"/>
      <c r="B324" s="5"/>
      <c r="C324" s="5">
        <v>18</v>
      </c>
      <c r="D324" s="6">
        <v>29.385999999999999</v>
      </c>
      <c r="E324" s="6">
        <v>24.1</v>
      </c>
      <c r="F324" s="24">
        <v>12.08</v>
      </c>
      <c r="G324" s="14">
        <f t="shared" si="39"/>
        <v>1043712</v>
      </c>
      <c r="H324" s="14">
        <f t="shared" si="40"/>
        <v>1.043712</v>
      </c>
      <c r="I324" s="14">
        <v>29397</v>
      </c>
      <c r="J324" s="37">
        <f t="shared" si="41"/>
        <v>2.9397E-2</v>
      </c>
      <c r="K324" s="14">
        <v>0</v>
      </c>
      <c r="L324" s="14">
        <f t="shared" si="36"/>
        <v>0</v>
      </c>
      <c r="M324" s="14">
        <f t="shared" si="38"/>
        <v>2.9397E-2</v>
      </c>
      <c r="N324" s="14">
        <v>0.44063999999999998</v>
      </c>
      <c r="O324" s="6">
        <f t="shared" ref="O324:O367" si="42">H324-M324-N324</f>
        <v>0.57367500000000016</v>
      </c>
    </row>
    <row r="325" spans="1:15" x14ac:dyDescent="0.7">
      <c r="A325" s="5"/>
      <c r="B325" s="5"/>
      <c r="C325" s="5">
        <v>19</v>
      </c>
      <c r="D325" s="6">
        <v>26.241</v>
      </c>
      <c r="E325" s="6">
        <v>0</v>
      </c>
      <c r="F325" s="24">
        <v>12.076000000000001</v>
      </c>
      <c r="G325" s="14">
        <f t="shared" si="39"/>
        <v>1043366.4</v>
      </c>
      <c r="H325" s="14">
        <f t="shared" si="40"/>
        <v>1.0433664</v>
      </c>
      <c r="I325" s="14">
        <v>30567</v>
      </c>
      <c r="J325" s="37">
        <f t="shared" si="41"/>
        <v>3.0567E-2</v>
      </c>
      <c r="K325" s="14">
        <v>0</v>
      </c>
      <c r="L325" s="14">
        <f t="shared" si="36"/>
        <v>0</v>
      </c>
      <c r="M325" s="14">
        <f t="shared" si="38"/>
        <v>3.0567E-2</v>
      </c>
      <c r="N325" s="14">
        <v>0.4536</v>
      </c>
      <c r="O325" s="6">
        <f t="shared" si="42"/>
        <v>0.55919940000000001</v>
      </c>
    </row>
    <row r="326" spans="1:15" x14ac:dyDescent="0.7">
      <c r="A326" s="5"/>
      <c r="B326" s="5"/>
      <c r="C326" s="5">
        <v>20</v>
      </c>
      <c r="D326" s="6">
        <v>24.262999999999998</v>
      </c>
      <c r="E326" s="6">
        <v>0</v>
      </c>
      <c r="F326" s="24">
        <v>12.071999999999999</v>
      </c>
      <c r="G326" s="14">
        <f t="shared" si="39"/>
        <v>1043020.7999999999</v>
      </c>
      <c r="H326" s="14">
        <f t="shared" si="40"/>
        <v>1.0430207999999999</v>
      </c>
      <c r="I326" s="14">
        <v>34375</v>
      </c>
      <c r="J326" s="37">
        <f t="shared" si="41"/>
        <v>3.4375000000000003E-2</v>
      </c>
      <c r="K326" s="14">
        <v>5890</v>
      </c>
      <c r="L326" s="14">
        <f t="shared" si="36"/>
        <v>5.8900000000000003E-3</v>
      </c>
      <c r="M326" s="14">
        <f t="shared" si="38"/>
        <v>4.0265000000000002E-2</v>
      </c>
      <c r="N326" s="14">
        <v>0.44928000000000001</v>
      </c>
      <c r="O326" s="6">
        <f t="shared" si="42"/>
        <v>0.55347579999999985</v>
      </c>
    </row>
    <row r="327" spans="1:15" x14ac:dyDescent="0.7">
      <c r="A327" s="5"/>
      <c r="B327" s="5"/>
      <c r="C327" s="5">
        <v>21</v>
      </c>
      <c r="D327" s="6">
        <v>22.386000000000003</v>
      </c>
      <c r="E327" s="6">
        <v>0</v>
      </c>
      <c r="F327" s="24">
        <v>12.07</v>
      </c>
      <c r="G327" s="14">
        <f t="shared" si="39"/>
        <v>1042848</v>
      </c>
      <c r="H327" s="14">
        <f t="shared" si="40"/>
        <v>1.042848</v>
      </c>
      <c r="I327" s="14">
        <v>29975</v>
      </c>
      <c r="J327" s="37">
        <f t="shared" si="41"/>
        <v>2.9975000000000002E-2</v>
      </c>
      <c r="K327" s="14">
        <v>0</v>
      </c>
      <c r="L327" s="14">
        <f t="shared" si="36"/>
        <v>0</v>
      </c>
      <c r="M327" s="14">
        <f t="shared" si="38"/>
        <v>2.9975000000000002E-2</v>
      </c>
      <c r="N327" s="14">
        <v>0.47952</v>
      </c>
      <c r="O327" s="6">
        <f t="shared" si="42"/>
        <v>0.53335299999999997</v>
      </c>
    </row>
    <row r="328" spans="1:15" x14ac:dyDescent="0.7">
      <c r="A328" s="5"/>
      <c r="B328" s="5"/>
      <c r="C328" s="5">
        <v>22</v>
      </c>
      <c r="D328" s="6">
        <v>22.386000000000003</v>
      </c>
      <c r="E328" s="6">
        <v>0</v>
      </c>
      <c r="F328" s="24">
        <v>12.07</v>
      </c>
      <c r="G328" s="14">
        <f t="shared" si="39"/>
        <v>1042848</v>
      </c>
      <c r="H328" s="14">
        <f t="shared" si="40"/>
        <v>1.042848</v>
      </c>
      <c r="I328" s="14">
        <v>33496</v>
      </c>
      <c r="J328" s="37">
        <f t="shared" si="41"/>
        <v>3.3495999999999998E-2</v>
      </c>
      <c r="K328" s="14">
        <v>0</v>
      </c>
      <c r="L328" s="14">
        <f t="shared" si="36"/>
        <v>0</v>
      </c>
      <c r="M328" s="14">
        <f t="shared" si="38"/>
        <v>3.3495999999999998E-2</v>
      </c>
      <c r="N328" s="14">
        <v>0.47952</v>
      </c>
      <c r="O328" s="6">
        <f t="shared" si="42"/>
        <v>0.52983200000000008</v>
      </c>
    </row>
    <row r="329" spans="1:15" x14ac:dyDescent="0.7">
      <c r="A329" s="5"/>
      <c r="B329" s="5"/>
      <c r="C329" s="5">
        <v>23</v>
      </c>
      <c r="D329" s="6">
        <v>21.484999999999999</v>
      </c>
      <c r="E329" s="6">
        <v>0</v>
      </c>
      <c r="F329" s="24">
        <v>12.066000000000001</v>
      </c>
      <c r="G329" s="14">
        <f t="shared" si="39"/>
        <v>1042502.4</v>
      </c>
      <c r="H329" s="14">
        <f t="shared" si="40"/>
        <v>1.0425024000000001</v>
      </c>
      <c r="I329" s="14">
        <v>32068</v>
      </c>
      <c r="J329" s="37">
        <f t="shared" si="41"/>
        <v>3.2067999999999999E-2</v>
      </c>
      <c r="K329" s="14">
        <v>0</v>
      </c>
      <c r="L329" s="14">
        <f t="shared" si="36"/>
        <v>0</v>
      </c>
      <c r="M329" s="14">
        <f t="shared" si="38"/>
        <v>3.2067999999999999E-2</v>
      </c>
      <c r="N329" s="14">
        <v>0.47952</v>
      </c>
      <c r="O329" s="6">
        <f t="shared" si="42"/>
        <v>0.53091440000000012</v>
      </c>
    </row>
    <row r="330" spans="1:15" x14ac:dyDescent="0.7">
      <c r="A330" s="5"/>
      <c r="B330" s="5"/>
      <c r="C330" s="5">
        <v>24</v>
      </c>
      <c r="D330" s="6">
        <v>20.613</v>
      </c>
      <c r="E330" s="6">
        <v>0</v>
      </c>
      <c r="F330" s="24">
        <v>12.063000000000001</v>
      </c>
      <c r="G330" s="14">
        <f t="shared" si="39"/>
        <v>1042243.2000000001</v>
      </c>
      <c r="H330" s="14">
        <f t="shared" si="40"/>
        <v>1.0422432000000001</v>
      </c>
      <c r="I330" s="14">
        <v>33086</v>
      </c>
      <c r="J330" s="37">
        <f t="shared" si="41"/>
        <v>3.3085999999999997E-2</v>
      </c>
      <c r="K330" s="14">
        <v>0</v>
      </c>
      <c r="L330" s="14">
        <f t="shared" si="36"/>
        <v>0</v>
      </c>
      <c r="M330" s="14">
        <f t="shared" si="38"/>
        <v>3.3085999999999997E-2</v>
      </c>
      <c r="N330" s="14">
        <v>0.47952</v>
      </c>
      <c r="O330" s="6">
        <f t="shared" si="42"/>
        <v>0.52963720000000025</v>
      </c>
    </row>
    <row r="331" spans="1:15" x14ac:dyDescent="0.7">
      <c r="A331" s="5"/>
      <c r="B331" s="5"/>
      <c r="C331" s="5">
        <v>25</v>
      </c>
      <c r="D331" s="6">
        <v>19.77</v>
      </c>
      <c r="E331" s="6">
        <v>0</v>
      </c>
      <c r="F331" s="24">
        <v>12.06</v>
      </c>
      <c r="G331" s="14">
        <f t="shared" si="39"/>
        <v>1041984</v>
      </c>
      <c r="H331" s="14">
        <f t="shared" si="40"/>
        <v>1.041984</v>
      </c>
      <c r="I331" s="14">
        <v>32251</v>
      </c>
      <c r="J331" s="37">
        <f t="shared" si="41"/>
        <v>3.2251000000000002E-2</v>
      </c>
      <c r="K331" s="14">
        <v>0</v>
      </c>
      <c r="L331" s="14">
        <f t="shared" si="36"/>
        <v>0</v>
      </c>
      <c r="M331" s="14">
        <f t="shared" si="38"/>
        <v>3.2251000000000002E-2</v>
      </c>
      <c r="N331" s="14">
        <v>0.47952</v>
      </c>
      <c r="O331" s="6">
        <f t="shared" si="42"/>
        <v>0.53021300000000005</v>
      </c>
    </row>
    <row r="332" spans="1:15" x14ac:dyDescent="0.7">
      <c r="A332" s="5"/>
      <c r="B332" s="5"/>
      <c r="C332" s="5">
        <v>26</v>
      </c>
      <c r="D332" s="6">
        <v>19.77</v>
      </c>
      <c r="E332" s="6">
        <v>0</v>
      </c>
      <c r="F332" s="24">
        <v>12.065</v>
      </c>
      <c r="G332" s="14">
        <f t="shared" si="39"/>
        <v>1042416</v>
      </c>
      <c r="H332" s="14">
        <f t="shared" si="40"/>
        <v>1.042416</v>
      </c>
      <c r="I332" s="14">
        <v>31596</v>
      </c>
      <c r="J332" s="37">
        <f t="shared" si="41"/>
        <v>3.1595999999999999E-2</v>
      </c>
      <c r="K332" s="14">
        <v>0</v>
      </c>
      <c r="L332" s="14">
        <f t="shared" si="36"/>
        <v>0</v>
      </c>
      <c r="M332" s="14">
        <f t="shared" si="38"/>
        <v>3.1595999999999999E-2</v>
      </c>
      <c r="N332" s="14">
        <v>0.47952</v>
      </c>
      <c r="O332" s="6">
        <f t="shared" si="42"/>
        <v>0.53130000000000011</v>
      </c>
    </row>
    <row r="333" spans="1:15" x14ac:dyDescent="0.7">
      <c r="A333" s="5"/>
      <c r="B333" s="5"/>
      <c r="C333" s="5">
        <v>27</v>
      </c>
      <c r="D333" s="6">
        <v>22.386000000000003</v>
      </c>
      <c r="E333" s="6">
        <v>0</v>
      </c>
      <c r="F333" s="24">
        <v>12.065</v>
      </c>
      <c r="G333" s="14">
        <f t="shared" si="39"/>
        <v>1042416</v>
      </c>
      <c r="H333" s="14">
        <f t="shared" si="40"/>
        <v>1.042416</v>
      </c>
      <c r="I333" s="14">
        <v>37162</v>
      </c>
      <c r="J333" s="37">
        <f t="shared" si="41"/>
        <v>3.7162000000000001E-2</v>
      </c>
      <c r="K333" s="14">
        <v>4743</v>
      </c>
      <c r="L333" s="14">
        <f t="shared" si="36"/>
        <v>4.7429999999999998E-3</v>
      </c>
      <c r="M333" s="14">
        <f t="shared" si="38"/>
        <v>4.1904999999999998E-2</v>
      </c>
      <c r="N333" s="14">
        <v>0.44496000000000002</v>
      </c>
      <c r="O333" s="6">
        <f t="shared" si="42"/>
        <v>0.55555099999999991</v>
      </c>
    </row>
    <row r="334" spans="1:15" x14ac:dyDescent="0.7">
      <c r="A334" s="5"/>
      <c r="B334" s="5"/>
      <c r="C334" s="5">
        <v>28</v>
      </c>
      <c r="D334" s="6">
        <v>19.77</v>
      </c>
      <c r="E334" s="6">
        <v>0</v>
      </c>
      <c r="F334" s="24">
        <v>12.058999999999999</v>
      </c>
      <c r="G334" s="14">
        <f t="shared" si="39"/>
        <v>1041897.6</v>
      </c>
      <c r="H334" s="14">
        <f t="shared" si="40"/>
        <v>1.0418976</v>
      </c>
      <c r="I334" s="14">
        <v>29693</v>
      </c>
      <c r="J334" s="37">
        <f t="shared" si="41"/>
        <v>2.9693000000000001E-2</v>
      </c>
      <c r="K334" s="14">
        <v>5861</v>
      </c>
      <c r="L334" s="14">
        <f t="shared" si="36"/>
        <v>5.8609999999999999E-3</v>
      </c>
      <c r="M334" s="14">
        <f t="shared" si="38"/>
        <v>3.5554000000000002E-2</v>
      </c>
      <c r="N334" s="14">
        <v>0.47952</v>
      </c>
      <c r="O334" s="6">
        <f t="shared" si="42"/>
        <v>0.52682359999999995</v>
      </c>
    </row>
    <row r="335" spans="1:15" x14ac:dyDescent="0.7">
      <c r="A335" s="5"/>
      <c r="B335" s="5"/>
      <c r="C335" s="5">
        <v>29</v>
      </c>
      <c r="D335" s="6">
        <v>18.176000000000002</v>
      </c>
      <c r="E335" s="6">
        <v>0</v>
      </c>
      <c r="F335" s="24">
        <v>12.058</v>
      </c>
      <c r="G335" s="14">
        <f t="shared" si="39"/>
        <v>1041811.2</v>
      </c>
      <c r="H335" s="14">
        <f t="shared" si="40"/>
        <v>1.0418111999999999</v>
      </c>
      <c r="I335" s="14">
        <v>33282</v>
      </c>
      <c r="J335" s="37">
        <f t="shared" si="41"/>
        <v>3.3281999999999999E-2</v>
      </c>
      <c r="K335" s="14">
        <v>0</v>
      </c>
      <c r="L335" s="14">
        <f t="shared" si="36"/>
        <v>0</v>
      </c>
      <c r="M335" s="14">
        <f t="shared" si="38"/>
        <v>3.3281999999999999E-2</v>
      </c>
      <c r="N335" s="14">
        <v>0.4536</v>
      </c>
      <c r="O335" s="6">
        <f t="shared" si="42"/>
        <v>0.5549291999999999</v>
      </c>
    </row>
    <row r="336" spans="1:15" s="12" customFormat="1" ht="25.2" thickBot="1" x14ac:dyDescent="0.75">
      <c r="A336" s="8"/>
      <c r="B336" s="8" t="s">
        <v>25</v>
      </c>
      <c r="C336" s="8">
        <v>30</v>
      </c>
      <c r="D336" s="9">
        <v>17.424999999999997</v>
      </c>
      <c r="E336" s="9">
        <v>0</v>
      </c>
      <c r="F336" s="29">
        <v>14.377000000000001</v>
      </c>
      <c r="G336" s="23">
        <f t="shared" si="39"/>
        <v>1242172.8</v>
      </c>
      <c r="H336" s="23">
        <f t="shared" si="40"/>
        <v>1.2421728000000001</v>
      </c>
      <c r="I336" s="23">
        <v>37156</v>
      </c>
      <c r="J336" s="38">
        <f t="shared" si="41"/>
        <v>3.7156000000000002E-2</v>
      </c>
      <c r="K336" s="23">
        <v>0</v>
      </c>
      <c r="L336" s="23">
        <f t="shared" si="36"/>
        <v>0</v>
      </c>
      <c r="M336" s="23">
        <f>J336+L336</f>
        <v>3.7156000000000002E-2</v>
      </c>
      <c r="N336" s="23">
        <v>0.4536</v>
      </c>
      <c r="O336" s="9">
        <f t="shared" si="42"/>
        <v>0.75141680000000011</v>
      </c>
    </row>
    <row r="337" spans="1:15" x14ac:dyDescent="0.7">
      <c r="A337" s="4"/>
      <c r="B337" s="2" t="s">
        <v>26</v>
      </c>
      <c r="C337" s="2">
        <v>1</v>
      </c>
      <c r="D337" s="3">
        <v>16.698</v>
      </c>
      <c r="E337" s="3">
        <v>0</v>
      </c>
      <c r="F337" s="21">
        <v>13.385</v>
      </c>
      <c r="G337" s="20">
        <v>1156464</v>
      </c>
      <c r="H337" s="20">
        <v>1.1564639999999999</v>
      </c>
      <c r="I337" s="3">
        <v>31204</v>
      </c>
      <c r="J337" s="40">
        <v>3.1203999999999999E-2</v>
      </c>
      <c r="K337" s="3">
        <v>0</v>
      </c>
      <c r="L337" s="3">
        <v>0</v>
      </c>
      <c r="M337" s="3">
        <v>3.1203999999999999E-2</v>
      </c>
      <c r="N337" s="3">
        <v>0.47088000000000002</v>
      </c>
      <c r="O337" s="3">
        <f t="shared" si="42"/>
        <v>0.65437999999999996</v>
      </c>
    </row>
    <row r="338" spans="1:15" x14ac:dyDescent="0.7">
      <c r="A338" s="7"/>
      <c r="B338" s="5"/>
      <c r="C338" s="5">
        <v>2</v>
      </c>
      <c r="D338" s="6">
        <v>16.088900000000002</v>
      </c>
      <c r="E338" s="6">
        <v>0</v>
      </c>
      <c r="F338" s="22">
        <v>10.07</v>
      </c>
      <c r="G338" s="14">
        <v>870048</v>
      </c>
      <c r="H338" s="14">
        <v>0.87004800000000004</v>
      </c>
      <c r="I338" s="6">
        <v>20257</v>
      </c>
      <c r="J338" s="41">
        <v>2.0257000000000001E-2</v>
      </c>
      <c r="K338" s="6">
        <v>0</v>
      </c>
      <c r="L338" s="6">
        <v>0</v>
      </c>
      <c r="M338" s="6">
        <v>2.0257000000000001E-2</v>
      </c>
      <c r="N338" s="6">
        <v>0.52574399999999999</v>
      </c>
      <c r="O338" s="6">
        <f t="shared" si="42"/>
        <v>0.32404700000000008</v>
      </c>
    </row>
    <row r="339" spans="1:15" x14ac:dyDescent="0.7">
      <c r="A339" s="7"/>
      <c r="B339" s="5"/>
      <c r="C339" s="5">
        <v>3</v>
      </c>
      <c r="D339" s="6">
        <v>14.042</v>
      </c>
      <c r="E339" s="6">
        <v>0</v>
      </c>
      <c r="F339" s="22">
        <v>10.068</v>
      </c>
      <c r="G339" s="14">
        <v>869875.19999999995</v>
      </c>
      <c r="H339" s="14">
        <v>0.86987519999999996</v>
      </c>
      <c r="I339" s="6">
        <v>21289</v>
      </c>
      <c r="J339" s="41">
        <v>2.1288999999999999E-2</v>
      </c>
      <c r="K339" s="6">
        <v>0</v>
      </c>
      <c r="L339" s="6">
        <v>0</v>
      </c>
      <c r="M339" s="6">
        <v>2.1288999999999999E-2</v>
      </c>
      <c r="N339" s="6">
        <v>0.52228799999999997</v>
      </c>
      <c r="O339" s="6">
        <f t="shared" si="42"/>
        <v>0.32629819999999998</v>
      </c>
    </row>
    <row r="340" spans="1:15" x14ac:dyDescent="0.7">
      <c r="A340" s="7"/>
      <c r="B340" s="5"/>
      <c r="C340" s="5">
        <v>4</v>
      </c>
      <c r="D340" s="6">
        <v>14.042</v>
      </c>
      <c r="E340" s="6">
        <v>0</v>
      </c>
      <c r="F340" s="22">
        <v>10.068</v>
      </c>
      <c r="G340" s="14">
        <v>869875.19999999995</v>
      </c>
      <c r="H340" s="14">
        <v>0.86987519999999996</v>
      </c>
      <c r="I340" s="6">
        <v>21377</v>
      </c>
      <c r="J340" s="41">
        <v>2.1377E-2</v>
      </c>
      <c r="K340" s="6">
        <v>5817</v>
      </c>
      <c r="L340" s="6">
        <v>5.8170000000000001E-3</v>
      </c>
      <c r="M340" s="6">
        <v>2.7193999999999999E-2</v>
      </c>
      <c r="N340" s="6">
        <v>0.42724800000000002</v>
      </c>
      <c r="O340" s="6">
        <f t="shared" si="42"/>
        <v>0.41543319999999989</v>
      </c>
    </row>
    <row r="341" spans="1:15" x14ac:dyDescent="0.7">
      <c r="A341" s="7"/>
      <c r="B341" s="5"/>
      <c r="C341" s="5">
        <v>5</v>
      </c>
      <c r="D341" s="6">
        <v>14.042</v>
      </c>
      <c r="E341" s="6">
        <v>0</v>
      </c>
      <c r="F341" s="22">
        <v>10.068</v>
      </c>
      <c r="G341" s="14">
        <v>869875.19999999995</v>
      </c>
      <c r="H341" s="14">
        <v>0.86987519999999996</v>
      </c>
      <c r="I341" s="6">
        <v>22228</v>
      </c>
      <c r="J341" s="41">
        <v>2.2228000000000001E-2</v>
      </c>
      <c r="K341" s="6">
        <v>3307</v>
      </c>
      <c r="L341" s="6">
        <v>3.307E-3</v>
      </c>
      <c r="M341" s="6">
        <v>2.5535000000000002E-2</v>
      </c>
      <c r="N341" s="6">
        <v>0.25444800000000001</v>
      </c>
      <c r="O341" s="6">
        <f t="shared" si="42"/>
        <v>0.58989219999999998</v>
      </c>
    </row>
    <row r="342" spans="1:15" x14ac:dyDescent="0.7">
      <c r="A342" s="7"/>
      <c r="B342" s="5"/>
      <c r="C342" s="5">
        <v>6</v>
      </c>
      <c r="D342" s="6">
        <v>14.042</v>
      </c>
      <c r="E342" s="6">
        <v>0</v>
      </c>
      <c r="F342" s="22">
        <v>11.893000000000001</v>
      </c>
      <c r="G342" s="14">
        <v>1027555.2000000001</v>
      </c>
      <c r="H342" s="14">
        <v>1.0275552000000001</v>
      </c>
      <c r="I342" s="6">
        <v>22722</v>
      </c>
      <c r="J342" s="41">
        <v>2.2721999999999999E-2</v>
      </c>
      <c r="K342" s="6">
        <v>8313</v>
      </c>
      <c r="L342" s="6">
        <v>8.3129999999999992E-3</v>
      </c>
      <c r="M342" s="6">
        <v>3.1035E-2</v>
      </c>
      <c r="N342" s="6">
        <v>0.25444800000000001</v>
      </c>
      <c r="O342" s="6">
        <f t="shared" si="42"/>
        <v>0.74207220000000007</v>
      </c>
    </row>
    <row r="343" spans="1:15" x14ac:dyDescent="0.7">
      <c r="A343" s="7"/>
      <c r="B343" s="5"/>
      <c r="C343" s="5">
        <v>7</v>
      </c>
      <c r="D343" s="6">
        <v>13.896000000000001</v>
      </c>
      <c r="E343" s="6">
        <v>0</v>
      </c>
      <c r="F343" s="22">
        <v>13.867000000000001</v>
      </c>
      <c r="G343" s="14">
        <v>1198108.8</v>
      </c>
      <c r="H343" s="14">
        <v>1.1981088</v>
      </c>
      <c r="I343" s="6">
        <v>22497</v>
      </c>
      <c r="J343" s="41">
        <v>2.2497E-2</v>
      </c>
      <c r="K343" s="6">
        <v>0</v>
      </c>
      <c r="L343" s="6">
        <v>0</v>
      </c>
      <c r="M343" s="6">
        <v>2.2497E-2</v>
      </c>
      <c r="N343" s="6">
        <v>0.22852800000000001</v>
      </c>
      <c r="O343" s="6">
        <f t="shared" si="42"/>
        <v>0.94708379999999992</v>
      </c>
    </row>
    <row r="344" spans="1:15" x14ac:dyDescent="0.7">
      <c r="A344" s="7"/>
      <c r="B344" s="5"/>
      <c r="C344" s="5">
        <v>8</v>
      </c>
      <c r="D344" s="6">
        <v>13.897</v>
      </c>
      <c r="E344" s="6">
        <v>0</v>
      </c>
      <c r="F344" s="22">
        <v>13.836</v>
      </c>
      <c r="G344" s="14">
        <v>1195430.4000000001</v>
      </c>
      <c r="H344" s="14">
        <v>1.1954304000000002</v>
      </c>
      <c r="I344" s="6">
        <v>23893</v>
      </c>
      <c r="J344" s="41">
        <v>2.3893000000000001E-2</v>
      </c>
      <c r="K344" s="6">
        <v>0</v>
      </c>
      <c r="L344" s="6">
        <v>0</v>
      </c>
      <c r="M344" s="6">
        <v>2.3893000000000001E-2</v>
      </c>
      <c r="N344" s="6">
        <v>0.23716799999999999</v>
      </c>
      <c r="O344" s="6">
        <f t="shared" si="42"/>
        <v>0.93436940000000024</v>
      </c>
    </row>
    <row r="345" spans="1:15" x14ac:dyDescent="0.7">
      <c r="A345" s="7"/>
      <c r="B345" s="5"/>
      <c r="C345" s="5">
        <v>9</v>
      </c>
      <c r="D345" s="6">
        <v>13.782999999999999</v>
      </c>
      <c r="E345" s="6">
        <v>0</v>
      </c>
      <c r="F345" s="22">
        <v>13.872999999999999</v>
      </c>
      <c r="G345" s="14">
        <v>1198627.2</v>
      </c>
      <c r="H345" s="14">
        <v>1.1986272</v>
      </c>
      <c r="I345" s="6">
        <v>34603</v>
      </c>
      <c r="J345" s="41">
        <v>3.4603000000000002E-2</v>
      </c>
      <c r="K345" s="6">
        <v>0</v>
      </c>
      <c r="L345" s="6">
        <v>0</v>
      </c>
      <c r="M345" s="6">
        <v>3.4603000000000002E-2</v>
      </c>
      <c r="N345" s="6">
        <v>0.23716799999999999</v>
      </c>
      <c r="O345" s="6">
        <f t="shared" si="42"/>
        <v>0.92685620000000002</v>
      </c>
    </row>
    <row r="346" spans="1:15" x14ac:dyDescent="0.7">
      <c r="A346" s="7"/>
      <c r="B346" s="5"/>
      <c r="C346" s="5">
        <v>10</v>
      </c>
      <c r="D346" s="6">
        <v>13.872999999999999</v>
      </c>
      <c r="E346" s="6">
        <v>0</v>
      </c>
      <c r="F346" s="22">
        <v>13.894</v>
      </c>
      <c r="G346" s="14">
        <v>1200441.6000000001</v>
      </c>
      <c r="H346" s="14">
        <v>1.2004416</v>
      </c>
      <c r="I346" s="6">
        <v>36419</v>
      </c>
      <c r="J346" s="41">
        <v>3.6419E-2</v>
      </c>
      <c r="K346" s="6">
        <v>0</v>
      </c>
      <c r="L346" s="6">
        <v>0</v>
      </c>
      <c r="M346" s="6">
        <v>3.6419E-2</v>
      </c>
      <c r="N346" s="6">
        <v>0.23716799999999999</v>
      </c>
      <c r="O346" s="6">
        <f t="shared" si="42"/>
        <v>0.92685459999999997</v>
      </c>
    </row>
    <row r="347" spans="1:15" x14ac:dyDescent="0.7">
      <c r="A347" s="7"/>
      <c r="B347" s="5"/>
      <c r="C347" s="5">
        <v>11</v>
      </c>
      <c r="D347" s="6">
        <v>13.914</v>
      </c>
      <c r="E347" s="6">
        <v>0</v>
      </c>
      <c r="F347" s="22">
        <v>13.821999999999999</v>
      </c>
      <c r="G347" s="14">
        <v>1194220.7999999998</v>
      </c>
      <c r="H347" s="14">
        <v>1.1942207999999999</v>
      </c>
      <c r="I347" s="6">
        <v>33075</v>
      </c>
      <c r="J347" s="41">
        <v>3.3075E-2</v>
      </c>
      <c r="K347" s="6">
        <v>5833</v>
      </c>
      <c r="L347" s="6">
        <v>5.8329999999999996E-3</v>
      </c>
      <c r="M347" s="6">
        <v>3.8907999999999998E-2</v>
      </c>
      <c r="N347" s="6">
        <v>0.22852800000000001</v>
      </c>
      <c r="O347" s="6">
        <f t="shared" si="42"/>
        <v>0.92678479999999985</v>
      </c>
    </row>
    <row r="348" spans="1:15" x14ac:dyDescent="0.7">
      <c r="A348" s="7"/>
      <c r="B348" s="5"/>
      <c r="C348" s="5">
        <v>12</v>
      </c>
      <c r="D348" s="6">
        <v>13.731</v>
      </c>
      <c r="E348" s="6">
        <v>0</v>
      </c>
      <c r="F348" s="22">
        <v>13.667</v>
      </c>
      <c r="G348" s="14">
        <v>1180828.8</v>
      </c>
      <c r="H348" s="14">
        <v>1.1808288</v>
      </c>
      <c r="I348" s="6">
        <v>35850</v>
      </c>
      <c r="J348" s="41">
        <v>3.585E-2</v>
      </c>
      <c r="K348" s="6">
        <v>5458</v>
      </c>
      <c r="L348" s="6">
        <v>5.4580000000000002E-3</v>
      </c>
      <c r="M348" s="6">
        <v>4.1307999999999997E-2</v>
      </c>
      <c r="N348" s="6">
        <v>0.22852800000000001</v>
      </c>
      <c r="O348" s="6">
        <f t="shared" si="42"/>
        <v>0.91099280000000005</v>
      </c>
    </row>
    <row r="349" spans="1:15" x14ac:dyDescent="0.7">
      <c r="A349" s="7"/>
      <c r="B349" s="5"/>
      <c r="C349" s="5">
        <v>13</v>
      </c>
      <c r="D349" s="6">
        <v>13.602</v>
      </c>
      <c r="E349" s="6">
        <v>0</v>
      </c>
      <c r="F349" s="22">
        <v>13.396000000000001</v>
      </c>
      <c r="G349" s="14">
        <v>1157414.4000000001</v>
      </c>
      <c r="H349" s="14">
        <v>1.1574144000000002</v>
      </c>
      <c r="I349" s="6">
        <v>32195</v>
      </c>
      <c r="J349" s="41">
        <v>3.2195000000000001E-2</v>
      </c>
      <c r="K349" s="6">
        <v>0</v>
      </c>
      <c r="L349" s="6">
        <v>0</v>
      </c>
      <c r="M349" s="6">
        <v>3.2195000000000001E-2</v>
      </c>
      <c r="N349" s="6">
        <v>0.22852800000000001</v>
      </c>
      <c r="O349" s="6">
        <f t="shared" si="42"/>
        <v>0.89669140000000014</v>
      </c>
    </row>
    <row r="350" spans="1:15" x14ac:dyDescent="0.7">
      <c r="A350" s="7"/>
      <c r="B350" s="5"/>
      <c r="C350" s="5">
        <v>14</v>
      </c>
      <c r="D350" s="6">
        <v>13.19</v>
      </c>
      <c r="E350" s="6">
        <v>0</v>
      </c>
      <c r="F350" s="22">
        <v>13.19</v>
      </c>
      <c r="G350" s="14">
        <v>1139616</v>
      </c>
      <c r="H350" s="14">
        <v>1.139616</v>
      </c>
      <c r="I350" s="6">
        <v>36349</v>
      </c>
      <c r="J350" s="41">
        <v>3.6348999999999999E-2</v>
      </c>
      <c r="K350" s="6">
        <v>0</v>
      </c>
      <c r="L350" s="6">
        <v>0</v>
      </c>
      <c r="M350" s="6">
        <v>3.6348999999999999E-2</v>
      </c>
      <c r="N350" s="6">
        <v>0.21124799999999999</v>
      </c>
      <c r="O350" s="6">
        <f t="shared" si="42"/>
        <v>0.89201900000000001</v>
      </c>
    </row>
    <row r="351" spans="1:15" x14ac:dyDescent="0.7">
      <c r="A351" s="7"/>
      <c r="B351" s="5"/>
      <c r="C351" s="5">
        <v>15</v>
      </c>
      <c r="D351" s="6">
        <v>13.19</v>
      </c>
      <c r="E351" s="6">
        <v>0</v>
      </c>
      <c r="F351" s="22">
        <v>13.148999999999999</v>
      </c>
      <c r="G351" s="14">
        <v>1136073.5999999999</v>
      </c>
      <c r="H351" s="14">
        <v>1.1360735999999998</v>
      </c>
      <c r="I351" s="6">
        <v>38027</v>
      </c>
      <c r="J351" s="41">
        <v>3.8026999999999998E-2</v>
      </c>
      <c r="K351" s="6">
        <v>0</v>
      </c>
      <c r="L351" s="6">
        <v>0</v>
      </c>
      <c r="M351" s="6">
        <v>3.8026999999999998E-2</v>
      </c>
      <c r="N351" s="6">
        <v>0.21124799999999999</v>
      </c>
      <c r="O351" s="6">
        <f t="shared" si="42"/>
        <v>0.88679859999999977</v>
      </c>
    </row>
    <row r="352" spans="1:15" x14ac:dyDescent="0.7">
      <c r="A352" s="7"/>
      <c r="B352" s="5"/>
      <c r="C352" s="5">
        <v>16</v>
      </c>
      <c r="D352" s="6">
        <v>13.108000000000001</v>
      </c>
      <c r="E352" s="6">
        <v>0</v>
      </c>
      <c r="F352" s="22">
        <v>13.101000000000001</v>
      </c>
      <c r="G352" s="14">
        <v>1131926.4000000001</v>
      </c>
      <c r="H352" s="14">
        <v>1.1319264000000002</v>
      </c>
      <c r="I352" s="6">
        <v>28658</v>
      </c>
      <c r="J352" s="41">
        <v>2.8657999999999999E-2</v>
      </c>
      <c r="K352" s="6">
        <v>0</v>
      </c>
      <c r="L352" s="6">
        <v>0</v>
      </c>
      <c r="M352" s="6">
        <v>2.8657999999999999E-2</v>
      </c>
      <c r="N352" s="6">
        <v>0.17012160000000001</v>
      </c>
      <c r="O352" s="6">
        <f t="shared" si="42"/>
        <v>0.93314680000000017</v>
      </c>
    </row>
    <row r="353" spans="1:15" x14ac:dyDescent="0.7">
      <c r="A353" s="7"/>
      <c r="B353" s="5"/>
      <c r="C353" s="5">
        <v>17</v>
      </c>
      <c r="D353" s="6">
        <v>13.093</v>
      </c>
      <c r="E353" s="6">
        <v>0</v>
      </c>
      <c r="F353" s="22">
        <v>13.093</v>
      </c>
      <c r="G353" s="14">
        <v>1131235.2</v>
      </c>
      <c r="H353" s="14">
        <v>1.1312351999999999</v>
      </c>
      <c r="I353" s="6">
        <v>21764</v>
      </c>
      <c r="J353" s="41">
        <v>2.1763999999999999E-2</v>
      </c>
      <c r="K353" s="6">
        <v>2947</v>
      </c>
      <c r="L353" s="6">
        <v>2.947E-3</v>
      </c>
      <c r="M353" s="6">
        <v>2.4710999999999997E-2</v>
      </c>
      <c r="N353" s="6">
        <v>0.1269216</v>
      </c>
      <c r="O353" s="6">
        <f t="shared" si="42"/>
        <v>0.97960259999999999</v>
      </c>
    </row>
    <row r="354" spans="1:15" x14ac:dyDescent="0.7">
      <c r="A354" s="7"/>
      <c r="B354" s="5"/>
      <c r="C354" s="5">
        <v>18</v>
      </c>
      <c r="D354" s="6">
        <v>13.093</v>
      </c>
      <c r="E354" s="6">
        <v>0</v>
      </c>
      <c r="F354" s="22">
        <v>13.093</v>
      </c>
      <c r="G354" s="14">
        <v>1131235.2</v>
      </c>
      <c r="H354" s="14">
        <v>1.1312351999999999</v>
      </c>
      <c r="I354" s="6">
        <v>19762</v>
      </c>
      <c r="J354" s="41">
        <v>1.9761999999999998E-2</v>
      </c>
      <c r="K354" s="6">
        <v>4853</v>
      </c>
      <c r="L354" s="6">
        <v>4.8529999999999997E-3</v>
      </c>
      <c r="M354" s="6">
        <v>2.4614999999999998E-2</v>
      </c>
      <c r="N354" s="6">
        <v>0.1269216</v>
      </c>
      <c r="O354" s="6">
        <f t="shared" si="42"/>
        <v>0.97969859999999986</v>
      </c>
    </row>
    <row r="355" spans="1:15" x14ac:dyDescent="0.7">
      <c r="A355" s="7"/>
      <c r="B355" s="5"/>
      <c r="C355" s="5">
        <v>19</v>
      </c>
      <c r="D355" s="6">
        <v>13.081</v>
      </c>
      <c r="E355" s="6">
        <v>0</v>
      </c>
      <c r="F355" s="22">
        <v>13.081</v>
      </c>
      <c r="G355" s="14">
        <v>1130198.3999999999</v>
      </c>
      <c r="H355" s="14">
        <v>1.1301983999999998</v>
      </c>
      <c r="I355" s="6">
        <v>19011</v>
      </c>
      <c r="J355" s="41">
        <v>1.9011E-2</v>
      </c>
      <c r="K355" s="6">
        <v>5281</v>
      </c>
      <c r="L355" s="6">
        <v>5.2810000000000001E-3</v>
      </c>
      <c r="M355" s="6">
        <v>2.4292000000000001E-2</v>
      </c>
      <c r="N355" s="6">
        <v>9.2361600000000002E-2</v>
      </c>
      <c r="O355" s="6">
        <f t="shared" si="42"/>
        <v>1.0135447999999998</v>
      </c>
    </row>
    <row r="356" spans="1:15" x14ac:dyDescent="0.7">
      <c r="A356" s="7"/>
      <c r="B356" s="5"/>
      <c r="C356" s="5">
        <v>20</v>
      </c>
      <c r="D356" s="6">
        <v>13.081</v>
      </c>
      <c r="E356" s="6">
        <v>0</v>
      </c>
      <c r="F356" s="22">
        <v>13.077999999999999</v>
      </c>
      <c r="G356" s="14">
        <v>1129939.2</v>
      </c>
      <c r="H356" s="14">
        <v>1.1299391999999999</v>
      </c>
      <c r="I356" s="6">
        <v>21911</v>
      </c>
      <c r="J356" s="41">
        <v>2.1911E-2</v>
      </c>
      <c r="K356" s="6">
        <v>0</v>
      </c>
      <c r="L356" s="6">
        <v>0</v>
      </c>
      <c r="M356" s="6">
        <v>2.1911E-2</v>
      </c>
      <c r="N356" s="6">
        <v>7.9401600000000003E-2</v>
      </c>
      <c r="O356" s="6">
        <f t="shared" si="42"/>
        <v>1.0286265999999999</v>
      </c>
    </row>
    <row r="357" spans="1:15" x14ac:dyDescent="0.7">
      <c r="A357" s="7"/>
      <c r="B357" s="5"/>
      <c r="C357" s="5">
        <v>21</v>
      </c>
      <c r="D357" s="6">
        <v>13.074</v>
      </c>
      <c r="E357" s="6">
        <v>0</v>
      </c>
      <c r="F357" s="22">
        <v>13.026999999999999</v>
      </c>
      <c r="G357" s="14">
        <v>1125532.8</v>
      </c>
      <c r="H357" s="14">
        <v>1.1255328</v>
      </c>
      <c r="I357" s="6">
        <v>32557</v>
      </c>
      <c r="J357" s="41">
        <v>3.2557000000000003E-2</v>
      </c>
      <c r="K357" s="6">
        <v>0</v>
      </c>
      <c r="L357" s="6">
        <v>0</v>
      </c>
      <c r="M357" s="6">
        <v>3.2557000000000003E-2</v>
      </c>
      <c r="N357" s="6">
        <v>7.9401600000000003E-2</v>
      </c>
      <c r="O357" s="6">
        <f t="shared" si="42"/>
        <v>1.0135742000000001</v>
      </c>
    </row>
    <row r="358" spans="1:15" x14ac:dyDescent="0.7">
      <c r="A358" s="7"/>
      <c r="B358" s="5"/>
      <c r="C358" s="5">
        <v>22</v>
      </c>
      <c r="D358" s="6">
        <v>12.981</v>
      </c>
      <c r="E358" s="6">
        <v>0</v>
      </c>
      <c r="F358" s="22">
        <v>13.943</v>
      </c>
      <c r="G358" s="14">
        <v>1204675.2</v>
      </c>
      <c r="H358" s="14">
        <v>1.2046752000000001</v>
      </c>
      <c r="I358" s="6">
        <v>31283</v>
      </c>
      <c r="J358" s="41">
        <v>3.1282999999999998E-2</v>
      </c>
      <c r="K358" s="6">
        <v>0</v>
      </c>
      <c r="L358" s="6">
        <v>0</v>
      </c>
      <c r="M358" s="6">
        <v>3.1282999999999998E-2</v>
      </c>
      <c r="N358" s="6">
        <v>7.9401600000000003E-2</v>
      </c>
      <c r="O358" s="6">
        <f t="shared" si="42"/>
        <v>1.0939906000000001</v>
      </c>
    </row>
    <row r="359" spans="1:15" x14ac:dyDescent="0.7">
      <c r="A359" s="7"/>
      <c r="B359" s="5"/>
      <c r="C359" s="5">
        <v>23</v>
      </c>
      <c r="D359" s="6">
        <v>12.904</v>
      </c>
      <c r="E359" s="6">
        <v>0</v>
      </c>
      <c r="F359" s="22">
        <v>12.766999999999999</v>
      </c>
      <c r="G359" s="14">
        <v>1103068.8</v>
      </c>
      <c r="H359" s="14">
        <v>1.1030688</v>
      </c>
      <c r="I359" s="6">
        <v>31764</v>
      </c>
      <c r="J359" s="41">
        <v>3.1764000000000001E-2</v>
      </c>
      <c r="K359" s="6">
        <v>0</v>
      </c>
      <c r="L359" s="6">
        <v>0</v>
      </c>
      <c r="M359" s="6">
        <v>3.1764000000000001E-2</v>
      </c>
      <c r="N359" s="6">
        <v>8.8041600000000012E-2</v>
      </c>
      <c r="O359" s="6">
        <f t="shared" si="42"/>
        <v>0.9832632</v>
      </c>
    </row>
    <row r="360" spans="1:15" x14ac:dyDescent="0.7">
      <c r="A360" s="7"/>
      <c r="B360" s="5"/>
      <c r="C360" s="5">
        <v>24</v>
      </c>
      <c r="D360" s="6">
        <v>12.113</v>
      </c>
      <c r="E360" s="6">
        <v>0</v>
      </c>
      <c r="F360" s="22">
        <v>12.397</v>
      </c>
      <c r="G360" s="14">
        <v>1071100.8</v>
      </c>
      <c r="H360" s="14">
        <v>1.0711008</v>
      </c>
      <c r="I360" s="6">
        <v>34187</v>
      </c>
      <c r="J360" s="41">
        <v>3.4187000000000002E-2</v>
      </c>
      <c r="K360" s="6">
        <v>0</v>
      </c>
      <c r="L360" s="6">
        <v>0</v>
      </c>
      <c r="M360" s="6">
        <v>3.4187000000000002E-2</v>
      </c>
      <c r="N360" s="6">
        <v>8.8041600000000012E-2</v>
      </c>
      <c r="O360" s="6">
        <f t="shared" si="42"/>
        <v>0.94887219999999994</v>
      </c>
    </row>
    <row r="361" spans="1:15" x14ac:dyDescent="0.7">
      <c r="A361" s="7"/>
      <c r="B361" s="5"/>
      <c r="C361" s="5">
        <v>25</v>
      </c>
      <c r="D361" s="6">
        <v>11.897</v>
      </c>
      <c r="E361" s="6">
        <v>0</v>
      </c>
      <c r="F361" s="22">
        <v>12.005000000000001</v>
      </c>
      <c r="G361" s="14">
        <v>1037232.0000000001</v>
      </c>
      <c r="H361" s="14">
        <v>1.0372320000000002</v>
      </c>
      <c r="I361" s="6">
        <v>30997</v>
      </c>
      <c r="J361" s="41">
        <v>3.0997E-2</v>
      </c>
      <c r="K361" s="6">
        <v>8033</v>
      </c>
      <c r="L361" s="6">
        <v>8.0330000000000002E-3</v>
      </c>
      <c r="M361" s="6">
        <v>3.9030000000000002E-2</v>
      </c>
      <c r="N361" s="6">
        <v>7.9401600000000003E-2</v>
      </c>
      <c r="O361" s="6">
        <f t="shared" si="42"/>
        <v>0.91880040000000018</v>
      </c>
    </row>
    <row r="362" spans="1:15" x14ac:dyDescent="0.7">
      <c r="A362" s="7"/>
      <c r="B362" s="5"/>
      <c r="C362" s="5">
        <v>26</v>
      </c>
      <c r="D362" s="6">
        <v>11.553000000000001</v>
      </c>
      <c r="E362" s="6">
        <v>0</v>
      </c>
      <c r="F362" s="22">
        <v>12.725</v>
      </c>
      <c r="G362" s="14">
        <v>1099440</v>
      </c>
      <c r="H362" s="14">
        <v>1.09944</v>
      </c>
      <c r="I362" s="6">
        <v>32478</v>
      </c>
      <c r="J362" s="41">
        <v>3.2478E-2</v>
      </c>
      <c r="K362" s="6">
        <v>5066</v>
      </c>
      <c r="L362" s="6">
        <v>5.0660000000000002E-3</v>
      </c>
      <c r="M362" s="6">
        <v>3.7544000000000001E-2</v>
      </c>
      <c r="N362" s="6">
        <v>7.0761600000000008E-2</v>
      </c>
      <c r="O362" s="6">
        <f t="shared" si="42"/>
        <v>0.99113439999999997</v>
      </c>
    </row>
    <row r="363" spans="1:15" x14ac:dyDescent="0.7">
      <c r="A363" s="7"/>
      <c r="B363" s="5"/>
      <c r="C363" s="5">
        <v>27</v>
      </c>
      <c r="D363" s="6">
        <v>11.339</v>
      </c>
      <c r="E363" s="6">
        <v>0</v>
      </c>
      <c r="F363" s="22">
        <v>12.553000000000001</v>
      </c>
      <c r="G363" s="14">
        <v>1084579.2000000002</v>
      </c>
      <c r="H363" s="14">
        <v>1.0845792000000001</v>
      </c>
      <c r="I363" s="6">
        <v>31454</v>
      </c>
      <c r="J363" s="41">
        <v>3.1454000000000003E-2</v>
      </c>
      <c r="K363" s="6">
        <v>0</v>
      </c>
      <c r="L363" s="6">
        <v>0</v>
      </c>
      <c r="M363" s="6">
        <v>3.1454000000000003E-2</v>
      </c>
      <c r="N363" s="6">
        <v>7.0761600000000008E-2</v>
      </c>
      <c r="O363" s="6">
        <f t="shared" si="42"/>
        <v>0.9823636</v>
      </c>
    </row>
    <row r="364" spans="1:15" x14ac:dyDescent="0.7">
      <c r="A364" s="7"/>
      <c r="B364" s="5"/>
      <c r="C364" s="5">
        <v>28</v>
      </c>
      <c r="D364" s="6">
        <v>11.247999999999999</v>
      </c>
      <c r="E364" s="6">
        <v>0</v>
      </c>
      <c r="F364" s="22">
        <v>12.339</v>
      </c>
      <c r="G364" s="14">
        <v>1066089.6000000001</v>
      </c>
      <c r="H364" s="14">
        <v>1.0660896000000002</v>
      </c>
      <c r="I364" s="6">
        <v>32545</v>
      </c>
      <c r="J364" s="41">
        <v>3.2544999999999998E-2</v>
      </c>
      <c r="K364" s="6">
        <v>0</v>
      </c>
      <c r="L364" s="6">
        <v>0</v>
      </c>
      <c r="M364" s="6">
        <v>3.2544999999999998E-2</v>
      </c>
      <c r="N364" s="6">
        <v>7.0761600000000008E-2</v>
      </c>
      <c r="O364" s="6">
        <f t="shared" si="42"/>
        <v>0.96278300000000017</v>
      </c>
    </row>
    <row r="365" spans="1:15" x14ac:dyDescent="0.7">
      <c r="A365" s="7"/>
      <c r="B365" s="5"/>
      <c r="C365" s="5">
        <v>29</v>
      </c>
      <c r="D365" s="6">
        <v>11.228999999999999</v>
      </c>
      <c r="E365" s="6">
        <v>0</v>
      </c>
      <c r="F365" s="22">
        <v>12.228999999999999</v>
      </c>
      <c r="G365" s="14">
        <v>1056585.5999999999</v>
      </c>
      <c r="H365" s="14">
        <v>1.0565855999999998</v>
      </c>
      <c r="I365" s="6">
        <v>29194</v>
      </c>
      <c r="J365" s="41">
        <v>2.9194000000000001E-2</v>
      </c>
      <c r="K365" s="6">
        <v>0</v>
      </c>
      <c r="L365" s="6">
        <v>0</v>
      </c>
      <c r="M365" s="6">
        <v>2.9194000000000001E-2</v>
      </c>
      <c r="N365" s="6">
        <v>7.0761600000000008E-2</v>
      </c>
      <c r="O365" s="6">
        <f t="shared" si="42"/>
        <v>0.95662999999999987</v>
      </c>
    </row>
    <row r="366" spans="1:15" x14ac:dyDescent="0.7">
      <c r="A366" s="7"/>
      <c r="B366" s="5"/>
      <c r="C366" s="5">
        <v>30</v>
      </c>
      <c r="D366" s="6">
        <v>11.21</v>
      </c>
      <c r="E366" s="6">
        <v>0</v>
      </c>
      <c r="F366" s="22">
        <v>12.21</v>
      </c>
      <c r="G366" s="14">
        <v>1054944</v>
      </c>
      <c r="H366" s="14">
        <v>1.0549440000000001</v>
      </c>
      <c r="I366" s="6">
        <v>30847</v>
      </c>
      <c r="J366" s="41">
        <v>3.0846999999999999E-2</v>
      </c>
      <c r="K366" s="6">
        <v>0</v>
      </c>
      <c r="L366" s="6">
        <v>0</v>
      </c>
      <c r="M366" s="6">
        <v>3.0846999999999999E-2</v>
      </c>
      <c r="N366" s="6">
        <v>7.0761600000000008E-2</v>
      </c>
      <c r="O366" s="6">
        <f t="shared" si="42"/>
        <v>0.95333540000000005</v>
      </c>
    </row>
    <row r="367" spans="1:15" s="12" customFormat="1" ht="25.2" thickBot="1" x14ac:dyDescent="0.75">
      <c r="A367" s="10"/>
      <c r="B367" s="8" t="s">
        <v>26</v>
      </c>
      <c r="C367" s="8">
        <v>31</v>
      </c>
      <c r="D367" s="9">
        <v>11.148</v>
      </c>
      <c r="E367" s="9">
        <v>0</v>
      </c>
      <c r="F367" s="36">
        <v>12.148</v>
      </c>
      <c r="G367" s="23">
        <v>1049587.2</v>
      </c>
      <c r="H367" s="23">
        <v>1.0495871999999999</v>
      </c>
      <c r="I367" s="9">
        <v>14015</v>
      </c>
      <c r="J367" s="42">
        <v>1.4015E-2</v>
      </c>
      <c r="K367" s="9">
        <v>2899</v>
      </c>
      <c r="L367" s="9">
        <v>2.8990000000000001E-3</v>
      </c>
      <c r="M367" s="9">
        <v>1.6913999999999998E-2</v>
      </c>
      <c r="N367" s="9">
        <v>7.0761600000000008E-2</v>
      </c>
      <c r="O367" s="9">
        <f t="shared" si="42"/>
        <v>0.96191159999999987</v>
      </c>
    </row>
  </sheetData>
  <mergeCells count="15">
    <mergeCell ref="F1:F2"/>
    <mergeCell ref="A1:A2"/>
    <mergeCell ref="B1:B2"/>
    <mergeCell ref="C1:C2"/>
    <mergeCell ref="D1:D2"/>
    <mergeCell ref="E1:E2"/>
    <mergeCell ref="M1:M2"/>
    <mergeCell ref="N1:N2"/>
    <mergeCell ref="O1:O2"/>
    <mergeCell ref="G1:G2"/>
    <mergeCell ref="H1:H2"/>
    <mergeCell ref="I1:I2"/>
    <mergeCell ref="J1:J2"/>
    <mergeCell ref="K1:K2"/>
    <mergeCell ref="L1:L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Thitiluk Thongngam</dc:creator>
  <cp:lastModifiedBy>Ngamsiri Lungphat</cp:lastModifiedBy>
  <dcterms:created xsi:type="dcterms:W3CDTF">2026-01-24T16:56:43Z</dcterms:created>
  <dcterms:modified xsi:type="dcterms:W3CDTF">2026-02-22T18:27:23Z</dcterms:modified>
</cp:coreProperties>
</file>