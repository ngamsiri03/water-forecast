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4C18A0B3-FF8D-410C-92CA-AEFF1AC4AF84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H3" i="1" s="1"/>
  <c r="O3" i="1" s="1"/>
  <c r="J3" i="1"/>
  <c r="L3" i="1"/>
  <c r="M3" i="1"/>
  <c r="G4" i="1"/>
  <c r="H4" i="1" s="1"/>
  <c r="J4" i="1"/>
  <c r="M4" i="1" s="1"/>
  <c r="L4" i="1"/>
  <c r="G5" i="1"/>
  <c r="H5" i="1"/>
  <c r="J5" i="1"/>
  <c r="M5" i="1" s="1"/>
  <c r="L5" i="1"/>
  <c r="G6" i="1"/>
  <c r="H6" i="1"/>
  <c r="O6" i="1" s="1"/>
  <c r="J6" i="1"/>
  <c r="L6" i="1"/>
  <c r="M6" i="1"/>
  <c r="G7" i="1"/>
  <c r="H7" i="1" s="1"/>
  <c r="O7" i="1" s="1"/>
  <c r="J7" i="1"/>
  <c r="L7" i="1"/>
  <c r="M7" i="1"/>
  <c r="G8" i="1"/>
  <c r="H8" i="1" s="1"/>
  <c r="O8" i="1" s="1"/>
  <c r="J8" i="1"/>
  <c r="L8" i="1"/>
  <c r="M8" i="1"/>
  <c r="G9" i="1"/>
  <c r="H9" i="1"/>
  <c r="J9" i="1"/>
  <c r="M9" i="1" s="1"/>
  <c r="L9" i="1"/>
  <c r="G10" i="1"/>
  <c r="H10" i="1"/>
  <c r="O10" i="1" s="1"/>
  <c r="J10" i="1"/>
  <c r="L10" i="1"/>
  <c r="M10" i="1"/>
  <c r="G11" i="1"/>
  <c r="H11" i="1" s="1"/>
  <c r="O11" i="1" s="1"/>
  <c r="J11" i="1"/>
  <c r="L11" i="1"/>
  <c r="M11" i="1"/>
  <c r="G12" i="1"/>
  <c r="H12" i="1" s="1"/>
  <c r="O12" i="1" s="1"/>
  <c r="J12" i="1"/>
  <c r="L12" i="1"/>
  <c r="M12" i="1"/>
  <c r="G13" i="1"/>
  <c r="H13" i="1"/>
  <c r="J13" i="1"/>
  <c r="M13" i="1" s="1"/>
  <c r="L13" i="1"/>
  <c r="G14" i="1"/>
  <c r="H14" i="1"/>
  <c r="O14" i="1" s="1"/>
  <c r="J14" i="1"/>
  <c r="L14" i="1"/>
  <c r="M14" i="1"/>
  <c r="G15" i="1"/>
  <c r="H15" i="1"/>
  <c r="J15" i="1"/>
  <c r="L15" i="1"/>
  <c r="M15" i="1"/>
  <c r="O15" i="1"/>
  <c r="G16" i="1"/>
  <c r="H16" i="1" s="1"/>
  <c r="J16" i="1"/>
  <c r="M16" i="1" s="1"/>
  <c r="L16" i="1"/>
  <c r="G17" i="1"/>
  <c r="H17" i="1"/>
  <c r="J17" i="1"/>
  <c r="M17" i="1" s="1"/>
  <c r="L17" i="1"/>
  <c r="G18" i="1"/>
  <c r="H18" i="1"/>
  <c r="O18" i="1" s="1"/>
  <c r="J18" i="1"/>
  <c r="L18" i="1"/>
  <c r="M18" i="1"/>
  <c r="G19" i="1"/>
  <c r="H19" i="1"/>
  <c r="J19" i="1"/>
  <c r="L19" i="1"/>
  <c r="M19" i="1"/>
  <c r="O19" i="1"/>
  <c r="G20" i="1"/>
  <c r="H20" i="1" s="1"/>
  <c r="J20" i="1"/>
  <c r="M20" i="1" s="1"/>
  <c r="L20" i="1"/>
  <c r="G21" i="1"/>
  <c r="H21" i="1"/>
  <c r="J21" i="1"/>
  <c r="M21" i="1" s="1"/>
  <c r="L21" i="1"/>
  <c r="G22" i="1"/>
  <c r="H22" i="1"/>
  <c r="O22" i="1" s="1"/>
  <c r="J22" i="1"/>
  <c r="L22" i="1"/>
  <c r="M22" i="1"/>
  <c r="G23" i="1"/>
  <c r="H23" i="1"/>
  <c r="J23" i="1"/>
  <c r="L23" i="1"/>
  <c r="M23" i="1"/>
  <c r="O23" i="1"/>
  <c r="G24" i="1"/>
  <c r="H24" i="1" s="1"/>
  <c r="J24" i="1"/>
  <c r="L24" i="1"/>
  <c r="M24" i="1" s="1"/>
  <c r="G25" i="1"/>
  <c r="H25" i="1"/>
  <c r="J25" i="1"/>
  <c r="M25" i="1" s="1"/>
  <c r="L25" i="1"/>
  <c r="G26" i="1"/>
  <c r="H26" i="1"/>
  <c r="O26" i="1" s="1"/>
  <c r="J26" i="1"/>
  <c r="L26" i="1"/>
  <c r="M26" i="1"/>
  <c r="G27" i="1"/>
  <c r="H27" i="1"/>
  <c r="J27" i="1"/>
  <c r="L27" i="1"/>
  <c r="M27" i="1"/>
  <c r="O27" i="1"/>
  <c r="G28" i="1"/>
  <c r="H28" i="1" s="1"/>
  <c r="O28" i="1" s="1"/>
  <c r="J28" i="1"/>
  <c r="L28" i="1"/>
  <c r="M28" i="1" s="1"/>
  <c r="G29" i="1"/>
  <c r="H29" i="1"/>
  <c r="J29" i="1"/>
  <c r="M29" i="1" s="1"/>
  <c r="L29" i="1"/>
  <c r="G30" i="1"/>
  <c r="H30" i="1"/>
  <c r="O30" i="1" s="1"/>
  <c r="J30" i="1"/>
  <c r="L30" i="1"/>
  <c r="M30" i="1"/>
  <c r="G31" i="1"/>
  <c r="H31" i="1"/>
  <c r="J31" i="1"/>
  <c r="L31" i="1"/>
  <c r="M31" i="1"/>
  <c r="O31" i="1"/>
  <c r="G32" i="1"/>
  <c r="H32" i="1" s="1"/>
  <c r="J32" i="1"/>
  <c r="L32" i="1"/>
  <c r="M32" i="1" s="1"/>
  <c r="G33" i="1"/>
  <c r="H33" i="1"/>
  <c r="J33" i="1"/>
  <c r="M33" i="1" s="1"/>
  <c r="L33" i="1"/>
  <c r="G34" i="1"/>
  <c r="H34" i="1"/>
  <c r="J34" i="1"/>
  <c r="L34" i="1"/>
  <c r="M34" i="1"/>
  <c r="O34" i="1"/>
  <c r="G35" i="1"/>
  <c r="H35" i="1"/>
  <c r="O35" i="1" s="1"/>
  <c r="J35" i="1"/>
  <c r="L35" i="1"/>
  <c r="M35" i="1"/>
  <c r="G36" i="1"/>
  <c r="H36" i="1"/>
  <c r="J36" i="1"/>
  <c r="L36" i="1"/>
  <c r="G37" i="1"/>
  <c r="H37" i="1" s="1"/>
  <c r="J37" i="1"/>
  <c r="L37" i="1"/>
  <c r="M37" i="1"/>
  <c r="O37" i="1"/>
  <c r="G38" i="1"/>
  <c r="H38" i="1"/>
  <c r="J38" i="1"/>
  <c r="L38" i="1"/>
  <c r="M38" i="1"/>
  <c r="O38" i="1"/>
  <c r="G39" i="1"/>
  <c r="H39" i="1"/>
  <c r="O39" i="1" s="1"/>
  <c r="J39" i="1"/>
  <c r="L39" i="1"/>
  <c r="M39" i="1"/>
  <c r="G40" i="1"/>
  <c r="H40" i="1"/>
  <c r="J40" i="1"/>
  <c r="L40" i="1"/>
  <c r="G41" i="1"/>
  <c r="H41" i="1"/>
  <c r="O41" i="1" s="1"/>
  <c r="J41" i="1"/>
  <c r="L41" i="1"/>
  <c r="M41" i="1"/>
  <c r="G42" i="1"/>
  <c r="H42" i="1"/>
  <c r="J42" i="1"/>
  <c r="L42" i="1"/>
  <c r="G43" i="1"/>
  <c r="H43" i="1"/>
  <c r="O43" i="1" s="1"/>
  <c r="J43" i="1"/>
  <c r="L43" i="1"/>
  <c r="M43" i="1"/>
  <c r="G44" i="1"/>
  <c r="H44" i="1" s="1"/>
  <c r="J44" i="1"/>
  <c r="L44" i="1"/>
  <c r="G45" i="1"/>
  <c r="H45" i="1"/>
  <c r="J45" i="1"/>
  <c r="M45" i="1" s="1"/>
  <c r="L45" i="1"/>
  <c r="O45" i="1"/>
  <c r="G46" i="1"/>
  <c r="H46" i="1"/>
  <c r="J46" i="1"/>
  <c r="M46" i="1" s="1"/>
  <c r="L46" i="1"/>
  <c r="G47" i="1"/>
  <c r="H47" i="1"/>
  <c r="J47" i="1"/>
  <c r="L47" i="1"/>
  <c r="M47" i="1"/>
  <c r="O47" i="1"/>
  <c r="G48" i="1"/>
  <c r="H48" i="1" s="1"/>
  <c r="J48" i="1"/>
  <c r="L48" i="1"/>
  <c r="G49" i="1"/>
  <c r="H49" i="1"/>
  <c r="J49" i="1"/>
  <c r="L49" i="1"/>
  <c r="G50" i="1"/>
  <c r="H50" i="1"/>
  <c r="J50" i="1"/>
  <c r="L50" i="1"/>
  <c r="M50" i="1"/>
  <c r="O50" i="1"/>
  <c r="G51" i="1"/>
  <c r="H51" i="1" s="1"/>
  <c r="O51" i="1" s="1"/>
  <c r="J51" i="1"/>
  <c r="L51" i="1"/>
  <c r="M51" i="1"/>
  <c r="G52" i="1"/>
  <c r="H52" i="1"/>
  <c r="J52" i="1"/>
  <c r="M52" i="1" s="1"/>
  <c r="L52" i="1"/>
  <c r="O52" i="1"/>
  <c r="G53" i="1"/>
  <c r="H53" i="1"/>
  <c r="J53" i="1"/>
  <c r="L53" i="1"/>
  <c r="M53" i="1"/>
  <c r="G54" i="1"/>
  <c r="H54" i="1"/>
  <c r="J54" i="1"/>
  <c r="M54" i="1" s="1"/>
  <c r="L54" i="1"/>
  <c r="G55" i="1"/>
  <c r="H55" i="1" s="1"/>
  <c r="J55" i="1"/>
  <c r="L55" i="1"/>
  <c r="M55" i="1"/>
  <c r="O55" i="1"/>
  <c r="G56" i="1"/>
  <c r="H56" i="1"/>
  <c r="J56" i="1"/>
  <c r="M56" i="1" s="1"/>
  <c r="L56" i="1"/>
  <c r="G57" i="1"/>
  <c r="H57" i="1"/>
  <c r="J57" i="1"/>
  <c r="L57" i="1"/>
  <c r="G58" i="1"/>
  <c r="H58" i="1"/>
  <c r="J58" i="1"/>
  <c r="L58" i="1"/>
  <c r="M58" i="1"/>
  <c r="O58" i="1"/>
  <c r="G59" i="1"/>
  <c r="H59" i="1"/>
  <c r="J59" i="1"/>
  <c r="L59" i="1"/>
  <c r="M59" i="1"/>
  <c r="O59" i="1"/>
  <c r="G60" i="1"/>
  <c r="H60" i="1"/>
  <c r="J60" i="1"/>
  <c r="L60" i="1"/>
  <c r="G61" i="1"/>
  <c r="H61" i="1"/>
  <c r="J61" i="1"/>
  <c r="L61" i="1"/>
  <c r="M61" i="1"/>
  <c r="O61" i="1"/>
  <c r="G62" i="1"/>
  <c r="H62" i="1"/>
  <c r="J62" i="1"/>
  <c r="L62" i="1"/>
  <c r="M62" i="1"/>
  <c r="O62" i="1"/>
  <c r="G63" i="1"/>
  <c r="H63" i="1"/>
  <c r="O63" i="1" s="1"/>
  <c r="J63" i="1"/>
  <c r="L63" i="1"/>
  <c r="M63" i="1" s="1"/>
  <c r="G64" i="1"/>
  <c r="H64" i="1"/>
  <c r="J64" i="1"/>
  <c r="L64" i="1"/>
  <c r="G65" i="1"/>
  <c r="H65" i="1" s="1"/>
  <c r="J65" i="1"/>
  <c r="L65" i="1"/>
  <c r="M65" i="1"/>
  <c r="O65" i="1"/>
  <c r="G66" i="1"/>
  <c r="H66" i="1"/>
  <c r="O66" i="1" s="1"/>
  <c r="J66" i="1"/>
  <c r="L66" i="1"/>
  <c r="M66" i="1"/>
  <c r="G67" i="1"/>
  <c r="H67" i="1"/>
  <c r="J67" i="1"/>
  <c r="L67" i="1"/>
  <c r="M67" i="1" s="1"/>
  <c r="G68" i="1"/>
  <c r="H68" i="1" s="1"/>
  <c r="J68" i="1"/>
  <c r="L68" i="1"/>
  <c r="G69" i="1"/>
  <c r="H69" i="1" s="1"/>
  <c r="O69" i="1" s="1"/>
  <c r="J69" i="1"/>
  <c r="L69" i="1"/>
  <c r="M69" i="1"/>
  <c r="G70" i="1"/>
  <c r="H70" i="1"/>
  <c r="J70" i="1"/>
  <c r="M70" i="1" s="1"/>
  <c r="L70" i="1"/>
  <c r="O70" i="1"/>
  <c r="G71" i="1"/>
  <c r="H71" i="1" s="1"/>
  <c r="O71" i="1" s="1"/>
  <c r="J71" i="1"/>
  <c r="L71" i="1"/>
  <c r="M71" i="1"/>
  <c r="G72" i="1"/>
  <c r="H72" i="1"/>
  <c r="J72" i="1"/>
  <c r="L72" i="1"/>
  <c r="G73" i="1"/>
  <c r="H73" i="1"/>
  <c r="J73" i="1"/>
  <c r="L73" i="1"/>
  <c r="M73" i="1"/>
  <c r="O73" i="1"/>
  <c r="G74" i="1"/>
  <c r="H74" i="1"/>
  <c r="J74" i="1"/>
  <c r="L74" i="1"/>
  <c r="G75" i="1"/>
  <c r="H75" i="1"/>
  <c r="J75" i="1"/>
  <c r="L75" i="1"/>
  <c r="M75" i="1"/>
  <c r="O75" i="1" s="1"/>
  <c r="G76" i="1"/>
  <c r="H76" i="1" s="1"/>
  <c r="J76" i="1"/>
  <c r="L76" i="1"/>
  <c r="G77" i="1"/>
  <c r="H77" i="1"/>
  <c r="J77" i="1"/>
  <c r="M77" i="1" s="1"/>
  <c r="L77" i="1"/>
  <c r="G78" i="1"/>
  <c r="H78" i="1"/>
  <c r="J78" i="1"/>
  <c r="L78" i="1"/>
  <c r="M78" i="1"/>
  <c r="G79" i="1"/>
  <c r="H79" i="1"/>
  <c r="O79" i="1" s="1"/>
  <c r="J79" i="1"/>
  <c r="L79" i="1"/>
  <c r="M79" i="1"/>
  <c r="G80" i="1"/>
  <c r="H80" i="1" s="1"/>
  <c r="J80" i="1"/>
  <c r="L80" i="1"/>
  <c r="G81" i="1"/>
  <c r="H81" i="1"/>
  <c r="J81" i="1"/>
  <c r="L81" i="1"/>
  <c r="G82" i="1"/>
  <c r="H82" i="1"/>
  <c r="J82" i="1"/>
  <c r="L82" i="1"/>
  <c r="G83" i="1"/>
  <c r="H83" i="1" s="1"/>
  <c r="J83" i="1"/>
  <c r="L83" i="1"/>
  <c r="M83" i="1"/>
  <c r="O83" i="1"/>
  <c r="G84" i="1"/>
  <c r="H84" i="1" s="1"/>
  <c r="O84" i="1" s="1"/>
  <c r="J84" i="1"/>
  <c r="M84" i="1" s="1"/>
  <c r="L84" i="1"/>
  <c r="G85" i="1"/>
  <c r="H85" i="1"/>
  <c r="J85" i="1"/>
  <c r="L85" i="1"/>
  <c r="G86" i="1"/>
  <c r="H86" i="1"/>
  <c r="J86" i="1"/>
  <c r="L86" i="1"/>
  <c r="M86" i="1"/>
  <c r="O86" i="1"/>
  <c r="G87" i="1"/>
  <c r="H87" i="1" s="1"/>
  <c r="O87" i="1" s="1"/>
  <c r="J87" i="1"/>
  <c r="L87" i="1"/>
  <c r="M87" i="1"/>
  <c r="G88" i="1"/>
  <c r="H88" i="1"/>
  <c r="J88" i="1"/>
  <c r="M88" i="1" s="1"/>
  <c r="L88" i="1"/>
  <c r="G89" i="1"/>
  <c r="H89" i="1"/>
  <c r="J89" i="1"/>
  <c r="L89" i="1"/>
  <c r="M89" i="1"/>
  <c r="O89" i="1"/>
  <c r="G90" i="1"/>
  <c r="H90" i="1"/>
  <c r="J90" i="1"/>
  <c r="L90" i="1"/>
  <c r="M90" i="1"/>
  <c r="O90" i="1"/>
  <c r="G91" i="1"/>
  <c r="H91" i="1"/>
  <c r="O91" i="1" s="1"/>
  <c r="J91" i="1"/>
  <c r="L91" i="1"/>
  <c r="M91" i="1"/>
  <c r="G92" i="1"/>
  <c r="H92" i="1"/>
  <c r="J92" i="1"/>
  <c r="L92" i="1"/>
  <c r="G93" i="1"/>
  <c r="H93" i="1"/>
  <c r="O93" i="1" s="1"/>
  <c r="J93" i="1"/>
  <c r="L93" i="1"/>
  <c r="M93" i="1"/>
  <c r="G94" i="1"/>
  <c r="H94" i="1"/>
  <c r="J94" i="1"/>
  <c r="L94" i="1"/>
  <c r="M94" i="1" s="1"/>
  <c r="O94" i="1" s="1"/>
  <c r="G95" i="1"/>
  <c r="H95" i="1"/>
  <c r="J95" i="1"/>
  <c r="L95" i="1"/>
  <c r="M95" i="1" s="1"/>
  <c r="O95" i="1"/>
  <c r="G96" i="1"/>
  <c r="H96" i="1" s="1"/>
  <c r="J96" i="1"/>
  <c r="L96" i="1"/>
  <c r="G97" i="1"/>
  <c r="H97" i="1" s="1"/>
  <c r="O97" i="1" s="1"/>
  <c r="J97" i="1"/>
  <c r="L97" i="1"/>
  <c r="M97" i="1"/>
  <c r="G98" i="1"/>
  <c r="H98" i="1"/>
  <c r="J98" i="1"/>
  <c r="L98" i="1"/>
  <c r="M98" i="1"/>
  <c r="O98" i="1"/>
  <c r="G99" i="1"/>
  <c r="H99" i="1" s="1"/>
  <c r="O99" i="1" s="1"/>
  <c r="J99" i="1"/>
  <c r="L99" i="1"/>
  <c r="M99" i="1" s="1"/>
  <c r="G100" i="1"/>
  <c r="H100" i="1"/>
  <c r="J100" i="1"/>
  <c r="L100" i="1"/>
  <c r="G101" i="1"/>
  <c r="H101" i="1" s="1"/>
  <c r="J101" i="1"/>
  <c r="L101" i="1"/>
  <c r="M101" i="1"/>
  <c r="O101" i="1"/>
  <c r="G102" i="1"/>
  <c r="H102" i="1"/>
  <c r="J102" i="1"/>
  <c r="M102" i="1" s="1"/>
  <c r="L102" i="1"/>
  <c r="G103" i="1"/>
  <c r="H103" i="1"/>
  <c r="J103" i="1"/>
  <c r="L103" i="1"/>
  <c r="M103" i="1"/>
  <c r="G104" i="1"/>
  <c r="H104" i="1"/>
  <c r="J104" i="1"/>
  <c r="L104" i="1"/>
  <c r="G105" i="1"/>
  <c r="H105" i="1"/>
  <c r="O105" i="1" s="1"/>
  <c r="J105" i="1"/>
  <c r="L105" i="1"/>
  <c r="M105" i="1"/>
  <c r="G106" i="1"/>
  <c r="H106" i="1"/>
  <c r="J106" i="1"/>
  <c r="L106" i="1"/>
  <c r="G107" i="1"/>
  <c r="H107" i="1"/>
  <c r="O107" i="1" s="1"/>
  <c r="J107" i="1"/>
  <c r="L107" i="1"/>
  <c r="M107" i="1"/>
  <c r="G108" i="1"/>
  <c r="H108" i="1" s="1"/>
  <c r="J108" i="1"/>
  <c r="L108" i="1"/>
  <c r="G109" i="1"/>
  <c r="H109" i="1"/>
  <c r="J109" i="1"/>
  <c r="M109" i="1" s="1"/>
  <c r="L109" i="1"/>
  <c r="O109" i="1"/>
  <c r="G110" i="1"/>
  <c r="H110" i="1"/>
  <c r="J110" i="1"/>
  <c r="M110" i="1" s="1"/>
  <c r="L110" i="1"/>
  <c r="G111" i="1"/>
  <c r="H111" i="1"/>
  <c r="J111" i="1"/>
  <c r="L111" i="1"/>
  <c r="M111" i="1"/>
  <c r="O111" i="1"/>
  <c r="G112" i="1"/>
  <c r="H112" i="1" s="1"/>
  <c r="J112" i="1"/>
  <c r="L112" i="1"/>
  <c r="G113" i="1"/>
  <c r="H113" i="1"/>
  <c r="J113" i="1"/>
  <c r="L113" i="1"/>
  <c r="G114" i="1"/>
  <c r="H114" i="1"/>
  <c r="J114" i="1"/>
  <c r="L114" i="1"/>
  <c r="M114" i="1"/>
  <c r="O114" i="1"/>
  <c r="G115" i="1"/>
  <c r="H115" i="1" s="1"/>
  <c r="O115" i="1" s="1"/>
  <c r="J115" i="1"/>
  <c r="L115" i="1"/>
  <c r="M115" i="1"/>
  <c r="G116" i="1"/>
  <c r="H116" i="1"/>
  <c r="J116" i="1"/>
  <c r="M116" i="1" s="1"/>
  <c r="L116" i="1"/>
  <c r="O116" i="1"/>
  <c r="G117" i="1"/>
  <c r="H117" i="1"/>
  <c r="J117" i="1"/>
  <c r="L117" i="1"/>
  <c r="M117" i="1"/>
  <c r="G118" i="1"/>
  <c r="H118" i="1"/>
  <c r="O118" i="1" s="1"/>
  <c r="J118" i="1"/>
  <c r="M118" i="1" s="1"/>
  <c r="L118" i="1"/>
  <c r="G119" i="1"/>
  <c r="H119" i="1" s="1"/>
  <c r="J119" i="1"/>
  <c r="L119" i="1"/>
  <c r="M119" i="1"/>
  <c r="O119" i="1"/>
  <c r="G120" i="1"/>
  <c r="H120" i="1"/>
  <c r="J120" i="1"/>
  <c r="M120" i="1" s="1"/>
  <c r="L120" i="1"/>
  <c r="G121" i="1"/>
  <c r="H121" i="1"/>
  <c r="J121" i="1"/>
  <c r="L121" i="1"/>
  <c r="G122" i="1"/>
  <c r="H122" i="1"/>
  <c r="J122" i="1"/>
  <c r="L122" i="1"/>
  <c r="M122" i="1"/>
  <c r="O122" i="1"/>
  <c r="G123" i="1"/>
  <c r="H123" i="1"/>
  <c r="J123" i="1"/>
  <c r="L123" i="1"/>
  <c r="M123" i="1"/>
  <c r="O123" i="1"/>
  <c r="G124" i="1"/>
  <c r="H124" i="1"/>
  <c r="J124" i="1"/>
  <c r="L124" i="1"/>
  <c r="G125" i="1"/>
  <c r="H125" i="1"/>
  <c r="J125" i="1"/>
  <c r="L125" i="1"/>
  <c r="M125" i="1"/>
  <c r="O125" i="1"/>
  <c r="G126" i="1"/>
  <c r="H126" i="1"/>
  <c r="J126" i="1"/>
  <c r="L126" i="1"/>
  <c r="M126" i="1"/>
  <c r="O126" i="1"/>
  <c r="G127" i="1"/>
  <c r="H127" i="1"/>
  <c r="O127" i="1" s="1"/>
  <c r="J127" i="1"/>
  <c r="L127" i="1"/>
  <c r="M127" i="1" s="1"/>
  <c r="G128" i="1"/>
  <c r="H128" i="1"/>
  <c r="J128" i="1"/>
  <c r="L128" i="1"/>
  <c r="G129" i="1"/>
  <c r="H129" i="1" s="1"/>
  <c r="J129" i="1"/>
  <c r="L129" i="1"/>
  <c r="M129" i="1"/>
  <c r="O129" i="1"/>
  <c r="G130" i="1"/>
  <c r="H130" i="1"/>
  <c r="O130" i="1" s="1"/>
  <c r="J130" i="1"/>
  <c r="L130" i="1"/>
  <c r="M130" i="1"/>
  <c r="G131" i="1"/>
  <c r="H131" i="1"/>
  <c r="J131" i="1"/>
  <c r="L131" i="1"/>
  <c r="M131" i="1" s="1"/>
  <c r="G132" i="1"/>
  <c r="H132" i="1" s="1"/>
  <c r="J132" i="1"/>
  <c r="L132" i="1"/>
  <c r="G133" i="1"/>
  <c r="H133" i="1" s="1"/>
  <c r="J133" i="1"/>
  <c r="L133" i="1"/>
  <c r="M133" i="1" s="1"/>
  <c r="G134" i="1"/>
  <c r="H134" i="1"/>
  <c r="J134" i="1"/>
  <c r="M134" i="1" s="1"/>
  <c r="L134" i="1"/>
  <c r="O134" i="1"/>
  <c r="G135" i="1"/>
  <c r="H135" i="1"/>
  <c r="O135" i="1" s="1"/>
  <c r="J135" i="1"/>
  <c r="L135" i="1"/>
  <c r="M135" i="1"/>
  <c r="G136" i="1"/>
  <c r="H136" i="1"/>
  <c r="J136" i="1"/>
  <c r="L136" i="1"/>
  <c r="G137" i="1"/>
  <c r="H137" i="1"/>
  <c r="J137" i="1"/>
  <c r="L137" i="1"/>
  <c r="M137" i="1"/>
  <c r="O137" i="1"/>
  <c r="G138" i="1"/>
  <c r="H138" i="1"/>
  <c r="J138" i="1"/>
  <c r="L138" i="1"/>
  <c r="G139" i="1"/>
  <c r="H139" i="1"/>
  <c r="J139" i="1"/>
  <c r="L139" i="1"/>
  <c r="M139" i="1"/>
  <c r="O139" i="1"/>
  <c r="G140" i="1"/>
  <c r="H140" i="1" s="1"/>
  <c r="J140" i="1"/>
  <c r="L140" i="1"/>
  <c r="G141" i="1"/>
  <c r="H141" i="1"/>
  <c r="J141" i="1"/>
  <c r="M141" i="1" s="1"/>
  <c r="L141" i="1"/>
  <c r="G142" i="1"/>
  <c r="H142" i="1"/>
  <c r="J142" i="1"/>
  <c r="L142" i="1"/>
  <c r="M142" i="1"/>
  <c r="G143" i="1"/>
  <c r="H143" i="1"/>
  <c r="O143" i="1" s="1"/>
  <c r="J143" i="1"/>
  <c r="L143" i="1"/>
  <c r="M143" i="1"/>
  <c r="G144" i="1"/>
  <c r="H144" i="1" s="1"/>
  <c r="J144" i="1"/>
  <c r="L144" i="1"/>
  <c r="G145" i="1"/>
  <c r="H145" i="1"/>
  <c r="J145" i="1"/>
  <c r="L145" i="1"/>
  <c r="G146" i="1"/>
  <c r="H146" i="1"/>
  <c r="J146" i="1"/>
  <c r="L146" i="1"/>
  <c r="G147" i="1"/>
  <c r="H147" i="1"/>
  <c r="J147" i="1"/>
  <c r="L147" i="1"/>
  <c r="M147" i="1"/>
  <c r="O147" i="1"/>
  <c r="G148" i="1"/>
  <c r="H148" i="1"/>
  <c r="J148" i="1"/>
  <c r="L148" i="1"/>
  <c r="G149" i="1"/>
  <c r="H149" i="1"/>
  <c r="J149" i="1"/>
  <c r="M149" i="1" s="1"/>
  <c r="L149" i="1"/>
  <c r="G150" i="1"/>
  <c r="H150" i="1"/>
  <c r="J150" i="1"/>
  <c r="L150" i="1"/>
  <c r="M150" i="1"/>
  <c r="O150" i="1" s="1"/>
  <c r="G151" i="1"/>
  <c r="H151" i="1" s="1"/>
  <c r="J151" i="1"/>
  <c r="L151" i="1"/>
  <c r="M151" i="1"/>
  <c r="O151" i="1"/>
  <c r="G152" i="1"/>
  <c r="H152" i="1"/>
  <c r="O152" i="1" s="1"/>
  <c r="J152" i="1"/>
  <c r="M152" i="1" s="1"/>
  <c r="L152" i="1"/>
  <c r="G153" i="1"/>
  <c r="H153" i="1"/>
  <c r="J153" i="1"/>
  <c r="L153" i="1"/>
  <c r="M153" i="1"/>
  <c r="O153" i="1"/>
  <c r="G154" i="1"/>
  <c r="H154" i="1"/>
  <c r="J154" i="1"/>
  <c r="L154" i="1"/>
  <c r="M154" i="1"/>
  <c r="O154" i="1"/>
  <c r="G155" i="1"/>
  <c r="H155" i="1"/>
  <c r="O155" i="1" s="1"/>
  <c r="J155" i="1"/>
  <c r="L155" i="1"/>
  <c r="M155" i="1"/>
  <c r="G156" i="1"/>
  <c r="H156" i="1"/>
  <c r="J156" i="1"/>
  <c r="L156" i="1"/>
  <c r="G157" i="1"/>
  <c r="H157" i="1"/>
  <c r="J157" i="1"/>
  <c r="L157" i="1"/>
  <c r="M157" i="1"/>
  <c r="O157" i="1"/>
  <c r="G158" i="1"/>
  <c r="H158" i="1"/>
  <c r="J158" i="1"/>
  <c r="L158" i="1"/>
  <c r="M158" i="1"/>
  <c r="O158" i="1"/>
  <c r="G159" i="1"/>
  <c r="H159" i="1"/>
  <c r="O159" i="1" s="1"/>
  <c r="J159" i="1"/>
  <c r="L159" i="1"/>
  <c r="M159" i="1"/>
  <c r="G160" i="1"/>
  <c r="H160" i="1"/>
  <c r="J160" i="1"/>
  <c r="L160" i="1"/>
  <c r="G161" i="1"/>
  <c r="H161" i="1"/>
  <c r="J161" i="1"/>
  <c r="L161" i="1"/>
  <c r="M161" i="1"/>
  <c r="O161" i="1"/>
  <c r="G162" i="1"/>
  <c r="H162" i="1"/>
  <c r="O162" i="1" s="1"/>
  <c r="J162" i="1"/>
  <c r="L162" i="1"/>
  <c r="M162" i="1"/>
  <c r="G163" i="1"/>
  <c r="H163" i="1"/>
  <c r="J163" i="1"/>
  <c r="L163" i="1"/>
  <c r="M163" i="1" s="1"/>
  <c r="G164" i="1"/>
  <c r="H164" i="1"/>
  <c r="J164" i="1"/>
  <c r="L164" i="1"/>
  <c r="G165" i="1"/>
  <c r="H165" i="1" s="1"/>
  <c r="J165" i="1"/>
  <c r="L165" i="1"/>
  <c r="M165" i="1"/>
  <c r="O165" i="1"/>
  <c r="G166" i="1"/>
  <c r="H166" i="1"/>
  <c r="J166" i="1"/>
  <c r="M166" i="1" s="1"/>
  <c r="L166" i="1"/>
  <c r="O166" i="1"/>
  <c r="G167" i="1"/>
  <c r="H167" i="1"/>
  <c r="O167" i="1" s="1"/>
  <c r="J167" i="1"/>
  <c r="L167" i="1"/>
  <c r="M167" i="1"/>
  <c r="G168" i="1"/>
  <c r="H168" i="1"/>
  <c r="J168" i="1"/>
  <c r="L168" i="1"/>
  <c r="G169" i="1"/>
  <c r="H169" i="1" s="1"/>
  <c r="O169" i="1" s="1"/>
  <c r="J169" i="1"/>
  <c r="L169" i="1"/>
  <c r="M169" i="1"/>
  <c r="G170" i="1"/>
  <c r="H170" i="1"/>
  <c r="J170" i="1"/>
  <c r="M170" i="1" s="1"/>
  <c r="L170" i="1"/>
  <c r="G171" i="1"/>
  <c r="H171" i="1"/>
  <c r="J171" i="1"/>
  <c r="L171" i="1"/>
  <c r="M171" i="1"/>
  <c r="O171" i="1"/>
  <c r="G172" i="1"/>
  <c r="H172" i="1" s="1"/>
  <c r="J172" i="1"/>
  <c r="L172" i="1"/>
  <c r="G173" i="1"/>
  <c r="H173" i="1"/>
  <c r="J173" i="1"/>
  <c r="M173" i="1" s="1"/>
  <c r="L173" i="1"/>
  <c r="O173" i="1"/>
  <c r="G174" i="1"/>
  <c r="H174" i="1"/>
  <c r="J174" i="1"/>
  <c r="L174" i="1"/>
  <c r="M174" i="1"/>
  <c r="G175" i="1"/>
  <c r="H175" i="1"/>
  <c r="O175" i="1" s="1"/>
  <c r="J175" i="1"/>
  <c r="L175" i="1"/>
  <c r="M175" i="1"/>
  <c r="G176" i="1"/>
  <c r="H176" i="1" s="1"/>
  <c r="J176" i="1"/>
  <c r="L176" i="1"/>
  <c r="G177" i="1"/>
  <c r="H177" i="1" s="1"/>
  <c r="J177" i="1"/>
  <c r="L177" i="1"/>
  <c r="G178" i="1"/>
  <c r="H178" i="1"/>
  <c r="J178" i="1"/>
  <c r="L178" i="1"/>
  <c r="M178" i="1"/>
  <c r="G179" i="1"/>
  <c r="H179" i="1"/>
  <c r="J179" i="1"/>
  <c r="L179" i="1"/>
  <c r="M179" i="1"/>
  <c r="O179" i="1"/>
  <c r="G180" i="1"/>
  <c r="H180" i="1" s="1"/>
  <c r="J180" i="1"/>
  <c r="L180" i="1"/>
  <c r="G181" i="1"/>
  <c r="H181" i="1"/>
  <c r="J181" i="1"/>
  <c r="L181" i="1"/>
  <c r="G182" i="1"/>
  <c r="H182" i="1"/>
  <c r="J182" i="1"/>
  <c r="L182" i="1"/>
  <c r="M182" i="1"/>
  <c r="O182" i="1"/>
  <c r="G183" i="1"/>
  <c r="H183" i="1" s="1"/>
  <c r="O183" i="1" s="1"/>
  <c r="J183" i="1"/>
  <c r="L183" i="1"/>
  <c r="M183" i="1"/>
  <c r="G184" i="1"/>
  <c r="H184" i="1"/>
  <c r="J184" i="1"/>
  <c r="M184" i="1" s="1"/>
  <c r="L184" i="1"/>
  <c r="G185" i="1"/>
  <c r="H185" i="1"/>
  <c r="J185" i="1"/>
  <c r="L185" i="1"/>
  <c r="M185" i="1"/>
  <c r="O185" i="1"/>
  <c r="G186" i="1"/>
  <c r="H186" i="1"/>
  <c r="J186" i="1"/>
  <c r="L186" i="1"/>
  <c r="M186" i="1"/>
  <c r="O186" i="1"/>
  <c r="G187" i="1"/>
  <c r="H187" i="1"/>
  <c r="O187" i="1" s="1"/>
  <c r="J187" i="1"/>
  <c r="L187" i="1"/>
  <c r="M187" i="1"/>
  <c r="G188" i="1"/>
  <c r="H188" i="1"/>
  <c r="J188" i="1"/>
  <c r="L188" i="1"/>
  <c r="G189" i="1"/>
  <c r="H189" i="1"/>
  <c r="O189" i="1" s="1"/>
  <c r="J189" i="1"/>
  <c r="L189" i="1"/>
  <c r="M189" i="1"/>
  <c r="G190" i="1"/>
  <c r="H190" i="1"/>
  <c r="J190" i="1"/>
  <c r="L190" i="1"/>
  <c r="M190" i="1" s="1"/>
  <c r="O190" i="1" s="1"/>
  <c r="G191" i="1"/>
  <c r="H191" i="1"/>
  <c r="J191" i="1"/>
  <c r="L191" i="1"/>
  <c r="M191" i="1"/>
  <c r="O191" i="1"/>
  <c r="G192" i="1"/>
  <c r="H192" i="1"/>
  <c r="J192" i="1"/>
  <c r="L192" i="1"/>
  <c r="G193" i="1"/>
  <c r="H193" i="1"/>
  <c r="J193" i="1"/>
  <c r="M193" i="1" s="1"/>
  <c r="O193" i="1" s="1"/>
  <c r="L193" i="1"/>
  <c r="G194" i="1"/>
  <c r="H194" i="1"/>
  <c r="O194" i="1" s="1"/>
  <c r="J194" i="1"/>
  <c r="L194" i="1"/>
  <c r="M194" i="1"/>
  <c r="G195" i="1"/>
  <c r="H195" i="1"/>
  <c r="J195" i="1"/>
  <c r="L195" i="1"/>
  <c r="M195" i="1" s="1"/>
  <c r="G196" i="1"/>
  <c r="H196" i="1" s="1"/>
  <c r="O196" i="1" s="1"/>
  <c r="J196" i="1"/>
  <c r="M196" i="1" s="1"/>
  <c r="L196" i="1"/>
  <c r="G197" i="1"/>
  <c r="H197" i="1" s="1"/>
  <c r="J197" i="1"/>
  <c r="L197" i="1"/>
  <c r="M197" i="1"/>
  <c r="O197" i="1"/>
  <c r="G198" i="1"/>
  <c r="H198" i="1"/>
  <c r="J198" i="1"/>
  <c r="M198" i="1" s="1"/>
  <c r="L198" i="1"/>
  <c r="O198" i="1"/>
  <c r="G199" i="1"/>
  <c r="H199" i="1"/>
  <c r="O199" i="1" s="1"/>
  <c r="J199" i="1"/>
  <c r="L199" i="1"/>
  <c r="M199" i="1" s="1"/>
  <c r="G200" i="1"/>
  <c r="H200" i="1"/>
  <c r="J200" i="1"/>
  <c r="L200" i="1"/>
  <c r="G201" i="1"/>
  <c r="H201" i="1"/>
  <c r="O201" i="1" s="1"/>
  <c r="J201" i="1"/>
  <c r="L201" i="1"/>
  <c r="M201" i="1"/>
  <c r="G202" i="1"/>
  <c r="H202" i="1"/>
  <c r="J202" i="1"/>
  <c r="L202" i="1"/>
  <c r="G203" i="1"/>
  <c r="H203" i="1"/>
  <c r="J203" i="1"/>
  <c r="L203" i="1"/>
  <c r="M203" i="1"/>
  <c r="O203" i="1"/>
  <c r="G204" i="1"/>
  <c r="H204" i="1"/>
  <c r="J204" i="1"/>
  <c r="L204" i="1"/>
  <c r="G205" i="1"/>
  <c r="H205" i="1"/>
  <c r="J205" i="1"/>
  <c r="M205" i="1" s="1"/>
  <c r="L205" i="1"/>
  <c r="O205" i="1"/>
  <c r="G206" i="1"/>
  <c r="H206" i="1"/>
  <c r="J206" i="1"/>
  <c r="L206" i="1"/>
  <c r="M206" i="1"/>
  <c r="G207" i="1"/>
  <c r="H207" i="1"/>
  <c r="O207" i="1" s="1"/>
  <c r="J207" i="1"/>
  <c r="L207" i="1"/>
  <c r="M207" i="1"/>
  <c r="G208" i="1"/>
  <c r="H208" i="1" s="1"/>
  <c r="J208" i="1"/>
  <c r="L208" i="1"/>
  <c r="G209" i="1"/>
  <c r="H209" i="1" s="1"/>
  <c r="J209" i="1"/>
  <c r="L209" i="1"/>
  <c r="G210" i="1"/>
  <c r="H210" i="1"/>
  <c r="J210" i="1"/>
  <c r="L210" i="1"/>
  <c r="M210" i="1"/>
  <c r="G211" i="1"/>
  <c r="H211" i="1"/>
  <c r="J211" i="1"/>
  <c r="L211" i="1"/>
  <c r="M211" i="1"/>
  <c r="O211" i="1"/>
  <c r="G212" i="1"/>
  <c r="H212" i="1" s="1"/>
  <c r="J212" i="1"/>
  <c r="L212" i="1"/>
  <c r="G213" i="1"/>
  <c r="H213" i="1"/>
  <c r="J213" i="1"/>
  <c r="M213" i="1" s="1"/>
  <c r="L213" i="1"/>
  <c r="G214" i="1"/>
  <c r="H214" i="1"/>
  <c r="J214" i="1"/>
  <c r="L214" i="1"/>
  <c r="M214" i="1"/>
  <c r="O214" i="1"/>
  <c r="G215" i="1"/>
  <c r="H215" i="1" s="1"/>
  <c r="O215" i="1" s="1"/>
  <c r="J215" i="1"/>
  <c r="L215" i="1"/>
  <c r="M215" i="1"/>
  <c r="G216" i="1"/>
  <c r="H216" i="1"/>
  <c r="J216" i="1"/>
  <c r="M216" i="1" s="1"/>
  <c r="L216" i="1"/>
  <c r="G217" i="1"/>
  <c r="H217" i="1"/>
  <c r="J217" i="1"/>
  <c r="L217" i="1"/>
  <c r="M217" i="1"/>
  <c r="O217" i="1"/>
  <c r="G218" i="1"/>
  <c r="H218" i="1"/>
  <c r="J218" i="1"/>
  <c r="L218" i="1"/>
  <c r="M218" i="1"/>
  <c r="O218" i="1"/>
  <c r="G219" i="1"/>
  <c r="H219" i="1"/>
  <c r="O219" i="1" s="1"/>
  <c r="J219" i="1"/>
  <c r="L219" i="1"/>
  <c r="M219" i="1"/>
  <c r="G220" i="1"/>
  <c r="H220" i="1"/>
  <c r="J220" i="1"/>
  <c r="L220" i="1"/>
  <c r="G221" i="1"/>
  <c r="H221" i="1"/>
  <c r="O221" i="1" s="1"/>
  <c r="J221" i="1"/>
  <c r="L221" i="1"/>
  <c r="M221" i="1"/>
  <c r="G222" i="1"/>
  <c r="H222" i="1"/>
  <c r="J222" i="1"/>
  <c r="L222" i="1"/>
  <c r="M222" i="1" s="1"/>
  <c r="O222" i="1" s="1"/>
  <c r="G223" i="1"/>
  <c r="H223" i="1"/>
  <c r="J223" i="1"/>
  <c r="L223" i="1"/>
  <c r="M223" i="1"/>
  <c r="O223" i="1"/>
  <c r="G224" i="1"/>
  <c r="H224" i="1"/>
  <c r="J224" i="1"/>
  <c r="L224" i="1"/>
  <c r="G225" i="1"/>
  <c r="H225" i="1"/>
  <c r="J225" i="1"/>
  <c r="M225" i="1" s="1"/>
  <c r="O225" i="1" s="1"/>
  <c r="L225" i="1"/>
  <c r="G226" i="1"/>
  <c r="H226" i="1"/>
  <c r="J226" i="1"/>
  <c r="L226" i="1"/>
  <c r="M226" i="1"/>
  <c r="G227" i="1"/>
  <c r="H227" i="1"/>
  <c r="J227" i="1"/>
  <c r="L227" i="1"/>
  <c r="M227" i="1" s="1"/>
  <c r="G228" i="1"/>
  <c r="H228" i="1"/>
  <c r="J228" i="1"/>
  <c r="M228" i="1" s="1"/>
  <c r="L228" i="1"/>
  <c r="G229" i="1"/>
  <c r="H229" i="1" s="1"/>
  <c r="J229" i="1"/>
  <c r="L229" i="1"/>
  <c r="M229" i="1"/>
  <c r="O229" i="1"/>
  <c r="G230" i="1"/>
  <c r="H230" i="1"/>
  <c r="J230" i="1"/>
  <c r="M230" i="1" s="1"/>
  <c r="L230" i="1"/>
  <c r="O230" i="1"/>
  <c r="G231" i="1"/>
  <c r="H231" i="1"/>
  <c r="J231" i="1"/>
  <c r="L231" i="1"/>
  <c r="M231" i="1" s="1"/>
  <c r="G232" i="1"/>
  <c r="H232" i="1"/>
  <c r="J232" i="1"/>
  <c r="L232" i="1"/>
  <c r="G233" i="1"/>
  <c r="H233" i="1"/>
  <c r="O233" i="1" s="1"/>
  <c r="J233" i="1"/>
  <c r="L233" i="1"/>
  <c r="M233" i="1"/>
  <c r="G234" i="1"/>
  <c r="H234" i="1"/>
  <c r="J234" i="1"/>
  <c r="L234" i="1"/>
  <c r="G235" i="1"/>
  <c r="H235" i="1"/>
  <c r="J235" i="1"/>
  <c r="L235" i="1"/>
  <c r="M235" i="1"/>
  <c r="O235" i="1"/>
  <c r="G236" i="1"/>
  <c r="H236" i="1"/>
  <c r="J236" i="1"/>
  <c r="L236" i="1"/>
  <c r="G237" i="1"/>
  <c r="H237" i="1"/>
  <c r="J237" i="1"/>
  <c r="M237" i="1" s="1"/>
  <c r="L237" i="1"/>
  <c r="O237" i="1"/>
  <c r="G238" i="1"/>
  <c r="H238" i="1"/>
  <c r="J238" i="1"/>
  <c r="L238" i="1"/>
  <c r="M238" i="1"/>
  <c r="G239" i="1"/>
  <c r="H239" i="1"/>
  <c r="O239" i="1" s="1"/>
  <c r="J239" i="1"/>
  <c r="L239" i="1"/>
  <c r="M239" i="1"/>
  <c r="G240" i="1"/>
  <c r="H240" i="1" s="1"/>
  <c r="J240" i="1"/>
  <c r="L240" i="1"/>
  <c r="G241" i="1"/>
  <c r="H241" i="1" s="1"/>
  <c r="J241" i="1"/>
  <c r="L241" i="1"/>
  <c r="G242" i="1"/>
  <c r="H242" i="1"/>
  <c r="J242" i="1"/>
  <c r="M242" i="1" s="1"/>
  <c r="L242" i="1"/>
  <c r="G243" i="1"/>
  <c r="H243" i="1"/>
  <c r="J243" i="1"/>
  <c r="L243" i="1"/>
  <c r="M243" i="1"/>
  <c r="O243" i="1"/>
  <c r="G244" i="1"/>
  <c r="H244" i="1" s="1"/>
  <c r="J244" i="1"/>
  <c r="L244" i="1"/>
  <c r="G245" i="1"/>
  <c r="H245" i="1"/>
  <c r="J245" i="1"/>
  <c r="L245" i="1"/>
  <c r="G246" i="1"/>
  <c r="H246" i="1"/>
  <c r="J246" i="1"/>
  <c r="L246" i="1"/>
  <c r="M246" i="1"/>
  <c r="O246" i="1"/>
  <c r="G247" i="1"/>
  <c r="H247" i="1" s="1"/>
  <c r="O247" i="1" s="1"/>
  <c r="J247" i="1"/>
  <c r="L247" i="1"/>
  <c r="M247" i="1"/>
  <c r="G248" i="1"/>
  <c r="H248" i="1"/>
  <c r="J248" i="1"/>
  <c r="M248" i="1" s="1"/>
  <c r="L248" i="1"/>
  <c r="G249" i="1"/>
  <c r="H249" i="1"/>
  <c r="J249" i="1"/>
  <c r="L249" i="1"/>
  <c r="M249" i="1"/>
  <c r="O249" i="1"/>
  <c r="G250" i="1"/>
  <c r="H250" i="1"/>
  <c r="J250" i="1"/>
  <c r="L250" i="1"/>
  <c r="M250" i="1"/>
  <c r="O250" i="1"/>
  <c r="G251" i="1"/>
  <c r="H251" i="1"/>
  <c r="O251" i="1" s="1"/>
  <c r="J251" i="1"/>
  <c r="L251" i="1"/>
  <c r="M251" i="1"/>
  <c r="G252" i="1"/>
  <c r="H252" i="1"/>
  <c r="J252" i="1"/>
  <c r="L252" i="1"/>
  <c r="G253" i="1"/>
  <c r="H253" i="1"/>
  <c r="O253" i="1" s="1"/>
  <c r="J253" i="1"/>
  <c r="L253" i="1"/>
  <c r="M253" i="1"/>
  <c r="G254" i="1"/>
  <c r="H254" i="1"/>
  <c r="J254" i="1"/>
  <c r="L254" i="1"/>
  <c r="M254" i="1" s="1"/>
  <c r="O254" i="1" s="1"/>
  <c r="G255" i="1"/>
  <c r="H255" i="1"/>
  <c r="J255" i="1"/>
  <c r="L255" i="1"/>
  <c r="M255" i="1"/>
  <c r="O255" i="1"/>
  <c r="G256" i="1"/>
  <c r="H256" i="1"/>
  <c r="J256" i="1"/>
  <c r="L256" i="1"/>
  <c r="G257" i="1"/>
  <c r="H257" i="1"/>
  <c r="J257" i="1"/>
  <c r="M257" i="1" s="1"/>
  <c r="O257" i="1" s="1"/>
  <c r="L257" i="1"/>
  <c r="G258" i="1"/>
  <c r="H258" i="1"/>
  <c r="J258" i="1"/>
  <c r="L258" i="1"/>
  <c r="M258" i="1"/>
  <c r="G259" i="1"/>
  <c r="H259" i="1"/>
  <c r="J259" i="1"/>
  <c r="L259" i="1"/>
  <c r="M259" i="1" s="1"/>
  <c r="G260" i="1"/>
  <c r="H260" i="1"/>
  <c r="J260" i="1"/>
  <c r="M260" i="1" s="1"/>
  <c r="L260" i="1"/>
  <c r="G261" i="1"/>
  <c r="H261" i="1" s="1"/>
  <c r="J261" i="1"/>
  <c r="L261" i="1"/>
  <c r="M261" i="1"/>
  <c r="O261" i="1"/>
  <c r="G262" i="1"/>
  <c r="H262" i="1"/>
  <c r="J262" i="1"/>
  <c r="M262" i="1" s="1"/>
  <c r="L262" i="1"/>
  <c r="O262" i="1"/>
  <c r="G263" i="1"/>
  <c r="H263" i="1"/>
  <c r="J263" i="1"/>
  <c r="L263" i="1"/>
  <c r="M263" i="1" s="1"/>
  <c r="G264" i="1"/>
  <c r="H264" i="1"/>
  <c r="J264" i="1"/>
  <c r="L264" i="1"/>
  <c r="G265" i="1"/>
  <c r="H265" i="1"/>
  <c r="O265" i="1" s="1"/>
  <c r="J265" i="1"/>
  <c r="L265" i="1"/>
  <c r="M265" i="1"/>
  <c r="G266" i="1"/>
  <c r="H266" i="1"/>
  <c r="J266" i="1"/>
  <c r="M266" i="1" s="1"/>
  <c r="L266" i="1"/>
  <c r="G267" i="1"/>
  <c r="H267" i="1"/>
  <c r="J267" i="1"/>
  <c r="L267" i="1"/>
  <c r="M267" i="1"/>
  <c r="O267" i="1"/>
  <c r="G268" i="1"/>
  <c r="H268" i="1"/>
  <c r="J268" i="1"/>
  <c r="L268" i="1"/>
  <c r="G269" i="1"/>
  <c r="H269" i="1"/>
  <c r="J269" i="1"/>
  <c r="M269" i="1" s="1"/>
  <c r="L269" i="1"/>
  <c r="O269" i="1"/>
  <c r="G270" i="1"/>
  <c r="H270" i="1"/>
  <c r="J270" i="1"/>
  <c r="L270" i="1"/>
  <c r="M270" i="1"/>
  <c r="G271" i="1"/>
  <c r="H271" i="1"/>
  <c r="O271" i="1" s="1"/>
  <c r="J271" i="1"/>
  <c r="L271" i="1"/>
  <c r="M271" i="1"/>
  <c r="G272" i="1"/>
  <c r="H272" i="1" s="1"/>
  <c r="J272" i="1"/>
  <c r="L272" i="1"/>
  <c r="G273" i="1"/>
  <c r="H273" i="1" s="1"/>
  <c r="J273" i="1"/>
  <c r="L273" i="1"/>
  <c r="G274" i="1"/>
  <c r="H274" i="1"/>
  <c r="J274" i="1"/>
  <c r="L274" i="1"/>
  <c r="M274" i="1"/>
  <c r="G275" i="1"/>
  <c r="H275" i="1"/>
  <c r="J275" i="1"/>
  <c r="L275" i="1"/>
  <c r="M275" i="1"/>
  <c r="O275" i="1"/>
  <c r="G276" i="1"/>
  <c r="H276" i="1" s="1"/>
  <c r="J276" i="1"/>
  <c r="L276" i="1"/>
  <c r="G277" i="1"/>
  <c r="H277" i="1"/>
  <c r="J277" i="1"/>
  <c r="L277" i="1"/>
  <c r="G278" i="1"/>
  <c r="H278" i="1"/>
  <c r="J278" i="1"/>
  <c r="L278" i="1"/>
  <c r="M278" i="1"/>
  <c r="O278" i="1" s="1"/>
  <c r="G279" i="1"/>
  <c r="H279" i="1" s="1"/>
  <c r="O279" i="1" s="1"/>
  <c r="J279" i="1"/>
  <c r="L279" i="1"/>
  <c r="M279" i="1"/>
  <c r="G280" i="1"/>
  <c r="H280" i="1"/>
  <c r="J280" i="1"/>
  <c r="M280" i="1" s="1"/>
  <c r="L280" i="1"/>
  <c r="G281" i="1"/>
  <c r="H281" i="1"/>
  <c r="J281" i="1"/>
  <c r="L281" i="1"/>
  <c r="M281" i="1"/>
  <c r="O281" i="1"/>
  <c r="G282" i="1"/>
  <c r="H282" i="1"/>
  <c r="J282" i="1"/>
  <c r="L282" i="1"/>
  <c r="M282" i="1"/>
  <c r="O282" i="1"/>
  <c r="G283" i="1"/>
  <c r="H283" i="1"/>
  <c r="O283" i="1" s="1"/>
  <c r="J283" i="1"/>
  <c r="L283" i="1"/>
  <c r="M283" i="1"/>
  <c r="G284" i="1"/>
  <c r="H284" i="1"/>
  <c r="J284" i="1"/>
  <c r="L284" i="1"/>
  <c r="G285" i="1"/>
  <c r="H285" i="1"/>
  <c r="O285" i="1" s="1"/>
  <c r="J285" i="1"/>
  <c r="L285" i="1"/>
  <c r="M285" i="1"/>
  <c r="G286" i="1"/>
  <c r="H286" i="1"/>
  <c r="J286" i="1"/>
  <c r="L286" i="1"/>
  <c r="M286" i="1" s="1"/>
  <c r="O286" i="1" s="1"/>
  <c r="G287" i="1"/>
  <c r="H287" i="1"/>
  <c r="J287" i="1"/>
  <c r="L287" i="1"/>
  <c r="M287" i="1"/>
  <c r="O287" i="1"/>
  <c r="G288" i="1"/>
  <c r="H288" i="1"/>
  <c r="J288" i="1"/>
  <c r="L288" i="1"/>
  <c r="G289" i="1"/>
  <c r="H289" i="1"/>
  <c r="J289" i="1"/>
  <c r="M289" i="1" s="1"/>
  <c r="O289" i="1" s="1"/>
  <c r="L289" i="1"/>
  <c r="G290" i="1"/>
  <c r="H290" i="1"/>
  <c r="O290" i="1" s="1"/>
  <c r="J290" i="1"/>
  <c r="L290" i="1"/>
  <c r="M290" i="1"/>
  <c r="G291" i="1"/>
  <c r="H291" i="1"/>
  <c r="J291" i="1"/>
  <c r="L291" i="1"/>
  <c r="M291" i="1" s="1"/>
  <c r="G292" i="1"/>
  <c r="H292" i="1"/>
  <c r="O292" i="1" s="1"/>
  <c r="J292" i="1"/>
  <c r="M292" i="1" s="1"/>
  <c r="L292" i="1"/>
  <c r="G293" i="1"/>
  <c r="H293" i="1" s="1"/>
  <c r="J293" i="1"/>
  <c r="L293" i="1"/>
  <c r="M293" i="1"/>
  <c r="O293" i="1"/>
  <c r="G294" i="1"/>
  <c r="H294" i="1"/>
  <c r="J294" i="1"/>
  <c r="M294" i="1" s="1"/>
  <c r="L294" i="1"/>
  <c r="O294" i="1"/>
  <c r="G295" i="1"/>
  <c r="H295" i="1"/>
  <c r="J295" i="1"/>
  <c r="L295" i="1"/>
  <c r="M295" i="1" s="1"/>
  <c r="G296" i="1"/>
  <c r="H296" i="1"/>
  <c r="J296" i="1"/>
  <c r="L296" i="1"/>
  <c r="G297" i="1"/>
  <c r="H297" i="1"/>
  <c r="O297" i="1" s="1"/>
  <c r="J297" i="1"/>
  <c r="L297" i="1"/>
  <c r="M297" i="1"/>
  <c r="G298" i="1"/>
  <c r="H298" i="1"/>
  <c r="J298" i="1"/>
  <c r="L298" i="1"/>
  <c r="G299" i="1"/>
  <c r="H299" i="1"/>
  <c r="J299" i="1"/>
  <c r="L299" i="1"/>
  <c r="M299" i="1"/>
  <c r="O299" i="1"/>
  <c r="G300" i="1"/>
  <c r="H300" i="1"/>
  <c r="J300" i="1"/>
  <c r="L300" i="1"/>
  <c r="G301" i="1"/>
  <c r="H301" i="1"/>
  <c r="J301" i="1"/>
  <c r="M301" i="1" s="1"/>
  <c r="L301" i="1"/>
  <c r="O301" i="1"/>
  <c r="G302" i="1"/>
  <c r="H302" i="1"/>
  <c r="J302" i="1"/>
  <c r="L302" i="1"/>
  <c r="M302" i="1"/>
  <c r="G303" i="1"/>
  <c r="H303" i="1"/>
  <c r="O303" i="1" s="1"/>
  <c r="J303" i="1"/>
  <c r="L303" i="1"/>
  <c r="M303" i="1"/>
  <c r="G304" i="1"/>
  <c r="H304" i="1" s="1"/>
  <c r="J304" i="1"/>
  <c r="L304" i="1"/>
  <c r="G305" i="1"/>
  <c r="H305" i="1" s="1"/>
  <c r="J305" i="1"/>
  <c r="L305" i="1"/>
  <c r="G306" i="1"/>
  <c r="H306" i="1"/>
  <c r="O306" i="1" s="1"/>
  <c r="J306" i="1"/>
  <c r="L306" i="1"/>
  <c r="M306" i="1"/>
  <c r="G307" i="1"/>
  <c r="H307" i="1"/>
  <c r="J307" i="1"/>
  <c r="L307" i="1"/>
  <c r="M307" i="1"/>
  <c r="O307" i="1" s="1"/>
  <c r="G308" i="1"/>
  <c r="H308" i="1" s="1"/>
  <c r="J308" i="1"/>
  <c r="L308" i="1"/>
  <c r="G309" i="1"/>
  <c r="H309" i="1"/>
  <c r="J309" i="1"/>
  <c r="L309" i="1"/>
  <c r="G310" i="1"/>
  <c r="H310" i="1"/>
  <c r="J310" i="1"/>
  <c r="L310" i="1"/>
  <c r="M310" i="1"/>
  <c r="O310" i="1"/>
  <c r="G311" i="1"/>
  <c r="H311" i="1" s="1"/>
  <c r="O311" i="1" s="1"/>
  <c r="J311" i="1"/>
  <c r="L311" i="1"/>
  <c r="M311" i="1"/>
  <c r="G312" i="1"/>
  <c r="H312" i="1"/>
  <c r="J312" i="1"/>
  <c r="M312" i="1" s="1"/>
  <c r="L312" i="1"/>
  <c r="G313" i="1"/>
  <c r="H313" i="1"/>
  <c r="J313" i="1"/>
  <c r="L313" i="1"/>
  <c r="M313" i="1"/>
  <c r="O313" i="1"/>
  <c r="G314" i="1"/>
  <c r="H314" i="1"/>
  <c r="J314" i="1"/>
  <c r="L314" i="1"/>
  <c r="M314" i="1"/>
  <c r="O314" i="1"/>
  <c r="G315" i="1"/>
  <c r="H315" i="1"/>
  <c r="O315" i="1" s="1"/>
  <c r="J315" i="1"/>
  <c r="L315" i="1"/>
  <c r="M315" i="1"/>
  <c r="G316" i="1"/>
  <c r="H316" i="1"/>
  <c r="J316" i="1"/>
  <c r="L316" i="1"/>
  <c r="G317" i="1"/>
  <c r="H317" i="1"/>
  <c r="O317" i="1" s="1"/>
  <c r="J317" i="1"/>
  <c r="L317" i="1"/>
  <c r="M317" i="1"/>
  <c r="G318" i="1"/>
  <c r="H318" i="1"/>
  <c r="J318" i="1"/>
  <c r="L318" i="1"/>
  <c r="M318" i="1" s="1"/>
  <c r="O318" i="1" s="1"/>
  <c r="G319" i="1"/>
  <c r="H319" i="1"/>
  <c r="J319" i="1"/>
  <c r="L319" i="1"/>
  <c r="M319" i="1"/>
  <c r="O319" i="1"/>
  <c r="G320" i="1"/>
  <c r="H320" i="1"/>
  <c r="J320" i="1"/>
  <c r="L320" i="1"/>
  <c r="G321" i="1"/>
  <c r="H321" i="1"/>
  <c r="J321" i="1"/>
  <c r="M321" i="1" s="1"/>
  <c r="O321" i="1" s="1"/>
  <c r="L321" i="1"/>
  <c r="G322" i="1"/>
  <c r="H322" i="1"/>
  <c r="J322" i="1"/>
  <c r="L322" i="1"/>
  <c r="M322" i="1"/>
  <c r="G323" i="1"/>
  <c r="H323" i="1"/>
  <c r="J323" i="1"/>
  <c r="L323" i="1"/>
  <c r="M323" i="1" s="1"/>
  <c r="G324" i="1"/>
  <c r="H324" i="1"/>
  <c r="J324" i="1"/>
  <c r="M324" i="1" s="1"/>
  <c r="L324" i="1"/>
  <c r="G325" i="1"/>
  <c r="H325" i="1" s="1"/>
  <c r="J325" i="1"/>
  <c r="L325" i="1"/>
  <c r="M325" i="1"/>
  <c r="O325" i="1"/>
  <c r="G326" i="1"/>
  <c r="H326" i="1"/>
  <c r="J326" i="1"/>
  <c r="M326" i="1" s="1"/>
  <c r="L326" i="1"/>
  <c r="O326" i="1"/>
  <c r="G327" i="1"/>
  <c r="H327" i="1"/>
  <c r="J327" i="1"/>
  <c r="L327" i="1"/>
  <c r="M327" i="1" s="1"/>
  <c r="G328" i="1"/>
  <c r="H328" i="1"/>
  <c r="J328" i="1"/>
  <c r="L328" i="1"/>
  <c r="G329" i="1"/>
  <c r="H329" i="1"/>
  <c r="O329" i="1" s="1"/>
  <c r="J329" i="1"/>
  <c r="L329" i="1"/>
  <c r="M329" i="1"/>
  <c r="G330" i="1"/>
  <c r="H330" i="1"/>
  <c r="J330" i="1"/>
  <c r="L330" i="1"/>
  <c r="G331" i="1"/>
  <c r="H331" i="1"/>
  <c r="J331" i="1"/>
  <c r="L331" i="1"/>
  <c r="M331" i="1"/>
  <c r="O331" i="1"/>
  <c r="G332" i="1"/>
  <c r="H332" i="1"/>
  <c r="J332" i="1"/>
  <c r="L332" i="1"/>
  <c r="G333" i="1"/>
  <c r="H333" i="1"/>
  <c r="J333" i="1"/>
  <c r="M333" i="1" s="1"/>
  <c r="O333" i="1" s="1"/>
  <c r="L333" i="1"/>
  <c r="G334" i="1"/>
  <c r="H334" i="1"/>
  <c r="J334" i="1"/>
  <c r="L334" i="1"/>
  <c r="M334" i="1"/>
  <c r="G335" i="1"/>
  <c r="H335" i="1"/>
  <c r="O335" i="1" s="1"/>
  <c r="J335" i="1"/>
  <c r="L335" i="1"/>
  <c r="M335" i="1"/>
  <c r="G336" i="1"/>
  <c r="H336" i="1" s="1"/>
  <c r="J336" i="1"/>
  <c r="L336" i="1"/>
  <c r="G337" i="1"/>
  <c r="H337" i="1" s="1"/>
  <c r="J337" i="1"/>
  <c r="L337" i="1"/>
  <c r="G338" i="1"/>
  <c r="H338" i="1"/>
  <c r="J338" i="1"/>
  <c r="L338" i="1"/>
  <c r="M338" i="1"/>
  <c r="G339" i="1"/>
  <c r="H339" i="1"/>
  <c r="J339" i="1"/>
  <c r="L339" i="1"/>
  <c r="M339" i="1"/>
  <c r="O339" i="1"/>
  <c r="G340" i="1"/>
  <c r="H340" i="1" s="1"/>
  <c r="J340" i="1"/>
  <c r="L340" i="1"/>
  <c r="G341" i="1"/>
  <c r="H341" i="1"/>
  <c r="J341" i="1"/>
  <c r="L341" i="1"/>
  <c r="G342" i="1"/>
  <c r="H342" i="1"/>
  <c r="J342" i="1"/>
  <c r="L342" i="1"/>
  <c r="M342" i="1"/>
  <c r="O342" i="1"/>
  <c r="G343" i="1"/>
  <c r="H343" i="1" s="1"/>
  <c r="O343" i="1" s="1"/>
  <c r="J343" i="1"/>
  <c r="L343" i="1"/>
  <c r="M343" i="1"/>
  <c r="G344" i="1"/>
  <c r="H344" i="1"/>
  <c r="J344" i="1"/>
  <c r="M344" i="1" s="1"/>
  <c r="L344" i="1"/>
  <c r="G345" i="1"/>
  <c r="H345" i="1"/>
  <c r="J345" i="1"/>
  <c r="L345" i="1"/>
  <c r="M345" i="1"/>
  <c r="O345" i="1"/>
  <c r="G346" i="1"/>
  <c r="H346" i="1"/>
  <c r="J346" i="1"/>
  <c r="L346" i="1"/>
  <c r="M346" i="1"/>
  <c r="O346" i="1"/>
  <c r="G347" i="1"/>
  <c r="H347" i="1"/>
  <c r="O347" i="1" s="1"/>
  <c r="J347" i="1"/>
  <c r="L347" i="1"/>
  <c r="M347" i="1"/>
  <c r="G348" i="1"/>
  <c r="H348" i="1"/>
  <c r="J348" i="1"/>
  <c r="L348" i="1"/>
  <c r="G349" i="1"/>
  <c r="H349" i="1"/>
  <c r="O349" i="1" s="1"/>
  <c r="J349" i="1"/>
  <c r="L349" i="1"/>
  <c r="M349" i="1"/>
  <c r="G350" i="1"/>
  <c r="H350" i="1"/>
  <c r="J350" i="1"/>
  <c r="L350" i="1"/>
  <c r="M350" i="1" s="1"/>
  <c r="O350" i="1" s="1"/>
  <c r="G351" i="1"/>
  <c r="H351" i="1"/>
  <c r="J351" i="1"/>
  <c r="L351" i="1"/>
  <c r="M351" i="1"/>
  <c r="O351" i="1"/>
  <c r="G352" i="1"/>
  <c r="H352" i="1"/>
  <c r="J352" i="1"/>
  <c r="L352" i="1"/>
  <c r="G353" i="1"/>
  <c r="H353" i="1"/>
  <c r="J353" i="1"/>
  <c r="M353" i="1" s="1"/>
  <c r="O353" i="1" s="1"/>
  <c r="L353" i="1"/>
  <c r="G354" i="1"/>
  <c r="H354" i="1"/>
  <c r="J354" i="1"/>
  <c r="L354" i="1"/>
  <c r="M354" i="1"/>
  <c r="G355" i="1"/>
  <c r="H355" i="1"/>
  <c r="J355" i="1"/>
  <c r="L355" i="1"/>
  <c r="M355" i="1" s="1"/>
  <c r="G356" i="1"/>
  <c r="H356" i="1"/>
  <c r="J356" i="1"/>
  <c r="M356" i="1" s="1"/>
  <c r="L356" i="1"/>
  <c r="G357" i="1"/>
  <c r="H357" i="1" s="1"/>
  <c r="J357" i="1"/>
  <c r="L357" i="1"/>
  <c r="M357" i="1"/>
  <c r="O357" i="1" s="1"/>
  <c r="G358" i="1"/>
  <c r="H358" i="1"/>
  <c r="J358" i="1"/>
  <c r="L358" i="1"/>
  <c r="M358" i="1"/>
  <c r="O358" i="1"/>
  <c r="G359" i="1"/>
  <c r="H359" i="1" s="1"/>
  <c r="O359" i="1" s="1"/>
  <c r="J359" i="1"/>
  <c r="L359" i="1"/>
  <c r="M359" i="1"/>
  <c r="G360" i="1"/>
  <c r="H360" i="1"/>
  <c r="J360" i="1"/>
  <c r="L360" i="1"/>
  <c r="G361" i="1"/>
  <c r="H361" i="1" s="1"/>
  <c r="O361" i="1" s="1"/>
  <c r="J361" i="1"/>
  <c r="L361" i="1"/>
  <c r="M361" i="1"/>
  <c r="G362" i="1"/>
  <c r="H362" i="1"/>
  <c r="J362" i="1"/>
  <c r="M362" i="1" s="1"/>
  <c r="L362" i="1"/>
  <c r="G363" i="1"/>
  <c r="H363" i="1"/>
  <c r="J363" i="1"/>
  <c r="L363" i="1"/>
  <c r="M363" i="1"/>
  <c r="O363" i="1"/>
  <c r="G364" i="1"/>
  <c r="H364" i="1"/>
  <c r="J364" i="1"/>
  <c r="L364" i="1"/>
  <c r="G365" i="1"/>
  <c r="H365" i="1"/>
  <c r="J365" i="1"/>
  <c r="M365" i="1" s="1"/>
  <c r="L365" i="1"/>
  <c r="G366" i="1"/>
  <c r="H366" i="1"/>
  <c r="J366" i="1"/>
  <c r="L366" i="1"/>
  <c r="M366" i="1"/>
  <c r="G367" i="1"/>
  <c r="H367" i="1"/>
  <c r="J367" i="1"/>
  <c r="L367" i="1"/>
  <c r="M367" i="1"/>
  <c r="O367" i="1"/>
  <c r="O21" i="1" l="1"/>
  <c r="O33" i="1"/>
  <c r="O24" i="1"/>
  <c r="O17" i="1"/>
  <c r="O4" i="1"/>
  <c r="O29" i="1"/>
  <c r="O20" i="1"/>
  <c r="O13" i="1"/>
  <c r="O9" i="1"/>
  <c r="O32" i="1"/>
  <c r="O25" i="1"/>
  <c r="O16" i="1"/>
  <c r="O5" i="1"/>
  <c r="O280" i="1"/>
  <c r="M57" i="1"/>
  <c r="O309" i="1"/>
  <c r="O228" i="1"/>
  <c r="O180" i="1"/>
  <c r="M121" i="1"/>
  <c r="O121" i="1" s="1"/>
  <c r="O77" i="1"/>
  <c r="M36" i="1"/>
  <c r="O365" i="1"/>
  <c r="O324" i="1"/>
  <c r="O209" i="1"/>
  <c r="O141" i="1"/>
  <c r="M82" i="1"/>
  <c r="O322" i="1"/>
  <c r="O312" i="1"/>
  <c r="O245" i="1"/>
  <c r="O231" i="1"/>
  <c r="O178" i="1"/>
  <c r="O327" i="1"/>
  <c r="O260" i="1"/>
  <c r="O212" i="1"/>
  <c r="M181" i="1"/>
  <c r="O356" i="1"/>
  <c r="M277" i="1"/>
  <c r="O258" i="1"/>
  <c r="O248" i="1"/>
  <c r="O234" i="1"/>
  <c r="O172" i="1"/>
  <c r="M49" i="1"/>
  <c r="O49" i="1" s="1"/>
  <c r="O362" i="1"/>
  <c r="M309" i="1"/>
  <c r="O266" i="1"/>
  <c r="O213" i="1"/>
  <c r="O102" i="1"/>
  <c r="O295" i="1"/>
  <c r="O242" i="1"/>
  <c r="M202" i="1"/>
  <c r="O133" i="1"/>
  <c r="O60" i="1"/>
  <c r="O57" i="1"/>
  <c r="O338" i="1"/>
  <c r="M298" i="1"/>
  <c r="O298" i="1" s="1"/>
  <c r="M245" i="1"/>
  <c r="O226" i="1"/>
  <c r="O216" i="1"/>
  <c r="O202" i="1"/>
  <c r="M341" i="1"/>
  <c r="O341" i="1" s="1"/>
  <c r="M146" i="1"/>
  <c r="O146" i="1" s="1"/>
  <c r="O82" i="1"/>
  <c r="O46" i="1"/>
  <c r="O274" i="1"/>
  <c r="M234" i="1"/>
  <c r="O110" i="1"/>
  <c r="M330" i="1"/>
  <c r="O330" i="1" s="1"/>
  <c r="O366" i="1"/>
  <c r="O354" i="1"/>
  <c r="O344" i="1"/>
  <c r="O337" i="1"/>
  <c r="O277" i="1"/>
  <c r="O263" i="1"/>
  <c r="O210" i="1"/>
  <c r="O170" i="1"/>
  <c r="O149" i="1"/>
  <c r="M113" i="1"/>
  <c r="M85" i="1"/>
  <c r="O85" i="1" s="1"/>
  <c r="O74" i="1"/>
  <c r="O54" i="1"/>
  <c r="O181" i="1"/>
  <c r="M156" i="1"/>
  <c r="O156" i="1" s="1"/>
  <c r="M136" i="1"/>
  <c r="O136" i="1" s="1"/>
  <c r="M108" i="1"/>
  <c r="O108" i="1" s="1"/>
  <c r="O36" i="1"/>
  <c r="M360" i="1"/>
  <c r="O360" i="1" s="1"/>
  <c r="M348" i="1"/>
  <c r="O348" i="1" s="1"/>
  <c r="M284" i="1"/>
  <c r="M188" i="1"/>
  <c r="O188" i="1" s="1"/>
  <c r="M168" i="1"/>
  <c r="O168" i="1" s="1"/>
  <c r="M106" i="1"/>
  <c r="O67" i="1"/>
  <c r="M232" i="1"/>
  <c r="O232" i="1" s="1"/>
  <c r="O106" i="1"/>
  <c r="O103" i="1"/>
  <c r="O42" i="1"/>
  <c r="M320" i="1"/>
  <c r="O320" i="1" s="1"/>
  <c r="M288" i="1"/>
  <c r="O288" i="1" s="1"/>
  <c r="M256" i="1"/>
  <c r="O256" i="1" s="1"/>
  <c r="M224" i="1"/>
  <c r="O224" i="1" s="1"/>
  <c r="M145" i="1"/>
  <c r="M81" i="1"/>
  <c r="O81" i="1" s="1"/>
  <c r="M305" i="1"/>
  <c r="O305" i="1" s="1"/>
  <c r="M241" i="1"/>
  <c r="O241" i="1" s="1"/>
  <c r="O238" i="1"/>
  <c r="M209" i="1"/>
  <c r="O206" i="1"/>
  <c r="M177" i="1"/>
  <c r="O177" i="1" s="1"/>
  <c r="O174" i="1"/>
  <c r="O145" i="1"/>
  <c r="M140" i="1"/>
  <c r="O140" i="1" s="1"/>
  <c r="M132" i="1"/>
  <c r="O132" i="1" s="1"/>
  <c r="O120" i="1"/>
  <c r="O117" i="1"/>
  <c r="M104" i="1"/>
  <c r="O104" i="1" s="1"/>
  <c r="M96" i="1"/>
  <c r="O96" i="1" s="1"/>
  <c r="M76" i="1"/>
  <c r="O76" i="1" s="1"/>
  <c r="M68" i="1"/>
  <c r="O68" i="1" s="1"/>
  <c r="O56" i="1"/>
  <c r="O53" i="1"/>
  <c r="O184" i="1"/>
  <c r="M128" i="1"/>
  <c r="O128" i="1" s="1"/>
  <c r="O113" i="1"/>
  <c r="M100" i="1"/>
  <c r="O100" i="1" s="1"/>
  <c r="O88" i="1"/>
  <c r="M72" i="1"/>
  <c r="O72" i="1" s="1"/>
  <c r="M64" i="1"/>
  <c r="O64" i="1" s="1"/>
  <c r="M44" i="1"/>
  <c r="O44" i="1" s="1"/>
  <c r="M316" i="1"/>
  <c r="M252" i="1"/>
  <c r="O252" i="1" s="1"/>
  <c r="M220" i="1"/>
  <c r="O220" i="1" s="1"/>
  <c r="O131" i="1"/>
  <c r="M92" i="1"/>
  <c r="M42" i="1"/>
  <c r="M328" i="1"/>
  <c r="O328" i="1" s="1"/>
  <c r="O316" i="1"/>
  <c r="M296" i="1"/>
  <c r="O296" i="1" s="1"/>
  <c r="O284" i="1"/>
  <c r="M264" i="1"/>
  <c r="O264" i="1" s="1"/>
  <c r="M200" i="1"/>
  <c r="O200" i="1" s="1"/>
  <c r="O163" i="1"/>
  <c r="M160" i="1"/>
  <c r="O160" i="1" s="1"/>
  <c r="O92" i="1"/>
  <c r="M364" i="1"/>
  <c r="O364" i="1" s="1"/>
  <c r="O355" i="1"/>
  <c r="M352" i="1"/>
  <c r="O352" i="1" s="1"/>
  <c r="O323" i="1"/>
  <c r="O291" i="1"/>
  <c r="O259" i="1"/>
  <c r="O227" i="1"/>
  <c r="O195" i="1"/>
  <c r="M192" i="1"/>
  <c r="O192" i="1" s="1"/>
  <c r="O142" i="1"/>
  <c r="O78" i="1"/>
  <c r="M40" i="1"/>
  <c r="O40" i="1" s="1"/>
  <c r="M337" i="1"/>
  <c r="O334" i="1"/>
  <c r="O302" i="1"/>
  <c r="M273" i="1"/>
  <c r="O273" i="1" s="1"/>
  <c r="O270" i="1"/>
  <c r="M332" i="1"/>
  <c r="O332" i="1" s="1"/>
  <c r="M300" i="1"/>
  <c r="O300" i="1" s="1"/>
  <c r="M268" i="1"/>
  <c r="O268" i="1" s="1"/>
  <c r="M236" i="1"/>
  <c r="O236" i="1" s="1"/>
  <c r="M204" i="1"/>
  <c r="O204" i="1" s="1"/>
  <c r="M172" i="1"/>
  <c r="M164" i="1"/>
  <c r="O164" i="1" s="1"/>
  <c r="M138" i="1"/>
  <c r="O138" i="1" s="1"/>
  <c r="M124" i="1"/>
  <c r="O124" i="1" s="1"/>
  <c r="M74" i="1"/>
  <c r="M60" i="1"/>
  <c r="M336" i="1"/>
  <c r="O336" i="1" s="1"/>
  <c r="M304" i="1"/>
  <c r="O304" i="1" s="1"/>
  <c r="M272" i="1"/>
  <c r="O272" i="1" s="1"/>
  <c r="M240" i="1"/>
  <c r="O240" i="1" s="1"/>
  <c r="M208" i="1"/>
  <c r="O208" i="1" s="1"/>
  <c r="M176" i="1"/>
  <c r="O176" i="1" s="1"/>
  <c r="M144" i="1"/>
  <c r="O144" i="1" s="1"/>
  <c r="M112" i="1"/>
  <c r="O112" i="1" s="1"/>
  <c r="M80" i="1"/>
  <c r="O80" i="1" s="1"/>
  <c r="M48" i="1"/>
  <c r="O48" i="1" s="1"/>
  <c r="M340" i="1"/>
  <c r="O340" i="1" s="1"/>
  <c r="M308" i="1"/>
  <c r="O308" i="1" s="1"/>
  <c r="M276" i="1"/>
  <c r="O276" i="1" s="1"/>
  <c r="M244" i="1"/>
  <c r="O244" i="1" s="1"/>
  <c r="M212" i="1"/>
  <c r="M180" i="1"/>
  <c r="M148" i="1"/>
  <c r="O148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<sst xmlns="http://schemas.openxmlformats.org/spreadsheetml/2006/main" count="39" uniqueCount="27">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</sst>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name val="TH SarabunPSK"/>
      <family val="2"/>
      <charset val="222"/>
    </font>
    <font>
      <sz val="16"/>
      <name val="TH SarabunPSK"/>
      <family val="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4" xfId="0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87" fontId="2" fillId="0" borderId="3" xfId="0" applyNumberFormat="1" applyFont="1" applyBorder="1"/>
    <xf numFmtId="0" fontId="2" fillId="0" borderId="9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0" borderId="1" xfId="1" applyNumberFormat="1" applyFont="1" applyFill="1" applyBorder="1" applyAlignment="1">
      <alignment horizontal="right"/>
    </xf>
    <xf numFmtId="187" fontId="2" fillId="0" borderId="4" xfId="1" applyNumberFormat="1" applyFont="1" applyBorder="1"/>
    <xf numFmtId="187" fontId="4" fillId="0" borderId="1" xfId="1" applyNumberFormat="1" applyFont="1" applyFill="1" applyBorder="1" applyAlignment="1">
      <alignment horizontal="right"/>
    </xf>
    <xf numFmtId="187" fontId="2" fillId="0" borderId="6" xfId="0" applyNumberFormat="1" applyFont="1" applyBorder="1"/>
    <xf numFmtId="187" fontId="5" fillId="10" borderId="1" xfId="1" applyNumberFormat="1" applyFont="1" applyFill="1" applyBorder="1" applyAlignment="1">
      <alignment horizontal="right"/>
    </xf>
    <xf numFmtId="187" fontId="6" fillId="0" borderId="1" xfId="1" applyNumberFormat="1" applyFont="1" applyBorder="1"/>
    <xf numFmtId="187" fontId="6" fillId="0" borderId="1" xfId="1" applyNumberFormat="1" applyFont="1" applyFill="1" applyBorder="1"/>
    <xf numFmtId="187" fontId="5" fillId="10" borderId="7" xfId="1" applyNumberFormat="1" applyFont="1" applyFill="1" applyBorder="1" applyAlignment="1">
      <alignment horizontal="right"/>
    </xf>
    <xf numFmtId="187" fontId="6" fillId="0" borderId="7" xfId="1" applyNumberFormat="1" applyFont="1" applyBorder="1"/>
    <xf numFmtId="187" fontId="6" fillId="0" borderId="4" xfId="1" applyNumberFormat="1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0" fontId="2" fillId="10" borderId="0" xfId="0" applyFont="1" applyFill="1"/>
    <xf numFmtId="187" fontId="5" fillId="10" borderId="4" xfId="1" applyNumberFormat="1" applyFont="1" applyFill="1" applyBorder="1" applyAlignment="1">
      <alignment horizontal="right"/>
    </xf>
    <xf numFmtId="187" fontId="6" fillId="0" borderId="1" xfId="1" applyNumberFormat="1" applyFont="1" applyBorder="1" applyAlignment="1">
      <alignment horizontal="right"/>
    </xf>
    <xf numFmtId="187" fontId="6" fillId="0" borderId="4" xfId="1" applyNumberFormat="1" applyFont="1" applyBorder="1" applyAlignment="1">
      <alignment horizontal="right"/>
    </xf>
    <xf numFmtId="187" fontId="6" fillId="0" borderId="1" xfId="1" applyNumberFormat="1" applyFont="1" applyBorder="1" applyAlignment="1"/>
    <xf numFmtId="187" fontId="6" fillId="0" borderId="7" xfId="1" applyNumberFormat="1" applyFont="1" applyBorder="1" applyAlignment="1">
      <alignment horizontal="right"/>
    </xf>
    <xf numFmtId="187" fontId="6" fillId="0" borderId="8" xfId="1" applyNumberFormat="1" applyFont="1" applyBorder="1"/>
    <xf numFmtId="187" fontId="6" fillId="10" borderId="1" xfId="1" applyNumberFormat="1" applyFont="1" applyFill="1" applyBorder="1"/>
    <xf numFmtId="187" fontId="6" fillId="10" borderId="7" xfId="1" applyNumberFormat="1" applyFont="1" applyFill="1" applyBorder="1"/>
    <xf numFmtId="187" fontId="2" fillId="0" borderId="6" xfId="1" applyNumberFormat="1" applyFont="1" applyBorder="1"/>
    <xf numFmtId="187" fontId="6" fillId="0" borderId="6" xfId="1" applyNumberFormat="1" applyFont="1" applyBorder="1"/>
    <xf numFmtId="187" fontId="6" fillId="10" borderId="4" xfId="1" applyNumberFormat="1" applyFont="1" applyFill="1" applyBorder="1"/>
    <xf numFmtId="187" fontId="6" fillId="0" borderId="7" xfId="1" applyNumberFormat="1" applyFont="1" applyFill="1" applyBorder="1"/>
    <xf numFmtId="187" fontId="6" fillId="0" borderId="7" xfId="1" applyNumberFormat="1" applyFont="1" applyBorder="1" applyAlignment="1"/>
    <xf numFmtId="0" fontId="2" fillId="3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54" zoomScaleNormal="130" workbookViewId="0">
      <selection activeCell="S15" sqref="S15"/>
    </sheetView>
  </sheetViews>
  <sheetFormatPr defaultColWidth="8.8984375" defaultRowHeight="24.6" x14ac:dyDescent="0.7"/>
  <cols>
    <col min="1" max="1" width="11.59765625" style="1" customWidth="1"/>
    <col min="2" max="2" width="17.59765625" style="16" customWidth="1"/>
    <col min="3" max="3" width="8.8984375" style="16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1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30" t="s">
        <v>0</v>
      </c>
      <c r="B1" s="30" t="s">
        <v>1</v>
      </c>
      <c r="C1" s="30" t="s">
        <v>2</v>
      </c>
      <c r="D1" s="32" t="s">
        <v>3</v>
      </c>
      <c r="E1" s="33" t="s">
        <v>4</v>
      </c>
      <c r="F1" s="28" t="s">
        <v>5</v>
      </c>
      <c r="G1" s="41" t="s">
        <v>6</v>
      </c>
      <c r="H1" s="41" t="s">
        <v>7</v>
      </c>
      <c r="I1" s="43" t="s">
        <v>8</v>
      </c>
      <c r="J1" s="45" t="s">
        <v>9</v>
      </c>
      <c r="K1" s="45" t="s">
        <v>10</v>
      </c>
      <c r="L1" s="45" t="s">
        <v>11</v>
      </c>
      <c r="M1" s="35" t="s">
        <v>12</v>
      </c>
      <c r="N1" s="37" t="s">
        <v>13</v>
      </c>
      <c r="O1" s="39" t="s">
        <v>14</v>
      </c>
    </row>
    <row r="2" spans="1:15" s="15" customFormat="1" ht="34.799999999999997" customHeight="1" thickBot="1" x14ac:dyDescent="0.75">
      <c r="A2" s="31"/>
      <c r="B2" s="31"/>
      <c r="C2" s="31"/>
      <c r="D2" s="63"/>
      <c r="E2" s="34"/>
      <c r="F2" s="29"/>
      <c r="G2" s="42"/>
      <c r="H2" s="42"/>
      <c r="I2" s="44"/>
      <c r="J2" s="46"/>
      <c r="K2" s="46"/>
      <c r="L2" s="46"/>
      <c r="M2" s="36"/>
      <c r="N2" s="38"/>
      <c r="O2" s="40"/>
    </row>
    <row r="3" spans="1:15" x14ac:dyDescent="0.7">
      <c r="A3" s="2">
        <v>2564</v>
      </c>
      <c r="B3" s="3" t="s">
        <v>15</v>
      </c>
      <c r="C3" s="3">
        <v>1</v>
      </c>
      <c r="D3" s="4">
        <v>4.6840000000000002</v>
      </c>
      <c r="E3" s="4">
        <v>0</v>
      </c>
      <c r="F3" s="4">
        <v>4.6840000000000002</v>
      </c>
      <c r="G3" s="17">
        <f>F3*86400</f>
        <v>404697.60000000003</v>
      </c>
      <c r="H3" s="26">
        <f t="shared" ref="H3:H66" si="0">G3/1000000</f>
        <v>0.40469760000000005</v>
      </c>
      <c r="I3" s="61">
        <v>15887</v>
      </c>
      <c r="J3" s="62">
        <f t="shared" ref="J3:J19" si="1">I3/1000000</f>
        <v>1.5886999999999998E-2</v>
      </c>
      <c r="K3" s="26">
        <v>234</v>
      </c>
      <c r="L3" s="26">
        <f t="shared" ref="L3:L14" si="2">K3/1000000</f>
        <v>2.34E-4</v>
      </c>
      <c r="M3" s="26">
        <f t="shared" ref="M3:M19" si="3">J3+L3</f>
        <v>1.6121E-2</v>
      </c>
      <c r="N3" s="26">
        <v>2.4278400000000002E-2</v>
      </c>
      <c r="O3" s="4">
        <f t="shared" ref="O3:O10" si="4">H3-M3-N3</f>
        <v>0.36429820000000007</v>
      </c>
    </row>
    <row r="4" spans="1:15" x14ac:dyDescent="0.7">
      <c r="A4" s="6"/>
      <c r="B4" s="6"/>
      <c r="C4" s="6">
        <v>2</v>
      </c>
      <c r="D4" s="7">
        <v>4.6840000000000002</v>
      </c>
      <c r="E4" s="7">
        <v>0</v>
      </c>
      <c r="F4" s="7">
        <v>4.6840000000000002</v>
      </c>
      <c r="G4" s="17">
        <f t="shared" ref="G4:G67" si="5">F4*86400</f>
        <v>404697.60000000003</v>
      </c>
      <c r="H4" s="26">
        <f t="shared" si="0"/>
        <v>0.40469760000000005</v>
      </c>
      <c r="I4" s="24">
        <v>18098</v>
      </c>
      <c r="J4" s="53">
        <f t="shared" si="1"/>
        <v>1.8098E-2</v>
      </c>
      <c r="K4" s="23">
        <v>863</v>
      </c>
      <c r="L4" s="23">
        <f t="shared" si="2"/>
        <v>8.6300000000000005E-4</v>
      </c>
      <c r="M4" s="23">
        <f t="shared" si="3"/>
        <v>1.8960999999999999E-2</v>
      </c>
      <c r="N4" s="23">
        <v>2.4278400000000002E-2</v>
      </c>
      <c r="O4" s="4">
        <f t="shared" si="4"/>
        <v>0.36145820000000006</v>
      </c>
    </row>
    <row r="5" spans="1:15" x14ac:dyDescent="0.7">
      <c r="A5" s="6"/>
      <c r="B5" s="6"/>
      <c r="C5" s="6">
        <v>3</v>
      </c>
      <c r="D5" s="7">
        <v>4.5940000000000003</v>
      </c>
      <c r="E5" s="7">
        <v>0</v>
      </c>
      <c r="F5" s="7">
        <v>4.5940000000000003</v>
      </c>
      <c r="G5" s="17">
        <f t="shared" si="5"/>
        <v>396921.60000000003</v>
      </c>
      <c r="H5" s="26">
        <f t="shared" si="0"/>
        <v>0.39692160000000004</v>
      </c>
      <c r="I5" s="23">
        <v>25911</v>
      </c>
      <c r="J5" s="53">
        <f t="shared" si="1"/>
        <v>2.5911E-2</v>
      </c>
      <c r="K5" s="23">
        <v>5957</v>
      </c>
      <c r="L5" s="23">
        <f t="shared" si="2"/>
        <v>5.9569999999999996E-3</v>
      </c>
      <c r="M5" s="23">
        <f t="shared" si="3"/>
        <v>3.1868E-2</v>
      </c>
      <c r="N5" s="23">
        <v>2.4278400000000002E-2</v>
      </c>
      <c r="O5" s="4">
        <f t="shared" si="4"/>
        <v>0.34077520000000006</v>
      </c>
    </row>
    <row r="6" spans="1:15" x14ac:dyDescent="0.7">
      <c r="A6" s="6"/>
      <c r="B6" s="6"/>
      <c r="C6" s="6">
        <v>4</v>
      </c>
      <c r="D6" s="7">
        <v>4.5940000000000003</v>
      </c>
      <c r="E6" s="7">
        <v>0</v>
      </c>
      <c r="F6" s="7">
        <v>4.5940000000000003</v>
      </c>
      <c r="G6" s="17">
        <f t="shared" si="5"/>
        <v>396921.60000000003</v>
      </c>
      <c r="H6" s="26">
        <f t="shared" si="0"/>
        <v>0.39692160000000004</v>
      </c>
      <c r="I6" s="23">
        <v>25911</v>
      </c>
      <c r="J6" s="53">
        <f t="shared" si="1"/>
        <v>2.5911E-2</v>
      </c>
      <c r="K6" s="23">
        <v>5957</v>
      </c>
      <c r="L6" s="23">
        <f t="shared" si="2"/>
        <v>5.9569999999999996E-3</v>
      </c>
      <c r="M6" s="23">
        <f t="shared" si="3"/>
        <v>3.1868E-2</v>
      </c>
      <c r="N6" s="23">
        <v>2.4278400000000002E-2</v>
      </c>
      <c r="O6" s="4">
        <f t="shared" si="4"/>
        <v>0.34077520000000006</v>
      </c>
    </row>
    <row r="7" spans="1:15" x14ac:dyDescent="0.7">
      <c r="A7" s="6"/>
      <c r="B7" s="6"/>
      <c r="C7" s="6">
        <v>5</v>
      </c>
      <c r="D7" s="7">
        <v>4.5940000000000003</v>
      </c>
      <c r="E7" s="7">
        <v>0</v>
      </c>
      <c r="F7" s="7">
        <v>4.5940000000000003</v>
      </c>
      <c r="G7" s="17">
        <f t="shared" si="5"/>
        <v>396921.60000000003</v>
      </c>
      <c r="H7" s="26">
        <f t="shared" si="0"/>
        <v>0.39692160000000004</v>
      </c>
      <c r="I7" s="23">
        <v>18823</v>
      </c>
      <c r="J7" s="53">
        <f t="shared" si="1"/>
        <v>1.8822999999999999E-2</v>
      </c>
      <c r="K7" s="23">
        <v>5508</v>
      </c>
      <c r="L7" s="23">
        <f t="shared" si="2"/>
        <v>5.5079999999999999E-3</v>
      </c>
      <c r="M7" s="23">
        <f t="shared" si="3"/>
        <v>2.4330999999999998E-2</v>
      </c>
      <c r="N7" s="23">
        <v>2.4278400000000002E-2</v>
      </c>
      <c r="O7" s="4">
        <f t="shared" si="4"/>
        <v>0.34831220000000007</v>
      </c>
    </row>
    <row r="8" spans="1:15" x14ac:dyDescent="0.7">
      <c r="A8" s="6"/>
      <c r="B8" s="6"/>
      <c r="C8" s="6">
        <v>6</v>
      </c>
      <c r="D8" s="7">
        <v>4.5940000000000003</v>
      </c>
      <c r="E8" s="7">
        <v>0</v>
      </c>
      <c r="F8" s="7">
        <v>4.5940000000000003</v>
      </c>
      <c r="G8" s="17">
        <f t="shared" si="5"/>
        <v>396921.60000000003</v>
      </c>
      <c r="H8" s="26">
        <f t="shared" si="0"/>
        <v>0.39692160000000004</v>
      </c>
      <c r="I8" s="23">
        <v>17021</v>
      </c>
      <c r="J8" s="53">
        <f t="shared" si="1"/>
        <v>1.7021000000000001E-2</v>
      </c>
      <c r="K8" s="23">
        <v>2770</v>
      </c>
      <c r="L8" s="23">
        <f t="shared" si="2"/>
        <v>2.7699999999999999E-3</v>
      </c>
      <c r="M8" s="23">
        <f t="shared" si="3"/>
        <v>1.9791000000000003E-2</v>
      </c>
      <c r="N8" s="23">
        <v>2.4278400000000002E-2</v>
      </c>
      <c r="O8" s="4">
        <f t="shared" si="4"/>
        <v>0.35285220000000006</v>
      </c>
    </row>
    <row r="9" spans="1:15" x14ac:dyDescent="0.7">
      <c r="A9" s="6"/>
      <c r="B9" s="6"/>
      <c r="C9" s="6">
        <v>7</v>
      </c>
      <c r="D9" s="7">
        <v>4.5940000000000003</v>
      </c>
      <c r="E9" s="7">
        <v>0</v>
      </c>
      <c r="F9" s="7">
        <v>4.5940000000000003</v>
      </c>
      <c r="G9" s="17">
        <f t="shared" si="5"/>
        <v>396921.60000000003</v>
      </c>
      <c r="H9" s="55">
        <f t="shared" si="0"/>
        <v>0.39692160000000004</v>
      </c>
      <c r="I9" s="23">
        <v>13488</v>
      </c>
      <c r="J9" s="53">
        <f t="shared" si="1"/>
        <v>1.3488E-2</v>
      </c>
      <c r="K9" s="23">
        <v>2836</v>
      </c>
      <c r="L9" s="23">
        <f t="shared" si="2"/>
        <v>2.836E-3</v>
      </c>
      <c r="M9" s="23">
        <f t="shared" si="3"/>
        <v>1.6323999999999998E-2</v>
      </c>
      <c r="N9" s="23">
        <v>2.4278400000000002E-2</v>
      </c>
      <c r="O9" s="7">
        <f t="shared" si="4"/>
        <v>0.35631920000000006</v>
      </c>
    </row>
    <row r="10" spans="1:15" x14ac:dyDescent="0.7">
      <c r="A10" s="6"/>
      <c r="B10" s="6"/>
      <c r="C10" s="6">
        <v>8</v>
      </c>
      <c r="D10" s="7">
        <v>4.4169999999999998</v>
      </c>
      <c r="E10" s="7">
        <v>0</v>
      </c>
      <c r="F10" s="7">
        <v>4.4169999999999998</v>
      </c>
      <c r="G10" s="17">
        <f t="shared" si="5"/>
        <v>381628.8</v>
      </c>
      <c r="H10" s="55">
        <f t="shared" si="0"/>
        <v>0.38162879999999999</v>
      </c>
      <c r="I10" s="23">
        <v>13755</v>
      </c>
      <c r="J10" s="53">
        <f t="shared" si="1"/>
        <v>1.3755E-2</v>
      </c>
      <c r="K10" s="23">
        <v>2919</v>
      </c>
      <c r="L10" s="23">
        <f t="shared" si="2"/>
        <v>2.9190000000000002E-3</v>
      </c>
      <c r="M10" s="23">
        <f t="shared" si="3"/>
        <v>1.6674000000000001E-2</v>
      </c>
      <c r="N10" s="23">
        <v>2.4278400000000002E-2</v>
      </c>
      <c r="O10" s="7">
        <f t="shared" si="4"/>
        <v>0.34067639999999999</v>
      </c>
    </row>
    <row r="11" spans="1:15" x14ac:dyDescent="0.7">
      <c r="A11" s="6"/>
      <c r="B11" s="6"/>
      <c r="C11" s="6">
        <v>9</v>
      </c>
      <c r="D11" s="7">
        <v>4.4169999999999998</v>
      </c>
      <c r="E11" s="7">
        <v>0</v>
      </c>
      <c r="F11" s="7">
        <v>4.4169999999999998</v>
      </c>
      <c r="G11" s="17">
        <f t="shared" si="5"/>
        <v>381628.8</v>
      </c>
      <c r="H11" s="55">
        <f t="shared" si="0"/>
        <v>0.38162879999999999</v>
      </c>
      <c r="I11" s="23">
        <v>40288</v>
      </c>
      <c r="J11" s="51">
        <f t="shared" si="1"/>
        <v>4.0287999999999997E-2</v>
      </c>
      <c r="K11" s="23">
        <v>0</v>
      </c>
      <c r="L11" s="23">
        <f t="shared" si="2"/>
        <v>0</v>
      </c>
      <c r="M11" s="23">
        <f t="shared" si="3"/>
        <v>4.0287999999999997E-2</v>
      </c>
      <c r="N11" s="23">
        <v>3.1881600000000003E-2</v>
      </c>
      <c r="O11" s="7">
        <f>H11-M11-N11</f>
        <v>0.30945919999999999</v>
      </c>
    </row>
    <row r="12" spans="1:15" x14ac:dyDescent="0.7">
      <c r="A12" s="6"/>
      <c r="B12" s="6"/>
      <c r="C12" s="6">
        <v>10</v>
      </c>
      <c r="D12" s="7">
        <v>4.4169999999999998</v>
      </c>
      <c r="E12" s="7">
        <v>0</v>
      </c>
      <c r="F12" s="7">
        <v>4.4169999999999998</v>
      </c>
      <c r="G12" s="17">
        <f t="shared" si="5"/>
        <v>381628.8</v>
      </c>
      <c r="H12" s="55">
        <f t="shared" si="0"/>
        <v>0.38162879999999999</v>
      </c>
      <c r="I12" s="23">
        <v>41061</v>
      </c>
      <c r="J12" s="51">
        <f t="shared" si="1"/>
        <v>4.1061E-2</v>
      </c>
      <c r="K12" s="23">
        <v>0</v>
      </c>
      <c r="L12" s="23">
        <f t="shared" si="2"/>
        <v>0</v>
      </c>
      <c r="M12" s="23">
        <f t="shared" si="3"/>
        <v>4.1061E-2</v>
      </c>
      <c r="N12" s="23">
        <v>9.9792000000000006E-2</v>
      </c>
      <c r="O12" s="7">
        <f t="shared" ref="O12:O20" si="6">H12-M12-N12</f>
        <v>0.24077579999999998</v>
      </c>
    </row>
    <row r="13" spans="1:15" x14ac:dyDescent="0.7">
      <c r="A13" s="6"/>
      <c r="B13" s="6"/>
      <c r="C13" s="6">
        <v>11</v>
      </c>
      <c r="D13" s="7">
        <v>4.4169999999999998</v>
      </c>
      <c r="E13" s="7">
        <v>0</v>
      </c>
      <c r="F13" s="7">
        <v>4.4169999999999998</v>
      </c>
      <c r="G13" s="17">
        <f t="shared" si="5"/>
        <v>381628.8</v>
      </c>
      <c r="H13" s="26">
        <f t="shared" si="0"/>
        <v>0.38162879999999999</v>
      </c>
      <c r="I13" s="23">
        <v>40539</v>
      </c>
      <c r="J13" s="51">
        <f t="shared" si="1"/>
        <v>4.0538999999999999E-2</v>
      </c>
      <c r="K13" s="23">
        <v>0</v>
      </c>
      <c r="L13" s="23">
        <f t="shared" si="2"/>
        <v>0</v>
      </c>
      <c r="M13" s="23">
        <f t="shared" si="3"/>
        <v>4.0538999999999999E-2</v>
      </c>
      <c r="N13" s="23">
        <v>9.9792000000000006E-2</v>
      </c>
      <c r="O13" s="4">
        <f t="shared" si="6"/>
        <v>0.24129780000000001</v>
      </c>
    </row>
    <row r="14" spans="1:15" x14ac:dyDescent="0.7">
      <c r="A14" s="6"/>
      <c r="B14" s="6"/>
      <c r="C14" s="6">
        <v>12</v>
      </c>
      <c r="D14" s="7">
        <v>4.4169999999999998</v>
      </c>
      <c r="E14" s="7">
        <v>0</v>
      </c>
      <c r="F14" s="7">
        <v>4.4169999999999998</v>
      </c>
      <c r="G14" s="17">
        <f t="shared" si="5"/>
        <v>381628.8</v>
      </c>
      <c r="H14" s="26">
        <f t="shared" si="0"/>
        <v>0.38162879999999999</v>
      </c>
      <c r="I14" s="23">
        <v>41893</v>
      </c>
      <c r="J14" s="51">
        <f t="shared" si="1"/>
        <v>4.1893E-2</v>
      </c>
      <c r="K14" s="23">
        <v>0</v>
      </c>
      <c r="L14" s="23">
        <f t="shared" si="2"/>
        <v>0</v>
      </c>
      <c r="M14" s="23">
        <f t="shared" si="3"/>
        <v>4.1893E-2</v>
      </c>
      <c r="N14" s="23">
        <v>9.9792000000000006E-2</v>
      </c>
      <c r="O14" s="4">
        <f t="shared" si="6"/>
        <v>0.23994379999999998</v>
      </c>
    </row>
    <row r="15" spans="1:15" x14ac:dyDescent="0.7">
      <c r="A15" s="6"/>
      <c r="B15" s="6"/>
      <c r="C15" s="6">
        <v>13</v>
      </c>
      <c r="D15" s="7">
        <v>4.4169999999999998</v>
      </c>
      <c r="E15" s="7">
        <v>0</v>
      </c>
      <c r="F15" s="7">
        <v>4.4169999999999998</v>
      </c>
      <c r="G15" s="17">
        <f t="shared" si="5"/>
        <v>381628.8</v>
      </c>
      <c r="H15" s="26">
        <f t="shared" si="0"/>
        <v>0.38162879999999999</v>
      </c>
      <c r="I15" s="23">
        <v>40743</v>
      </c>
      <c r="J15" s="51">
        <f t="shared" si="1"/>
        <v>4.0743000000000001E-2</v>
      </c>
      <c r="K15" s="23">
        <v>2185</v>
      </c>
      <c r="L15" s="23">
        <f>K15/1000000</f>
        <v>2.1849999999999999E-3</v>
      </c>
      <c r="M15" s="23">
        <f t="shared" si="3"/>
        <v>4.2928000000000001E-2</v>
      </c>
      <c r="N15" s="23">
        <v>9.9792000000000006E-2</v>
      </c>
      <c r="O15" s="4">
        <f t="shared" si="6"/>
        <v>0.23890879999999998</v>
      </c>
    </row>
    <row r="16" spans="1:15" x14ac:dyDescent="0.7">
      <c r="A16" s="6"/>
      <c r="B16" s="6"/>
      <c r="C16" s="6">
        <v>14</v>
      </c>
      <c r="D16" s="7">
        <v>4.33</v>
      </c>
      <c r="E16" s="7">
        <v>0</v>
      </c>
      <c r="F16" s="7">
        <v>4.33</v>
      </c>
      <c r="G16" s="17">
        <f t="shared" si="5"/>
        <v>374112</v>
      </c>
      <c r="H16" s="26">
        <f t="shared" si="0"/>
        <v>0.374112</v>
      </c>
      <c r="I16" s="23">
        <v>38842</v>
      </c>
      <c r="J16" s="51">
        <f t="shared" si="1"/>
        <v>3.8842000000000002E-2</v>
      </c>
      <c r="K16" s="23">
        <v>5355</v>
      </c>
      <c r="L16" s="23">
        <f t="shared" ref="L16" si="7">K16/1000000</f>
        <v>5.3550000000000004E-3</v>
      </c>
      <c r="M16" s="23">
        <f t="shared" si="3"/>
        <v>4.4197E-2</v>
      </c>
      <c r="N16" s="23">
        <v>9.9792000000000006E-2</v>
      </c>
      <c r="O16" s="4">
        <f t="shared" si="6"/>
        <v>0.23012300000000002</v>
      </c>
    </row>
    <row r="17" spans="1:15" x14ac:dyDescent="0.7">
      <c r="A17" s="6"/>
      <c r="B17" s="6"/>
      <c r="C17" s="6">
        <v>15</v>
      </c>
      <c r="D17" s="7">
        <v>4.33</v>
      </c>
      <c r="E17" s="7">
        <v>0</v>
      </c>
      <c r="F17" s="7">
        <v>4.33</v>
      </c>
      <c r="G17" s="17">
        <f t="shared" si="5"/>
        <v>374112</v>
      </c>
      <c r="H17" s="26">
        <f t="shared" si="0"/>
        <v>0.374112</v>
      </c>
      <c r="I17" s="23">
        <v>23032</v>
      </c>
      <c r="J17" s="51">
        <f t="shared" si="1"/>
        <v>2.3032E-2</v>
      </c>
      <c r="K17" s="23">
        <v>5036</v>
      </c>
      <c r="L17" s="23">
        <f>K17/1000000</f>
        <v>5.0359999999999997E-3</v>
      </c>
      <c r="M17" s="23">
        <f t="shared" si="3"/>
        <v>2.8067999999999999E-2</v>
      </c>
      <c r="N17" s="23">
        <v>9.9792000000000006E-2</v>
      </c>
      <c r="O17" s="4">
        <f t="shared" si="6"/>
        <v>0.24625200000000003</v>
      </c>
    </row>
    <row r="18" spans="1:15" x14ac:dyDescent="0.7">
      <c r="A18" s="6"/>
      <c r="B18" s="6"/>
      <c r="C18" s="6">
        <v>16</v>
      </c>
      <c r="D18" s="7">
        <v>4.33</v>
      </c>
      <c r="E18" s="7">
        <v>0</v>
      </c>
      <c r="F18" s="7">
        <v>4.33</v>
      </c>
      <c r="G18" s="17">
        <f t="shared" si="5"/>
        <v>374112</v>
      </c>
      <c r="H18" s="26">
        <f t="shared" si="0"/>
        <v>0.374112</v>
      </c>
      <c r="I18" s="23">
        <v>17209</v>
      </c>
      <c r="J18" s="51">
        <f t="shared" si="1"/>
        <v>1.7208999999999999E-2</v>
      </c>
      <c r="K18" s="23">
        <v>2517</v>
      </c>
      <c r="L18" s="23">
        <f t="shared" ref="L18:L27" si="8">K18/1000000</f>
        <v>2.5170000000000001E-3</v>
      </c>
      <c r="M18" s="23">
        <f t="shared" si="3"/>
        <v>1.9726E-2</v>
      </c>
      <c r="N18" s="23">
        <v>2.0736000000000001E-2</v>
      </c>
      <c r="O18" s="4">
        <f t="shared" si="6"/>
        <v>0.33365</v>
      </c>
    </row>
    <row r="19" spans="1:15" x14ac:dyDescent="0.7">
      <c r="A19" s="6"/>
      <c r="B19" s="6"/>
      <c r="C19" s="6">
        <v>17</v>
      </c>
      <c r="D19" s="7">
        <v>4.33</v>
      </c>
      <c r="E19" s="7">
        <v>0</v>
      </c>
      <c r="F19" s="7">
        <v>4.33</v>
      </c>
      <c r="G19" s="17">
        <f t="shared" si="5"/>
        <v>374112</v>
      </c>
      <c r="H19" s="26">
        <f t="shared" si="0"/>
        <v>0.374112</v>
      </c>
      <c r="I19" s="23">
        <v>15329</v>
      </c>
      <c r="J19" s="51">
        <f t="shared" si="1"/>
        <v>1.5329000000000001E-2</v>
      </c>
      <c r="K19" s="23">
        <v>2587</v>
      </c>
      <c r="L19" s="23">
        <f t="shared" si="8"/>
        <v>2.5869999999999999E-3</v>
      </c>
      <c r="M19" s="23">
        <f t="shared" si="3"/>
        <v>1.7916000000000001E-2</v>
      </c>
      <c r="N19" s="23">
        <v>2.0736000000000001E-2</v>
      </c>
      <c r="O19" s="4">
        <f t="shared" si="6"/>
        <v>0.33546000000000004</v>
      </c>
    </row>
    <row r="20" spans="1:15" x14ac:dyDescent="0.7">
      <c r="A20" s="6"/>
      <c r="B20" s="6"/>
      <c r="C20" s="6">
        <v>18</v>
      </c>
      <c r="D20" s="7">
        <v>4.2430000000000003</v>
      </c>
      <c r="E20" s="7">
        <v>0</v>
      </c>
      <c r="F20" s="7">
        <v>4.2430000000000003</v>
      </c>
      <c r="G20" s="17">
        <f t="shared" si="5"/>
        <v>366595.2</v>
      </c>
      <c r="H20" s="26">
        <f t="shared" si="0"/>
        <v>0.36659520000000001</v>
      </c>
      <c r="I20" s="23">
        <v>13755</v>
      </c>
      <c r="J20" s="53">
        <f t="shared" ref="J20:J27" si="9">I20/1000000</f>
        <v>1.3755E-2</v>
      </c>
      <c r="K20" s="23">
        <v>2919</v>
      </c>
      <c r="L20" s="23">
        <f t="shared" si="8"/>
        <v>2.9190000000000002E-3</v>
      </c>
      <c r="M20" s="23">
        <f t="shared" ref="M20:M27" si="10">J20+L20</f>
        <v>1.6674000000000001E-2</v>
      </c>
      <c r="N20" s="23">
        <v>2.4278400000000002E-2</v>
      </c>
      <c r="O20" s="7">
        <f t="shared" si="6"/>
        <v>0.32564280000000001</v>
      </c>
    </row>
    <row r="21" spans="1:15" x14ac:dyDescent="0.7">
      <c r="A21" s="6"/>
      <c r="B21" s="6"/>
      <c r="C21" s="6">
        <v>19</v>
      </c>
      <c r="D21" s="7">
        <v>4.2430000000000003</v>
      </c>
      <c r="E21" s="7">
        <v>0</v>
      </c>
      <c r="F21" s="7">
        <v>4.2430000000000003</v>
      </c>
      <c r="G21" s="17">
        <f t="shared" si="5"/>
        <v>366595.2</v>
      </c>
      <c r="H21" s="26">
        <f t="shared" si="0"/>
        <v>0.36659520000000001</v>
      </c>
      <c r="I21" s="23">
        <v>40288</v>
      </c>
      <c r="J21" s="51">
        <f t="shared" si="9"/>
        <v>4.0287999999999997E-2</v>
      </c>
      <c r="K21" s="23">
        <v>0</v>
      </c>
      <c r="L21" s="23">
        <f t="shared" si="8"/>
        <v>0</v>
      </c>
      <c r="M21" s="23">
        <f t="shared" si="10"/>
        <v>4.0287999999999997E-2</v>
      </c>
      <c r="N21" s="23">
        <v>3.1881600000000003E-2</v>
      </c>
      <c r="O21" s="7">
        <f>H21-M21-N21</f>
        <v>0.29442560000000001</v>
      </c>
    </row>
    <row r="22" spans="1:15" x14ac:dyDescent="0.7">
      <c r="A22" s="6"/>
      <c r="B22" s="6"/>
      <c r="C22" s="6">
        <v>20</v>
      </c>
      <c r="D22" s="7">
        <v>4.2430000000000003</v>
      </c>
      <c r="E22" s="7">
        <v>0</v>
      </c>
      <c r="F22" s="7">
        <v>4.2430000000000003</v>
      </c>
      <c r="G22" s="17">
        <f t="shared" si="5"/>
        <v>366595.2</v>
      </c>
      <c r="H22" s="26">
        <f t="shared" si="0"/>
        <v>0.36659520000000001</v>
      </c>
      <c r="I22" s="23">
        <v>18458</v>
      </c>
      <c r="J22" s="51">
        <f t="shared" si="9"/>
        <v>1.8457999999999999E-2</v>
      </c>
      <c r="K22" s="23">
        <v>2149</v>
      </c>
      <c r="L22" s="23">
        <f t="shared" si="8"/>
        <v>2.1489999999999999E-3</v>
      </c>
      <c r="M22" s="23">
        <f t="shared" si="10"/>
        <v>2.0607E-2</v>
      </c>
      <c r="N22" s="23">
        <v>2.0736000000000001E-2</v>
      </c>
      <c r="O22" s="4">
        <f t="shared" ref="O22:O28" si="11">H22-M22-N22</f>
        <v>0.32525220000000005</v>
      </c>
    </row>
    <row r="23" spans="1:15" x14ac:dyDescent="0.7">
      <c r="A23" s="6"/>
      <c r="B23" s="6"/>
      <c r="C23" s="6">
        <v>21</v>
      </c>
      <c r="D23" s="7">
        <v>4.0730000000000004</v>
      </c>
      <c r="E23" s="7">
        <v>0</v>
      </c>
      <c r="F23" s="7">
        <v>4.0730000000000004</v>
      </c>
      <c r="G23" s="17">
        <f t="shared" si="5"/>
        <v>351907.2</v>
      </c>
      <c r="H23" s="26">
        <f t="shared" si="0"/>
        <v>0.35190720000000003</v>
      </c>
      <c r="I23" s="23">
        <v>14796</v>
      </c>
      <c r="J23" s="51">
        <f t="shared" si="9"/>
        <v>1.4796E-2</v>
      </c>
      <c r="K23" s="23">
        <v>2356</v>
      </c>
      <c r="L23" s="23">
        <f t="shared" si="8"/>
        <v>2.356E-3</v>
      </c>
      <c r="M23" s="23">
        <f t="shared" si="10"/>
        <v>1.7152000000000001E-2</v>
      </c>
      <c r="N23" s="23">
        <v>2.0736000000000001E-2</v>
      </c>
      <c r="O23" s="4">
        <f t="shared" si="11"/>
        <v>0.31401920000000005</v>
      </c>
    </row>
    <row r="24" spans="1:15" x14ac:dyDescent="0.7">
      <c r="A24" s="6"/>
      <c r="B24" s="6"/>
      <c r="C24" s="6">
        <v>22</v>
      </c>
      <c r="D24" s="7">
        <v>3.99</v>
      </c>
      <c r="E24" s="7">
        <v>0</v>
      </c>
      <c r="F24" s="7">
        <v>3.99</v>
      </c>
      <c r="G24" s="17">
        <f t="shared" si="5"/>
        <v>344736</v>
      </c>
      <c r="H24" s="26">
        <f t="shared" si="0"/>
        <v>0.34473599999999999</v>
      </c>
      <c r="I24" s="23">
        <v>17672</v>
      </c>
      <c r="J24" s="51">
        <f t="shared" si="9"/>
        <v>1.7672E-2</v>
      </c>
      <c r="K24" s="23">
        <v>5544</v>
      </c>
      <c r="L24" s="23">
        <f t="shared" si="8"/>
        <v>5.5440000000000003E-3</v>
      </c>
      <c r="M24" s="23">
        <f t="shared" si="10"/>
        <v>2.3216000000000001E-2</v>
      </c>
      <c r="N24" s="23">
        <v>2.0736000000000001E-2</v>
      </c>
      <c r="O24" s="4">
        <f t="shared" si="11"/>
        <v>0.300784</v>
      </c>
    </row>
    <row r="25" spans="1:15" x14ac:dyDescent="0.7">
      <c r="A25" s="6"/>
      <c r="B25" s="6"/>
      <c r="C25" s="6">
        <v>23</v>
      </c>
      <c r="D25" s="7">
        <v>3.907</v>
      </c>
      <c r="E25" s="7">
        <v>0</v>
      </c>
      <c r="F25" s="7">
        <v>3.907</v>
      </c>
      <c r="G25" s="17">
        <f t="shared" si="5"/>
        <v>337564.8</v>
      </c>
      <c r="H25" s="26">
        <f t="shared" si="0"/>
        <v>0.3375648</v>
      </c>
      <c r="I25" s="23">
        <v>14670</v>
      </c>
      <c r="J25" s="51">
        <f t="shared" si="9"/>
        <v>1.4670000000000001E-2</v>
      </c>
      <c r="K25" s="23">
        <v>5841</v>
      </c>
      <c r="L25" s="23">
        <f t="shared" si="8"/>
        <v>5.8409999999999998E-3</v>
      </c>
      <c r="M25" s="23">
        <f t="shared" si="10"/>
        <v>2.0511000000000001E-2</v>
      </c>
      <c r="N25" s="23">
        <v>2.0736000000000001E-2</v>
      </c>
      <c r="O25" s="4">
        <f t="shared" si="11"/>
        <v>0.29631780000000002</v>
      </c>
    </row>
    <row r="26" spans="1:15" x14ac:dyDescent="0.7">
      <c r="A26" s="6"/>
      <c r="B26" s="6"/>
      <c r="C26" s="6">
        <v>24</v>
      </c>
      <c r="D26" s="7">
        <v>3.907</v>
      </c>
      <c r="E26" s="7">
        <v>0</v>
      </c>
      <c r="F26" s="7">
        <v>3.907</v>
      </c>
      <c r="G26" s="17">
        <f t="shared" si="5"/>
        <v>337564.8</v>
      </c>
      <c r="H26" s="26">
        <f t="shared" si="0"/>
        <v>0.3375648</v>
      </c>
      <c r="I26" s="23">
        <v>14756</v>
      </c>
      <c r="J26" s="51">
        <f t="shared" si="9"/>
        <v>1.4756E-2</v>
      </c>
      <c r="K26" s="23">
        <v>2644</v>
      </c>
      <c r="L26" s="23">
        <f t="shared" si="8"/>
        <v>2.6440000000000001E-3</v>
      </c>
      <c r="M26" s="23">
        <f t="shared" si="10"/>
        <v>1.7399999999999999E-2</v>
      </c>
      <c r="N26" s="23">
        <v>2.0736000000000001E-2</v>
      </c>
      <c r="O26" s="4">
        <f t="shared" si="11"/>
        <v>0.29942880000000005</v>
      </c>
    </row>
    <row r="27" spans="1:15" x14ac:dyDescent="0.7">
      <c r="A27" s="6"/>
      <c r="B27" s="6"/>
      <c r="C27" s="6">
        <v>25</v>
      </c>
      <c r="D27" s="7">
        <v>3.8250000000000002</v>
      </c>
      <c r="E27" s="7">
        <v>0</v>
      </c>
      <c r="F27" s="7">
        <v>3.8250000000000002</v>
      </c>
      <c r="G27" s="17">
        <f t="shared" si="5"/>
        <v>330480</v>
      </c>
      <c r="H27" s="26">
        <f t="shared" si="0"/>
        <v>0.33048</v>
      </c>
      <c r="I27" s="23">
        <v>15055</v>
      </c>
      <c r="J27" s="51">
        <f t="shared" si="9"/>
        <v>1.5055000000000001E-2</v>
      </c>
      <c r="K27" s="23">
        <v>0</v>
      </c>
      <c r="L27" s="23">
        <f t="shared" si="8"/>
        <v>0</v>
      </c>
      <c r="M27" s="23">
        <f t="shared" si="10"/>
        <v>1.5055000000000001E-2</v>
      </c>
      <c r="N27" s="23">
        <v>2.0736000000000001E-2</v>
      </c>
      <c r="O27" s="4">
        <f t="shared" si="11"/>
        <v>0.29468900000000003</v>
      </c>
    </row>
    <row r="28" spans="1:15" x14ac:dyDescent="0.7">
      <c r="A28" s="6"/>
      <c r="B28" s="6"/>
      <c r="C28" s="6">
        <v>26</v>
      </c>
      <c r="D28" s="7">
        <v>3.665</v>
      </c>
      <c r="E28" s="7">
        <v>0</v>
      </c>
      <c r="F28" s="7">
        <v>3.665</v>
      </c>
      <c r="G28" s="17">
        <f t="shared" si="5"/>
        <v>316656</v>
      </c>
      <c r="H28" s="26">
        <f t="shared" si="0"/>
        <v>0.31665599999999999</v>
      </c>
      <c r="I28" s="23">
        <v>13755</v>
      </c>
      <c r="J28" s="53">
        <f t="shared" ref="J28:J33" si="12">I28/1000000</f>
        <v>1.3755E-2</v>
      </c>
      <c r="K28" s="23">
        <v>2919</v>
      </c>
      <c r="L28" s="23">
        <f t="shared" ref="L28:L33" si="13">K28/1000000</f>
        <v>2.9190000000000002E-3</v>
      </c>
      <c r="M28" s="23">
        <f t="shared" ref="M28:M33" si="14">J28+L28</f>
        <v>1.6674000000000001E-2</v>
      </c>
      <c r="N28" s="23">
        <v>2.4278400000000002E-2</v>
      </c>
      <c r="O28" s="7">
        <f t="shared" si="11"/>
        <v>0.27570359999999999</v>
      </c>
    </row>
    <row r="29" spans="1:15" x14ac:dyDescent="0.7">
      <c r="A29" s="6"/>
      <c r="B29" s="6"/>
      <c r="C29" s="6">
        <v>27</v>
      </c>
      <c r="D29" s="7">
        <v>3.665</v>
      </c>
      <c r="E29" s="7">
        <v>0</v>
      </c>
      <c r="F29" s="7">
        <v>3.665</v>
      </c>
      <c r="G29" s="17">
        <f t="shared" si="5"/>
        <v>316656</v>
      </c>
      <c r="H29" s="26">
        <f t="shared" si="0"/>
        <v>0.31665599999999999</v>
      </c>
      <c r="I29" s="23">
        <v>40288</v>
      </c>
      <c r="J29" s="51">
        <f t="shared" si="12"/>
        <v>4.0287999999999997E-2</v>
      </c>
      <c r="K29" s="23">
        <v>0</v>
      </c>
      <c r="L29" s="23">
        <f t="shared" si="13"/>
        <v>0</v>
      </c>
      <c r="M29" s="23">
        <f t="shared" si="14"/>
        <v>4.0287999999999997E-2</v>
      </c>
      <c r="N29" s="23">
        <v>3.1881600000000003E-2</v>
      </c>
      <c r="O29" s="7">
        <f>H29-M29-N29</f>
        <v>0.24448639999999999</v>
      </c>
    </row>
    <row r="30" spans="1:15" x14ac:dyDescent="0.7">
      <c r="A30" s="6"/>
      <c r="B30" s="6"/>
      <c r="C30" s="6">
        <v>28</v>
      </c>
      <c r="D30" s="7">
        <v>3.5859999999999999</v>
      </c>
      <c r="E30" s="7">
        <v>0</v>
      </c>
      <c r="F30" s="7">
        <v>3.5859999999999999</v>
      </c>
      <c r="G30" s="17">
        <f t="shared" si="5"/>
        <v>309830.39999999997</v>
      </c>
      <c r="H30" s="26">
        <f t="shared" si="0"/>
        <v>0.30983039999999995</v>
      </c>
      <c r="I30" s="23">
        <v>18458</v>
      </c>
      <c r="J30" s="51">
        <f t="shared" si="12"/>
        <v>1.8457999999999999E-2</v>
      </c>
      <c r="K30" s="23">
        <v>2149</v>
      </c>
      <c r="L30" s="23">
        <f t="shared" si="13"/>
        <v>2.1489999999999999E-3</v>
      </c>
      <c r="M30" s="23">
        <f t="shared" si="14"/>
        <v>2.0607E-2</v>
      </c>
      <c r="N30" s="23">
        <v>2.0736000000000001E-2</v>
      </c>
      <c r="O30" s="4">
        <f t="shared" ref="O30" si="15">H30-M30-N30</f>
        <v>0.26848739999999999</v>
      </c>
    </row>
    <row r="31" spans="1:15" x14ac:dyDescent="0.7">
      <c r="A31" s="6"/>
      <c r="B31" s="6"/>
      <c r="C31" s="6">
        <v>29</v>
      </c>
      <c r="D31" s="7">
        <v>3.5859999999999999</v>
      </c>
      <c r="E31" s="7">
        <v>0</v>
      </c>
      <c r="F31" s="7">
        <v>3.5859999999999999</v>
      </c>
      <c r="G31" s="17">
        <f t="shared" si="5"/>
        <v>309830.39999999997</v>
      </c>
      <c r="H31" s="26">
        <f t="shared" si="0"/>
        <v>0.30983039999999995</v>
      </c>
      <c r="I31" s="23">
        <v>14434</v>
      </c>
      <c r="J31" s="51">
        <f t="shared" si="12"/>
        <v>1.4434000000000001E-2</v>
      </c>
      <c r="K31" s="23">
        <v>2301.0970000000002</v>
      </c>
      <c r="L31" s="23">
        <f t="shared" si="13"/>
        <v>2.3010970000000002E-3</v>
      </c>
      <c r="M31" s="23">
        <f t="shared" si="14"/>
        <v>1.6735097000000001E-2</v>
      </c>
      <c r="N31" s="23">
        <v>1.88352E-2</v>
      </c>
      <c r="O31" s="7">
        <f>H31-M31-N31</f>
        <v>0.27426010299999998</v>
      </c>
    </row>
    <row r="32" spans="1:15" x14ac:dyDescent="0.7">
      <c r="A32" s="6"/>
      <c r="B32" s="6"/>
      <c r="C32" s="6">
        <v>30</v>
      </c>
      <c r="D32" s="7">
        <v>3.3540000000000001</v>
      </c>
      <c r="E32" s="7">
        <v>0</v>
      </c>
      <c r="F32" s="7">
        <v>3.3540000000000001</v>
      </c>
      <c r="G32" s="17">
        <f t="shared" si="5"/>
        <v>289785.60000000003</v>
      </c>
      <c r="H32" s="26">
        <f t="shared" si="0"/>
        <v>0.28978560000000003</v>
      </c>
      <c r="I32" s="23">
        <v>14082</v>
      </c>
      <c r="J32" s="51">
        <f t="shared" si="12"/>
        <v>1.4082000000000001E-2</v>
      </c>
      <c r="K32" s="23">
        <v>2301.0970000000002</v>
      </c>
      <c r="L32" s="23">
        <f t="shared" si="13"/>
        <v>2.3010970000000002E-3</v>
      </c>
      <c r="M32" s="23">
        <f t="shared" si="14"/>
        <v>1.6383096999999999E-2</v>
      </c>
      <c r="N32" s="23">
        <v>1.88352E-2</v>
      </c>
      <c r="O32" s="7">
        <f t="shared" ref="O32:O33" si="16">H32-M32-N32</f>
        <v>0.25456730300000002</v>
      </c>
    </row>
    <row r="33" spans="1:15" s="15" customFormat="1" ht="25.2" thickBot="1" x14ac:dyDescent="0.75">
      <c r="A33" s="9"/>
      <c r="B33" s="9" t="s">
        <v>15</v>
      </c>
      <c r="C33" s="9">
        <v>31</v>
      </c>
      <c r="D33" s="10">
        <v>8.0739999999999998</v>
      </c>
      <c r="E33" s="10">
        <v>0</v>
      </c>
      <c r="F33" s="10">
        <v>8.0739999999999998</v>
      </c>
      <c r="G33" s="58">
        <f t="shared" si="5"/>
        <v>697593.6</v>
      </c>
      <c r="H33" s="59">
        <f t="shared" si="0"/>
        <v>0.69759359999999992</v>
      </c>
      <c r="I33" s="27">
        <v>14254</v>
      </c>
      <c r="J33" s="52">
        <f t="shared" si="12"/>
        <v>1.4253999999999999E-2</v>
      </c>
      <c r="K33" s="60">
        <v>2301.0970000000002</v>
      </c>
      <c r="L33" s="27">
        <f t="shared" si="13"/>
        <v>2.3010970000000002E-3</v>
      </c>
      <c r="M33" s="27">
        <f t="shared" si="14"/>
        <v>1.6555096999999998E-2</v>
      </c>
      <c r="N33" s="27">
        <v>1.5292799999999999E-2</v>
      </c>
      <c r="O33" s="10">
        <f t="shared" si="16"/>
        <v>0.66574570299999991</v>
      </c>
    </row>
    <row r="34" spans="1:15" x14ac:dyDescent="0.7">
      <c r="A34" s="3"/>
      <c r="B34" s="3" t="s">
        <v>16</v>
      </c>
      <c r="C34" s="3">
        <v>1</v>
      </c>
      <c r="D34" s="4">
        <v>6.36</v>
      </c>
      <c r="E34" s="4">
        <v>0</v>
      </c>
      <c r="F34" s="4">
        <v>6.36</v>
      </c>
      <c r="G34" s="17">
        <f t="shared" si="5"/>
        <v>549504</v>
      </c>
      <c r="H34" s="26">
        <f t="shared" si="0"/>
        <v>0.54950399999999999</v>
      </c>
      <c r="I34" s="26">
        <v>14255</v>
      </c>
      <c r="J34" s="54">
        <f t="shared" ref="J34:J36" si="17">I34/1000000</f>
        <v>1.4255E-2</v>
      </c>
      <c r="K34" s="57">
        <v>2302.0970000000002</v>
      </c>
      <c r="L34" s="26">
        <f t="shared" ref="L34:L36" si="18">K34/1000000</f>
        <v>2.3020970000000003E-3</v>
      </c>
      <c r="M34" s="26">
        <f t="shared" ref="M34:M36" si="19">J34+L34</f>
        <v>1.6557097E-2</v>
      </c>
      <c r="N34" s="26">
        <v>1.0152928000000001</v>
      </c>
      <c r="O34" s="4">
        <f t="shared" ref="O34:O36" si="20">H34-M34-N34</f>
        <v>-0.48234589700000008</v>
      </c>
    </row>
    <row r="35" spans="1:15" x14ac:dyDescent="0.7">
      <c r="A35" s="6"/>
      <c r="B35" s="6"/>
      <c r="C35" s="6">
        <v>2</v>
      </c>
      <c r="D35" s="7">
        <v>4.4169999999999998</v>
      </c>
      <c r="E35" s="7">
        <v>0</v>
      </c>
      <c r="F35" s="7">
        <v>4.4169999999999998</v>
      </c>
      <c r="G35" s="17">
        <f t="shared" si="5"/>
        <v>381628.8</v>
      </c>
      <c r="H35" s="26">
        <f t="shared" si="0"/>
        <v>0.38162879999999999</v>
      </c>
      <c r="I35" s="23">
        <v>14256</v>
      </c>
      <c r="J35" s="51">
        <f t="shared" si="17"/>
        <v>1.4256E-2</v>
      </c>
      <c r="K35" s="56">
        <v>2303.0970000000002</v>
      </c>
      <c r="L35" s="23">
        <f t="shared" si="18"/>
        <v>2.303097E-3</v>
      </c>
      <c r="M35" s="23">
        <f t="shared" si="19"/>
        <v>1.6559096999999998E-2</v>
      </c>
      <c r="N35" s="23">
        <v>2.0152928000000001</v>
      </c>
      <c r="O35" s="7">
        <f t="shared" si="20"/>
        <v>-1.650223097</v>
      </c>
    </row>
    <row r="36" spans="1:15" x14ac:dyDescent="0.7">
      <c r="A36" s="6"/>
      <c r="B36" s="6"/>
      <c r="C36" s="6">
        <v>3</v>
      </c>
      <c r="D36" s="7">
        <v>3.99</v>
      </c>
      <c r="E36" s="7">
        <v>0</v>
      </c>
      <c r="F36" s="7">
        <v>3.99</v>
      </c>
      <c r="G36" s="17">
        <f t="shared" si="5"/>
        <v>344736</v>
      </c>
      <c r="H36" s="26">
        <f t="shared" si="0"/>
        <v>0.34473599999999999</v>
      </c>
      <c r="I36" s="23">
        <v>14257</v>
      </c>
      <c r="J36" s="51">
        <f t="shared" si="17"/>
        <v>1.4257000000000001E-2</v>
      </c>
      <c r="K36" s="56">
        <v>2304.0970000000002</v>
      </c>
      <c r="L36" s="23">
        <f t="shared" si="18"/>
        <v>2.3040970000000002E-3</v>
      </c>
      <c r="M36" s="23">
        <f t="shared" si="19"/>
        <v>1.6561097E-2</v>
      </c>
      <c r="N36" s="23">
        <v>3.0152928000000001</v>
      </c>
      <c r="O36" s="7">
        <f t="shared" si="20"/>
        <v>-2.6871178970000003</v>
      </c>
    </row>
    <row r="37" spans="1:15" x14ac:dyDescent="0.7">
      <c r="A37" s="6"/>
      <c r="B37" s="6"/>
      <c r="C37" s="6">
        <v>4</v>
      </c>
      <c r="D37" s="7">
        <v>3.99</v>
      </c>
      <c r="E37" s="7">
        <v>0</v>
      </c>
      <c r="F37" s="7">
        <v>3.99</v>
      </c>
      <c r="G37" s="17">
        <f t="shared" si="5"/>
        <v>344736</v>
      </c>
      <c r="H37" s="26">
        <f t="shared" si="0"/>
        <v>0.34473599999999999</v>
      </c>
      <c r="I37" s="23">
        <v>19130</v>
      </c>
      <c r="J37" s="51">
        <f t="shared" ref="J37:J40" si="21">I37/1000000</f>
        <v>1.9130000000000001E-2</v>
      </c>
      <c r="K37" s="56">
        <v>2301.0970000000002</v>
      </c>
      <c r="L37" s="23">
        <f t="shared" ref="L37:L40" si="22">K37/1000000</f>
        <v>2.3010970000000002E-3</v>
      </c>
      <c r="M37" s="23">
        <f t="shared" ref="M37:M40" si="23">J37+L37</f>
        <v>2.1431097000000003E-2</v>
      </c>
      <c r="N37" s="23">
        <v>1.8230399999999997E-2</v>
      </c>
      <c r="O37" s="7">
        <f t="shared" ref="O37:O40" si="24">H37-M37-N37</f>
        <v>0.305074503</v>
      </c>
    </row>
    <row r="38" spans="1:15" x14ac:dyDescent="0.7">
      <c r="A38" s="6"/>
      <c r="B38" s="6"/>
      <c r="C38" s="6">
        <v>5</v>
      </c>
      <c r="D38" s="7">
        <v>3.8250000000000002</v>
      </c>
      <c r="E38" s="7">
        <v>0</v>
      </c>
      <c r="F38" s="7">
        <v>3.8250000000000002</v>
      </c>
      <c r="G38" s="17">
        <f t="shared" si="5"/>
        <v>330480</v>
      </c>
      <c r="H38" s="26">
        <f t="shared" si="0"/>
        <v>0.33048</v>
      </c>
      <c r="I38" s="23">
        <v>20501</v>
      </c>
      <c r="J38" s="51">
        <f t="shared" si="21"/>
        <v>2.0500999999999998E-2</v>
      </c>
      <c r="K38" s="56">
        <v>2301.0970000000002</v>
      </c>
      <c r="L38" s="23">
        <f t="shared" si="22"/>
        <v>2.3010970000000002E-3</v>
      </c>
      <c r="M38" s="23">
        <f t="shared" si="23"/>
        <v>2.2802097E-2</v>
      </c>
      <c r="N38" s="23">
        <v>1.8230399999999997E-2</v>
      </c>
      <c r="O38" s="7">
        <f t="shared" si="24"/>
        <v>0.28944750299999999</v>
      </c>
    </row>
    <row r="39" spans="1:15" x14ac:dyDescent="0.7">
      <c r="A39" s="6"/>
      <c r="B39" s="6"/>
      <c r="C39" s="6">
        <v>6</v>
      </c>
      <c r="D39" s="7">
        <v>3.7450000000000001</v>
      </c>
      <c r="E39" s="7">
        <v>0</v>
      </c>
      <c r="F39" s="7">
        <v>3.7450000000000001</v>
      </c>
      <c r="G39" s="17">
        <f t="shared" si="5"/>
        <v>323568</v>
      </c>
      <c r="H39" s="26">
        <f t="shared" si="0"/>
        <v>0.32356800000000002</v>
      </c>
      <c r="I39" s="23">
        <v>12162</v>
      </c>
      <c r="J39" s="51">
        <f t="shared" si="21"/>
        <v>1.2161999999999999E-2</v>
      </c>
      <c r="K39" s="56">
        <v>2301.0970000000002</v>
      </c>
      <c r="L39" s="23">
        <f t="shared" si="22"/>
        <v>2.3010970000000002E-3</v>
      </c>
      <c r="M39" s="23">
        <f t="shared" si="23"/>
        <v>1.4463096999999999E-2</v>
      </c>
      <c r="N39" s="23">
        <v>1.8230399999999997E-2</v>
      </c>
      <c r="O39" s="7">
        <f t="shared" si="24"/>
        <v>0.29087450300000006</v>
      </c>
    </row>
    <row r="40" spans="1:15" x14ac:dyDescent="0.7">
      <c r="A40" s="6"/>
      <c r="B40" s="6"/>
      <c r="C40" s="6">
        <v>7</v>
      </c>
      <c r="D40" s="7">
        <v>3.7450000000000001</v>
      </c>
      <c r="E40" s="7">
        <v>0</v>
      </c>
      <c r="F40" s="7">
        <v>3.7450000000000001</v>
      </c>
      <c r="G40" s="17">
        <f t="shared" si="5"/>
        <v>323568</v>
      </c>
      <c r="H40" s="26">
        <f t="shared" si="0"/>
        <v>0.32356800000000002</v>
      </c>
      <c r="I40" s="23">
        <v>16410</v>
      </c>
      <c r="J40" s="51">
        <f t="shared" si="21"/>
        <v>1.6410000000000001E-2</v>
      </c>
      <c r="K40" s="56">
        <v>2301.0970000000002</v>
      </c>
      <c r="L40" s="23">
        <f t="shared" si="22"/>
        <v>2.3010970000000002E-3</v>
      </c>
      <c r="M40" s="23">
        <f t="shared" si="23"/>
        <v>1.8711097000000003E-2</v>
      </c>
      <c r="N40" s="23">
        <v>1.8230399999999997E-2</v>
      </c>
      <c r="O40" s="7">
        <f t="shared" si="24"/>
        <v>0.28662650300000003</v>
      </c>
    </row>
    <row r="41" spans="1:15" x14ac:dyDescent="0.7">
      <c r="A41" s="6"/>
      <c r="B41" s="6"/>
      <c r="C41" s="6">
        <v>8</v>
      </c>
      <c r="D41" s="7">
        <v>3.7450000000000001</v>
      </c>
      <c r="E41" s="7">
        <v>0</v>
      </c>
      <c r="F41" s="7">
        <v>3.7450000000000001</v>
      </c>
      <c r="G41" s="17">
        <f t="shared" si="5"/>
        <v>323568</v>
      </c>
      <c r="H41" s="26">
        <f t="shared" si="0"/>
        <v>0.32356800000000002</v>
      </c>
      <c r="I41" s="23">
        <v>12926</v>
      </c>
      <c r="J41" s="51">
        <f t="shared" ref="J41:J42" si="25">I41/1000000</f>
        <v>1.2926E-2</v>
      </c>
      <c r="K41" s="56">
        <v>2301.0970000000002</v>
      </c>
      <c r="L41" s="23">
        <f t="shared" ref="L41:L42" si="26">K41/1000000</f>
        <v>2.3010970000000002E-3</v>
      </c>
      <c r="M41" s="23">
        <f t="shared" ref="M41:M42" si="27">J41+L41</f>
        <v>1.5227097E-2</v>
      </c>
      <c r="N41" s="23">
        <v>1.8230400000000001E-2</v>
      </c>
      <c r="O41" s="7">
        <f t="shared" ref="O41:O42" si="28">H41-M41-N41</f>
        <v>0.29011050300000002</v>
      </c>
    </row>
    <row r="42" spans="1:15" x14ac:dyDescent="0.7">
      <c r="A42" s="6"/>
      <c r="B42" s="6"/>
      <c r="C42" s="6">
        <v>9</v>
      </c>
      <c r="D42" s="7">
        <v>9.3450000000000006</v>
      </c>
      <c r="E42" s="7">
        <v>48.1</v>
      </c>
      <c r="F42" s="7">
        <v>9.3450000000000006</v>
      </c>
      <c r="G42" s="17">
        <f t="shared" si="5"/>
        <v>807408</v>
      </c>
      <c r="H42" s="26">
        <f t="shared" si="0"/>
        <v>0.80740800000000001</v>
      </c>
      <c r="I42" s="23">
        <v>11276.1</v>
      </c>
      <c r="J42" s="51">
        <f t="shared" si="25"/>
        <v>1.1276100000000001E-2</v>
      </c>
      <c r="K42" s="56">
        <v>2301.0970000000002</v>
      </c>
      <c r="L42" s="23">
        <f t="shared" si="26"/>
        <v>2.3010970000000002E-3</v>
      </c>
      <c r="M42" s="23">
        <f t="shared" si="27"/>
        <v>1.3577197000000001E-2</v>
      </c>
      <c r="N42" s="23">
        <v>1.8230400000000001E-2</v>
      </c>
      <c r="O42" s="7">
        <f t="shared" si="28"/>
        <v>0.77560040299999999</v>
      </c>
    </row>
    <row r="43" spans="1:15" x14ac:dyDescent="0.7">
      <c r="A43" s="6"/>
      <c r="B43" s="6"/>
      <c r="C43" s="6">
        <v>10</v>
      </c>
      <c r="D43" s="7">
        <v>6.6849999999999996</v>
      </c>
      <c r="E43" s="7">
        <v>0</v>
      </c>
      <c r="F43" s="7">
        <v>6.6849999999999996</v>
      </c>
      <c r="G43" s="17">
        <f t="shared" si="5"/>
        <v>577584</v>
      </c>
      <c r="H43" s="26">
        <f t="shared" si="0"/>
        <v>0.57758399999999999</v>
      </c>
      <c r="I43" s="23">
        <v>14434</v>
      </c>
      <c r="J43" s="51">
        <f t="shared" ref="J43:J47" si="29">I43/1000000</f>
        <v>1.4434000000000001E-2</v>
      </c>
      <c r="K43" s="23">
        <v>2301.0970000000002</v>
      </c>
      <c r="L43" s="23">
        <f t="shared" ref="L43:L47" si="30">K43/1000000</f>
        <v>2.3010970000000002E-3</v>
      </c>
      <c r="M43" s="23">
        <f t="shared" ref="M43:M47" si="31">J43+L43</f>
        <v>1.6735097000000001E-2</v>
      </c>
      <c r="N43" s="23">
        <v>1.88352E-2</v>
      </c>
      <c r="O43" s="7">
        <f>H43-M43-N43</f>
        <v>0.54201370299999996</v>
      </c>
    </row>
    <row r="44" spans="1:15" x14ac:dyDescent="0.7">
      <c r="A44" s="6"/>
      <c r="B44" s="6"/>
      <c r="C44" s="6">
        <v>11</v>
      </c>
      <c r="D44" s="7">
        <v>5.4379999999999997</v>
      </c>
      <c r="E44" s="7">
        <v>0</v>
      </c>
      <c r="F44" s="7">
        <v>5.4379999999999997</v>
      </c>
      <c r="G44" s="17">
        <f t="shared" si="5"/>
        <v>469843.19999999995</v>
      </c>
      <c r="H44" s="26">
        <f t="shared" si="0"/>
        <v>0.46984319999999996</v>
      </c>
      <c r="I44" s="23">
        <v>14082</v>
      </c>
      <c r="J44" s="51">
        <f t="shared" si="29"/>
        <v>1.4082000000000001E-2</v>
      </c>
      <c r="K44" s="23">
        <v>2301.0970000000002</v>
      </c>
      <c r="L44" s="23">
        <f t="shared" si="30"/>
        <v>2.3010970000000002E-3</v>
      </c>
      <c r="M44" s="23">
        <f t="shared" si="31"/>
        <v>1.6383096999999999E-2</v>
      </c>
      <c r="N44" s="23">
        <v>1.88352E-2</v>
      </c>
      <c r="O44" s="7">
        <f t="shared" ref="O44:O47" si="32">H44-M44-N44</f>
        <v>0.43462490299999995</v>
      </c>
    </row>
    <row r="45" spans="1:15" x14ac:dyDescent="0.7">
      <c r="A45" s="6"/>
      <c r="B45" s="6"/>
      <c r="C45" s="6">
        <v>12</v>
      </c>
      <c r="D45" s="7">
        <v>4.6840000000000002</v>
      </c>
      <c r="E45" s="7">
        <v>0</v>
      </c>
      <c r="F45" s="7">
        <v>4.6840000000000002</v>
      </c>
      <c r="G45" s="17">
        <f t="shared" si="5"/>
        <v>404697.60000000003</v>
      </c>
      <c r="H45" s="26">
        <f t="shared" si="0"/>
        <v>0.40469760000000005</v>
      </c>
      <c r="I45" s="23">
        <v>14254</v>
      </c>
      <c r="J45" s="51">
        <f t="shared" si="29"/>
        <v>1.4253999999999999E-2</v>
      </c>
      <c r="K45" s="56">
        <v>2301.0970000000002</v>
      </c>
      <c r="L45" s="23">
        <f t="shared" si="30"/>
        <v>2.3010970000000002E-3</v>
      </c>
      <c r="M45" s="23">
        <f t="shared" si="31"/>
        <v>1.6555096999999998E-2</v>
      </c>
      <c r="N45" s="23">
        <v>1.5292799999999999E-2</v>
      </c>
      <c r="O45" s="7">
        <f t="shared" si="32"/>
        <v>0.37284970300000003</v>
      </c>
    </row>
    <row r="46" spans="1:15" x14ac:dyDescent="0.7">
      <c r="A46" s="6"/>
      <c r="B46" s="6"/>
      <c r="C46" s="6">
        <v>13</v>
      </c>
      <c r="D46" s="7">
        <v>4.33</v>
      </c>
      <c r="E46" s="7">
        <v>0</v>
      </c>
      <c r="F46" s="7">
        <v>4.33</v>
      </c>
      <c r="G46" s="17">
        <f t="shared" si="5"/>
        <v>374112</v>
      </c>
      <c r="H46" s="26">
        <f t="shared" si="0"/>
        <v>0.374112</v>
      </c>
      <c r="I46" s="23">
        <v>16963</v>
      </c>
      <c r="J46" s="51">
        <f t="shared" si="29"/>
        <v>1.6962999999999999E-2</v>
      </c>
      <c r="K46" s="56">
        <v>2301.0970000000002</v>
      </c>
      <c r="L46" s="23">
        <f t="shared" si="30"/>
        <v>2.3010970000000002E-3</v>
      </c>
      <c r="M46" s="23">
        <f t="shared" si="31"/>
        <v>1.9264097000000001E-2</v>
      </c>
      <c r="N46" s="23">
        <v>1.5292799999999999E-2</v>
      </c>
      <c r="O46" s="7">
        <f t="shared" si="32"/>
        <v>0.33955510300000002</v>
      </c>
    </row>
    <row r="47" spans="1:15" x14ac:dyDescent="0.7">
      <c r="A47" s="6"/>
      <c r="B47" s="6"/>
      <c r="C47" s="6">
        <v>14</v>
      </c>
      <c r="D47" s="7">
        <v>4.0730000000000004</v>
      </c>
      <c r="E47" s="7">
        <v>0</v>
      </c>
      <c r="F47" s="7">
        <v>4.0730000000000004</v>
      </c>
      <c r="G47" s="17">
        <f t="shared" si="5"/>
        <v>351907.2</v>
      </c>
      <c r="H47" s="26">
        <f t="shared" si="0"/>
        <v>0.35190720000000003</v>
      </c>
      <c r="I47" s="23">
        <v>11276.1</v>
      </c>
      <c r="J47" s="51">
        <f t="shared" si="29"/>
        <v>1.1276100000000001E-2</v>
      </c>
      <c r="K47" s="56">
        <v>2301.0970000000002</v>
      </c>
      <c r="L47" s="23">
        <f t="shared" si="30"/>
        <v>2.3010970000000002E-3</v>
      </c>
      <c r="M47" s="23">
        <f t="shared" si="31"/>
        <v>1.3577197000000001E-2</v>
      </c>
      <c r="N47" s="23">
        <v>1.8230400000000001E-2</v>
      </c>
      <c r="O47" s="7">
        <f t="shared" si="32"/>
        <v>0.32009960300000007</v>
      </c>
    </row>
    <row r="48" spans="1:15" x14ac:dyDescent="0.7">
      <c r="A48" s="6"/>
      <c r="B48" s="6"/>
      <c r="C48" s="6">
        <v>15</v>
      </c>
      <c r="D48" s="7">
        <v>3.907</v>
      </c>
      <c r="E48" s="7">
        <v>0</v>
      </c>
      <c r="F48" s="7">
        <v>3.907</v>
      </c>
      <c r="G48" s="17">
        <f t="shared" si="5"/>
        <v>337564.8</v>
      </c>
      <c r="H48" s="26">
        <f t="shared" si="0"/>
        <v>0.3375648</v>
      </c>
      <c r="I48" s="23">
        <v>14434</v>
      </c>
      <c r="J48" s="51">
        <f t="shared" ref="J48:J54" si="33">I48/1000000</f>
        <v>1.4434000000000001E-2</v>
      </c>
      <c r="K48" s="23">
        <v>2301.0970000000002</v>
      </c>
      <c r="L48" s="23">
        <f t="shared" ref="L48:L54" si="34">K48/1000000</f>
        <v>2.3010970000000002E-3</v>
      </c>
      <c r="M48" s="23">
        <f t="shared" ref="M48:M54" si="35">J48+L48</f>
        <v>1.6735097000000001E-2</v>
      </c>
      <c r="N48" s="23">
        <v>1.88352E-2</v>
      </c>
      <c r="O48" s="7">
        <f>H48-M48-N48</f>
        <v>0.30199450300000003</v>
      </c>
    </row>
    <row r="49" spans="1:15" x14ac:dyDescent="0.7">
      <c r="A49" s="6"/>
      <c r="B49" s="6"/>
      <c r="C49" s="6">
        <v>16</v>
      </c>
      <c r="D49" s="7">
        <v>3.665</v>
      </c>
      <c r="E49" s="7">
        <v>0</v>
      </c>
      <c r="F49" s="7">
        <v>3.665</v>
      </c>
      <c r="G49" s="17">
        <f t="shared" si="5"/>
        <v>316656</v>
      </c>
      <c r="H49" s="26">
        <f t="shared" si="0"/>
        <v>0.31665599999999999</v>
      </c>
      <c r="I49" s="57">
        <v>15246</v>
      </c>
      <c r="J49" s="54">
        <f t="shared" si="33"/>
        <v>1.5245999999999999E-2</v>
      </c>
      <c r="K49" s="26">
        <v>1900</v>
      </c>
      <c r="L49" s="26">
        <f t="shared" si="34"/>
        <v>1.9E-3</v>
      </c>
      <c r="M49" s="26">
        <f t="shared" si="35"/>
        <v>1.7145999999999998E-2</v>
      </c>
      <c r="N49" s="26">
        <v>1.257984E-2</v>
      </c>
      <c r="O49" s="4">
        <f t="shared" ref="O49:O54" si="36">H49-M49-N49</f>
        <v>0.28693015999999999</v>
      </c>
    </row>
    <row r="50" spans="1:15" x14ac:dyDescent="0.7">
      <c r="A50" s="6"/>
      <c r="B50" s="6"/>
      <c r="C50" s="6">
        <v>17</v>
      </c>
      <c r="D50" s="7">
        <v>3.508</v>
      </c>
      <c r="E50" s="7">
        <v>0</v>
      </c>
      <c r="F50" s="7">
        <v>3.508</v>
      </c>
      <c r="G50" s="17">
        <f t="shared" si="5"/>
        <v>303091.20000000001</v>
      </c>
      <c r="H50" s="26">
        <f t="shared" si="0"/>
        <v>0.30309120000000001</v>
      </c>
      <c r="I50" s="56">
        <v>15598</v>
      </c>
      <c r="J50" s="51">
        <f t="shared" si="33"/>
        <v>1.5598000000000001E-2</v>
      </c>
      <c r="K50" s="23">
        <v>1323</v>
      </c>
      <c r="L50" s="23">
        <f t="shared" si="34"/>
        <v>1.323E-3</v>
      </c>
      <c r="M50" s="23">
        <f t="shared" si="35"/>
        <v>1.6921000000000002E-2</v>
      </c>
      <c r="N50" s="23">
        <v>1.257984E-2</v>
      </c>
      <c r="O50" s="7">
        <f t="shared" si="36"/>
        <v>0.27359035999999998</v>
      </c>
    </row>
    <row r="51" spans="1:15" x14ac:dyDescent="0.7">
      <c r="A51" s="6"/>
      <c r="B51" s="6"/>
      <c r="C51" s="6">
        <v>18</v>
      </c>
      <c r="D51" s="7">
        <v>3.3540000000000001</v>
      </c>
      <c r="E51" s="7">
        <v>0</v>
      </c>
      <c r="F51" s="7">
        <v>3.3540000000000001</v>
      </c>
      <c r="G51" s="17">
        <f t="shared" si="5"/>
        <v>289785.60000000003</v>
      </c>
      <c r="H51" s="26">
        <f t="shared" si="0"/>
        <v>0.28978560000000003</v>
      </c>
      <c r="I51" s="56">
        <v>12306</v>
      </c>
      <c r="J51" s="51">
        <f t="shared" si="33"/>
        <v>1.2305999999999999E-2</v>
      </c>
      <c r="K51" s="23">
        <v>0</v>
      </c>
      <c r="L51" s="23">
        <f t="shared" si="34"/>
        <v>0</v>
      </c>
      <c r="M51" s="23">
        <f t="shared" si="35"/>
        <v>1.2305999999999999E-2</v>
      </c>
      <c r="N51" s="23">
        <v>3.0378239999999997E-2</v>
      </c>
      <c r="O51" s="7">
        <f t="shared" si="36"/>
        <v>0.24710136000000005</v>
      </c>
    </row>
    <row r="52" spans="1:15" x14ac:dyDescent="0.7">
      <c r="A52" s="6"/>
      <c r="B52" s="6"/>
      <c r="C52" s="6">
        <v>19</v>
      </c>
      <c r="D52" s="7">
        <v>3.2040000000000002</v>
      </c>
      <c r="E52" s="7">
        <v>0</v>
      </c>
      <c r="F52" s="7">
        <v>3.2040000000000002</v>
      </c>
      <c r="G52" s="17">
        <f t="shared" si="5"/>
        <v>276825.60000000003</v>
      </c>
      <c r="H52" s="26">
        <f t="shared" si="0"/>
        <v>0.27682560000000006</v>
      </c>
      <c r="I52" s="56">
        <v>13516</v>
      </c>
      <c r="J52" s="51">
        <f t="shared" si="33"/>
        <v>1.3516E-2</v>
      </c>
      <c r="K52" s="23">
        <v>0</v>
      </c>
      <c r="L52" s="23">
        <f t="shared" si="34"/>
        <v>0</v>
      </c>
      <c r="M52" s="23">
        <f t="shared" si="35"/>
        <v>1.3516E-2</v>
      </c>
      <c r="N52" s="23">
        <v>3.7670400000000001E-3</v>
      </c>
      <c r="O52" s="7">
        <f t="shared" si="36"/>
        <v>0.25954256000000003</v>
      </c>
    </row>
    <row r="53" spans="1:15" x14ac:dyDescent="0.7">
      <c r="A53" s="6"/>
      <c r="B53" s="6"/>
      <c r="C53" s="6">
        <v>20</v>
      </c>
      <c r="D53" s="7">
        <v>3.2040000000000002</v>
      </c>
      <c r="E53" s="7">
        <v>0</v>
      </c>
      <c r="F53" s="7">
        <v>3.2040000000000002</v>
      </c>
      <c r="G53" s="17">
        <f t="shared" si="5"/>
        <v>276825.60000000003</v>
      </c>
      <c r="H53" s="26">
        <f t="shared" si="0"/>
        <v>0.27682560000000006</v>
      </c>
      <c r="I53" s="56">
        <v>27772</v>
      </c>
      <c r="J53" s="51">
        <f t="shared" si="33"/>
        <v>2.7772000000000002E-2</v>
      </c>
      <c r="K53" s="23">
        <v>4098</v>
      </c>
      <c r="L53" s="23">
        <f t="shared" si="34"/>
        <v>4.0980000000000001E-3</v>
      </c>
      <c r="M53" s="23">
        <f t="shared" si="35"/>
        <v>3.1870000000000002E-2</v>
      </c>
      <c r="N53" s="23">
        <v>0</v>
      </c>
      <c r="O53" s="7">
        <f t="shared" si="36"/>
        <v>0.24495560000000005</v>
      </c>
    </row>
    <row r="54" spans="1:15" x14ac:dyDescent="0.7">
      <c r="A54" s="6"/>
      <c r="B54" s="6"/>
      <c r="C54" s="6">
        <v>21</v>
      </c>
      <c r="D54" s="7">
        <v>3.2040000000000002</v>
      </c>
      <c r="E54" s="7">
        <v>0</v>
      </c>
      <c r="F54" s="7">
        <v>3.2040000000000002</v>
      </c>
      <c r="G54" s="17">
        <f t="shared" si="5"/>
        <v>276825.60000000003</v>
      </c>
      <c r="H54" s="26">
        <f t="shared" si="0"/>
        <v>0.27682560000000006</v>
      </c>
      <c r="I54" s="56">
        <v>31966</v>
      </c>
      <c r="J54" s="51">
        <f t="shared" si="33"/>
        <v>3.1966000000000001E-2</v>
      </c>
      <c r="K54" s="23">
        <v>4156</v>
      </c>
      <c r="L54" s="23">
        <f t="shared" si="34"/>
        <v>4.156E-3</v>
      </c>
      <c r="M54" s="23">
        <f t="shared" si="35"/>
        <v>3.6122000000000001E-2</v>
      </c>
      <c r="N54" s="23">
        <v>0</v>
      </c>
      <c r="O54" s="7">
        <f t="shared" si="36"/>
        <v>0.24070360000000007</v>
      </c>
    </row>
    <row r="55" spans="1:15" x14ac:dyDescent="0.7">
      <c r="A55" s="6"/>
      <c r="B55" s="6"/>
      <c r="C55" s="6">
        <v>22</v>
      </c>
      <c r="D55" s="7">
        <v>3.2040000000000002</v>
      </c>
      <c r="E55" s="7">
        <v>0</v>
      </c>
      <c r="F55" s="7">
        <v>3.2040000000000002</v>
      </c>
      <c r="G55" s="17">
        <f t="shared" si="5"/>
        <v>276825.60000000003</v>
      </c>
      <c r="H55" s="26">
        <f t="shared" si="0"/>
        <v>0.27682560000000006</v>
      </c>
      <c r="I55" s="56">
        <v>39699</v>
      </c>
      <c r="J55" s="51">
        <f t="shared" ref="J55:J70" si="37">I55/1000000</f>
        <v>3.9698999999999998E-2</v>
      </c>
      <c r="K55" s="23">
        <v>6205</v>
      </c>
      <c r="L55" s="23">
        <f t="shared" ref="L55:L70" si="38">K55/1000000</f>
        <v>6.2049999999999996E-3</v>
      </c>
      <c r="M55" s="23">
        <f t="shared" ref="M55:M70" si="39">J55+L55</f>
        <v>4.5904E-2</v>
      </c>
      <c r="N55" s="23">
        <v>-1.518912E-2</v>
      </c>
      <c r="O55" s="7">
        <f t="shared" ref="O55:O58" si="40">H55-M55-N55</f>
        <v>0.24611072000000006</v>
      </c>
    </row>
    <row r="56" spans="1:15" x14ac:dyDescent="0.7">
      <c r="A56" s="6"/>
      <c r="B56" s="6"/>
      <c r="C56" s="6">
        <v>23</v>
      </c>
      <c r="D56" s="7">
        <v>3.2040000000000002</v>
      </c>
      <c r="E56" s="7">
        <v>0</v>
      </c>
      <c r="F56" s="7">
        <v>3.2040000000000002</v>
      </c>
      <c r="G56" s="17">
        <f t="shared" si="5"/>
        <v>276825.60000000003</v>
      </c>
      <c r="H56" s="26">
        <f t="shared" si="0"/>
        <v>0.27682560000000006</v>
      </c>
      <c r="I56" s="56">
        <v>47022.6</v>
      </c>
      <c r="J56" s="51">
        <f t="shared" si="37"/>
        <v>4.7022599999999998E-2</v>
      </c>
      <c r="K56" s="23">
        <v>7861.6</v>
      </c>
      <c r="L56" s="23">
        <f t="shared" si="38"/>
        <v>7.8615999999999998E-3</v>
      </c>
      <c r="M56" s="23">
        <f t="shared" si="39"/>
        <v>5.4884199999999994E-2</v>
      </c>
      <c r="N56" s="23">
        <v>-2.4679296E-2</v>
      </c>
      <c r="O56" s="7">
        <f t="shared" si="40"/>
        <v>0.24662069600000006</v>
      </c>
    </row>
    <row r="57" spans="1:15" x14ac:dyDescent="0.7">
      <c r="A57" s="6"/>
      <c r="B57" s="6"/>
      <c r="C57" s="6">
        <v>24</v>
      </c>
      <c r="D57" s="7">
        <v>3.2040000000000002</v>
      </c>
      <c r="E57" s="7">
        <v>0</v>
      </c>
      <c r="F57" s="7">
        <v>3.2040000000000002</v>
      </c>
      <c r="G57" s="17">
        <f t="shared" si="5"/>
        <v>276825.60000000003</v>
      </c>
      <c r="H57" s="26">
        <f t="shared" si="0"/>
        <v>0.27682560000000006</v>
      </c>
      <c r="I57" s="56">
        <v>54346.2</v>
      </c>
      <c r="J57" s="51">
        <f t="shared" si="37"/>
        <v>5.4346199999999997E-2</v>
      </c>
      <c r="K57" s="23">
        <v>9518.2000000000007</v>
      </c>
      <c r="L57" s="23">
        <f t="shared" si="38"/>
        <v>9.518200000000001E-3</v>
      </c>
      <c r="M57" s="23">
        <f t="shared" si="39"/>
        <v>6.3864400000000002E-2</v>
      </c>
      <c r="N57" s="23">
        <v>-3.4169471999999999E-2</v>
      </c>
      <c r="O57" s="7">
        <f t="shared" si="40"/>
        <v>0.24713067200000008</v>
      </c>
    </row>
    <row r="58" spans="1:15" x14ac:dyDescent="0.7">
      <c r="A58" s="6"/>
      <c r="B58" s="6"/>
      <c r="C58" s="6">
        <v>25</v>
      </c>
      <c r="D58" s="7">
        <v>3.2040000000000002</v>
      </c>
      <c r="E58" s="7">
        <v>0</v>
      </c>
      <c r="F58" s="7">
        <v>3.2040000000000002</v>
      </c>
      <c r="G58" s="17">
        <f t="shared" si="5"/>
        <v>276825.60000000003</v>
      </c>
      <c r="H58" s="26">
        <f t="shared" si="0"/>
        <v>0.27682560000000006</v>
      </c>
      <c r="I58" s="23">
        <v>51231.040000000001</v>
      </c>
      <c r="J58" s="51">
        <f t="shared" si="37"/>
        <v>5.1231039999999999E-2</v>
      </c>
      <c r="K58" s="56">
        <v>8024.3554727272704</v>
      </c>
      <c r="L58" s="23">
        <f t="shared" si="38"/>
        <v>8.0243554727272709E-3</v>
      </c>
      <c r="M58" s="23">
        <f t="shared" si="39"/>
        <v>5.9255395472727269E-2</v>
      </c>
      <c r="N58" s="23">
        <v>-2.9328055854545499E-2</v>
      </c>
      <c r="O58" s="7">
        <f t="shared" si="40"/>
        <v>0.24689826038181831</v>
      </c>
    </row>
    <row r="59" spans="1:15" x14ac:dyDescent="0.7">
      <c r="A59" s="6"/>
      <c r="B59" s="6"/>
      <c r="C59" s="6">
        <v>26</v>
      </c>
      <c r="D59" s="7">
        <v>3.2040000000000002</v>
      </c>
      <c r="E59" s="7">
        <v>0</v>
      </c>
      <c r="F59" s="7">
        <v>3.2040000000000002</v>
      </c>
      <c r="G59" s="17">
        <f t="shared" si="5"/>
        <v>276825.60000000003</v>
      </c>
      <c r="H59" s="26">
        <f t="shared" si="0"/>
        <v>0.27682560000000006</v>
      </c>
      <c r="I59" s="23">
        <v>55478.911818181798</v>
      </c>
      <c r="J59" s="51">
        <f t="shared" si="37"/>
        <v>5.5478911818181799E-2</v>
      </c>
      <c r="K59" s="23">
        <v>8760.7784454545399</v>
      </c>
      <c r="L59" s="23">
        <f t="shared" si="38"/>
        <v>8.7607784454545399E-3</v>
      </c>
      <c r="M59" s="23">
        <f t="shared" si="39"/>
        <v>6.4239690263636337E-2</v>
      </c>
      <c r="N59" s="23">
        <v>-3.4554438981818203E-2</v>
      </c>
      <c r="O59" s="7">
        <f>H59-M59-N59</f>
        <v>0.24714034871818191</v>
      </c>
    </row>
    <row r="60" spans="1:15" x14ac:dyDescent="0.7">
      <c r="A60" s="6"/>
      <c r="B60" s="6"/>
      <c r="C60" s="6">
        <v>27</v>
      </c>
      <c r="D60" s="7">
        <v>3.0579999999999998</v>
      </c>
      <c r="E60" s="7">
        <v>0</v>
      </c>
      <c r="F60" s="7">
        <v>3.0579999999999998</v>
      </c>
      <c r="G60" s="17">
        <f t="shared" si="5"/>
        <v>264211.20000000001</v>
      </c>
      <c r="H60" s="26">
        <f t="shared" si="0"/>
        <v>0.26421120000000003</v>
      </c>
      <c r="I60" s="57">
        <v>59726.783636363602</v>
      </c>
      <c r="J60" s="54">
        <f t="shared" si="37"/>
        <v>5.9726783636363599E-2</v>
      </c>
      <c r="K60" s="26">
        <v>9497.2014181818104</v>
      </c>
      <c r="L60" s="26">
        <f t="shared" si="38"/>
        <v>9.4972014181818106E-3</v>
      </c>
      <c r="M60" s="26">
        <f t="shared" si="39"/>
        <v>6.9223985054545412E-2</v>
      </c>
      <c r="N60" s="26">
        <v>-3.9780822109090903E-2</v>
      </c>
      <c r="O60" s="4">
        <f t="shared" ref="O60:O62" si="41">H60-M60-N60</f>
        <v>0.23476803705454552</v>
      </c>
    </row>
    <row r="61" spans="1:15" s="15" customFormat="1" ht="25.2" thickBot="1" x14ac:dyDescent="0.75">
      <c r="A61" s="9"/>
      <c r="B61" s="9" t="s">
        <v>16</v>
      </c>
      <c r="C61" s="9">
        <v>28</v>
      </c>
      <c r="D61" s="10">
        <v>2.8450000000000002</v>
      </c>
      <c r="E61" s="10">
        <v>0</v>
      </c>
      <c r="F61" s="10">
        <v>2.8450000000000002</v>
      </c>
      <c r="G61" s="58">
        <f t="shared" si="5"/>
        <v>245808.00000000003</v>
      </c>
      <c r="H61" s="59">
        <f t="shared" si="0"/>
        <v>0.24580800000000003</v>
      </c>
      <c r="I61" s="60">
        <v>63974.655454545398</v>
      </c>
      <c r="J61" s="52">
        <f t="shared" si="37"/>
        <v>6.3974655454545393E-2</v>
      </c>
      <c r="K61" s="27">
        <v>10233.624390909101</v>
      </c>
      <c r="L61" s="27">
        <f t="shared" si="38"/>
        <v>1.02336243909091E-2</v>
      </c>
      <c r="M61" s="27">
        <f t="shared" si="39"/>
        <v>7.42082798454545E-2</v>
      </c>
      <c r="N61" s="27">
        <v>-4.5007205236363701E-2</v>
      </c>
      <c r="O61" s="10">
        <f t="shared" si="41"/>
        <v>0.21660692539090923</v>
      </c>
    </row>
    <row r="62" spans="1:15" x14ac:dyDescent="0.7">
      <c r="A62" s="3"/>
      <c r="B62" s="3" t="s">
        <v>17</v>
      </c>
      <c r="C62" s="3">
        <v>1</v>
      </c>
      <c r="D62" s="4">
        <v>2.6389999999999998</v>
      </c>
      <c r="E62" s="4">
        <v>0</v>
      </c>
      <c r="F62" s="4">
        <v>2.6389999999999998</v>
      </c>
      <c r="G62" s="17">
        <f t="shared" si="5"/>
        <v>228009.59999999998</v>
      </c>
      <c r="H62" s="26">
        <f t="shared" si="0"/>
        <v>0.22800959999999998</v>
      </c>
      <c r="I62" s="26">
        <v>68222.527272727195</v>
      </c>
      <c r="J62" s="54">
        <f t="shared" si="37"/>
        <v>6.8222527272727193E-2</v>
      </c>
      <c r="K62" s="57">
        <v>10970.0473636364</v>
      </c>
      <c r="L62" s="26">
        <f t="shared" si="38"/>
        <v>1.0970047363636401E-2</v>
      </c>
      <c r="M62" s="26">
        <f t="shared" si="39"/>
        <v>7.9192574636363589E-2</v>
      </c>
      <c r="N62" s="26">
        <v>-5.0233588363636401E-2</v>
      </c>
      <c r="O62" s="4">
        <f t="shared" si="41"/>
        <v>0.19905061372727278</v>
      </c>
    </row>
    <row r="63" spans="1:15" x14ac:dyDescent="0.7">
      <c r="A63" s="6"/>
      <c r="B63" s="6"/>
      <c r="C63" s="6">
        <v>2</v>
      </c>
      <c r="D63" s="7">
        <v>2.6389999999999998</v>
      </c>
      <c r="E63" s="7">
        <v>0</v>
      </c>
      <c r="F63" s="7">
        <v>2.6389999999999998</v>
      </c>
      <c r="G63" s="17">
        <f t="shared" si="5"/>
        <v>228009.59999999998</v>
      </c>
      <c r="H63" s="26">
        <f t="shared" si="0"/>
        <v>0.22800959999999998</v>
      </c>
      <c r="I63" s="23">
        <v>72470.399090909094</v>
      </c>
      <c r="J63" s="51">
        <f t="shared" si="37"/>
        <v>7.2470399090909091E-2</v>
      </c>
      <c r="K63" s="23">
        <v>11706.4703363637</v>
      </c>
      <c r="L63" s="23">
        <f t="shared" si="38"/>
        <v>1.1706470336363699E-2</v>
      </c>
      <c r="M63" s="23">
        <f t="shared" si="39"/>
        <v>8.4176869427272788E-2</v>
      </c>
      <c r="N63" s="23">
        <v>-5.5459971490909199E-2</v>
      </c>
      <c r="O63" s="7">
        <f>H63-M63-N63</f>
        <v>0.19929270206363639</v>
      </c>
    </row>
    <row r="64" spans="1:15" x14ac:dyDescent="0.7">
      <c r="A64" s="6"/>
      <c r="B64" s="6"/>
      <c r="C64" s="6">
        <v>3</v>
      </c>
      <c r="D64" s="7">
        <v>2.6389999999999998</v>
      </c>
      <c r="E64" s="7">
        <v>0</v>
      </c>
      <c r="F64" s="7">
        <v>2.6389999999999998</v>
      </c>
      <c r="G64" s="17">
        <f t="shared" si="5"/>
        <v>228009.59999999998</v>
      </c>
      <c r="H64" s="26">
        <f t="shared" si="0"/>
        <v>0.22800959999999998</v>
      </c>
      <c r="I64" s="57">
        <v>76718.270909090905</v>
      </c>
      <c r="J64" s="54">
        <f t="shared" si="37"/>
        <v>7.6718270909090905E-2</v>
      </c>
      <c r="K64" s="26">
        <v>12442.893309090899</v>
      </c>
      <c r="L64" s="26">
        <f t="shared" si="38"/>
        <v>1.2442893309090899E-2</v>
      </c>
      <c r="M64" s="26">
        <f t="shared" si="39"/>
        <v>8.9161164218181807E-2</v>
      </c>
      <c r="N64" s="26">
        <v>-6.0686354618181899E-2</v>
      </c>
      <c r="O64" s="4">
        <f t="shared" ref="O64:O70" si="42">H64-M64-N64</f>
        <v>0.19953479040000005</v>
      </c>
    </row>
    <row r="65" spans="1:15" x14ac:dyDescent="0.7">
      <c r="A65" s="6"/>
      <c r="B65" s="6"/>
      <c r="C65" s="6">
        <v>4</v>
      </c>
      <c r="D65" s="7">
        <v>2.573</v>
      </c>
      <c r="E65" s="7">
        <v>0</v>
      </c>
      <c r="F65" s="7">
        <v>2.573</v>
      </c>
      <c r="G65" s="17">
        <f t="shared" si="5"/>
        <v>222307.19999999998</v>
      </c>
      <c r="H65" s="26">
        <f t="shared" si="0"/>
        <v>0.22230719999999998</v>
      </c>
      <c r="I65" s="56">
        <v>80966.142727272701</v>
      </c>
      <c r="J65" s="51">
        <f t="shared" si="37"/>
        <v>8.0966142727272705E-2</v>
      </c>
      <c r="K65" s="23">
        <v>13179.316281818201</v>
      </c>
      <c r="L65" s="23">
        <f t="shared" si="38"/>
        <v>1.3179316281818201E-2</v>
      </c>
      <c r="M65" s="23">
        <f t="shared" si="39"/>
        <v>9.4145459009090909E-2</v>
      </c>
      <c r="N65" s="23">
        <v>-6.5912737745454503E-2</v>
      </c>
      <c r="O65" s="7">
        <f t="shared" si="42"/>
        <v>0.19407447873636358</v>
      </c>
    </row>
    <row r="66" spans="1:15" x14ac:dyDescent="0.7">
      <c r="A66" s="6"/>
      <c r="B66" s="6"/>
      <c r="C66" s="6">
        <v>5</v>
      </c>
      <c r="D66" s="7">
        <v>2.573</v>
      </c>
      <c r="E66" s="7">
        <v>0</v>
      </c>
      <c r="F66" s="7">
        <v>2.573</v>
      </c>
      <c r="G66" s="17">
        <f t="shared" si="5"/>
        <v>222307.19999999998</v>
      </c>
      <c r="H66" s="26">
        <f t="shared" si="0"/>
        <v>0.22230719999999998</v>
      </c>
      <c r="I66" s="56">
        <v>85214.014545454498</v>
      </c>
      <c r="J66" s="51">
        <f t="shared" si="37"/>
        <v>8.5214014545454492E-2</v>
      </c>
      <c r="K66" s="23">
        <v>13915.7392545455</v>
      </c>
      <c r="L66" s="23">
        <f t="shared" si="38"/>
        <v>1.3915739254545501E-2</v>
      </c>
      <c r="M66" s="23">
        <f t="shared" si="39"/>
        <v>9.9129753799999998E-2</v>
      </c>
      <c r="N66" s="23">
        <v>-7.1139120872727293E-2</v>
      </c>
      <c r="O66" s="7">
        <f t="shared" si="42"/>
        <v>0.19431656707272726</v>
      </c>
    </row>
    <row r="67" spans="1:15" x14ac:dyDescent="0.7">
      <c r="A67" s="6"/>
      <c r="B67" s="6"/>
      <c r="C67" s="6">
        <v>6</v>
      </c>
      <c r="D67" s="7">
        <v>2.573</v>
      </c>
      <c r="E67" s="7">
        <v>0</v>
      </c>
      <c r="F67" s="7">
        <v>2.573</v>
      </c>
      <c r="G67" s="17">
        <f t="shared" si="5"/>
        <v>222307.19999999998</v>
      </c>
      <c r="H67" s="26">
        <f t="shared" ref="H67:H130" si="43">G67/1000000</f>
        <v>0.22230719999999998</v>
      </c>
      <c r="I67" s="56">
        <v>89461.886363636295</v>
      </c>
      <c r="J67" s="51">
        <f t="shared" si="37"/>
        <v>8.9461886363636292E-2</v>
      </c>
      <c r="K67" s="23">
        <v>14652.1622272728</v>
      </c>
      <c r="L67" s="23">
        <f t="shared" si="38"/>
        <v>1.4652162227272799E-2</v>
      </c>
      <c r="M67" s="23">
        <f t="shared" si="39"/>
        <v>0.10411404859090909</v>
      </c>
      <c r="N67" s="23">
        <v>-7.6365504000000403E-2</v>
      </c>
      <c r="O67" s="7">
        <f t="shared" si="42"/>
        <v>0.19455865540909129</v>
      </c>
    </row>
    <row r="68" spans="1:15" x14ac:dyDescent="0.7">
      <c r="A68" s="6"/>
      <c r="B68" s="6"/>
      <c r="C68" s="6">
        <v>7</v>
      </c>
      <c r="D68" s="7">
        <v>2.573</v>
      </c>
      <c r="E68" s="7">
        <v>0</v>
      </c>
      <c r="F68" s="7">
        <v>2.573</v>
      </c>
      <c r="G68" s="17">
        <f t="shared" ref="G68:G131" si="44">F68*86400</f>
        <v>222307.19999999998</v>
      </c>
      <c r="H68" s="26">
        <f t="shared" si="43"/>
        <v>0.22230719999999998</v>
      </c>
      <c r="I68" s="56">
        <v>36143</v>
      </c>
      <c r="J68" s="51">
        <f t="shared" si="37"/>
        <v>3.6143000000000002E-2</v>
      </c>
      <c r="K68" s="23">
        <v>-3</v>
      </c>
      <c r="L68" s="23">
        <f t="shared" si="38"/>
        <v>-3.0000000000000001E-6</v>
      </c>
      <c r="M68" s="23">
        <f t="shared" si="39"/>
        <v>3.6139999999999999E-2</v>
      </c>
      <c r="N68" s="23">
        <v>-3</v>
      </c>
      <c r="O68" s="7">
        <f t="shared" si="42"/>
        <v>3.1861671999999999</v>
      </c>
    </row>
    <row r="69" spans="1:15" x14ac:dyDescent="0.7">
      <c r="A69" s="6"/>
      <c r="B69" s="6"/>
      <c r="C69" s="6">
        <v>8</v>
      </c>
      <c r="D69" s="7">
        <v>2.4420000000000002</v>
      </c>
      <c r="E69" s="7">
        <v>0</v>
      </c>
      <c r="F69" s="7">
        <v>2.4420000000000002</v>
      </c>
      <c r="G69" s="17">
        <f t="shared" si="44"/>
        <v>210988.80000000002</v>
      </c>
      <c r="H69" s="26">
        <f t="shared" si="43"/>
        <v>0.2109888</v>
      </c>
      <c r="I69" s="56">
        <v>36144</v>
      </c>
      <c r="J69" s="51">
        <f t="shared" si="37"/>
        <v>3.6144000000000003E-2</v>
      </c>
      <c r="K69" s="23">
        <v>-2</v>
      </c>
      <c r="L69" s="23">
        <f t="shared" si="38"/>
        <v>-1.9999999999999999E-6</v>
      </c>
      <c r="M69" s="23">
        <f t="shared" si="39"/>
        <v>3.6142000000000001E-2</v>
      </c>
      <c r="N69" s="23">
        <v>-2</v>
      </c>
      <c r="O69" s="7">
        <f t="shared" si="42"/>
        <v>2.1748468000000001</v>
      </c>
    </row>
    <row r="70" spans="1:15" x14ac:dyDescent="0.7">
      <c r="A70" s="6"/>
      <c r="B70" s="6"/>
      <c r="C70" s="6">
        <v>9</v>
      </c>
      <c r="D70" s="7">
        <v>2.4420000000000002</v>
      </c>
      <c r="E70" s="7">
        <v>0</v>
      </c>
      <c r="F70" s="7">
        <v>2.4420000000000002</v>
      </c>
      <c r="G70" s="17">
        <f t="shared" si="44"/>
        <v>210988.80000000002</v>
      </c>
      <c r="H70" s="26">
        <f t="shared" si="43"/>
        <v>0.2109888</v>
      </c>
      <c r="I70" s="56">
        <v>36145</v>
      </c>
      <c r="J70" s="51">
        <f t="shared" si="37"/>
        <v>3.6144999999999997E-2</v>
      </c>
      <c r="K70" s="23">
        <v>-1</v>
      </c>
      <c r="L70" s="23">
        <f t="shared" si="38"/>
        <v>-9.9999999999999995E-7</v>
      </c>
      <c r="M70" s="23">
        <f t="shared" si="39"/>
        <v>3.6143999999999996E-2</v>
      </c>
      <c r="N70" s="23">
        <v>-1</v>
      </c>
      <c r="O70" s="7">
        <f t="shared" si="42"/>
        <v>1.1748448</v>
      </c>
    </row>
    <row r="71" spans="1:15" x14ac:dyDescent="0.7">
      <c r="A71" s="6"/>
      <c r="B71" s="6"/>
      <c r="C71" s="6">
        <v>10</v>
      </c>
      <c r="D71" s="7">
        <v>2.4420000000000002</v>
      </c>
      <c r="E71" s="7">
        <v>0</v>
      </c>
      <c r="F71" s="7">
        <v>2.4420000000000002</v>
      </c>
      <c r="G71" s="17">
        <f t="shared" si="44"/>
        <v>210988.80000000002</v>
      </c>
      <c r="H71" s="26">
        <f t="shared" si="43"/>
        <v>0.2109888</v>
      </c>
      <c r="I71" s="56">
        <v>36146</v>
      </c>
      <c r="J71" s="51">
        <f t="shared" ref="J71:J88" si="45">I71/1000000</f>
        <v>3.6145999999999998E-2</v>
      </c>
      <c r="K71" s="23">
        <v>0</v>
      </c>
      <c r="L71" s="23">
        <f t="shared" ref="L71:L88" si="46">K71/1000000</f>
        <v>0</v>
      </c>
      <c r="M71" s="23">
        <f t="shared" ref="M71:M88" si="47">J71+L71</f>
        <v>3.6145999999999998E-2</v>
      </c>
      <c r="N71" s="23">
        <v>0</v>
      </c>
      <c r="O71" s="7">
        <f t="shared" ref="O71:O88" si="48">H71-M71-N71</f>
        <v>0.17484280000000002</v>
      </c>
    </row>
    <row r="72" spans="1:15" x14ac:dyDescent="0.7">
      <c r="A72" s="6"/>
      <c r="B72" s="6"/>
      <c r="C72" s="6">
        <v>11</v>
      </c>
      <c r="D72" s="7">
        <v>2.4420000000000002</v>
      </c>
      <c r="E72" s="7">
        <v>0</v>
      </c>
      <c r="F72" s="7">
        <v>2.4420000000000002</v>
      </c>
      <c r="G72" s="17">
        <f t="shared" si="44"/>
        <v>210988.80000000002</v>
      </c>
      <c r="H72" s="26">
        <f t="shared" si="43"/>
        <v>0.2109888</v>
      </c>
      <c r="I72" s="56">
        <v>33831</v>
      </c>
      <c r="J72" s="51">
        <f t="shared" si="45"/>
        <v>3.3831E-2</v>
      </c>
      <c r="K72" s="23">
        <v>2558</v>
      </c>
      <c r="L72" s="23">
        <f t="shared" si="46"/>
        <v>2.5579999999999999E-3</v>
      </c>
      <c r="M72" s="23">
        <f t="shared" si="47"/>
        <v>3.6388999999999998E-2</v>
      </c>
      <c r="N72" s="23">
        <v>0</v>
      </c>
      <c r="O72" s="7">
        <f t="shared" si="48"/>
        <v>0.1745998</v>
      </c>
    </row>
    <row r="73" spans="1:15" x14ac:dyDescent="0.7">
      <c r="A73" s="6"/>
      <c r="B73" s="6"/>
      <c r="C73" s="6">
        <v>12</v>
      </c>
      <c r="D73" s="7">
        <v>2.4420000000000002</v>
      </c>
      <c r="E73" s="7">
        <v>0</v>
      </c>
      <c r="F73" s="7">
        <v>2.4420000000000002</v>
      </c>
      <c r="G73" s="17">
        <f t="shared" si="44"/>
        <v>210988.80000000002</v>
      </c>
      <c r="H73" s="26">
        <f t="shared" si="43"/>
        <v>0.2109888</v>
      </c>
      <c r="I73" s="56">
        <v>34796</v>
      </c>
      <c r="J73" s="51">
        <f t="shared" si="45"/>
        <v>3.4796000000000001E-2</v>
      </c>
      <c r="K73" s="23">
        <v>4971</v>
      </c>
      <c r="L73" s="23">
        <f t="shared" si="46"/>
        <v>4.9709999999999997E-3</v>
      </c>
      <c r="M73" s="23">
        <f t="shared" si="47"/>
        <v>3.9766999999999997E-2</v>
      </c>
      <c r="N73" s="23">
        <v>0</v>
      </c>
      <c r="O73" s="7">
        <f t="shared" si="48"/>
        <v>0.17122180000000001</v>
      </c>
    </row>
    <row r="74" spans="1:15" x14ac:dyDescent="0.7">
      <c r="A74" s="6"/>
      <c r="B74" s="6"/>
      <c r="C74" s="6">
        <v>13</v>
      </c>
      <c r="D74" s="7">
        <v>2.4420000000000002</v>
      </c>
      <c r="E74" s="7">
        <v>0</v>
      </c>
      <c r="F74" s="7">
        <v>2.4420000000000002</v>
      </c>
      <c r="G74" s="17">
        <f t="shared" si="44"/>
        <v>210988.80000000002</v>
      </c>
      <c r="H74" s="26">
        <f t="shared" si="43"/>
        <v>0.2109888</v>
      </c>
      <c r="I74" s="56">
        <v>34064</v>
      </c>
      <c r="J74" s="51">
        <f t="shared" si="45"/>
        <v>3.4063999999999997E-2</v>
      </c>
      <c r="K74" s="23">
        <v>4541</v>
      </c>
      <c r="L74" s="23">
        <f t="shared" si="46"/>
        <v>4.5409999999999999E-3</v>
      </c>
      <c r="M74" s="23">
        <f t="shared" si="47"/>
        <v>3.8605E-2</v>
      </c>
      <c r="N74" s="23">
        <v>8.8127999999999991E-3</v>
      </c>
      <c r="O74" s="7">
        <f t="shared" si="48"/>
        <v>0.16357099999999999</v>
      </c>
    </row>
    <row r="75" spans="1:15" x14ac:dyDescent="0.7">
      <c r="A75" s="6"/>
      <c r="B75" s="6"/>
      <c r="C75" s="6">
        <v>14</v>
      </c>
      <c r="D75" s="7">
        <v>2.4420000000000002</v>
      </c>
      <c r="E75" s="7">
        <v>0</v>
      </c>
      <c r="F75" s="7">
        <v>2.4420000000000002</v>
      </c>
      <c r="G75" s="17">
        <f t="shared" si="44"/>
        <v>210988.80000000002</v>
      </c>
      <c r="H75" s="26">
        <f t="shared" si="43"/>
        <v>0.2109888</v>
      </c>
      <c r="I75" s="56">
        <v>33213</v>
      </c>
      <c r="J75" s="51">
        <f t="shared" si="45"/>
        <v>3.3212999999999999E-2</v>
      </c>
      <c r="K75" s="23">
        <v>3821</v>
      </c>
      <c r="L75" s="23">
        <f t="shared" si="46"/>
        <v>3.8210000000000002E-3</v>
      </c>
      <c r="M75" s="23">
        <f t="shared" si="47"/>
        <v>3.7033999999999997E-2</v>
      </c>
      <c r="N75" s="23">
        <v>8.8127999999999991E-3</v>
      </c>
      <c r="O75" s="7">
        <f t="shared" si="48"/>
        <v>0.16514200000000001</v>
      </c>
    </row>
    <row r="76" spans="1:15" x14ac:dyDescent="0.7">
      <c r="A76" s="6"/>
      <c r="B76" s="6"/>
      <c r="C76" s="6">
        <v>15</v>
      </c>
      <c r="D76" s="7">
        <v>2.375</v>
      </c>
      <c r="E76" s="7">
        <v>0</v>
      </c>
      <c r="F76" s="7">
        <v>2.375</v>
      </c>
      <c r="G76" s="17">
        <f t="shared" si="44"/>
        <v>205200</v>
      </c>
      <c r="H76" s="26">
        <f t="shared" si="43"/>
        <v>0.20519999999999999</v>
      </c>
      <c r="I76" s="56">
        <v>29118</v>
      </c>
      <c r="J76" s="51">
        <f t="shared" si="45"/>
        <v>2.9118000000000002E-2</v>
      </c>
      <c r="K76" s="23">
        <v>5183</v>
      </c>
      <c r="L76" s="23">
        <f t="shared" si="46"/>
        <v>5.1830000000000001E-3</v>
      </c>
      <c r="M76" s="23">
        <f t="shared" si="47"/>
        <v>3.4300999999999998E-2</v>
      </c>
      <c r="N76" s="23">
        <v>8.8127999999999991E-3</v>
      </c>
      <c r="O76" s="7">
        <f t="shared" si="48"/>
        <v>0.16208619999999999</v>
      </c>
    </row>
    <row r="77" spans="1:15" x14ac:dyDescent="0.7">
      <c r="A77" s="6"/>
      <c r="B77" s="6"/>
      <c r="C77" s="6">
        <v>16</v>
      </c>
      <c r="D77" s="7">
        <v>2.375</v>
      </c>
      <c r="E77" s="7">
        <v>0</v>
      </c>
      <c r="F77" s="7">
        <v>2.375</v>
      </c>
      <c r="G77" s="17">
        <f t="shared" si="44"/>
        <v>205200</v>
      </c>
      <c r="H77" s="26">
        <f t="shared" si="43"/>
        <v>0.20519999999999999</v>
      </c>
      <c r="I77" s="56">
        <v>29706</v>
      </c>
      <c r="J77" s="51">
        <f t="shared" si="45"/>
        <v>2.9706E-2</v>
      </c>
      <c r="K77" s="23">
        <v>3628</v>
      </c>
      <c r="L77" s="23">
        <f t="shared" si="46"/>
        <v>3.6280000000000001E-3</v>
      </c>
      <c r="M77" s="23">
        <f t="shared" si="47"/>
        <v>3.3334000000000003E-2</v>
      </c>
      <c r="N77" s="23">
        <v>8.8127999999999991E-3</v>
      </c>
      <c r="O77" s="7">
        <f t="shared" si="48"/>
        <v>0.16305319999999998</v>
      </c>
    </row>
    <row r="78" spans="1:15" x14ac:dyDescent="0.7">
      <c r="A78" s="6"/>
      <c r="B78" s="6"/>
      <c r="C78" s="6">
        <v>17</v>
      </c>
      <c r="D78" s="7">
        <v>2.375</v>
      </c>
      <c r="E78" s="7">
        <v>0</v>
      </c>
      <c r="F78" s="7">
        <v>2.375</v>
      </c>
      <c r="G78" s="17">
        <f t="shared" si="44"/>
        <v>205200</v>
      </c>
      <c r="H78" s="26">
        <f t="shared" si="43"/>
        <v>0.20519999999999999</v>
      </c>
      <c r="I78" s="56">
        <v>15054</v>
      </c>
      <c r="J78" s="51">
        <f t="shared" si="45"/>
        <v>1.5054E-2</v>
      </c>
      <c r="K78" s="23">
        <v>3629</v>
      </c>
      <c r="L78" s="23">
        <f t="shared" si="46"/>
        <v>3.6289999999999998E-3</v>
      </c>
      <c r="M78" s="23">
        <f t="shared" si="47"/>
        <v>1.8682999999999998E-2</v>
      </c>
      <c r="N78" s="23">
        <v>8.8127999999999991E-3</v>
      </c>
      <c r="O78" s="7">
        <f t="shared" si="48"/>
        <v>0.17770419999999998</v>
      </c>
    </row>
    <row r="79" spans="1:15" x14ac:dyDescent="0.7">
      <c r="A79" s="6"/>
      <c r="B79" s="6"/>
      <c r="C79" s="6">
        <v>18</v>
      </c>
      <c r="D79" s="7">
        <v>2.375</v>
      </c>
      <c r="E79" s="7">
        <v>0</v>
      </c>
      <c r="F79" s="7">
        <v>2.375</v>
      </c>
      <c r="G79" s="17">
        <f t="shared" si="44"/>
        <v>205200</v>
      </c>
      <c r="H79" s="26">
        <f t="shared" si="43"/>
        <v>0.20519999999999999</v>
      </c>
      <c r="I79" s="23">
        <v>27614</v>
      </c>
      <c r="J79" s="51">
        <f t="shared" si="45"/>
        <v>2.7614E-2</v>
      </c>
      <c r="K79" s="23">
        <v>1317</v>
      </c>
      <c r="L79" s="23">
        <f t="shared" si="46"/>
        <v>1.317E-3</v>
      </c>
      <c r="M79" s="23">
        <f t="shared" si="47"/>
        <v>2.8930999999999998E-2</v>
      </c>
      <c r="N79" s="23">
        <v>7.4908799999999984E-2</v>
      </c>
      <c r="O79" s="7">
        <f t="shared" si="48"/>
        <v>0.10136020000000003</v>
      </c>
    </row>
    <row r="80" spans="1:15" x14ac:dyDescent="0.7">
      <c r="A80" s="6"/>
      <c r="B80" s="6"/>
      <c r="C80" s="6">
        <v>19</v>
      </c>
      <c r="D80" s="7">
        <v>2.375</v>
      </c>
      <c r="E80" s="7">
        <v>0</v>
      </c>
      <c r="F80" s="7">
        <v>2.375</v>
      </c>
      <c r="G80" s="17">
        <f t="shared" si="44"/>
        <v>205200</v>
      </c>
      <c r="H80" s="26">
        <f t="shared" si="43"/>
        <v>0.20519999999999999</v>
      </c>
      <c r="I80" s="23">
        <v>22063</v>
      </c>
      <c r="J80" s="51">
        <f t="shared" si="45"/>
        <v>2.2062999999999999E-2</v>
      </c>
      <c r="K80" s="23">
        <v>4122</v>
      </c>
      <c r="L80" s="23">
        <f t="shared" si="46"/>
        <v>4.1219999999999998E-3</v>
      </c>
      <c r="M80" s="23">
        <f t="shared" si="47"/>
        <v>2.6185E-2</v>
      </c>
      <c r="N80" s="23">
        <v>9.0115199999999993E-2</v>
      </c>
      <c r="O80" s="7">
        <f t="shared" si="48"/>
        <v>8.8899799999999987E-2</v>
      </c>
    </row>
    <row r="81" spans="1:15" x14ac:dyDescent="0.7">
      <c r="A81" s="6"/>
      <c r="B81" s="6"/>
      <c r="C81" s="6">
        <v>20</v>
      </c>
      <c r="D81" s="7">
        <v>2.19</v>
      </c>
      <c r="E81" s="7">
        <v>0</v>
      </c>
      <c r="F81" s="7">
        <v>2.19</v>
      </c>
      <c r="G81" s="17">
        <f t="shared" si="44"/>
        <v>189216</v>
      </c>
      <c r="H81" s="26">
        <f t="shared" si="43"/>
        <v>0.189216</v>
      </c>
      <c r="I81" s="23">
        <v>12623</v>
      </c>
      <c r="J81" s="51">
        <f t="shared" si="45"/>
        <v>1.2623000000000001E-2</v>
      </c>
      <c r="K81" s="23">
        <v>2496</v>
      </c>
      <c r="L81" s="23">
        <f t="shared" si="46"/>
        <v>2.496E-3</v>
      </c>
      <c r="M81" s="23">
        <f t="shared" si="47"/>
        <v>1.5119E-2</v>
      </c>
      <c r="N81" s="23">
        <v>5.4172799999999993E-2</v>
      </c>
      <c r="O81" s="7">
        <f t="shared" si="48"/>
        <v>0.11992420000000001</v>
      </c>
    </row>
    <row r="82" spans="1:15" x14ac:dyDescent="0.7">
      <c r="A82" s="6"/>
      <c r="B82" s="6"/>
      <c r="C82" s="6">
        <v>21</v>
      </c>
      <c r="D82" s="7">
        <v>2.1909999999999998</v>
      </c>
      <c r="E82" s="7">
        <v>0</v>
      </c>
      <c r="F82" s="7">
        <v>2.1909999999999998</v>
      </c>
      <c r="G82" s="17">
        <f t="shared" si="44"/>
        <v>189302.39999999999</v>
      </c>
      <c r="H82" s="26">
        <f t="shared" si="43"/>
        <v>0.18930239999999998</v>
      </c>
      <c r="I82" s="23">
        <v>14573</v>
      </c>
      <c r="J82" s="51">
        <f t="shared" si="45"/>
        <v>1.4572999999999999E-2</v>
      </c>
      <c r="K82" s="23">
        <v>0</v>
      </c>
      <c r="L82" s="23">
        <f t="shared" si="46"/>
        <v>0</v>
      </c>
      <c r="M82" s="23">
        <f t="shared" si="47"/>
        <v>1.4572999999999999E-2</v>
      </c>
      <c r="N82" s="23">
        <v>0</v>
      </c>
      <c r="O82" s="7">
        <f t="shared" si="48"/>
        <v>0.17472939999999998</v>
      </c>
    </row>
    <row r="83" spans="1:15" x14ac:dyDescent="0.7">
      <c r="A83" s="6"/>
      <c r="B83" s="6"/>
      <c r="C83" s="6">
        <v>22</v>
      </c>
      <c r="D83" s="7">
        <v>2.1909999999999998</v>
      </c>
      <c r="E83" s="7">
        <v>0</v>
      </c>
      <c r="F83" s="7">
        <v>2.1909999999999998</v>
      </c>
      <c r="G83" s="17">
        <f t="shared" si="44"/>
        <v>189302.39999999999</v>
      </c>
      <c r="H83" s="26">
        <f t="shared" si="43"/>
        <v>0.18930239999999998</v>
      </c>
      <c r="I83" s="23">
        <v>14625</v>
      </c>
      <c r="J83" s="51">
        <f t="shared" si="45"/>
        <v>1.4625000000000001E-2</v>
      </c>
      <c r="K83" s="23">
        <v>0</v>
      </c>
      <c r="L83" s="23">
        <f t="shared" si="46"/>
        <v>0</v>
      </c>
      <c r="M83" s="23">
        <f t="shared" si="47"/>
        <v>1.4625000000000001E-2</v>
      </c>
      <c r="N83" s="23">
        <v>2.0822399999999998E-2</v>
      </c>
      <c r="O83" s="7">
        <f t="shared" si="48"/>
        <v>0.15385499999999999</v>
      </c>
    </row>
    <row r="84" spans="1:15" x14ac:dyDescent="0.7">
      <c r="A84" s="6"/>
      <c r="B84" s="6"/>
      <c r="C84" s="6">
        <v>23</v>
      </c>
      <c r="D84" s="7">
        <v>2.2519999999999998</v>
      </c>
      <c r="E84" s="7">
        <v>0</v>
      </c>
      <c r="F84" s="7">
        <v>2.2519999999999998</v>
      </c>
      <c r="G84" s="17">
        <f t="shared" si="44"/>
        <v>194572.79999999999</v>
      </c>
      <c r="H84" s="26">
        <f t="shared" si="43"/>
        <v>0.19457279999999999</v>
      </c>
      <c r="I84" s="23">
        <v>16434</v>
      </c>
      <c r="J84" s="51">
        <f t="shared" si="45"/>
        <v>1.6434000000000001E-2</v>
      </c>
      <c r="K84" s="23">
        <v>0</v>
      </c>
      <c r="L84" s="23">
        <f t="shared" si="46"/>
        <v>0</v>
      </c>
      <c r="M84" s="23">
        <f t="shared" si="47"/>
        <v>1.6434000000000001E-2</v>
      </c>
      <c r="N84" s="23">
        <v>2.0822399999999998E-2</v>
      </c>
      <c r="O84" s="7">
        <f t="shared" si="48"/>
        <v>0.1573164</v>
      </c>
    </row>
    <row r="85" spans="1:15" x14ac:dyDescent="0.7">
      <c r="A85" s="6"/>
      <c r="B85" s="6"/>
      <c r="C85" s="6">
        <v>24</v>
      </c>
      <c r="D85" s="7">
        <v>2.1909999999999998</v>
      </c>
      <c r="E85" s="7">
        <v>0</v>
      </c>
      <c r="F85" s="7">
        <v>2.1909999999999998</v>
      </c>
      <c r="G85" s="17">
        <f t="shared" si="44"/>
        <v>189302.39999999999</v>
      </c>
      <c r="H85" s="26">
        <f t="shared" si="43"/>
        <v>0.18930239999999998</v>
      </c>
      <c r="I85" s="23">
        <v>17649</v>
      </c>
      <c r="J85" s="51">
        <f t="shared" si="45"/>
        <v>1.7649000000000001E-2</v>
      </c>
      <c r="K85" s="23">
        <v>0</v>
      </c>
      <c r="L85" s="23">
        <f t="shared" si="46"/>
        <v>0</v>
      </c>
      <c r="M85" s="23">
        <f t="shared" si="47"/>
        <v>1.7649000000000001E-2</v>
      </c>
      <c r="N85" s="23">
        <v>0</v>
      </c>
      <c r="O85" s="7">
        <f t="shared" si="48"/>
        <v>0.17165339999999998</v>
      </c>
    </row>
    <row r="86" spans="1:15" x14ac:dyDescent="0.7">
      <c r="A86" s="6"/>
      <c r="B86" s="6"/>
      <c r="C86" s="6">
        <v>25</v>
      </c>
      <c r="D86" s="7">
        <v>2.1909999999999998</v>
      </c>
      <c r="E86" s="7">
        <v>0</v>
      </c>
      <c r="F86" s="7">
        <v>2.1909999999999998</v>
      </c>
      <c r="G86" s="17">
        <f t="shared" si="44"/>
        <v>189302.39999999999</v>
      </c>
      <c r="H86" s="26">
        <f t="shared" si="43"/>
        <v>0.18930239999999998</v>
      </c>
      <c r="I86" s="23">
        <v>24385</v>
      </c>
      <c r="J86" s="51">
        <f t="shared" si="45"/>
        <v>2.4385E-2</v>
      </c>
      <c r="K86" s="23">
        <v>0</v>
      </c>
      <c r="L86" s="23">
        <f t="shared" si="46"/>
        <v>0</v>
      </c>
      <c r="M86" s="23">
        <f t="shared" si="47"/>
        <v>2.4385E-2</v>
      </c>
      <c r="N86" s="23">
        <v>0</v>
      </c>
      <c r="O86" s="7">
        <f t="shared" si="48"/>
        <v>0.16491739999999999</v>
      </c>
    </row>
    <row r="87" spans="1:15" x14ac:dyDescent="0.7">
      <c r="A87" s="6"/>
      <c r="B87" s="6"/>
      <c r="C87" s="6">
        <v>26</v>
      </c>
      <c r="D87" s="7">
        <v>1.954</v>
      </c>
      <c r="E87" s="7">
        <v>0</v>
      </c>
      <c r="F87" s="7">
        <v>1.954</v>
      </c>
      <c r="G87" s="17">
        <f t="shared" si="44"/>
        <v>168825.60000000001</v>
      </c>
      <c r="H87" s="26">
        <f t="shared" si="43"/>
        <v>0.16882559999999999</v>
      </c>
      <c r="I87" s="23">
        <v>30849</v>
      </c>
      <c r="J87" s="51">
        <f t="shared" si="45"/>
        <v>3.0849000000000001E-2</v>
      </c>
      <c r="K87" s="23">
        <v>1899</v>
      </c>
      <c r="L87" s="23">
        <f t="shared" si="46"/>
        <v>1.8990000000000001E-3</v>
      </c>
      <c r="M87" s="23">
        <f t="shared" si="47"/>
        <v>3.2747999999999999E-2</v>
      </c>
      <c r="N87" s="23">
        <v>0</v>
      </c>
      <c r="O87" s="7">
        <f t="shared" si="48"/>
        <v>0.13607759999999999</v>
      </c>
    </row>
    <row r="88" spans="1:15" x14ac:dyDescent="0.7">
      <c r="A88" s="6"/>
      <c r="B88" s="6"/>
      <c r="C88" s="6">
        <v>27</v>
      </c>
      <c r="D88" s="7">
        <v>1.954</v>
      </c>
      <c r="E88" s="7">
        <v>0</v>
      </c>
      <c r="F88" s="7">
        <v>1.954</v>
      </c>
      <c r="G88" s="17">
        <f t="shared" si="44"/>
        <v>168825.60000000001</v>
      </c>
      <c r="H88" s="26">
        <f t="shared" si="43"/>
        <v>0.16882559999999999</v>
      </c>
      <c r="I88" s="23">
        <v>29633</v>
      </c>
      <c r="J88" s="51">
        <f t="shared" si="45"/>
        <v>2.9633E-2</v>
      </c>
      <c r="K88" s="23">
        <v>0</v>
      </c>
      <c r="L88" s="23">
        <f t="shared" si="46"/>
        <v>0</v>
      </c>
      <c r="M88" s="23">
        <f t="shared" si="47"/>
        <v>2.9633E-2</v>
      </c>
      <c r="N88" s="23">
        <v>7.3440000000000005E-2</v>
      </c>
      <c r="O88" s="7">
        <f t="shared" si="48"/>
        <v>6.5752599999999994E-2</v>
      </c>
    </row>
    <row r="89" spans="1:15" x14ac:dyDescent="0.7">
      <c r="A89" s="6"/>
      <c r="B89" s="6"/>
      <c r="C89" s="6">
        <v>28</v>
      </c>
      <c r="D89" s="7">
        <v>1.954</v>
      </c>
      <c r="E89" s="7">
        <v>0</v>
      </c>
      <c r="F89" s="7">
        <v>1.954</v>
      </c>
      <c r="G89" s="17">
        <f t="shared" si="44"/>
        <v>168825.60000000001</v>
      </c>
      <c r="H89" s="26">
        <f t="shared" si="43"/>
        <v>0.16882559999999999</v>
      </c>
      <c r="I89" s="23">
        <v>26028.799999999999</v>
      </c>
      <c r="J89" s="51">
        <f t="shared" ref="J89:J152" si="49">I89/1000000</f>
        <v>2.6028799999999998E-2</v>
      </c>
      <c r="K89" s="23">
        <v>-346.39999999999799</v>
      </c>
      <c r="L89" s="23">
        <f t="shared" ref="L89:L152" si="50">K89/1000000</f>
        <v>-3.4639999999999801E-4</v>
      </c>
      <c r="M89" s="23">
        <f t="shared" ref="M89:M152" si="51">J89+L89</f>
        <v>2.5682400000000001E-2</v>
      </c>
      <c r="N89" s="23">
        <v>2.9318400000000401E-3</v>
      </c>
      <c r="O89" s="7">
        <f t="shared" ref="O89:O152" si="52">H89-M89-N89</f>
        <v>0.14021135999999995</v>
      </c>
    </row>
    <row r="90" spans="1:15" x14ac:dyDescent="0.7">
      <c r="A90" s="6"/>
      <c r="B90" s="6"/>
      <c r="C90" s="6">
        <v>29</v>
      </c>
      <c r="D90" s="7">
        <v>1.784</v>
      </c>
      <c r="E90" s="7">
        <v>0</v>
      </c>
      <c r="F90" s="7">
        <v>1.784</v>
      </c>
      <c r="G90" s="17">
        <f t="shared" si="44"/>
        <v>154137.60000000001</v>
      </c>
      <c r="H90" s="26">
        <f t="shared" si="43"/>
        <v>0.15413760000000001</v>
      </c>
      <c r="I90" s="23">
        <v>26934.981818181801</v>
      </c>
      <c r="J90" s="51">
        <f t="shared" si="49"/>
        <v>2.69349818181818E-2</v>
      </c>
      <c r="K90" s="23">
        <v>-588.18181818181802</v>
      </c>
      <c r="L90" s="23">
        <f t="shared" si="50"/>
        <v>-5.8818181818181799E-4</v>
      </c>
      <c r="M90" s="23">
        <f t="shared" si="51"/>
        <v>2.6346799999999983E-2</v>
      </c>
      <c r="N90" s="23">
        <v>-2.6129454545454601E-3</v>
      </c>
      <c r="O90" s="7">
        <f t="shared" si="52"/>
        <v>0.1304037454545455</v>
      </c>
    </row>
    <row r="91" spans="1:15" x14ac:dyDescent="0.7">
      <c r="A91" s="6"/>
      <c r="B91" s="6"/>
      <c r="C91" s="6">
        <v>30</v>
      </c>
      <c r="D91" s="7">
        <v>1.6759999999999999</v>
      </c>
      <c r="E91" s="7">
        <v>0</v>
      </c>
      <c r="F91" s="7">
        <v>1.6759999999999999</v>
      </c>
      <c r="G91" s="17">
        <f t="shared" si="44"/>
        <v>144806.39999999999</v>
      </c>
      <c r="H91" s="26">
        <f t="shared" si="43"/>
        <v>0.1448064</v>
      </c>
      <c r="I91" s="23">
        <v>27841.163636363599</v>
      </c>
      <c r="J91" s="51">
        <f t="shared" si="49"/>
        <v>2.7841163636363599E-2</v>
      </c>
      <c r="K91" s="23">
        <v>-829.96363636363799</v>
      </c>
      <c r="L91" s="23">
        <f t="shared" si="50"/>
        <v>-8.2996363636363797E-4</v>
      </c>
      <c r="M91" s="23">
        <f t="shared" si="51"/>
        <v>2.7011199999999961E-2</v>
      </c>
      <c r="N91" s="23">
        <v>-8.1577309090908601E-3</v>
      </c>
      <c r="O91" s="7">
        <f t="shared" si="52"/>
        <v>0.1259529309090909</v>
      </c>
    </row>
    <row r="92" spans="1:15" s="15" customFormat="1" ht="25.2" thickBot="1" x14ac:dyDescent="0.75">
      <c r="A92" s="9"/>
      <c r="B92" s="9" t="s">
        <v>17</v>
      </c>
      <c r="C92" s="9">
        <v>31</v>
      </c>
      <c r="D92" s="10">
        <v>1.6759999999999999</v>
      </c>
      <c r="E92" s="10">
        <v>0</v>
      </c>
      <c r="F92" s="10">
        <v>1.6759999999999999</v>
      </c>
      <c r="G92" s="58">
        <f t="shared" si="44"/>
        <v>144806.39999999999</v>
      </c>
      <c r="H92" s="59">
        <f t="shared" si="43"/>
        <v>0.1448064</v>
      </c>
      <c r="I92" s="27">
        <v>28747.345454545401</v>
      </c>
      <c r="J92" s="52">
        <f t="shared" si="49"/>
        <v>2.8747345454545402E-2</v>
      </c>
      <c r="K92" s="27">
        <v>-1071.74545454546</v>
      </c>
      <c r="L92" s="27">
        <f t="shared" si="50"/>
        <v>-1.0717454545454601E-3</v>
      </c>
      <c r="M92" s="27">
        <f t="shared" si="51"/>
        <v>2.7675599999999943E-2</v>
      </c>
      <c r="N92" s="27">
        <v>-1.37025163636364E-2</v>
      </c>
      <c r="O92" s="10">
        <f t="shared" si="52"/>
        <v>0.13083331636363646</v>
      </c>
    </row>
    <row r="93" spans="1:15" x14ac:dyDescent="0.7">
      <c r="A93" s="3"/>
      <c r="B93" s="3" t="s">
        <v>18</v>
      </c>
      <c r="C93" s="3">
        <v>1</v>
      </c>
      <c r="D93" s="4">
        <v>1.6759999999999999</v>
      </c>
      <c r="E93" s="4">
        <v>0</v>
      </c>
      <c r="F93" s="4">
        <v>1.6759999999999999</v>
      </c>
      <c r="G93" s="17">
        <f t="shared" si="44"/>
        <v>144806.39999999999</v>
      </c>
      <c r="H93" s="26">
        <f t="shared" si="43"/>
        <v>0.1448064</v>
      </c>
      <c r="I93" s="26">
        <v>29653.5272727273</v>
      </c>
      <c r="J93" s="54">
        <f t="shared" si="49"/>
        <v>2.9653527272727302E-2</v>
      </c>
      <c r="K93" s="26">
        <v>-1313.52727272728</v>
      </c>
      <c r="L93" s="26">
        <f t="shared" si="50"/>
        <v>-1.3135272727272799E-3</v>
      </c>
      <c r="M93" s="26">
        <f t="shared" si="51"/>
        <v>2.8340000000000021E-2</v>
      </c>
      <c r="N93" s="26">
        <v>-1.9247301818181801E-2</v>
      </c>
      <c r="O93" s="4">
        <f t="shared" si="52"/>
        <v>0.13571370181818179</v>
      </c>
    </row>
    <row r="94" spans="1:15" x14ac:dyDescent="0.7">
      <c r="A94" s="6"/>
      <c r="B94" s="6"/>
      <c r="C94" s="6">
        <v>2</v>
      </c>
      <c r="D94" s="7">
        <v>1.6759999999999999</v>
      </c>
      <c r="E94" s="7">
        <v>0</v>
      </c>
      <c r="F94" s="7">
        <v>1.6759999999999999</v>
      </c>
      <c r="G94" s="17">
        <f t="shared" si="44"/>
        <v>144806.39999999999</v>
      </c>
      <c r="H94" s="26">
        <f t="shared" si="43"/>
        <v>0.1448064</v>
      </c>
      <c r="I94" s="23">
        <v>30559.709090909098</v>
      </c>
      <c r="J94" s="51">
        <f t="shared" si="49"/>
        <v>3.0559709090909097E-2</v>
      </c>
      <c r="K94" s="23">
        <v>-1555.3090909090899</v>
      </c>
      <c r="L94" s="23">
        <f t="shared" si="50"/>
        <v>-1.5553090909090899E-3</v>
      </c>
      <c r="M94" s="23">
        <f t="shared" si="51"/>
        <v>2.9004400000000007E-2</v>
      </c>
      <c r="N94" s="23">
        <v>-2.47920872727273E-2</v>
      </c>
      <c r="O94" s="7">
        <f t="shared" si="52"/>
        <v>0.14059408727272729</v>
      </c>
    </row>
    <row r="95" spans="1:15" x14ac:dyDescent="0.7">
      <c r="A95" s="6"/>
      <c r="B95" s="6"/>
      <c r="C95" s="6">
        <v>3</v>
      </c>
      <c r="D95" s="7">
        <v>1.468</v>
      </c>
      <c r="E95" s="7">
        <v>0</v>
      </c>
      <c r="F95" s="7">
        <v>1.468</v>
      </c>
      <c r="G95" s="17">
        <f t="shared" si="44"/>
        <v>126835.2</v>
      </c>
      <c r="H95" s="26">
        <f t="shared" si="43"/>
        <v>0.12683520000000001</v>
      </c>
      <c r="I95" s="23">
        <v>31465.8909090909</v>
      </c>
      <c r="J95" s="51">
        <f t="shared" si="49"/>
        <v>3.1465890909090903E-2</v>
      </c>
      <c r="K95" s="23">
        <v>-1797.0909090909099</v>
      </c>
      <c r="L95" s="23">
        <f t="shared" si="50"/>
        <v>-1.7970909090909099E-3</v>
      </c>
      <c r="M95" s="23">
        <f t="shared" si="51"/>
        <v>2.9668799999999992E-2</v>
      </c>
      <c r="N95" s="23">
        <v>-3.0336872727272701E-2</v>
      </c>
      <c r="O95" s="7">
        <f t="shared" si="52"/>
        <v>0.12750327272727272</v>
      </c>
    </row>
    <row r="96" spans="1:15" x14ac:dyDescent="0.7">
      <c r="A96" s="6"/>
      <c r="B96" s="6"/>
      <c r="C96" s="6">
        <v>4</v>
      </c>
      <c r="D96" s="7">
        <v>1.468</v>
      </c>
      <c r="E96" s="7">
        <v>0.5</v>
      </c>
      <c r="F96" s="7">
        <v>1.468</v>
      </c>
      <c r="G96" s="17">
        <f t="shared" si="44"/>
        <v>126835.2</v>
      </c>
      <c r="H96" s="26">
        <f t="shared" si="43"/>
        <v>0.12683520000000001</v>
      </c>
      <c r="I96" s="23">
        <v>32372.072727272702</v>
      </c>
      <c r="J96" s="51">
        <f t="shared" si="49"/>
        <v>3.2372072727272702E-2</v>
      </c>
      <c r="K96" s="23">
        <v>-2038.8727272727299</v>
      </c>
      <c r="L96" s="23">
        <f t="shared" si="50"/>
        <v>-2.0388727272727301E-3</v>
      </c>
      <c r="M96" s="23">
        <f t="shared" si="51"/>
        <v>3.0333199999999973E-2</v>
      </c>
      <c r="N96" s="23">
        <v>-3.5881658181818203E-2</v>
      </c>
      <c r="O96" s="7">
        <f t="shared" si="52"/>
        <v>0.13238365818181824</v>
      </c>
    </row>
    <row r="97" spans="1:15" x14ac:dyDescent="0.7">
      <c r="A97" s="6"/>
      <c r="B97" s="6"/>
      <c r="C97" s="6">
        <v>5</v>
      </c>
      <c r="D97" s="7">
        <v>1.784</v>
      </c>
      <c r="E97" s="7">
        <v>1.2</v>
      </c>
      <c r="F97" s="7">
        <v>1.784</v>
      </c>
      <c r="G97" s="17">
        <f t="shared" si="44"/>
        <v>154137.60000000001</v>
      </c>
      <c r="H97" s="26">
        <f t="shared" si="43"/>
        <v>0.15413760000000001</v>
      </c>
      <c r="I97" s="23">
        <v>33278.254545454503</v>
      </c>
      <c r="J97" s="51">
        <f t="shared" si="49"/>
        <v>3.3278254545454501E-2</v>
      </c>
      <c r="K97" s="23">
        <v>-2280.6545454545499</v>
      </c>
      <c r="L97" s="23">
        <f t="shared" si="50"/>
        <v>-2.28065454545455E-3</v>
      </c>
      <c r="M97" s="23">
        <f t="shared" si="51"/>
        <v>3.0997599999999952E-2</v>
      </c>
      <c r="N97" s="23">
        <v>-4.1426443636363601E-2</v>
      </c>
      <c r="O97" s="7">
        <f t="shared" si="52"/>
        <v>0.16456644363636366</v>
      </c>
    </row>
    <row r="98" spans="1:15" x14ac:dyDescent="0.7">
      <c r="A98" s="6"/>
      <c r="B98" s="6"/>
      <c r="C98" s="6">
        <v>6</v>
      </c>
      <c r="D98" s="7">
        <v>3.0579999999999998</v>
      </c>
      <c r="E98" s="20">
        <v>25.3</v>
      </c>
      <c r="F98" s="7">
        <v>3.0579999999999998</v>
      </c>
      <c r="G98" s="17">
        <f t="shared" si="44"/>
        <v>264211.20000000001</v>
      </c>
      <c r="H98" s="26">
        <f t="shared" si="43"/>
        <v>0.26421120000000003</v>
      </c>
      <c r="I98" s="23">
        <v>34184.436363636298</v>
      </c>
      <c r="J98" s="51">
        <f t="shared" si="49"/>
        <v>3.41844363636363E-2</v>
      </c>
      <c r="K98" s="23">
        <v>-2522.4363636363701</v>
      </c>
      <c r="L98" s="23">
        <f t="shared" si="50"/>
        <v>-2.52243636363637E-3</v>
      </c>
      <c r="M98" s="23">
        <f t="shared" si="51"/>
        <v>3.1661999999999933E-2</v>
      </c>
      <c r="N98" s="23">
        <v>-4.6971229090909498E-2</v>
      </c>
      <c r="O98" s="7">
        <f t="shared" si="52"/>
        <v>0.27952042909090957</v>
      </c>
    </row>
    <row r="99" spans="1:15" x14ac:dyDescent="0.7">
      <c r="A99" s="6"/>
      <c r="B99" s="6"/>
      <c r="C99" s="6">
        <v>7</v>
      </c>
      <c r="D99" s="7">
        <v>8.6959999999999997</v>
      </c>
      <c r="E99" s="20">
        <v>2.2999999999999998</v>
      </c>
      <c r="F99" s="7">
        <v>8.6959999999999997</v>
      </c>
      <c r="G99" s="17">
        <f t="shared" si="44"/>
        <v>751334.40000000002</v>
      </c>
      <c r="H99" s="26">
        <f t="shared" si="43"/>
        <v>0.75133440000000007</v>
      </c>
      <c r="I99" s="23">
        <v>35090.618181818201</v>
      </c>
      <c r="J99" s="51">
        <f t="shared" si="49"/>
        <v>3.5090618181818203E-2</v>
      </c>
      <c r="K99" s="23">
        <v>-2764.2181818181898</v>
      </c>
      <c r="L99" s="23">
        <f t="shared" si="50"/>
        <v>-2.76421818181819E-3</v>
      </c>
      <c r="M99" s="23">
        <f t="shared" si="51"/>
        <v>3.2326400000000012E-2</v>
      </c>
      <c r="N99" s="23">
        <v>-5.2516014545454501E-2</v>
      </c>
      <c r="O99" s="7">
        <f t="shared" si="52"/>
        <v>0.77152401454545461</v>
      </c>
    </row>
    <row r="100" spans="1:15" x14ac:dyDescent="0.7">
      <c r="A100" s="6"/>
      <c r="B100" s="6"/>
      <c r="C100" s="6">
        <v>8</v>
      </c>
      <c r="D100" s="7">
        <v>7.2460000000000004</v>
      </c>
      <c r="E100" s="7">
        <v>0</v>
      </c>
      <c r="F100" s="7">
        <v>7.2460000000000004</v>
      </c>
      <c r="G100" s="17">
        <f t="shared" si="44"/>
        <v>626054.40000000002</v>
      </c>
      <c r="H100" s="26">
        <f t="shared" si="43"/>
        <v>0.62605440000000001</v>
      </c>
      <c r="I100" s="23">
        <v>35996.800000000003</v>
      </c>
      <c r="J100" s="51">
        <f t="shared" si="49"/>
        <v>3.5996800000000002E-2</v>
      </c>
      <c r="K100" s="23">
        <v>-3006</v>
      </c>
      <c r="L100" s="23">
        <f t="shared" si="50"/>
        <v>-3.006E-3</v>
      </c>
      <c r="M100" s="23">
        <f t="shared" si="51"/>
        <v>3.2990800000000001E-2</v>
      </c>
      <c r="N100" s="23">
        <v>-5.8060800000000502E-2</v>
      </c>
      <c r="O100" s="7">
        <f t="shared" si="52"/>
        <v>0.65112440000000049</v>
      </c>
    </row>
    <row r="101" spans="1:15" x14ac:dyDescent="0.7">
      <c r="A101" s="6"/>
      <c r="B101" s="6"/>
      <c r="C101" s="6">
        <v>9</v>
      </c>
      <c r="D101" s="7">
        <v>4.867</v>
      </c>
      <c r="E101" s="7">
        <v>0</v>
      </c>
      <c r="F101" s="7">
        <v>4.867</v>
      </c>
      <c r="G101" s="17">
        <f t="shared" si="44"/>
        <v>420508.8</v>
      </c>
      <c r="H101" s="26">
        <f t="shared" si="43"/>
        <v>0.42050880000000002</v>
      </c>
      <c r="I101" s="23">
        <v>36902.981818181797</v>
      </c>
      <c r="J101" s="51">
        <f t="shared" si="49"/>
        <v>3.6902981818181795E-2</v>
      </c>
      <c r="K101" s="23">
        <v>-3247.7818181818202</v>
      </c>
      <c r="L101" s="23">
        <f t="shared" si="50"/>
        <v>-3.2477818181818204E-3</v>
      </c>
      <c r="M101" s="23">
        <f t="shared" si="51"/>
        <v>3.3655199999999975E-2</v>
      </c>
      <c r="N101" s="23">
        <v>-6.3605585454545505E-2</v>
      </c>
      <c r="O101" s="7">
        <f t="shared" si="52"/>
        <v>0.45045918545454555</v>
      </c>
    </row>
    <row r="102" spans="1:15" x14ac:dyDescent="0.7">
      <c r="A102" s="6"/>
      <c r="B102" s="6"/>
      <c r="C102" s="6">
        <v>10</v>
      </c>
      <c r="D102" s="7">
        <v>4.867</v>
      </c>
      <c r="E102" s="7">
        <v>0</v>
      </c>
      <c r="F102" s="7">
        <v>4.867</v>
      </c>
      <c r="G102" s="17">
        <f t="shared" si="44"/>
        <v>420508.8</v>
      </c>
      <c r="H102" s="26">
        <f t="shared" si="43"/>
        <v>0.42050880000000002</v>
      </c>
      <c r="I102" s="23">
        <v>37809.163636363599</v>
      </c>
      <c r="J102" s="51">
        <f t="shared" si="49"/>
        <v>3.7809163636363601E-2</v>
      </c>
      <c r="K102" s="23">
        <v>-3489.5636363636399</v>
      </c>
      <c r="L102" s="23">
        <f t="shared" si="50"/>
        <v>-3.4895636363636399E-3</v>
      </c>
      <c r="M102" s="23">
        <f t="shared" si="51"/>
        <v>3.4319599999999964E-2</v>
      </c>
      <c r="N102" s="23">
        <v>-6.91503709090905E-2</v>
      </c>
      <c r="O102" s="7">
        <f t="shared" si="52"/>
        <v>0.45533957090909055</v>
      </c>
    </row>
    <row r="103" spans="1:15" x14ac:dyDescent="0.7">
      <c r="A103" s="6"/>
      <c r="B103" s="6"/>
      <c r="C103" s="6">
        <v>11</v>
      </c>
      <c r="D103" s="7">
        <v>4.6840000000000002</v>
      </c>
      <c r="E103" s="18">
        <v>1.1000000000000001</v>
      </c>
      <c r="F103" s="7">
        <v>4.6840000000000002</v>
      </c>
      <c r="G103" s="17">
        <f t="shared" si="44"/>
        <v>404697.60000000003</v>
      </c>
      <c r="H103" s="26">
        <f t="shared" si="43"/>
        <v>0.40469760000000005</v>
      </c>
      <c r="I103" s="23">
        <v>38715.345454545401</v>
      </c>
      <c r="J103" s="51">
        <f t="shared" si="49"/>
        <v>3.87153454545454E-2</v>
      </c>
      <c r="K103" s="23">
        <v>-3731.3454545454601</v>
      </c>
      <c r="L103" s="23">
        <f t="shared" si="50"/>
        <v>-3.7313454545454599E-3</v>
      </c>
      <c r="M103" s="23">
        <f t="shared" si="51"/>
        <v>3.4983999999999939E-2</v>
      </c>
      <c r="N103" s="23">
        <v>-7.4695156363636495E-2</v>
      </c>
      <c r="O103" s="7">
        <f t="shared" si="52"/>
        <v>0.44440875636363658</v>
      </c>
    </row>
    <row r="104" spans="1:15" x14ac:dyDescent="0.7">
      <c r="A104" s="6"/>
      <c r="B104" s="6"/>
      <c r="C104" s="6">
        <v>12</v>
      </c>
      <c r="D104" s="7">
        <v>4.2430000000000003</v>
      </c>
      <c r="E104" s="18">
        <v>7.5</v>
      </c>
      <c r="F104" s="7">
        <v>4.2430000000000003</v>
      </c>
      <c r="G104" s="17">
        <f t="shared" si="44"/>
        <v>366595.2</v>
      </c>
      <c r="H104" s="26">
        <f t="shared" si="43"/>
        <v>0.36659520000000001</v>
      </c>
      <c r="I104" s="23">
        <v>39621.527272727297</v>
      </c>
      <c r="J104" s="51">
        <f t="shared" si="49"/>
        <v>3.9621527272727296E-2</v>
      </c>
      <c r="K104" s="23">
        <v>-3973.1272727272799</v>
      </c>
      <c r="L104" s="23">
        <f t="shared" si="50"/>
        <v>-3.9731272727272799E-3</v>
      </c>
      <c r="M104" s="23">
        <f t="shared" si="51"/>
        <v>3.5648400000000018E-2</v>
      </c>
      <c r="N104" s="23">
        <v>-8.0239941818181504E-2</v>
      </c>
      <c r="O104" s="7">
        <f t="shared" si="52"/>
        <v>0.41118674181818149</v>
      </c>
    </row>
    <row r="105" spans="1:15" x14ac:dyDescent="0.7">
      <c r="A105" s="6"/>
      <c r="B105" s="6"/>
      <c r="C105" s="6">
        <v>13</v>
      </c>
      <c r="D105" s="7">
        <v>3.3540000000000001</v>
      </c>
      <c r="E105" s="7">
        <v>0</v>
      </c>
      <c r="F105" s="7">
        <v>3.3540000000000001</v>
      </c>
      <c r="G105" s="17">
        <f t="shared" si="44"/>
        <v>289785.60000000003</v>
      </c>
      <c r="H105" s="26">
        <f t="shared" si="43"/>
        <v>0.28978560000000003</v>
      </c>
      <c r="I105" s="23">
        <v>40527.709090909098</v>
      </c>
      <c r="J105" s="51">
        <f t="shared" si="49"/>
        <v>4.0527709090909102E-2</v>
      </c>
      <c r="K105" s="23">
        <v>-4214.9090909091001</v>
      </c>
      <c r="L105" s="23">
        <f t="shared" si="50"/>
        <v>-4.2149090909090999E-3</v>
      </c>
      <c r="M105" s="23">
        <f t="shared" si="51"/>
        <v>3.6312799999999999E-2</v>
      </c>
      <c r="N105" s="23">
        <v>-8.5784727272727498E-2</v>
      </c>
      <c r="O105" s="7">
        <f t="shared" si="52"/>
        <v>0.33925752727272757</v>
      </c>
    </row>
    <row r="106" spans="1:15" x14ac:dyDescent="0.7">
      <c r="A106" s="6"/>
      <c r="B106" s="6"/>
      <c r="C106" s="6">
        <v>14</v>
      </c>
      <c r="D106" s="7">
        <v>3.665</v>
      </c>
      <c r="E106" s="18">
        <v>3.5</v>
      </c>
      <c r="F106" s="7">
        <v>3.665</v>
      </c>
      <c r="G106" s="17">
        <f t="shared" si="44"/>
        <v>316656</v>
      </c>
      <c r="H106" s="26">
        <f t="shared" si="43"/>
        <v>0.31665599999999999</v>
      </c>
      <c r="I106" s="23">
        <v>41433.8909090909</v>
      </c>
      <c r="J106" s="51">
        <f t="shared" si="49"/>
        <v>4.1433890909090901E-2</v>
      </c>
      <c r="K106" s="23">
        <v>-4456.6909090909103</v>
      </c>
      <c r="L106" s="23">
        <f t="shared" si="50"/>
        <v>-4.4566909090909103E-3</v>
      </c>
      <c r="M106" s="23">
        <f t="shared" si="51"/>
        <v>3.6977199999999988E-2</v>
      </c>
      <c r="N106" s="23">
        <v>-9.1329512727272494E-2</v>
      </c>
      <c r="O106" s="7">
        <f t="shared" si="52"/>
        <v>0.37100831272727253</v>
      </c>
    </row>
    <row r="107" spans="1:15" x14ac:dyDescent="0.7">
      <c r="A107" s="6"/>
      <c r="B107" s="6"/>
      <c r="C107" s="6">
        <v>15</v>
      </c>
      <c r="D107" s="7">
        <v>4.1580000000000004</v>
      </c>
      <c r="E107" s="7">
        <v>0</v>
      </c>
      <c r="F107" s="7">
        <v>4.1580000000000004</v>
      </c>
      <c r="G107" s="17">
        <f t="shared" si="44"/>
        <v>359251.20000000001</v>
      </c>
      <c r="H107" s="26">
        <f t="shared" si="43"/>
        <v>0.35925119999999999</v>
      </c>
      <c r="I107" s="23">
        <v>42340.072727272702</v>
      </c>
      <c r="J107" s="51">
        <f t="shared" si="49"/>
        <v>4.23400727272727E-2</v>
      </c>
      <c r="K107" s="23">
        <v>-4698.4727272727296</v>
      </c>
      <c r="L107" s="23">
        <f t="shared" si="50"/>
        <v>-4.6984727272727294E-3</v>
      </c>
      <c r="M107" s="23">
        <f t="shared" si="51"/>
        <v>3.764159999999997E-2</v>
      </c>
      <c r="N107" s="23">
        <v>-9.6874298181818502E-2</v>
      </c>
      <c r="O107" s="7">
        <f t="shared" si="52"/>
        <v>0.41848389818181853</v>
      </c>
    </row>
    <row r="108" spans="1:15" x14ac:dyDescent="0.7">
      <c r="A108" s="6"/>
      <c r="B108" s="6"/>
      <c r="C108" s="6">
        <v>16</v>
      </c>
      <c r="D108" s="7">
        <v>4.1580000000000004</v>
      </c>
      <c r="E108" s="7">
        <v>0</v>
      </c>
      <c r="F108" s="7">
        <v>4.1580000000000004</v>
      </c>
      <c r="G108" s="17">
        <f t="shared" si="44"/>
        <v>359251.20000000001</v>
      </c>
      <c r="H108" s="26">
        <f t="shared" si="43"/>
        <v>0.35925119999999999</v>
      </c>
      <c r="I108" s="23">
        <v>43246.254545454503</v>
      </c>
      <c r="J108" s="51">
        <f t="shared" si="49"/>
        <v>4.3246254545454506E-2</v>
      </c>
      <c r="K108" s="23">
        <v>-4940.2545454545498</v>
      </c>
      <c r="L108" s="23">
        <f t="shared" si="50"/>
        <v>-4.9402545454545494E-3</v>
      </c>
      <c r="M108" s="23">
        <f t="shared" si="51"/>
        <v>3.8305999999999958E-2</v>
      </c>
      <c r="N108" s="23">
        <v>-0.102419083636363</v>
      </c>
      <c r="O108" s="7">
        <f t="shared" si="52"/>
        <v>0.42336428363636303</v>
      </c>
    </row>
    <row r="109" spans="1:15" x14ac:dyDescent="0.7">
      <c r="A109" s="6"/>
      <c r="B109" s="6"/>
      <c r="C109" s="6">
        <v>17</v>
      </c>
      <c r="D109" s="7">
        <v>4.867</v>
      </c>
      <c r="E109" s="18">
        <v>4.0999999999999996</v>
      </c>
      <c r="F109" s="7">
        <v>4.867</v>
      </c>
      <c r="G109" s="17">
        <f t="shared" si="44"/>
        <v>420508.8</v>
      </c>
      <c r="H109" s="26">
        <f t="shared" si="43"/>
        <v>0.42050880000000002</v>
      </c>
      <c r="I109" s="23">
        <v>44152.436363636298</v>
      </c>
      <c r="J109" s="51">
        <f t="shared" si="49"/>
        <v>4.4152436363636298E-2</v>
      </c>
      <c r="K109" s="23">
        <v>-5182.03636363637</v>
      </c>
      <c r="L109" s="23">
        <f t="shared" si="50"/>
        <v>-5.1820363636363703E-3</v>
      </c>
      <c r="M109" s="23">
        <f t="shared" si="51"/>
        <v>3.8970399999999926E-2</v>
      </c>
      <c r="N109" s="23">
        <v>-0.10796386909090901</v>
      </c>
      <c r="O109" s="7">
        <f t="shared" si="52"/>
        <v>0.4895022690909091</v>
      </c>
    </row>
    <row r="110" spans="1:15" x14ac:dyDescent="0.7">
      <c r="A110" s="6"/>
      <c r="B110" s="6"/>
      <c r="C110" s="6">
        <v>18</v>
      </c>
      <c r="D110" s="7">
        <v>4.4169999999999998</v>
      </c>
      <c r="E110" s="7">
        <v>9.5</v>
      </c>
      <c r="F110" s="7">
        <v>4.4169999999999998</v>
      </c>
      <c r="G110" s="17">
        <f t="shared" si="44"/>
        <v>381628.8</v>
      </c>
      <c r="H110" s="26">
        <f t="shared" si="43"/>
        <v>0.38162879999999999</v>
      </c>
      <c r="I110" s="23">
        <v>45058.618181818201</v>
      </c>
      <c r="J110" s="51">
        <f t="shared" si="49"/>
        <v>4.5058618181818201E-2</v>
      </c>
      <c r="K110" s="23">
        <v>-5423.8181818181902</v>
      </c>
      <c r="L110" s="23">
        <f t="shared" si="50"/>
        <v>-5.4238181818181902E-3</v>
      </c>
      <c r="M110" s="23">
        <f t="shared" si="51"/>
        <v>3.9634800000000012E-2</v>
      </c>
      <c r="N110" s="23">
        <v>-0.113508654545454</v>
      </c>
      <c r="O110" s="7">
        <f t="shared" si="52"/>
        <v>0.45550265454545397</v>
      </c>
    </row>
    <row r="111" spans="1:15" x14ac:dyDescent="0.7">
      <c r="A111" s="6"/>
      <c r="B111" s="6"/>
      <c r="C111" s="6">
        <v>19</v>
      </c>
      <c r="D111" s="7">
        <v>4.867</v>
      </c>
      <c r="E111" s="18">
        <v>8.6999999999999993</v>
      </c>
      <c r="F111" s="7">
        <v>4.867</v>
      </c>
      <c r="G111" s="17">
        <f t="shared" si="44"/>
        <v>420508.8</v>
      </c>
      <c r="H111" s="26">
        <f t="shared" si="43"/>
        <v>0.42050880000000002</v>
      </c>
      <c r="I111" s="23">
        <v>45964.800000000003</v>
      </c>
      <c r="J111" s="51">
        <f t="shared" si="49"/>
        <v>4.59648E-2</v>
      </c>
      <c r="K111" s="23">
        <v>-5665.6</v>
      </c>
      <c r="L111" s="23">
        <f t="shared" si="50"/>
        <v>-5.6656000000000007E-3</v>
      </c>
      <c r="M111" s="23">
        <f t="shared" si="51"/>
        <v>4.02992E-2</v>
      </c>
      <c r="N111" s="23">
        <v>-0.119053439999999</v>
      </c>
      <c r="O111" s="7">
        <f t="shared" si="52"/>
        <v>0.49926303999999905</v>
      </c>
    </row>
    <row r="112" spans="1:15" x14ac:dyDescent="0.7">
      <c r="A112" s="6"/>
      <c r="B112" s="6"/>
      <c r="C112" s="6">
        <v>20</v>
      </c>
      <c r="D112" s="7">
        <v>4.4169999999999998</v>
      </c>
      <c r="E112" s="7">
        <v>0</v>
      </c>
      <c r="F112" s="7">
        <v>4.4169999999999998</v>
      </c>
      <c r="G112" s="17">
        <f t="shared" si="44"/>
        <v>381628.8</v>
      </c>
      <c r="H112" s="26">
        <f t="shared" si="43"/>
        <v>0.38162879999999999</v>
      </c>
      <c r="I112" s="23">
        <v>46870.981818181797</v>
      </c>
      <c r="J112" s="51">
        <f t="shared" si="49"/>
        <v>4.6870981818181799E-2</v>
      </c>
      <c r="K112" s="23">
        <v>-5907.3818181818197</v>
      </c>
      <c r="L112" s="23">
        <f t="shared" si="50"/>
        <v>-5.9073818181818198E-3</v>
      </c>
      <c r="M112" s="23">
        <f t="shared" si="51"/>
        <v>4.0963599999999982E-2</v>
      </c>
      <c r="N112" s="23">
        <v>-0.12459822545454501</v>
      </c>
      <c r="O112" s="7">
        <f t="shared" si="52"/>
        <v>0.46526342545454502</v>
      </c>
    </row>
    <row r="113" spans="1:15" x14ac:dyDescent="0.7">
      <c r="A113" s="6"/>
      <c r="B113" s="6"/>
      <c r="C113" s="6">
        <v>21</v>
      </c>
      <c r="D113" s="7">
        <v>4.0730000000000004</v>
      </c>
      <c r="E113" s="18">
        <v>1.2</v>
      </c>
      <c r="F113" s="7">
        <v>4.0730000000000004</v>
      </c>
      <c r="G113" s="17">
        <f t="shared" si="44"/>
        <v>351907.2</v>
      </c>
      <c r="H113" s="26">
        <f t="shared" si="43"/>
        <v>0.35190720000000003</v>
      </c>
      <c r="I113" s="23">
        <v>47777.163636363599</v>
      </c>
      <c r="J113" s="51">
        <f t="shared" si="49"/>
        <v>4.7777163636363598E-2</v>
      </c>
      <c r="K113" s="23">
        <v>-6149.1636363636399</v>
      </c>
      <c r="L113" s="23">
        <f t="shared" si="50"/>
        <v>-6.1491636363636398E-3</v>
      </c>
      <c r="M113" s="23">
        <f t="shared" si="51"/>
        <v>4.1627999999999957E-2</v>
      </c>
      <c r="N113" s="23">
        <v>-0.13014301090909</v>
      </c>
      <c r="O113" s="7">
        <f t="shared" si="52"/>
        <v>0.44042221090909006</v>
      </c>
    </row>
    <row r="114" spans="1:15" x14ac:dyDescent="0.7">
      <c r="A114" s="6"/>
      <c r="B114" s="6"/>
      <c r="C114" s="6">
        <v>22</v>
      </c>
      <c r="D114" s="7">
        <v>3.665</v>
      </c>
      <c r="E114" s="7">
        <v>0</v>
      </c>
      <c r="F114" s="7">
        <v>3.665</v>
      </c>
      <c r="G114" s="17">
        <f t="shared" si="44"/>
        <v>316656</v>
      </c>
      <c r="H114" s="26">
        <f t="shared" si="43"/>
        <v>0.31665599999999999</v>
      </c>
      <c r="I114" s="23">
        <v>48683.345454545401</v>
      </c>
      <c r="J114" s="51">
        <f t="shared" si="49"/>
        <v>4.8683345454545397E-2</v>
      </c>
      <c r="K114" s="23">
        <v>-6390.9454545454601</v>
      </c>
      <c r="L114" s="23">
        <f t="shared" si="50"/>
        <v>-6.3909454545454597E-3</v>
      </c>
      <c r="M114" s="23">
        <f t="shared" si="51"/>
        <v>4.2292399999999938E-2</v>
      </c>
      <c r="N114" s="23">
        <v>-0.13568779636363601</v>
      </c>
      <c r="O114" s="7">
        <f t="shared" si="52"/>
        <v>0.41005139636363608</v>
      </c>
    </row>
    <row r="115" spans="1:15" x14ac:dyDescent="0.7">
      <c r="A115" s="6"/>
      <c r="B115" s="6"/>
      <c r="C115" s="6">
        <v>23</v>
      </c>
      <c r="D115" s="7">
        <v>3.3540000000000001</v>
      </c>
      <c r="E115" s="7">
        <v>0</v>
      </c>
      <c r="F115" s="7">
        <v>3.3540000000000001</v>
      </c>
      <c r="G115" s="17">
        <f t="shared" si="44"/>
        <v>289785.60000000003</v>
      </c>
      <c r="H115" s="26">
        <f t="shared" si="43"/>
        <v>0.28978560000000003</v>
      </c>
      <c r="I115" s="23">
        <v>49589.527272727297</v>
      </c>
      <c r="J115" s="51">
        <f t="shared" si="49"/>
        <v>4.9589527272727293E-2</v>
      </c>
      <c r="K115" s="23">
        <v>-6632.7272727272803</v>
      </c>
      <c r="L115" s="23">
        <f t="shared" si="50"/>
        <v>-6.6327272727272806E-3</v>
      </c>
      <c r="M115" s="23">
        <f t="shared" si="51"/>
        <v>4.295680000000001E-2</v>
      </c>
      <c r="N115" s="23">
        <v>-0.14123258181818099</v>
      </c>
      <c r="O115" s="7">
        <f t="shared" si="52"/>
        <v>0.38806138181818101</v>
      </c>
    </row>
    <row r="116" spans="1:15" x14ac:dyDescent="0.7">
      <c r="A116" s="6"/>
      <c r="B116" s="6"/>
      <c r="C116" s="6">
        <v>24</v>
      </c>
      <c r="D116" s="7">
        <v>3.0579999999999998</v>
      </c>
      <c r="E116" s="7">
        <v>0</v>
      </c>
      <c r="F116" s="7">
        <v>3.0579999999999998</v>
      </c>
      <c r="G116" s="17">
        <f t="shared" si="44"/>
        <v>264211.20000000001</v>
      </c>
      <c r="H116" s="26">
        <f t="shared" si="43"/>
        <v>0.26421120000000003</v>
      </c>
      <c r="I116" s="23">
        <v>50495.709090909098</v>
      </c>
      <c r="J116" s="51">
        <f t="shared" si="49"/>
        <v>5.0495709090909099E-2</v>
      </c>
      <c r="K116" s="23">
        <v>-6874.5090909091005</v>
      </c>
      <c r="L116" s="23">
        <f t="shared" si="50"/>
        <v>-6.8745090909091006E-3</v>
      </c>
      <c r="M116" s="23">
        <f t="shared" si="51"/>
        <v>4.3621199999999999E-2</v>
      </c>
      <c r="N116" s="23">
        <v>-0.146777367272727</v>
      </c>
      <c r="O116" s="7">
        <f t="shared" si="52"/>
        <v>0.36736736727272701</v>
      </c>
    </row>
    <row r="117" spans="1:15" x14ac:dyDescent="0.7">
      <c r="A117" s="6"/>
      <c r="B117" s="6"/>
      <c r="C117" s="6">
        <v>25</v>
      </c>
      <c r="D117" s="7">
        <v>2.915</v>
      </c>
      <c r="E117" s="18">
        <v>2.8</v>
      </c>
      <c r="F117" s="7">
        <v>2.915</v>
      </c>
      <c r="G117" s="17">
        <f t="shared" si="44"/>
        <v>251856</v>
      </c>
      <c r="H117" s="26">
        <f t="shared" si="43"/>
        <v>0.25185600000000002</v>
      </c>
      <c r="I117" s="23">
        <v>51401.8909090909</v>
      </c>
      <c r="J117" s="51">
        <f t="shared" si="49"/>
        <v>5.1401890909090898E-2</v>
      </c>
      <c r="K117" s="23">
        <v>-7116.2909090909097</v>
      </c>
      <c r="L117" s="23">
        <f t="shared" si="50"/>
        <v>-7.1162909090909101E-3</v>
      </c>
      <c r="M117" s="23">
        <f t="shared" si="51"/>
        <v>4.4285599999999987E-2</v>
      </c>
      <c r="N117" s="23">
        <v>-0.15232215272727201</v>
      </c>
      <c r="O117" s="7">
        <f t="shared" si="52"/>
        <v>0.35989255272727205</v>
      </c>
    </row>
    <row r="118" spans="1:15" x14ac:dyDescent="0.7">
      <c r="A118" s="6"/>
      <c r="B118" s="6"/>
      <c r="C118" s="6">
        <v>26</v>
      </c>
      <c r="D118" s="7">
        <v>3.3540000000000001</v>
      </c>
      <c r="E118" s="7">
        <v>0</v>
      </c>
      <c r="F118" s="7">
        <v>3.3540000000000001</v>
      </c>
      <c r="G118" s="17">
        <f t="shared" si="44"/>
        <v>289785.60000000003</v>
      </c>
      <c r="H118" s="26">
        <f t="shared" si="43"/>
        <v>0.28978560000000003</v>
      </c>
      <c r="I118" s="23">
        <v>52308.072727272702</v>
      </c>
      <c r="J118" s="51">
        <f t="shared" si="49"/>
        <v>5.2308072727272704E-2</v>
      </c>
      <c r="K118" s="23">
        <v>-7358.0727272727299</v>
      </c>
      <c r="L118" s="23">
        <f t="shared" si="50"/>
        <v>-7.3580727272727301E-3</v>
      </c>
      <c r="M118" s="23">
        <f t="shared" si="51"/>
        <v>4.4949999999999976E-2</v>
      </c>
      <c r="N118" s="23">
        <v>-0.15786693818181799</v>
      </c>
      <c r="O118" s="7">
        <f t="shared" si="52"/>
        <v>0.402702538181818</v>
      </c>
    </row>
    <row r="119" spans="1:15" x14ac:dyDescent="0.7">
      <c r="A119" s="6"/>
      <c r="B119" s="6"/>
      <c r="C119" s="6">
        <v>27</v>
      </c>
      <c r="D119" s="7">
        <v>4.867</v>
      </c>
      <c r="E119" s="18">
        <v>7.7</v>
      </c>
      <c r="F119" s="7">
        <v>4.867</v>
      </c>
      <c r="G119" s="17">
        <f t="shared" si="44"/>
        <v>420508.8</v>
      </c>
      <c r="H119" s="26">
        <f t="shared" si="43"/>
        <v>0.42050880000000002</v>
      </c>
      <c r="I119" s="23">
        <v>53214.254545454503</v>
      </c>
      <c r="J119" s="51">
        <f t="shared" si="49"/>
        <v>5.3214254545454504E-2</v>
      </c>
      <c r="K119" s="23">
        <v>-7599.8545454545501</v>
      </c>
      <c r="L119" s="23">
        <f t="shared" si="50"/>
        <v>-7.5998545454545501E-3</v>
      </c>
      <c r="M119" s="23">
        <f t="shared" si="51"/>
        <v>4.5614399999999951E-2</v>
      </c>
      <c r="N119" s="23">
        <v>-0.163411723636363</v>
      </c>
      <c r="O119" s="7">
        <f t="shared" si="52"/>
        <v>0.5383061236363631</v>
      </c>
    </row>
    <row r="120" spans="1:15" x14ac:dyDescent="0.7">
      <c r="A120" s="6"/>
      <c r="B120" s="6"/>
      <c r="C120" s="6">
        <v>28</v>
      </c>
      <c r="D120" s="7">
        <v>8.0739999999999998</v>
      </c>
      <c r="E120" s="18">
        <v>15.8</v>
      </c>
      <c r="F120" s="7">
        <v>8.0739999999999998</v>
      </c>
      <c r="G120" s="17">
        <f t="shared" si="44"/>
        <v>697593.6</v>
      </c>
      <c r="H120" s="26">
        <f t="shared" si="43"/>
        <v>0.69759359999999992</v>
      </c>
      <c r="I120" s="23">
        <v>54120.4363636364</v>
      </c>
      <c r="J120" s="51">
        <f t="shared" si="49"/>
        <v>5.41204363636364E-2</v>
      </c>
      <c r="K120" s="23">
        <v>-7841.6363636363703</v>
      </c>
      <c r="L120" s="23">
        <f t="shared" si="50"/>
        <v>-7.8416363636363701E-3</v>
      </c>
      <c r="M120" s="23">
        <f t="shared" si="51"/>
        <v>4.627880000000003E-2</v>
      </c>
      <c r="N120" s="23">
        <v>-0.16895650909090901</v>
      </c>
      <c r="O120" s="7">
        <f t="shared" si="52"/>
        <v>0.82027130909090884</v>
      </c>
    </row>
    <row r="121" spans="1:15" x14ac:dyDescent="0.7">
      <c r="A121" s="6"/>
      <c r="B121" s="6"/>
      <c r="C121" s="6">
        <v>29</v>
      </c>
      <c r="D121" s="7">
        <v>5.8380000000000001</v>
      </c>
      <c r="E121" s="18">
        <v>1.1000000000000001</v>
      </c>
      <c r="F121" s="7">
        <v>5.8380000000000001</v>
      </c>
      <c r="G121" s="17">
        <f t="shared" si="44"/>
        <v>504403.20000000001</v>
      </c>
      <c r="H121" s="26">
        <f t="shared" si="43"/>
        <v>0.50440320000000005</v>
      </c>
      <c r="I121" s="23">
        <v>55026.618181818201</v>
      </c>
      <c r="J121" s="51">
        <f t="shared" si="49"/>
        <v>5.5026618181818199E-2</v>
      </c>
      <c r="K121" s="23">
        <v>-8083.4181818182196</v>
      </c>
      <c r="L121" s="23">
        <f t="shared" si="50"/>
        <v>-8.0834181818182204E-3</v>
      </c>
      <c r="M121" s="23">
        <f t="shared" si="51"/>
        <v>4.6943199999999977E-2</v>
      </c>
      <c r="N121" s="23">
        <v>-0.17450129454545399</v>
      </c>
      <c r="O121" s="7">
        <f t="shared" si="52"/>
        <v>0.63196129454545402</v>
      </c>
    </row>
    <row r="122" spans="1:15" s="15" customFormat="1" ht="25.2" thickBot="1" x14ac:dyDescent="0.75">
      <c r="A122" s="9"/>
      <c r="B122" s="9" t="s">
        <v>18</v>
      </c>
      <c r="C122" s="9">
        <v>30</v>
      </c>
      <c r="D122" s="10">
        <v>6.9059999999999997</v>
      </c>
      <c r="E122" s="10">
        <v>0</v>
      </c>
      <c r="F122" s="10">
        <v>6.9059999999999997</v>
      </c>
      <c r="G122" s="58">
        <f t="shared" si="44"/>
        <v>596678.40000000002</v>
      </c>
      <c r="H122" s="59">
        <f t="shared" si="43"/>
        <v>0.59667840000000005</v>
      </c>
      <c r="I122" s="27">
        <v>55932.800000000003</v>
      </c>
      <c r="J122" s="52">
        <f t="shared" si="49"/>
        <v>5.5932800000000005E-2</v>
      </c>
      <c r="K122" s="27">
        <v>-8325.2000000000207</v>
      </c>
      <c r="L122" s="27">
        <f t="shared" si="50"/>
        <v>-8.3252000000000204E-3</v>
      </c>
      <c r="M122" s="27">
        <f t="shared" si="51"/>
        <v>4.7607599999999986E-2</v>
      </c>
      <c r="N122" s="27">
        <v>-0.180046079999999</v>
      </c>
      <c r="O122" s="10">
        <f t="shared" si="52"/>
        <v>0.72911687999999908</v>
      </c>
    </row>
    <row r="123" spans="1:15" ht="25.2" thickBot="1" x14ac:dyDescent="0.75">
      <c r="A123" s="3"/>
      <c r="B123" s="12" t="s">
        <v>19</v>
      </c>
      <c r="C123" s="3">
        <v>1</v>
      </c>
      <c r="D123" s="4">
        <v>6.36</v>
      </c>
      <c r="E123" s="4">
        <v>0</v>
      </c>
      <c r="F123" s="4">
        <v>6.36</v>
      </c>
      <c r="G123" s="17">
        <f t="shared" si="44"/>
        <v>549504</v>
      </c>
      <c r="H123" s="26">
        <f t="shared" si="43"/>
        <v>0.54950399999999999</v>
      </c>
      <c r="I123" s="26">
        <v>56838.981818181797</v>
      </c>
      <c r="J123" s="54">
        <f t="shared" si="49"/>
        <v>5.6838981818181797E-2</v>
      </c>
      <c r="K123" s="26">
        <v>-8566.9818181818191</v>
      </c>
      <c r="L123" s="26">
        <f t="shared" si="50"/>
        <v>-8.5669818181818187E-3</v>
      </c>
      <c r="M123" s="26">
        <f t="shared" si="51"/>
        <v>4.8271999999999982E-2</v>
      </c>
      <c r="N123" s="26">
        <v>-0.18559086545454501</v>
      </c>
      <c r="O123" s="4">
        <f t="shared" si="52"/>
        <v>0.68682286545454496</v>
      </c>
    </row>
    <row r="124" spans="1:15" x14ac:dyDescent="0.7">
      <c r="A124" s="6"/>
      <c r="B124" s="3"/>
      <c r="C124" s="6">
        <v>2</v>
      </c>
      <c r="D124" s="7">
        <v>10.045999999999999</v>
      </c>
      <c r="E124" s="7">
        <v>4.8</v>
      </c>
      <c r="F124" s="7">
        <v>10.045999999999999</v>
      </c>
      <c r="G124" s="17">
        <f t="shared" si="44"/>
        <v>867974.39999999991</v>
      </c>
      <c r="H124" s="26">
        <f t="shared" si="43"/>
        <v>0.86797439999999992</v>
      </c>
      <c r="I124" s="23">
        <v>57745.163636363599</v>
      </c>
      <c r="J124" s="51">
        <f t="shared" si="49"/>
        <v>5.7745163636363596E-2</v>
      </c>
      <c r="K124" s="23">
        <v>-8808.7636363636193</v>
      </c>
      <c r="L124" s="23">
        <f t="shared" si="50"/>
        <v>-8.8087636363636188E-3</v>
      </c>
      <c r="M124" s="23">
        <f t="shared" si="51"/>
        <v>4.8936399999999977E-2</v>
      </c>
      <c r="N124" s="23">
        <v>-0.19113565090908999</v>
      </c>
      <c r="O124" s="7">
        <f t="shared" si="52"/>
        <v>1.0101736509090899</v>
      </c>
    </row>
    <row r="125" spans="1:15" x14ac:dyDescent="0.7">
      <c r="A125" s="6"/>
      <c r="B125" s="6"/>
      <c r="C125" s="6">
        <v>3</v>
      </c>
      <c r="D125" s="7">
        <v>11.736000000000001</v>
      </c>
      <c r="E125" s="7">
        <v>0</v>
      </c>
      <c r="F125" s="7">
        <v>11.736000000000001</v>
      </c>
      <c r="G125" s="17">
        <f t="shared" si="44"/>
        <v>1013990.4</v>
      </c>
      <c r="H125" s="26">
        <f t="shared" si="43"/>
        <v>1.0139904</v>
      </c>
      <c r="I125" s="23">
        <v>58651.345454545401</v>
      </c>
      <c r="J125" s="51">
        <f t="shared" si="49"/>
        <v>5.8651345454545402E-2</v>
      </c>
      <c r="K125" s="23">
        <v>-9050.5454545454195</v>
      </c>
      <c r="L125" s="23">
        <f t="shared" si="50"/>
        <v>-9.0505454545454188E-3</v>
      </c>
      <c r="M125" s="23">
        <f t="shared" si="51"/>
        <v>4.9600799999999987E-2</v>
      </c>
      <c r="N125" s="23">
        <v>-0.196680436363636</v>
      </c>
      <c r="O125" s="7">
        <f t="shared" si="52"/>
        <v>1.1610700363636359</v>
      </c>
    </row>
    <row r="126" spans="1:15" x14ac:dyDescent="0.7">
      <c r="A126" s="6"/>
      <c r="B126" s="6"/>
      <c r="C126" s="6">
        <v>4</v>
      </c>
      <c r="D126" s="7">
        <v>7.7709999999999999</v>
      </c>
      <c r="E126" s="7">
        <v>23.1</v>
      </c>
      <c r="F126" s="7">
        <v>7.7709999999999999</v>
      </c>
      <c r="G126" s="17">
        <f t="shared" si="44"/>
        <v>671414.4</v>
      </c>
      <c r="H126" s="26">
        <f t="shared" si="43"/>
        <v>0.67141440000000008</v>
      </c>
      <c r="I126" s="23">
        <v>59557.527272727297</v>
      </c>
      <c r="J126" s="51">
        <f t="shared" si="49"/>
        <v>5.9557527272727298E-2</v>
      </c>
      <c r="K126" s="23">
        <v>-9292.3272727273197</v>
      </c>
      <c r="L126" s="23">
        <f t="shared" si="50"/>
        <v>-9.2923272727273194E-3</v>
      </c>
      <c r="M126" s="23">
        <f t="shared" si="51"/>
        <v>5.0265199999999982E-2</v>
      </c>
      <c r="N126" s="23">
        <v>-0.20222522181818101</v>
      </c>
      <c r="O126" s="7">
        <f t="shared" si="52"/>
        <v>0.8233744218181811</v>
      </c>
    </row>
    <row r="127" spans="1:15" x14ac:dyDescent="0.7">
      <c r="A127" s="6"/>
      <c r="B127" s="6"/>
      <c r="C127" s="6">
        <v>5</v>
      </c>
      <c r="D127" s="7">
        <v>7.11</v>
      </c>
      <c r="E127" s="7">
        <v>3.9</v>
      </c>
      <c r="F127" s="7">
        <v>7.11</v>
      </c>
      <c r="G127" s="17">
        <f t="shared" si="44"/>
        <v>614304</v>
      </c>
      <c r="H127" s="26">
        <f t="shared" si="43"/>
        <v>0.61430399999999996</v>
      </c>
      <c r="I127" s="23">
        <v>60463.709090909098</v>
      </c>
      <c r="J127" s="51">
        <f t="shared" si="49"/>
        <v>6.0463709090909097E-2</v>
      </c>
      <c r="K127" s="23">
        <v>-9534.1090909091199</v>
      </c>
      <c r="L127" s="23">
        <f t="shared" si="50"/>
        <v>-9.5341090909091195E-3</v>
      </c>
      <c r="M127" s="23">
        <f t="shared" si="51"/>
        <v>5.0929599999999978E-2</v>
      </c>
      <c r="N127" s="23">
        <v>-0.20777000727272699</v>
      </c>
      <c r="O127" s="7">
        <f t="shared" si="52"/>
        <v>0.77114440727272693</v>
      </c>
    </row>
    <row r="128" spans="1:15" x14ac:dyDescent="0.7">
      <c r="A128" s="6"/>
      <c r="B128" s="6"/>
      <c r="C128" s="6">
        <v>6</v>
      </c>
      <c r="D128" s="7">
        <v>5.9130000000000003</v>
      </c>
      <c r="E128" s="7">
        <v>1.3</v>
      </c>
      <c r="F128" s="7">
        <v>5.9130000000000003</v>
      </c>
      <c r="G128" s="17">
        <f t="shared" si="44"/>
        <v>510883.2</v>
      </c>
      <c r="H128" s="26">
        <f t="shared" si="43"/>
        <v>0.51088319999999998</v>
      </c>
      <c r="I128" s="23">
        <v>61369.8909090909</v>
      </c>
      <c r="J128" s="51">
        <f t="shared" si="49"/>
        <v>6.1369890909090903E-2</v>
      </c>
      <c r="K128" s="23">
        <v>-9775.8909090909201</v>
      </c>
      <c r="L128" s="23">
        <f t="shared" si="50"/>
        <v>-9.7758909090909195E-3</v>
      </c>
      <c r="M128" s="23">
        <f t="shared" si="51"/>
        <v>5.1593999999999987E-2</v>
      </c>
      <c r="N128" s="23">
        <v>-0.213314792727272</v>
      </c>
      <c r="O128" s="7">
        <f t="shared" si="52"/>
        <v>0.672603992727272</v>
      </c>
    </row>
    <row r="129" spans="1:15" x14ac:dyDescent="0.7">
      <c r="A129" s="6"/>
      <c r="B129" s="6"/>
      <c r="C129" s="6">
        <v>7</v>
      </c>
      <c r="D129" s="7">
        <v>5.5890000000000004</v>
      </c>
      <c r="E129" s="7">
        <v>0</v>
      </c>
      <c r="F129" s="7">
        <v>5.5890000000000004</v>
      </c>
      <c r="G129" s="17">
        <f t="shared" si="44"/>
        <v>482889.60000000003</v>
      </c>
      <c r="H129" s="26">
        <f t="shared" si="43"/>
        <v>0.48288960000000003</v>
      </c>
      <c r="I129" s="23">
        <v>62276.072727272702</v>
      </c>
      <c r="J129" s="51">
        <f t="shared" si="49"/>
        <v>6.2276072727272702E-2</v>
      </c>
      <c r="K129" s="23">
        <v>-10017.6727272727</v>
      </c>
      <c r="L129" s="23">
        <f t="shared" si="50"/>
        <v>-1.00176727272727E-2</v>
      </c>
      <c r="M129" s="23">
        <f t="shared" si="51"/>
        <v>5.2258400000000003E-2</v>
      </c>
      <c r="N129" s="23">
        <v>-0.218859578181818</v>
      </c>
      <c r="O129" s="7">
        <f t="shared" si="52"/>
        <v>0.649490778181818</v>
      </c>
    </row>
    <row r="130" spans="1:15" x14ac:dyDescent="0.7">
      <c r="A130" s="6"/>
      <c r="B130" s="6"/>
      <c r="C130" s="6">
        <v>8</v>
      </c>
      <c r="D130" s="7">
        <v>8.5500000000000007</v>
      </c>
      <c r="E130" s="7">
        <v>0</v>
      </c>
      <c r="F130" s="7">
        <v>8.5500000000000007</v>
      </c>
      <c r="G130" s="17">
        <f t="shared" si="44"/>
        <v>738720.00000000012</v>
      </c>
      <c r="H130" s="26">
        <f t="shared" si="43"/>
        <v>0.73872000000000015</v>
      </c>
      <c r="I130" s="23">
        <v>63182.254545454503</v>
      </c>
      <c r="J130" s="51">
        <f t="shared" si="49"/>
        <v>6.3182254545454508E-2</v>
      </c>
      <c r="K130" s="23">
        <v>-10259.4545454545</v>
      </c>
      <c r="L130" s="23">
        <f t="shared" si="50"/>
        <v>-1.02594545454545E-2</v>
      </c>
      <c r="M130" s="23">
        <f t="shared" si="51"/>
        <v>5.2922800000000006E-2</v>
      </c>
      <c r="N130" s="23">
        <v>-0.22440436363636301</v>
      </c>
      <c r="O130" s="7">
        <f t="shared" si="52"/>
        <v>0.91020156363636318</v>
      </c>
    </row>
    <row r="131" spans="1:15" x14ac:dyDescent="0.7">
      <c r="A131" s="6"/>
      <c r="B131" s="6"/>
      <c r="C131" s="6">
        <v>9</v>
      </c>
      <c r="D131" s="7">
        <v>7.891</v>
      </c>
      <c r="E131" s="7">
        <v>0</v>
      </c>
      <c r="F131" s="7">
        <v>7.891</v>
      </c>
      <c r="G131" s="17">
        <f t="shared" si="44"/>
        <v>681782.4</v>
      </c>
      <c r="H131" s="26">
        <f t="shared" ref="H131:H194" si="53">G131/1000000</f>
        <v>0.68178240000000001</v>
      </c>
      <c r="I131" s="23">
        <v>64088.4363636364</v>
      </c>
      <c r="J131" s="51">
        <f t="shared" si="49"/>
        <v>6.4088436363636397E-2</v>
      </c>
      <c r="K131" s="23">
        <v>-10501.236363636401</v>
      </c>
      <c r="L131" s="23">
        <f t="shared" si="50"/>
        <v>-1.0501236363636401E-2</v>
      </c>
      <c r="M131" s="23">
        <f t="shared" si="51"/>
        <v>5.3587199999999995E-2</v>
      </c>
      <c r="N131" s="23">
        <v>-0.22994914909090899</v>
      </c>
      <c r="O131" s="7">
        <f t="shared" si="52"/>
        <v>0.85814434909090909</v>
      </c>
    </row>
    <row r="132" spans="1:15" x14ac:dyDescent="0.7">
      <c r="A132" s="6"/>
      <c r="B132" s="6"/>
      <c r="C132" s="6">
        <v>10</v>
      </c>
      <c r="D132" s="7">
        <v>14.065</v>
      </c>
      <c r="E132" s="7">
        <v>0</v>
      </c>
      <c r="F132" s="7">
        <v>14.065</v>
      </c>
      <c r="G132" s="17">
        <f t="shared" ref="G132:G195" si="54">F132*86400</f>
        <v>1215216</v>
      </c>
      <c r="H132" s="26">
        <f t="shared" si="53"/>
        <v>1.2152160000000001</v>
      </c>
      <c r="I132" s="23">
        <v>64994.618181818201</v>
      </c>
      <c r="J132" s="51">
        <f t="shared" si="49"/>
        <v>6.4994618181818203E-2</v>
      </c>
      <c r="K132" s="23">
        <v>-10743.018181818201</v>
      </c>
      <c r="L132" s="23">
        <f t="shared" si="50"/>
        <v>-1.0743018181818201E-2</v>
      </c>
      <c r="M132" s="23">
        <f t="shared" si="51"/>
        <v>5.4251600000000004E-2</v>
      </c>
      <c r="N132" s="23">
        <v>-0.235493934545454</v>
      </c>
      <c r="O132" s="7">
        <f t="shared" si="52"/>
        <v>1.3964583345454542</v>
      </c>
    </row>
    <row r="133" spans="1:15" x14ac:dyDescent="0.7">
      <c r="A133" s="6"/>
      <c r="B133" s="6"/>
      <c r="C133" s="6">
        <v>11</v>
      </c>
      <c r="D133" s="7">
        <v>8.1379999999999999</v>
      </c>
      <c r="E133" s="7">
        <v>0</v>
      </c>
      <c r="F133" s="7">
        <v>8.1379999999999999</v>
      </c>
      <c r="G133" s="17">
        <f t="shared" si="54"/>
        <v>703123.2</v>
      </c>
      <c r="H133" s="26">
        <f t="shared" si="53"/>
        <v>0.70312319999999995</v>
      </c>
      <c r="I133" s="23">
        <v>65900.800000000003</v>
      </c>
      <c r="J133" s="51">
        <f t="shared" si="49"/>
        <v>6.5900800000000009E-2</v>
      </c>
      <c r="K133" s="23">
        <v>-10984.8</v>
      </c>
      <c r="L133" s="23">
        <f t="shared" si="50"/>
        <v>-1.0984799999999999E-2</v>
      </c>
      <c r="M133" s="23">
        <f t="shared" si="51"/>
        <v>5.4916000000000006E-2</v>
      </c>
      <c r="N133" s="23">
        <v>-0.24103871999999901</v>
      </c>
      <c r="O133" s="7">
        <f t="shared" si="52"/>
        <v>0.88924591999999902</v>
      </c>
    </row>
    <row r="134" spans="1:15" x14ac:dyDescent="0.7">
      <c r="A134" s="6"/>
      <c r="B134" s="6"/>
      <c r="C134" s="6">
        <v>12</v>
      </c>
      <c r="D134" s="7">
        <v>7.359</v>
      </c>
      <c r="E134" s="7">
        <v>2.1</v>
      </c>
      <c r="F134" s="7">
        <v>7.359</v>
      </c>
      <c r="G134" s="17">
        <f t="shared" si="54"/>
        <v>635817.6</v>
      </c>
      <c r="H134" s="26">
        <f t="shared" si="53"/>
        <v>0.63581759999999998</v>
      </c>
      <c r="I134" s="23">
        <v>66806.981818181797</v>
      </c>
      <c r="J134" s="51">
        <f t="shared" si="49"/>
        <v>6.6806981818181801E-2</v>
      </c>
      <c r="K134" s="23">
        <v>-11226.581818181799</v>
      </c>
      <c r="L134" s="23">
        <f t="shared" si="50"/>
        <v>-1.1226581818181799E-2</v>
      </c>
      <c r="M134" s="23">
        <f t="shared" si="51"/>
        <v>5.5580400000000002E-2</v>
      </c>
      <c r="N134" s="23">
        <v>-0.24658350545454499</v>
      </c>
      <c r="O134" s="7">
        <f t="shared" si="52"/>
        <v>0.826820705454545</v>
      </c>
    </row>
    <row r="135" spans="1:15" x14ac:dyDescent="0.7">
      <c r="A135" s="6"/>
      <c r="B135" s="6"/>
      <c r="C135" s="6">
        <v>13</v>
      </c>
      <c r="D135" s="7">
        <v>6.077</v>
      </c>
      <c r="E135" s="7">
        <v>10.1</v>
      </c>
      <c r="F135" s="7">
        <v>6.077</v>
      </c>
      <c r="G135" s="17">
        <f t="shared" si="54"/>
        <v>525052.80000000005</v>
      </c>
      <c r="H135" s="26">
        <f t="shared" si="53"/>
        <v>0.5250528000000001</v>
      </c>
      <c r="I135" s="23">
        <v>67713.163636363606</v>
      </c>
      <c r="J135" s="51">
        <f t="shared" si="49"/>
        <v>6.7713163636363607E-2</v>
      </c>
      <c r="K135" s="23">
        <v>-11468.3636363636</v>
      </c>
      <c r="L135" s="23">
        <f t="shared" si="50"/>
        <v>-1.1468363636363599E-2</v>
      </c>
      <c r="M135" s="23">
        <f t="shared" si="51"/>
        <v>5.6244800000000011E-2</v>
      </c>
      <c r="N135" s="23">
        <v>-0.25212829090909</v>
      </c>
      <c r="O135" s="7">
        <f t="shared" si="52"/>
        <v>0.72093629090909017</v>
      </c>
    </row>
    <row r="136" spans="1:15" x14ac:dyDescent="0.7">
      <c r="A136" s="6"/>
      <c r="B136" s="6"/>
      <c r="C136" s="6">
        <v>14</v>
      </c>
      <c r="D136" s="7">
        <v>5.0860000000000003</v>
      </c>
      <c r="E136" s="7">
        <v>0.7</v>
      </c>
      <c r="F136" s="7">
        <v>5.0860000000000003</v>
      </c>
      <c r="G136" s="17">
        <f t="shared" si="54"/>
        <v>439430.40000000002</v>
      </c>
      <c r="H136" s="26">
        <f t="shared" si="53"/>
        <v>0.4394304</v>
      </c>
      <c r="I136" s="23">
        <v>68619.345454545401</v>
      </c>
      <c r="J136" s="51">
        <f t="shared" si="49"/>
        <v>6.86193454545454E-2</v>
      </c>
      <c r="K136" s="23">
        <v>-11710.1454545454</v>
      </c>
      <c r="L136" s="23">
        <f t="shared" si="50"/>
        <v>-1.17101454545454E-2</v>
      </c>
      <c r="M136" s="23">
        <f t="shared" si="51"/>
        <v>5.69092E-2</v>
      </c>
      <c r="N136" s="23">
        <v>-0.25767307636363601</v>
      </c>
      <c r="O136" s="7">
        <f t="shared" si="52"/>
        <v>0.64019427636363602</v>
      </c>
    </row>
    <row r="137" spans="1:15" x14ac:dyDescent="0.7">
      <c r="A137" s="6"/>
      <c r="B137" s="6"/>
      <c r="C137" s="6">
        <v>15</v>
      </c>
      <c r="D137" s="7">
        <v>4.6879999999999997</v>
      </c>
      <c r="E137" s="7">
        <v>0</v>
      </c>
      <c r="F137" s="7">
        <v>4.6879999999999997</v>
      </c>
      <c r="G137" s="17">
        <f t="shared" si="54"/>
        <v>405043.19999999995</v>
      </c>
      <c r="H137" s="26">
        <f t="shared" si="53"/>
        <v>0.40504319999999994</v>
      </c>
      <c r="I137" s="23">
        <v>69525.527272727297</v>
      </c>
      <c r="J137" s="51">
        <f t="shared" si="49"/>
        <v>6.9525527272727303E-2</v>
      </c>
      <c r="K137" s="23">
        <v>-11951.9272727273</v>
      </c>
      <c r="L137" s="23">
        <f t="shared" si="50"/>
        <v>-1.19519272727273E-2</v>
      </c>
      <c r="M137" s="23">
        <f t="shared" si="51"/>
        <v>5.7573600000000003E-2</v>
      </c>
      <c r="N137" s="23">
        <v>-0.26321786181818102</v>
      </c>
      <c r="O137" s="7">
        <f t="shared" si="52"/>
        <v>0.61068746181818101</v>
      </c>
    </row>
    <row r="138" spans="1:15" x14ac:dyDescent="0.7">
      <c r="A138" s="6"/>
      <c r="B138" s="6"/>
      <c r="C138" s="6">
        <v>16</v>
      </c>
      <c r="D138" s="7">
        <v>4.28</v>
      </c>
      <c r="E138" s="7">
        <v>0</v>
      </c>
      <c r="F138" s="7">
        <v>4.28</v>
      </c>
      <c r="G138" s="17">
        <f t="shared" si="54"/>
        <v>369792</v>
      </c>
      <c r="H138" s="26">
        <f t="shared" si="53"/>
        <v>0.36979200000000001</v>
      </c>
      <c r="I138" s="23">
        <v>70431.709090909106</v>
      </c>
      <c r="J138" s="51">
        <f t="shared" si="49"/>
        <v>7.0431709090909109E-2</v>
      </c>
      <c r="K138" s="23">
        <v>-12193.7090909091</v>
      </c>
      <c r="L138" s="23">
        <f t="shared" si="50"/>
        <v>-1.21937090909091E-2</v>
      </c>
      <c r="M138" s="23">
        <f t="shared" si="51"/>
        <v>5.8238000000000012E-2</v>
      </c>
      <c r="N138" s="23">
        <v>-0.26876264727272697</v>
      </c>
      <c r="O138" s="7">
        <f t="shared" si="52"/>
        <v>0.58031664727272703</v>
      </c>
    </row>
    <row r="139" spans="1:15" x14ac:dyDescent="0.7">
      <c r="A139" s="6"/>
      <c r="B139" s="6"/>
      <c r="C139" s="6">
        <v>17</v>
      </c>
      <c r="D139" s="7">
        <v>3.653</v>
      </c>
      <c r="E139" s="7">
        <v>0</v>
      </c>
      <c r="F139" s="7">
        <v>3.653</v>
      </c>
      <c r="G139" s="17">
        <f t="shared" si="54"/>
        <v>315619.20000000001</v>
      </c>
      <c r="H139" s="26">
        <f t="shared" si="53"/>
        <v>0.31561919999999999</v>
      </c>
      <c r="I139" s="23">
        <v>71337.8909090909</v>
      </c>
      <c r="J139" s="51">
        <f t="shared" si="49"/>
        <v>7.1337890909090901E-2</v>
      </c>
      <c r="K139" s="23">
        <v>-12435.4909090909</v>
      </c>
      <c r="L139" s="23">
        <f t="shared" si="50"/>
        <v>-1.24354909090909E-2</v>
      </c>
      <c r="M139" s="23">
        <f t="shared" si="51"/>
        <v>5.8902400000000001E-2</v>
      </c>
      <c r="N139" s="23">
        <v>-0.27430743272727198</v>
      </c>
      <c r="O139" s="7">
        <f t="shared" si="52"/>
        <v>0.53102423272727195</v>
      </c>
    </row>
    <row r="140" spans="1:15" x14ac:dyDescent="0.7">
      <c r="A140" s="6"/>
      <c r="B140" s="6"/>
      <c r="C140" s="6">
        <v>18</v>
      </c>
      <c r="D140" s="7">
        <v>3.4289999999999998</v>
      </c>
      <c r="E140" s="7">
        <v>0</v>
      </c>
      <c r="F140" s="7">
        <v>3.4289999999999998</v>
      </c>
      <c r="G140" s="17">
        <f t="shared" si="54"/>
        <v>296265.59999999998</v>
      </c>
      <c r="H140" s="26">
        <f t="shared" si="53"/>
        <v>0.29626559999999996</v>
      </c>
      <c r="I140" s="23">
        <v>72244.072727272694</v>
      </c>
      <c r="J140" s="51">
        <f t="shared" si="49"/>
        <v>7.2244072727272693E-2</v>
      </c>
      <c r="K140" s="23">
        <v>-12677.272727272701</v>
      </c>
      <c r="L140" s="23">
        <f t="shared" si="50"/>
        <v>-1.26772727272727E-2</v>
      </c>
      <c r="M140" s="23">
        <f t="shared" si="51"/>
        <v>5.9566799999999989E-2</v>
      </c>
      <c r="N140" s="23">
        <v>-0.27985221818181799</v>
      </c>
      <c r="O140" s="7">
        <f t="shared" si="52"/>
        <v>0.51655101818181803</v>
      </c>
    </row>
    <row r="141" spans="1:15" x14ac:dyDescent="0.7">
      <c r="A141" s="6"/>
      <c r="B141" s="6"/>
      <c r="C141" s="6">
        <v>19</v>
      </c>
      <c r="D141" s="7">
        <v>3.4289999999999998</v>
      </c>
      <c r="E141" s="7">
        <v>0</v>
      </c>
      <c r="F141" s="7">
        <v>3.4289999999999998</v>
      </c>
      <c r="G141" s="17">
        <f t="shared" si="54"/>
        <v>296265.59999999998</v>
      </c>
      <c r="H141" s="26">
        <f t="shared" si="53"/>
        <v>0.29626559999999996</v>
      </c>
      <c r="I141" s="23">
        <v>73150.254545454503</v>
      </c>
      <c r="J141" s="51">
        <f t="shared" si="49"/>
        <v>7.3150254545454499E-2</v>
      </c>
      <c r="K141" s="23">
        <v>-12919.054545454501</v>
      </c>
      <c r="L141" s="23">
        <f t="shared" si="50"/>
        <v>-1.29190545454545E-2</v>
      </c>
      <c r="M141" s="23">
        <f t="shared" si="51"/>
        <v>6.0231199999999999E-2</v>
      </c>
      <c r="N141" s="23">
        <v>-0.285397003636363</v>
      </c>
      <c r="O141" s="7">
        <f t="shared" si="52"/>
        <v>0.52143140363636298</v>
      </c>
    </row>
    <row r="142" spans="1:15" x14ac:dyDescent="0.7">
      <c r="A142" s="6"/>
      <c r="B142" s="6"/>
      <c r="C142" s="6">
        <v>20</v>
      </c>
      <c r="D142" s="7">
        <v>3.32</v>
      </c>
      <c r="E142" s="7">
        <v>0</v>
      </c>
      <c r="F142" s="7">
        <v>3.32</v>
      </c>
      <c r="G142" s="17">
        <f t="shared" si="54"/>
        <v>286848</v>
      </c>
      <c r="H142" s="26">
        <f t="shared" si="53"/>
        <v>0.28684799999999999</v>
      </c>
      <c r="I142" s="23">
        <v>74056.4363636364</v>
      </c>
      <c r="J142" s="51">
        <f t="shared" si="49"/>
        <v>7.4056436363636402E-2</v>
      </c>
      <c r="K142" s="23">
        <v>-13160.836363636399</v>
      </c>
      <c r="L142" s="23">
        <f t="shared" si="50"/>
        <v>-1.3160836363636399E-2</v>
      </c>
      <c r="M142" s="23">
        <f t="shared" si="51"/>
        <v>6.0895600000000001E-2</v>
      </c>
      <c r="N142" s="23">
        <v>-0.29094178909090901</v>
      </c>
      <c r="O142" s="7">
        <f t="shared" si="52"/>
        <v>0.51689418909090901</v>
      </c>
    </row>
    <row r="143" spans="1:15" x14ac:dyDescent="0.7">
      <c r="A143" s="6"/>
      <c r="B143" s="6"/>
      <c r="C143" s="6">
        <v>21</v>
      </c>
      <c r="D143" s="7">
        <v>3.2</v>
      </c>
      <c r="E143" s="7">
        <v>4.5999999999999996</v>
      </c>
      <c r="F143" s="7">
        <v>3.2</v>
      </c>
      <c r="G143" s="17">
        <f t="shared" si="54"/>
        <v>276480</v>
      </c>
      <c r="H143" s="26">
        <f t="shared" si="53"/>
        <v>0.27648</v>
      </c>
      <c r="I143" s="23">
        <v>74962.618181818194</v>
      </c>
      <c r="J143" s="51">
        <f t="shared" si="49"/>
        <v>7.4962618181818194E-2</v>
      </c>
      <c r="K143" s="23">
        <v>-13402.618181818199</v>
      </c>
      <c r="L143" s="23">
        <f t="shared" si="50"/>
        <v>-1.3402618181818199E-2</v>
      </c>
      <c r="M143" s="23">
        <f t="shared" si="51"/>
        <v>6.1559999999999997E-2</v>
      </c>
      <c r="N143" s="23">
        <v>-0.29648657454545402</v>
      </c>
      <c r="O143" s="7">
        <f t="shared" si="52"/>
        <v>0.51140657454545402</v>
      </c>
    </row>
    <row r="144" spans="1:15" x14ac:dyDescent="0.7">
      <c r="A144" s="6"/>
      <c r="B144" s="6"/>
      <c r="C144" s="6">
        <v>22</v>
      </c>
      <c r="D144" s="7">
        <v>1.54</v>
      </c>
      <c r="E144" s="7">
        <v>0</v>
      </c>
      <c r="F144" s="7">
        <v>1.54</v>
      </c>
      <c r="G144" s="17">
        <f t="shared" si="54"/>
        <v>133056</v>
      </c>
      <c r="H144" s="26">
        <f t="shared" si="53"/>
        <v>0.13305600000000001</v>
      </c>
      <c r="I144" s="23">
        <v>75868.800000000003</v>
      </c>
      <c r="J144" s="51">
        <f t="shared" si="49"/>
        <v>7.58688E-2</v>
      </c>
      <c r="K144" s="23">
        <v>-13644.4</v>
      </c>
      <c r="L144" s="23">
        <f t="shared" si="50"/>
        <v>-1.3644399999999999E-2</v>
      </c>
      <c r="M144" s="23">
        <f t="shared" si="51"/>
        <v>6.2224399999999999E-2</v>
      </c>
      <c r="N144" s="23">
        <v>-0.30203135999999903</v>
      </c>
      <c r="O144" s="7">
        <f t="shared" si="52"/>
        <v>0.37286295999999902</v>
      </c>
    </row>
    <row r="145" spans="1:15" x14ac:dyDescent="0.7">
      <c r="A145" s="6"/>
      <c r="B145" s="6"/>
      <c r="C145" s="6">
        <v>23</v>
      </c>
      <c r="D145" s="7">
        <v>2.6579999999999999</v>
      </c>
      <c r="E145" s="7">
        <v>0</v>
      </c>
      <c r="F145" s="7">
        <v>2.6579999999999999</v>
      </c>
      <c r="G145" s="17">
        <f t="shared" si="54"/>
        <v>229651.19999999998</v>
      </c>
      <c r="H145" s="26">
        <f t="shared" si="53"/>
        <v>0.22965119999999997</v>
      </c>
      <c r="I145" s="23">
        <v>76774.981818181797</v>
      </c>
      <c r="J145" s="51">
        <f t="shared" si="49"/>
        <v>7.6774981818181792E-2</v>
      </c>
      <c r="K145" s="23">
        <v>-13886.1818181818</v>
      </c>
      <c r="L145" s="23">
        <f t="shared" si="50"/>
        <v>-1.3886181818181799E-2</v>
      </c>
      <c r="M145" s="23">
        <f t="shared" si="51"/>
        <v>6.2888799999999995E-2</v>
      </c>
      <c r="N145" s="23">
        <v>-0.30757614545454498</v>
      </c>
      <c r="O145" s="7">
        <f t="shared" si="52"/>
        <v>0.47433854545454496</v>
      </c>
    </row>
    <row r="146" spans="1:15" x14ac:dyDescent="0.7">
      <c r="A146" s="6"/>
      <c r="B146" s="6"/>
      <c r="C146" s="6">
        <v>24</v>
      </c>
      <c r="D146" s="7">
        <v>2.69</v>
      </c>
      <c r="E146" s="7">
        <v>0</v>
      </c>
      <c r="F146" s="7">
        <v>2.69</v>
      </c>
      <c r="G146" s="17">
        <f t="shared" si="54"/>
        <v>232416</v>
      </c>
      <c r="H146" s="26">
        <f t="shared" si="53"/>
        <v>0.23241600000000001</v>
      </c>
      <c r="I146" s="23">
        <v>77681.163636363606</v>
      </c>
      <c r="J146" s="51">
        <f t="shared" si="49"/>
        <v>7.7681163636363612E-2</v>
      </c>
      <c r="K146" s="23">
        <v>-14127.9636363636</v>
      </c>
      <c r="L146" s="23">
        <f t="shared" si="50"/>
        <v>-1.4127963636363599E-2</v>
      </c>
      <c r="M146" s="23">
        <f t="shared" si="51"/>
        <v>6.3553200000000018E-2</v>
      </c>
      <c r="N146" s="23">
        <v>-0.31312093090908999</v>
      </c>
      <c r="O146" s="7">
        <f t="shared" si="52"/>
        <v>0.48198373090908997</v>
      </c>
    </row>
    <row r="147" spans="1:15" x14ac:dyDescent="0.7">
      <c r="A147" s="6"/>
      <c r="B147" s="6"/>
      <c r="C147" s="6">
        <v>25</v>
      </c>
      <c r="D147" s="7">
        <v>7.1790000000000003</v>
      </c>
      <c r="E147" s="7">
        <v>72.099999999999994</v>
      </c>
      <c r="F147" s="7">
        <v>7.1790000000000003</v>
      </c>
      <c r="G147" s="17">
        <f t="shared" si="54"/>
        <v>620265.6</v>
      </c>
      <c r="H147" s="26">
        <f t="shared" si="53"/>
        <v>0.62026559999999997</v>
      </c>
      <c r="I147" s="23">
        <v>78587.345454545401</v>
      </c>
      <c r="J147" s="51">
        <f t="shared" si="49"/>
        <v>7.8587345454545404E-2</v>
      </c>
      <c r="K147" s="23">
        <v>-14369.7454545454</v>
      </c>
      <c r="L147" s="23">
        <f t="shared" si="50"/>
        <v>-1.4369745454545401E-2</v>
      </c>
      <c r="M147" s="23">
        <f t="shared" si="51"/>
        <v>6.42176E-2</v>
      </c>
      <c r="N147" s="23">
        <v>-0.318665716363636</v>
      </c>
      <c r="O147" s="7">
        <f t="shared" si="52"/>
        <v>0.87471371636363604</v>
      </c>
    </row>
    <row r="148" spans="1:15" x14ac:dyDescent="0.7">
      <c r="A148" s="6"/>
      <c r="B148" s="6"/>
      <c r="C148" s="6">
        <v>26</v>
      </c>
      <c r="D148" s="7">
        <v>8.7569999999999997</v>
      </c>
      <c r="E148" s="7">
        <v>4.2</v>
      </c>
      <c r="F148" s="7">
        <v>8.7569999999999997</v>
      </c>
      <c r="G148" s="17">
        <f t="shared" si="54"/>
        <v>756604.79999999993</v>
      </c>
      <c r="H148" s="26">
        <f t="shared" si="53"/>
        <v>0.75660479999999997</v>
      </c>
      <c r="I148" s="23">
        <v>79493.527272727297</v>
      </c>
      <c r="J148" s="51">
        <f t="shared" si="49"/>
        <v>7.9493527272727293E-2</v>
      </c>
      <c r="K148" s="23">
        <v>-14611.5272727273</v>
      </c>
      <c r="L148" s="23">
        <f t="shared" si="50"/>
        <v>-1.46115272727273E-2</v>
      </c>
      <c r="M148" s="23">
        <f t="shared" si="51"/>
        <v>6.4881999999999995E-2</v>
      </c>
      <c r="N148" s="23">
        <v>-0.32421050181818101</v>
      </c>
      <c r="O148" s="7">
        <f t="shared" si="52"/>
        <v>1.0159333018181811</v>
      </c>
    </row>
    <row r="149" spans="1:15" x14ac:dyDescent="0.7">
      <c r="A149" s="6"/>
      <c r="B149" s="6"/>
      <c r="C149" s="6">
        <v>27</v>
      </c>
      <c r="D149" s="7">
        <v>14.227</v>
      </c>
      <c r="E149" s="7">
        <v>3.8</v>
      </c>
      <c r="F149" s="7">
        <v>14.227</v>
      </c>
      <c r="G149" s="17">
        <f t="shared" si="54"/>
        <v>1229212.8</v>
      </c>
      <c r="H149" s="26">
        <f t="shared" si="53"/>
        <v>1.2292128</v>
      </c>
      <c r="I149" s="23">
        <v>80399.709090909106</v>
      </c>
      <c r="J149" s="51">
        <f t="shared" si="49"/>
        <v>8.0399709090909099E-2</v>
      </c>
      <c r="K149" s="23">
        <v>-14853.309090909101</v>
      </c>
      <c r="L149" s="23">
        <f t="shared" si="50"/>
        <v>-1.48533090909091E-2</v>
      </c>
      <c r="M149" s="23">
        <f t="shared" si="51"/>
        <v>6.5546400000000005E-2</v>
      </c>
      <c r="N149" s="23">
        <v>-0.32975528727272702</v>
      </c>
      <c r="O149" s="7">
        <f t="shared" si="52"/>
        <v>1.4934216872727268</v>
      </c>
    </row>
    <row r="150" spans="1:15" x14ac:dyDescent="0.7">
      <c r="A150" s="6"/>
      <c r="B150" s="6"/>
      <c r="C150" s="6">
        <v>28</v>
      </c>
      <c r="D150" s="7">
        <v>14.227</v>
      </c>
      <c r="E150" s="7">
        <v>0</v>
      </c>
      <c r="F150" s="7">
        <v>14.227</v>
      </c>
      <c r="G150" s="17">
        <f t="shared" si="54"/>
        <v>1229212.8</v>
      </c>
      <c r="H150" s="26">
        <f t="shared" si="53"/>
        <v>1.2292128</v>
      </c>
      <c r="I150" s="23">
        <v>81305.8909090909</v>
      </c>
      <c r="J150" s="51">
        <f t="shared" si="49"/>
        <v>8.1305890909090905E-2</v>
      </c>
      <c r="K150" s="23">
        <v>-15095.090909090901</v>
      </c>
      <c r="L150" s="23">
        <f t="shared" si="50"/>
        <v>-1.50950909090909E-2</v>
      </c>
      <c r="M150" s="23">
        <f t="shared" si="51"/>
        <v>6.62108E-2</v>
      </c>
      <c r="N150" s="23">
        <v>-0.33530007272727202</v>
      </c>
      <c r="O150" s="7">
        <f t="shared" si="52"/>
        <v>1.498302072727272</v>
      </c>
    </row>
    <row r="151" spans="1:15" x14ac:dyDescent="0.7">
      <c r="A151" s="6"/>
      <c r="B151" s="6"/>
      <c r="C151" s="6">
        <v>29</v>
      </c>
      <c r="D151" s="7">
        <v>15.229000000000001</v>
      </c>
      <c r="E151" s="7">
        <v>20.100000000000001</v>
      </c>
      <c r="F151" s="7">
        <v>15.229000000000001</v>
      </c>
      <c r="G151" s="17">
        <f t="shared" si="54"/>
        <v>1315785.6000000001</v>
      </c>
      <c r="H151" s="26">
        <f t="shared" si="53"/>
        <v>1.3157856000000001</v>
      </c>
      <c r="I151" s="23">
        <v>82212.072727272694</v>
      </c>
      <c r="J151" s="51">
        <f t="shared" si="49"/>
        <v>8.2212072727272698E-2</v>
      </c>
      <c r="K151" s="23">
        <v>-15336.872727272699</v>
      </c>
      <c r="L151" s="23">
        <f t="shared" si="50"/>
        <v>-1.53368727272727E-2</v>
      </c>
      <c r="M151" s="23">
        <f t="shared" si="51"/>
        <v>6.6875199999999996E-2</v>
      </c>
      <c r="N151" s="23">
        <v>-0.34084485818181798</v>
      </c>
      <c r="O151" s="7">
        <f t="shared" si="52"/>
        <v>1.5897552581818182</v>
      </c>
    </row>
    <row r="152" spans="1:15" x14ac:dyDescent="0.7">
      <c r="A152" s="6"/>
      <c r="B152" s="6"/>
      <c r="C152" s="6">
        <v>30</v>
      </c>
      <c r="D152" s="7">
        <v>9.6020000000000003</v>
      </c>
      <c r="E152" s="7">
        <v>1.1000000000000001</v>
      </c>
      <c r="F152" s="7">
        <v>9.6020000000000003</v>
      </c>
      <c r="G152" s="17">
        <f t="shared" si="54"/>
        <v>829612.8</v>
      </c>
      <c r="H152" s="26">
        <f t="shared" si="53"/>
        <v>0.82961280000000004</v>
      </c>
      <c r="I152" s="23">
        <v>83118.254545454503</v>
      </c>
      <c r="J152" s="51">
        <f t="shared" si="49"/>
        <v>8.3118254545454504E-2</v>
      </c>
      <c r="K152" s="23">
        <v>-15578.654545454499</v>
      </c>
      <c r="L152" s="23">
        <f t="shared" si="50"/>
        <v>-1.55786545454545E-2</v>
      </c>
      <c r="M152" s="23">
        <f t="shared" si="51"/>
        <v>6.7539600000000005E-2</v>
      </c>
      <c r="N152" s="23">
        <v>-0.34638964363636299</v>
      </c>
      <c r="O152" s="7">
        <f t="shared" si="52"/>
        <v>1.108462843636363</v>
      </c>
    </row>
    <row r="153" spans="1:15" s="15" customFormat="1" ht="25.2" thickBot="1" x14ac:dyDescent="0.75">
      <c r="A153" s="9"/>
      <c r="B153" s="9" t="s">
        <v>19</v>
      </c>
      <c r="C153" s="9">
        <v>31</v>
      </c>
      <c r="D153" s="10">
        <v>9.6020000000000003</v>
      </c>
      <c r="E153" s="10">
        <v>0</v>
      </c>
      <c r="F153" s="10">
        <v>9.6020000000000003</v>
      </c>
      <c r="G153" s="58">
        <f t="shared" si="54"/>
        <v>829612.8</v>
      </c>
      <c r="H153" s="59">
        <f t="shared" si="53"/>
        <v>0.82961280000000004</v>
      </c>
      <c r="I153" s="27">
        <v>84024.436363636298</v>
      </c>
      <c r="J153" s="52">
        <f t="shared" ref="J153:J202" si="55">I153/1000000</f>
        <v>8.4024436363636296E-2</v>
      </c>
      <c r="K153" s="27">
        <v>-15820.4363636364</v>
      </c>
      <c r="L153" s="27">
        <f t="shared" ref="L153:L202" si="56">K153/1000000</f>
        <v>-1.5820436363636399E-2</v>
      </c>
      <c r="M153" s="27">
        <f t="shared" ref="M153:M202" si="57">J153+L153</f>
        <v>6.8203999999999904E-2</v>
      </c>
      <c r="N153" s="27">
        <v>-0.351934429090908</v>
      </c>
      <c r="O153" s="10">
        <f t="shared" ref="O153:O202" si="58">H153-M153-N153</f>
        <v>1.113343229090908</v>
      </c>
    </row>
    <row r="154" spans="1:15" x14ac:dyDescent="0.7">
      <c r="A154" s="3"/>
      <c r="B154" s="3" t="s">
        <v>20</v>
      </c>
      <c r="C154" s="3">
        <v>1</v>
      </c>
      <c r="D154" s="4">
        <v>8.76</v>
      </c>
      <c r="E154" s="4">
        <v>0</v>
      </c>
      <c r="F154" s="4">
        <v>8.76</v>
      </c>
      <c r="G154" s="17">
        <f t="shared" si="54"/>
        <v>756864</v>
      </c>
      <c r="H154" s="26">
        <f t="shared" si="53"/>
        <v>0.75686399999999998</v>
      </c>
      <c r="I154" s="26">
        <v>84930.618181818194</v>
      </c>
      <c r="J154" s="54">
        <f t="shared" si="55"/>
        <v>8.4930618181818199E-2</v>
      </c>
      <c r="K154" s="26">
        <v>-16062.2181818182</v>
      </c>
      <c r="L154" s="26">
        <f t="shared" si="56"/>
        <v>-1.6062218181818199E-2</v>
      </c>
      <c r="M154" s="26">
        <f t="shared" si="57"/>
        <v>6.8868399999999996E-2</v>
      </c>
      <c r="N154" s="26">
        <v>-0.357479214545454</v>
      </c>
      <c r="O154" s="4">
        <f t="shared" si="58"/>
        <v>1.045474814545454</v>
      </c>
    </row>
    <row r="155" spans="1:15" x14ac:dyDescent="0.7">
      <c r="A155" s="6"/>
      <c r="B155" s="6"/>
      <c r="C155" s="6">
        <v>2</v>
      </c>
      <c r="D155" s="7">
        <v>5.6954000000000002</v>
      </c>
      <c r="E155" s="7">
        <v>0</v>
      </c>
      <c r="F155" s="7">
        <v>5.6954000000000002</v>
      </c>
      <c r="G155" s="17">
        <f t="shared" si="54"/>
        <v>492082.56</v>
      </c>
      <c r="H155" s="26">
        <f t="shared" si="53"/>
        <v>0.49208256</v>
      </c>
      <c r="I155" s="23">
        <v>85836.800000000003</v>
      </c>
      <c r="J155" s="51">
        <f t="shared" si="55"/>
        <v>8.5836800000000005E-2</v>
      </c>
      <c r="K155" s="23">
        <v>-16304</v>
      </c>
      <c r="L155" s="23">
        <f t="shared" si="56"/>
        <v>-1.6303999999999999E-2</v>
      </c>
      <c r="M155" s="23">
        <f t="shared" si="57"/>
        <v>6.9532800000000006E-2</v>
      </c>
      <c r="N155" s="23">
        <v>-0.36302399999999901</v>
      </c>
      <c r="O155" s="7">
        <f t="shared" si="58"/>
        <v>0.78557375999999901</v>
      </c>
    </row>
    <row r="156" spans="1:15" x14ac:dyDescent="0.7">
      <c r="A156" s="6"/>
      <c r="B156" s="6"/>
      <c r="C156" s="6">
        <v>3</v>
      </c>
      <c r="D156" s="7">
        <v>5.0040000000000004</v>
      </c>
      <c r="E156" s="7">
        <v>0</v>
      </c>
      <c r="F156" s="7">
        <v>5.0040000000000004</v>
      </c>
      <c r="G156" s="17">
        <f t="shared" si="54"/>
        <v>432345.60000000003</v>
      </c>
      <c r="H156" s="26">
        <f t="shared" si="53"/>
        <v>0.43234560000000005</v>
      </c>
      <c r="I156" s="23">
        <v>86742.981818181797</v>
      </c>
      <c r="J156" s="51">
        <f t="shared" si="55"/>
        <v>8.6742981818181797E-2</v>
      </c>
      <c r="K156" s="23">
        <v>-16545.7818181818</v>
      </c>
      <c r="L156" s="23">
        <f t="shared" si="56"/>
        <v>-1.6545781818181799E-2</v>
      </c>
      <c r="M156" s="23">
        <f t="shared" si="57"/>
        <v>7.0197200000000001E-2</v>
      </c>
      <c r="N156" s="23">
        <v>-0.36856878545454502</v>
      </c>
      <c r="O156" s="7">
        <f t="shared" si="58"/>
        <v>0.73071718545454512</v>
      </c>
    </row>
    <row r="157" spans="1:15" x14ac:dyDescent="0.7">
      <c r="A157" s="6"/>
      <c r="B157" s="6"/>
      <c r="C157" s="3">
        <v>4</v>
      </c>
      <c r="D157" s="7">
        <v>4.3600000000000003</v>
      </c>
      <c r="E157" s="7">
        <v>0</v>
      </c>
      <c r="F157" s="7">
        <v>4.3600000000000003</v>
      </c>
      <c r="G157" s="17">
        <f t="shared" si="54"/>
        <v>376704</v>
      </c>
      <c r="H157" s="26">
        <f t="shared" si="53"/>
        <v>0.37670399999999998</v>
      </c>
      <c r="I157" s="23">
        <v>87649.163636363606</v>
      </c>
      <c r="J157" s="51">
        <f t="shared" si="55"/>
        <v>8.7649163636363603E-2</v>
      </c>
      <c r="K157" s="23">
        <v>-16787.5636363636</v>
      </c>
      <c r="L157" s="23">
        <f t="shared" si="56"/>
        <v>-1.6787563636363599E-2</v>
      </c>
      <c r="M157" s="23">
        <f t="shared" si="57"/>
        <v>7.0861599999999997E-2</v>
      </c>
      <c r="N157" s="23">
        <v>-0.37411357090908998</v>
      </c>
      <c r="O157" s="7">
        <f t="shared" si="58"/>
        <v>0.67995597090908988</v>
      </c>
    </row>
    <row r="158" spans="1:15" x14ac:dyDescent="0.7">
      <c r="A158" s="6"/>
      <c r="B158" s="6"/>
      <c r="C158" s="6">
        <v>5</v>
      </c>
      <c r="D158" s="7">
        <v>5.0129999999999999</v>
      </c>
      <c r="E158" s="7">
        <v>35.1</v>
      </c>
      <c r="F158" s="7">
        <v>5.0129999999999999</v>
      </c>
      <c r="G158" s="17">
        <f t="shared" si="54"/>
        <v>433123.2</v>
      </c>
      <c r="H158" s="26">
        <f t="shared" si="53"/>
        <v>0.43312319999999999</v>
      </c>
      <c r="I158" s="23">
        <v>88555.345454545401</v>
      </c>
      <c r="J158" s="51">
        <f t="shared" si="55"/>
        <v>8.8555345454545395E-2</v>
      </c>
      <c r="K158" s="23">
        <v>-17029.345454545401</v>
      </c>
      <c r="L158" s="23">
        <f t="shared" si="56"/>
        <v>-1.7029345454545399E-2</v>
      </c>
      <c r="M158" s="23">
        <f t="shared" si="57"/>
        <v>7.1525999999999992E-2</v>
      </c>
      <c r="N158" s="23">
        <v>-0.37965835636363598</v>
      </c>
      <c r="O158" s="7">
        <f t="shared" si="58"/>
        <v>0.74125555636363605</v>
      </c>
    </row>
    <row r="159" spans="1:15" x14ac:dyDescent="0.7">
      <c r="A159" s="6"/>
      <c r="B159" s="6"/>
      <c r="C159" s="6">
        <v>6</v>
      </c>
      <c r="D159" s="7">
        <v>7.5570000000000004</v>
      </c>
      <c r="E159" s="7">
        <v>0</v>
      </c>
      <c r="F159" s="7">
        <v>7.5570000000000004</v>
      </c>
      <c r="G159" s="17">
        <f t="shared" si="54"/>
        <v>652924.80000000005</v>
      </c>
      <c r="H159" s="26">
        <f t="shared" si="53"/>
        <v>0.65292480000000008</v>
      </c>
      <c r="I159" s="23">
        <v>89461.527272727297</v>
      </c>
      <c r="J159" s="51">
        <f t="shared" si="55"/>
        <v>8.9461527272727298E-2</v>
      </c>
      <c r="K159" s="23">
        <v>-17271.127272727299</v>
      </c>
      <c r="L159" s="23">
        <f t="shared" si="56"/>
        <v>-1.72711272727273E-2</v>
      </c>
      <c r="M159" s="23">
        <f t="shared" si="57"/>
        <v>7.2190400000000002E-2</v>
      </c>
      <c r="N159" s="23">
        <v>-0.38520314181818099</v>
      </c>
      <c r="O159" s="7">
        <f t="shared" si="58"/>
        <v>0.96593754181818103</v>
      </c>
    </row>
    <row r="160" spans="1:15" x14ac:dyDescent="0.7">
      <c r="A160" s="6"/>
      <c r="B160" s="6"/>
      <c r="C160" s="3">
        <v>7</v>
      </c>
      <c r="D160" s="7">
        <v>8.5500000000000007</v>
      </c>
      <c r="E160" s="7">
        <v>1.1000000000000001</v>
      </c>
      <c r="F160" s="7">
        <v>8.5500000000000007</v>
      </c>
      <c r="G160" s="17">
        <f t="shared" si="54"/>
        <v>738720.00000000012</v>
      </c>
      <c r="H160" s="26">
        <f t="shared" si="53"/>
        <v>0.73872000000000015</v>
      </c>
      <c r="I160" s="23">
        <v>90367.709090909106</v>
      </c>
      <c r="J160" s="51">
        <f t="shared" si="55"/>
        <v>9.0367709090909104E-2</v>
      </c>
      <c r="K160" s="23">
        <v>-17512.909090909099</v>
      </c>
      <c r="L160" s="23">
        <f t="shared" si="56"/>
        <v>-1.75129090909091E-2</v>
      </c>
      <c r="M160" s="23">
        <f t="shared" si="57"/>
        <v>7.2854799999999997E-2</v>
      </c>
      <c r="N160" s="23">
        <v>-0.390747927272727</v>
      </c>
      <c r="O160" s="7">
        <f t="shared" si="58"/>
        <v>1.056613127272727</v>
      </c>
    </row>
    <row r="161" spans="1:15" x14ac:dyDescent="0.7">
      <c r="A161" s="6"/>
      <c r="B161" s="6"/>
      <c r="C161" s="6">
        <v>8</v>
      </c>
      <c r="D161" s="7">
        <v>7.71</v>
      </c>
      <c r="E161" s="7">
        <v>0</v>
      </c>
      <c r="F161" s="7">
        <v>7.71</v>
      </c>
      <c r="G161" s="17">
        <f t="shared" si="54"/>
        <v>666144</v>
      </c>
      <c r="H161" s="26">
        <f t="shared" si="53"/>
        <v>0.66614399999999996</v>
      </c>
      <c r="I161" s="23">
        <v>91273.8909090909</v>
      </c>
      <c r="J161" s="51">
        <f t="shared" si="55"/>
        <v>9.1273890909090896E-2</v>
      </c>
      <c r="K161" s="23">
        <v>-17754.690909090899</v>
      </c>
      <c r="L161" s="23">
        <f t="shared" si="56"/>
        <v>-1.77546909090909E-2</v>
      </c>
      <c r="M161" s="23">
        <f t="shared" si="57"/>
        <v>7.3519199999999993E-2</v>
      </c>
      <c r="N161" s="23">
        <v>-0.39629271272727201</v>
      </c>
      <c r="O161" s="7">
        <f t="shared" si="58"/>
        <v>0.98891751272727202</v>
      </c>
    </row>
    <row r="162" spans="1:15" x14ac:dyDescent="0.7">
      <c r="A162" s="6"/>
      <c r="B162" s="6"/>
      <c r="C162" s="6">
        <v>9</v>
      </c>
      <c r="D162" s="7">
        <v>12.189</v>
      </c>
      <c r="E162" s="7">
        <v>2.4</v>
      </c>
      <c r="F162" s="7">
        <v>12.189</v>
      </c>
      <c r="G162" s="17">
        <f t="shared" si="54"/>
        <v>1053129.6000000001</v>
      </c>
      <c r="H162" s="26">
        <f t="shared" si="53"/>
        <v>1.0531296000000001</v>
      </c>
      <c r="I162" s="23">
        <v>92180.072727272694</v>
      </c>
      <c r="J162" s="51">
        <f t="shared" si="55"/>
        <v>9.2180072727272688E-2</v>
      </c>
      <c r="K162" s="23">
        <v>-17996.4727272727</v>
      </c>
      <c r="L162" s="23">
        <f t="shared" si="56"/>
        <v>-1.79964727272727E-2</v>
      </c>
      <c r="M162" s="23">
        <f t="shared" si="57"/>
        <v>7.4183599999999988E-2</v>
      </c>
      <c r="N162" s="23">
        <v>-0.40183749818181802</v>
      </c>
      <c r="O162" s="7">
        <f t="shared" si="58"/>
        <v>1.3807834981818181</v>
      </c>
    </row>
    <row r="163" spans="1:15" x14ac:dyDescent="0.7">
      <c r="A163" s="6"/>
      <c r="B163" s="6"/>
      <c r="C163" s="3">
        <v>10</v>
      </c>
      <c r="D163" s="7">
        <v>16.234000000000002</v>
      </c>
      <c r="E163" s="7">
        <v>76.099999999999994</v>
      </c>
      <c r="F163" s="7">
        <v>16.234000000000002</v>
      </c>
      <c r="G163" s="17">
        <f t="shared" si="54"/>
        <v>1402617.6</v>
      </c>
      <c r="H163" s="26">
        <f t="shared" si="53"/>
        <v>1.4026176000000001</v>
      </c>
      <c r="I163" s="23">
        <v>93086.254545454503</v>
      </c>
      <c r="J163" s="51">
        <f t="shared" si="55"/>
        <v>9.3086254545454508E-2</v>
      </c>
      <c r="K163" s="23">
        <v>-18238.2545454545</v>
      </c>
      <c r="L163" s="23">
        <f t="shared" si="56"/>
        <v>-1.82382545454545E-2</v>
      </c>
      <c r="M163" s="23">
        <f t="shared" si="57"/>
        <v>7.4848000000000012E-2</v>
      </c>
      <c r="N163" s="23">
        <v>-0.40738228363636297</v>
      </c>
      <c r="O163" s="7">
        <f t="shared" si="58"/>
        <v>1.7351518836363631</v>
      </c>
    </row>
    <row r="164" spans="1:15" x14ac:dyDescent="0.7">
      <c r="A164" s="6"/>
      <c r="B164" s="6"/>
      <c r="C164" s="6">
        <v>11</v>
      </c>
      <c r="D164" s="7">
        <v>16.234000000000002</v>
      </c>
      <c r="E164" s="7">
        <v>18.600000000000001</v>
      </c>
      <c r="F164" s="7">
        <v>16.234000000000002</v>
      </c>
      <c r="G164" s="17">
        <f t="shared" si="54"/>
        <v>1402617.6</v>
      </c>
      <c r="H164" s="26">
        <f t="shared" si="53"/>
        <v>1.4026176000000001</v>
      </c>
      <c r="I164" s="23">
        <v>93992.436363636298</v>
      </c>
      <c r="J164" s="51">
        <f t="shared" si="55"/>
        <v>9.39924363636363E-2</v>
      </c>
      <c r="K164" s="23">
        <v>-18480.036363636402</v>
      </c>
      <c r="L164" s="23">
        <f t="shared" si="56"/>
        <v>-1.8480036363636401E-2</v>
      </c>
      <c r="M164" s="23">
        <f t="shared" si="57"/>
        <v>7.5512399999999896E-2</v>
      </c>
      <c r="N164" s="23">
        <v>-0.41292706909090798</v>
      </c>
      <c r="O164" s="7">
        <f t="shared" si="58"/>
        <v>1.7400322690909082</v>
      </c>
    </row>
    <row r="165" spans="1:15" x14ac:dyDescent="0.7">
      <c r="A165" s="6"/>
      <c r="B165" s="6"/>
      <c r="C165" s="6">
        <v>12</v>
      </c>
      <c r="D165" s="7">
        <v>11.239000000000001</v>
      </c>
      <c r="E165" s="7">
        <v>1</v>
      </c>
      <c r="F165" s="7">
        <v>11.239000000000001</v>
      </c>
      <c r="G165" s="17">
        <f t="shared" si="54"/>
        <v>971049.60000000009</v>
      </c>
      <c r="H165" s="26">
        <f t="shared" si="53"/>
        <v>0.97104960000000007</v>
      </c>
      <c r="I165" s="23">
        <v>94898.618181818194</v>
      </c>
      <c r="J165" s="51">
        <f t="shared" si="55"/>
        <v>9.489861818181819E-2</v>
      </c>
      <c r="K165" s="23">
        <v>-18721.818181818198</v>
      </c>
      <c r="L165" s="23">
        <f t="shared" si="56"/>
        <v>-1.8721818181818197E-2</v>
      </c>
      <c r="M165" s="23">
        <f t="shared" si="57"/>
        <v>7.6176799999999989E-2</v>
      </c>
      <c r="N165" s="23">
        <v>-0.41847185454545399</v>
      </c>
      <c r="O165" s="7">
        <f t="shared" si="58"/>
        <v>1.3133446545454541</v>
      </c>
    </row>
    <row r="166" spans="1:15" x14ac:dyDescent="0.7">
      <c r="A166" s="6"/>
      <c r="B166" s="6"/>
      <c r="C166" s="3">
        <v>13</v>
      </c>
      <c r="D166" s="7">
        <v>7.71</v>
      </c>
      <c r="E166" s="7">
        <v>0</v>
      </c>
      <c r="F166" s="7">
        <v>7.71</v>
      </c>
      <c r="G166" s="17">
        <f t="shared" si="54"/>
        <v>666144</v>
      </c>
      <c r="H166" s="26">
        <f t="shared" si="53"/>
        <v>0.66614399999999996</v>
      </c>
      <c r="I166" s="23">
        <v>95804.800000000003</v>
      </c>
      <c r="J166" s="51">
        <f t="shared" si="55"/>
        <v>9.5804800000000009E-2</v>
      </c>
      <c r="K166" s="23">
        <v>-18963.599999999999</v>
      </c>
      <c r="L166" s="23">
        <f t="shared" si="56"/>
        <v>-1.8963599999999997E-2</v>
      </c>
      <c r="M166" s="23">
        <f t="shared" si="57"/>
        <v>7.6841200000000012E-2</v>
      </c>
      <c r="N166" s="23">
        <v>-0.424016639999999</v>
      </c>
      <c r="O166" s="7">
        <f t="shared" si="58"/>
        <v>1.013319439999999</v>
      </c>
    </row>
    <row r="167" spans="1:15" x14ac:dyDescent="0.7">
      <c r="A167" s="6"/>
      <c r="B167" s="6"/>
      <c r="C167" s="6">
        <v>14</v>
      </c>
      <c r="D167" s="7">
        <v>7.71</v>
      </c>
      <c r="E167" s="7">
        <v>26.4</v>
      </c>
      <c r="F167" s="7">
        <v>7.71</v>
      </c>
      <c r="G167" s="17">
        <f t="shared" si="54"/>
        <v>666144</v>
      </c>
      <c r="H167" s="26">
        <f t="shared" si="53"/>
        <v>0.66614399999999996</v>
      </c>
      <c r="I167" s="23">
        <v>96710.981818181797</v>
      </c>
      <c r="J167" s="51">
        <f t="shared" si="55"/>
        <v>9.6710981818181802E-2</v>
      </c>
      <c r="K167" s="23">
        <v>-19205.381818181799</v>
      </c>
      <c r="L167" s="23">
        <f t="shared" si="56"/>
        <v>-1.9205381818181797E-2</v>
      </c>
      <c r="M167" s="23">
        <f t="shared" si="57"/>
        <v>7.7505600000000008E-2</v>
      </c>
      <c r="N167" s="23">
        <v>-0.42956142545454501</v>
      </c>
      <c r="O167" s="7">
        <f t="shared" si="58"/>
        <v>1.018199825454545</v>
      </c>
    </row>
    <row r="168" spans="1:15" x14ac:dyDescent="0.7">
      <c r="A168" s="6"/>
      <c r="B168" s="6"/>
      <c r="C168" s="6">
        <v>15</v>
      </c>
      <c r="D168" s="7">
        <v>10.019</v>
      </c>
      <c r="E168" s="7">
        <v>40.1</v>
      </c>
      <c r="F168" s="7">
        <v>10.019</v>
      </c>
      <c r="G168" s="17">
        <f t="shared" si="54"/>
        <v>865641.6</v>
      </c>
      <c r="H168" s="26">
        <f t="shared" si="53"/>
        <v>0.86564160000000001</v>
      </c>
      <c r="I168" s="23">
        <v>97617.163636363606</v>
      </c>
      <c r="J168" s="51">
        <f t="shared" si="55"/>
        <v>9.7617163636363607E-2</v>
      </c>
      <c r="K168" s="23">
        <v>-19447.163636363599</v>
      </c>
      <c r="L168" s="23">
        <f t="shared" si="56"/>
        <v>-1.9447163636363601E-2</v>
      </c>
      <c r="M168" s="23">
        <f t="shared" si="57"/>
        <v>7.8170000000000003E-2</v>
      </c>
      <c r="N168" s="23">
        <v>-0.43510621090909002</v>
      </c>
      <c r="O168" s="7">
        <f t="shared" si="58"/>
        <v>1.2225778109090901</v>
      </c>
    </row>
    <row r="169" spans="1:15" x14ac:dyDescent="0.7">
      <c r="A169" s="6"/>
      <c r="B169" s="6"/>
      <c r="C169" s="3">
        <v>16</v>
      </c>
      <c r="D169" s="7">
        <v>8.8610000000000007</v>
      </c>
      <c r="E169" s="7">
        <v>2.1</v>
      </c>
      <c r="F169" s="7">
        <v>8.8610000000000007</v>
      </c>
      <c r="G169" s="17">
        <f t="shared" si="54"/>
        <v>765590.4</v>
      </c>
      <c r="H169" s="26">
        <f t="shared" si="53"/>
        <v>0.7655904</v>
      </c>
      <c r="I169" s="23">
        <v>98523.345454545401</v>
      </c>
      <c r="J169" s="51">
        <f t="shared" si="55"/>
        <v>9.85233454545454E-2</v>
      </c>
      <c r="K169" s="23">
        <v>-19688.945454545399</v>
      </c>
      <c r="L169" s="23">
        <f t="shared" si="56"/>
        <v>-1.9688945454545401E-2</v>
      </c>
      <c r="M169" s="23">
        <f t="shared" si="57"/>
        <v>7.8834399999999999E-2</v>
      </c>
      <c r="N169" s="23">
        <v>-0.44065099636363603</v>
      </c>
      <c r="O169" s="7">
        <f t="shared" si="58"/>
        <v>1.1274069963636362</v>
      </c>
    </row>
    <row r="170" spans="1:15" x14ac:dyDescent="0.7">
      <c r="A170" s="6"/>
      <c r="B170" s="6"/>
      <c r="C170" s="6">
        <v>17</v>
      </c>
      <c r="D170" s="7">
        <v>12.698</v>
      </c>
      <c r="E170" s="7">
        <v>50.2</v>
      </c>
      <c r="F170" s="7">
        <v>12.698</v>
      </c>
      <c r="G170" s="17">
        <f t="shared" si="54"/>
        <v>1097107.2</v>
      </c>
      <c r="H170" s="26">
        <f t="shared" si="53"/>
        <v>1.0971071999999999</v>
      </c>
      <c r="I170" s="23">
        <v>99429.527272727297</v>
      </c>
      <c r="J170" s="51">
        <f t="shared" si="55"/>
        <v>9.9429527272727303E-2</v>
      </c>
      <c r="K170" s="23">
        <v>-19930.727272727301</v>
      </c>
      <c r="L170" s="23">
        <f t="shared" si="56"/>
        <v>-1.9930727272727301E-2</v>
      </c>
      <c r="M170" s="23">
        <f t="shared" si="57"/>
        <v>7.9498800000000008E-2</v>
      </c>
      <c r="N170" s="23">
        <v>-0.44619578181818098</v>
      </c>
      <c r="O170" s="7">
        <f t="shared" si="58"/>
        <v>1.4638041818181808</v>
      </c>
    </row>
    <row r="171" spans="1:15" x14ac:dyDescent="0.7">
      <c r="A171" s="6"/>
      <c r="B171" s="6"/>
      <c r="C171" s="6">
        <v>18</v>
      </c>
      <c r="D171" s="7">
        <v>10.047000000000001</v>
      </c>
      <c r="E171" s="7">
        <v>3.2</v>
      </c>
      <c r="F171" s="7">
        <v>10.047000000000001</v>
      </c>
      <c r="G171" s="17">
        <f t="shared" si="54"/>
        <v>868060.8</v>
      </c>
      <c r="H171" s="26">
        <f t="shared" si="53"/>
        <v>0.86806080000000008</v>
      </c>
      <c r="I171" s="23">
        <v>100335.709090909</v>
      </c>
      <c r="J171" s="51">
        <f t="shared" si="55"/>
        <v>0.100335709090909</v>
      </c>
      <c r="K171" s="23">
        <v>-20172.509090909101</v>
      </c>
      <c r="L171" s="23">
        <f t="shared" si="56"/>
        <v>-2.0172509090909101E-2</v>
      </c>
      <c r="M171" s="23">
        <f t="shared" si="57"/>
        <v>8.0163199999999893E-2</v>
      </c>
      <c r="N171" s="23">
        <v>-0.45174056727272699</v>
      </c>
      <c r="O171" s="7">
        <f t="shared" si="58"/>
        <v>1.2396381672727272</v>
      </c>
    </row>
    <row r="172" spans="1:15" x14ac:dyDescent="0.7">
      <c r="A172" s="6"/>
      <c r="B172" s="6"/>
      <c r="C172" s="3">
        <v>19</v>
      </c>
      <c r="D172" s="7">
        <v>9.3390000000000004</v>
      </c>
      <c r="E172" s="7">
        <v>0</v>
      </c>
      <c r="F172" s="7">
        <v>9.3390000000000004</v>
      </c>
      <c r="G172" s="17">
        <f t="shared" si="54"/>
        <v>806889.60000000009</v>
      </c>
      <c r="H172" s="26">
        <f t="shared" si="53"/>
        <v>0.8068896000000001</v>
      </c>
      <c r="I172" s="23">
        <v>101241.890909091</v>
      </c>
      <c r="J172" s="51">
        <f t="shared" si="55"/>
        <v>0.101241890909091</v>
      </c>
      <c r="K172" s="23">
        <v>-20414.290909090902</v>
      </c>
      <c r="L172" s="23">
        <f t="shared" si="56"/>
        <v>-2.0414290909090901E-2</v>
      </c>
      <c r="M172" s="23">
        <f t="shared" si="57"/>
        <v>8.0827600000000097E-2</v>
      </c>
      <c r="N172" s="23">
        <v>-0.457285352727272</v>
      </c>
      <c r="O172" s="7">
        <f t="shared" si="58"/>
        <v>1.183347352727272</v>
      </c>
    </row>
    <row r="173" spans="1:15" x14ac:dyDescent="0.7">
      <c r="A173" s="6"/>
      <c r="B173" s="6"/>
      <c r="C173" s="6">
        <v>20</v>
      </c>
      <c r="D173" s="7">
        <v>7.4880000000000004</v>
      </c>
      <c r="E173" s="7">
        <v>0</v>
      </c>
      <c r="F173" s="7">
        <v>7.4880000000000004</v>
      </c>
      <c r="G173" s="17">
        <f t="shared" si="54"/>
        <v>646963.20000000007</v>
      </c>
      <c r="H173" s="26">
        <f t="shared" si="53"/>
        <v>0.64696320000000007</v>
      </c>
      <c r="I173" s="23">
        <v>102148.072727273</v>
      </c>
      <c r="J173" s="51">
        <f t="shared" si="55"/>
        <v>0.102148072727273</v>
      </c>
      <c r="K173" s="23">
        <v>-20656.072727272702</v>
      </c>
      <c r="L173" s="23">
        <f t="shared" si="56"/>
        <v>-2.0656072727272701E-2</v>
      </c>
      <c r="M173" s="23">
        <f t="shared" si="57"/>
        <v>8.14920000000003E-2</v>
      </c>
      <c r="N173" s="23">
        <v>-0.46283013818181801</v>
      </c>
      <c r="O173" s="7">
        <f t="shared" si="58"/>
        <v>1.0283013381818178</v>
      </c>
    </row>
    <row r="174" spans="1:15" x14ac:dyDescent="0.7">
      <c r="A174" s="6"/>
      <c r="B174" s="6"/>
      <c r="C174" s="6">
        <v>21</v>
      </c>
      <c r="D174" s="7">
        <v>7.06</v>
      </c>
      <c r="E174" s="7">
        <v>0</v>
      </c>
      <c r="F174" s="7">
        <v>7.06</v>
      </c>
      <c r="G174" s="17">
        <f t="shared" si="54"/>
        <v>609984</v>
      </c>
      <c r="H174" s="26">
        <f t="shared" si="53"/>
        <v>0.60998399999999997</v>
      </c>
      <c r="I174" s="23">
        <v>103054.254545455</v>
      </c>
      <c r="J174" s="51">
        <f t="shared" si="55"/>
        <v>0.103054254545455</v>
      </c>
      <c r="K174" s="23">
        <v>-20897.854545454498</v>
      </c>
      <c r="L174" s="23">
        <f t="shared" si="56"/>
        <v>-2.0897854545454498E-2</v>
      </c>
      <c r="M174" s="23">
        <f t="shared" si="57"/>
        <v>8.2156400000000504E-2</v>
      </c>
      <c r="N174" s="23">
        <v>-0.46837492363636302</v>
      </c>
      <c r="O174" s="7">
        <f t="shared" si="58"/>
        <v>0.99620252363636252</v>
      </c>
    </row>
    <row r="175" spans="1:15" x14ac:dyDescent="0.7">
      <c r="A175" s="6"/>
      <c r="B175" s="6"/>
      <c r="C175" s="3">
        <v>22</v>
      </c>
      <c r="D175" s="7">
        <v>5.9080000000000004</v>
      </c>
      <c r="E175" s="7">
        <v>0</v>
      </c>
      <c r="F175" s="7">
        <v>5.9080000000000004</v>
      </c>
      <c r="G175" s="17">
        <f t="shared" si="54"/>
        <v>510451.20000000001</v>
      </c>
      <c r="H175" s="26">
        <f t="shared" si="53"/>
        <v>0.51045119999999999</v>
      </c>
      <c r="I175" s="23">
        <v>103960.43636363601</v>
      </c>
      <c r="J175" s="51">
        <f t="shared" si="55"/>
        <v>0.10396043636363601</v>
      </c>
      <c r="K175" s="23">
        <v>-21139.6363636364</v>
      </c>
      <c r="L175" s="23">
        <f t="shared" si="56"/>
        <v>-2.1139636363636399E-2</v>
      </c>
      <c r="M175" s="23">
        <f t="shared" si="57"/>
        <v>8.2820799999999611E-2</v>
      </c>
      <c r="N175" s="23">
        <v>-0.47391970909090803</v>
      </c>
      <c r="O175" s="7">
        <f t="shared" si="58"/>
        <v>0.90155010909090838</v>
      </c>
    </row>
    <row r="176" spans="1:15" x14ac:dyDescent="0.7">
      <c r="A176" s="6"/>
      <c r="B176" s="6"/>
      <c r="C176" s="6">
        <v>23</v>
      </c>
      <c r="D176" s="7">
        <v>5.6669999999999998</v>
      </c>
      <c r="E176" s="7">
        <v>29.9</v>
      </c>
      <c r="F176" s="7">
        <v>5.6669999999999998</v>
      </c>
      <c r="G176" s="17">
        <f t="shared" si="54"/>
        <v>489628.8</v>
      </c>
      <c r="H176" s="26">
        <f t="shared" si="53"/>
        <v>0.48962879999999998</v>
      </c>
      <c r="I176" s="23">
        <v>104866.618181818</v>
      </c>
      <c r="J176" s="51">
        <f t="shared" si="55"/>
        <v>0.104866618181818</v>
      </c>
      <c r="K176" s="23">
        <v>-21381.418181818201</v>
      </c>
      <c r="L176" s="23">
        <f t="shared" si="56"/>
        <v>-2.1381418181818202E-2</v>
      </c>
      <c r="M176" s="23">
        <f t="shared" si="57"/>
        <v>8.3485199999999801E-2</v>
      </c>
      <c r="N176" s="23">
        <v>-0.47946449454545398</v>
      </c>
      <c r="O176" s="7">
        <f t="shared" si="58"/>
        <v>0.88560809454545408</v>
      </c>
    </row>
    <row r="177" spans="1:15" x14ac:dyDescent="0.7">
      <c r="A177" s="6"/>
      <c r="B177" s="6"/>
      <c r="C177" s="6">
        <v>24</v>
      </c>
      <c r="D177" s="7">
        <v>5.0709999999999997</v>
      </c>
      <c r="E177" s="7">
        <v>0</v>
      </c>
      <c r="F177" s="7">
        <v>5.0709999999999997</v>
      </c>
      <c r="G177" s="17">
        <f t="shared" si="54"/>
        <v>438134.39999999997</v>
      </c>
      <c r="H177" s="26">
        <f t="shared" si="53"/>
        <v>0.43813439999999998</v>
      </c>
      <c r="I177" s="23">
        <v>105772.8</v>
      </c>
      <c r="J177" s="51">
        <f t="shared" si="55"/>
        <v>0.1057728</v>
      </c>
      <c r="K177" s="23">
        <v>-21623.200000000001</v>
      </c>
      <c r="L177" s="23">
        <f t="shared" si="56"/>
        <v>-2.1623200000000002E-2</v>
      </c>
      <c r="M177" s="23">
        <f t="shared" si="57"/>
        <v>8.4149599999999991E-2</v>
      </c>
      <c r="N177" s="23">
        <v>-0.48500927999999899</v>
      </c>
      <c r="O177" s="7">
        <f t="shared" si="58"/>
        <v>0.83899407999999898</v>
      </c>
    </row>
    <row r="178" spans="1:15" x14ac:dyDescent="0.7">
      <c r="A178" s="6"/>
      <c r="B178" s="6"/>
      <c r="C178" s="3">
        <v>25</v>
      </c>
      <c r="D178" s="7">
        <v>5.0709999999999997</v>
      </c>
      <c r="E178" s="7">
        <v>4.3</v>
      </c>
      <c r="F178" s="7">
        <v>5.0709999999999997</v>
      </c>
      <c r="G178" s="17">
        <f t="shared" si="54"/>
        <v>438134.39999999997</v>
      </c>
      <c r="H178" s="26">
        <f t="shared" si="53"/>
        <v>0.43813439999999998</v>
      </c>
      <c r="I178" s="23">
        <v>106678.981818182</v>
      </c>
      <c r="J178" s="51">
        <f t="shared" si="55"/>
        <v>0.106678981818182</v>
      </c>
      <c r="K178" s="23">
        <v>-21864.981818181801</v>
      </c>
      <c r="L178" s="23">
        <f t="shared" si="56"/>
        <v>-2.1864981818181802E-2</v>
      </c>
      <c r="M178" s="23">
        <f t="shared" si="57"/>
        <v>8.4814000000000195E-2</v>
      </c>
      <c r="N178" s="23">
        <v>-0.490554065454545</v>
      </c>
      <c r="O178" s="7">
        <f t="shared" si="58"/>
        <v>0.8438744654545447</v>
      </c>
    </row>
    <row r="179" spans="1:15" x14ac:dyDescent="0.7">
      <c r="A179" s="6"/>
      <c r="B179" s="6"/>
      <c r="C179" s="6">
        <v>26</v>
      </c>
      <c r="D179" s="7">
        <v>5.0709999999999997</v>
      </c>
      <c r="E179" s="7">
        <v>0</v>
      </c>
      <c r="F179" s="7">
        <v>5.0709999999999997</v>
      </c>
      <c r="G179" s="17">
        <f t="shared" si="54"/>
        <v>438134.39999999997</v>
      </c>
      <c r="H179" s="26">
        <f t="shared" si="53"/>
        <v>0.43813439999999998</v>
      </c>
      <c r="I179" s="23">
        <v>107585.163636364</v>
      </c>
      <c r="J179" s="51">
        <f t="shared" si="55"/>
        <v>0.107585163636364</v>
      </c>
      <c r="K179" s="23">
        <v>-22106.763636363601</v>
      </c>
      <c r="L179" s="23">
        <f t="shared" si="56"/>
        <v>-2.2106763636363602E-2</v>
      </c>
      <c r="M179" s="23">
        <f t="shared" si="57"/>
        <v>8.5478400000000399E-2</v>
      </c>
      <c r="N179" s="23">
        <v>-0.49609885090909001</v>
      </c>
      <c r="O179" s="7">
        <f t="shared" si="58"/>
        <v>0.84875485090908964</v>
      </c>
    </row>
    <row r="180" spans="1:15" x14ac:dyDescent="0.7">
      <c r="A180" s="6"/>
      <c r="B180" s="6"/>
      <c r="C180" s="6">
        <v>27</v>
      </c>
      <c r="D180" s="7">
        <v>5.3239999999999998</v>
      </c>
      <c r="E180" s="7">
        <v>22.4</v>
      </c>
      <c r="F180" s="7">
        <v>5.3239999999999998</v>
      </c>
      <c r="G180" s="17">
        <f t="shared" si="54"/>
        <v>459993.59999999998</v>
      </c>
      <c r="H180" s="26">
        <f t="shared" si="53"/>
        <v>0.4599936</v>
      </c>
      <c r="I180" s="23">
        <v>108491.34545454499</v>
      </c>
      <c r="J180" s="51">
        <f t="shared" si="55"/>
        <v>0.10849134545454499</v>
      </c>
      <c r="K180" s="23">
        <v>-22348.545454545401</v>
      </c>
      <c r="L180" s="23">
        <f t="shared" si="56"/>
        <v>-2.2348545454545402E-2</v>
      </c>
      <c r="M180" s="23">
        <f t="shared" si="57"/>
        <v>8.6142799999999589E-2</v>
      </c>
      <c r="N180" s="23">
        <v>-0.50164363636363596</v>
      </c>
      <c r="O180" s="7">
        <f t="shared" si="58"/>
        <v>0.87549443636363633</v>
      </c>
    </row>
    <row r="181" spans="1:15" x14ac:dyDescent="0.7">
      <c r="A181" s="6"/>
      <c r="B181" s="6"/>
      <c r="C181" s="3">
        <v>28</v>
      </c>
      <c r="D181" s="7">
        <v>5.3239999999999998</v>
      </c>
      <c r="E181" s="7">
        <v>0</v>
      </c>
      <c r="F181" s="7">
        <v>5.3239999999999998</v>
      </c>
      <c r="G181" s="17">
        <f t="shared" si="54"/>
        <v>459993.59999999998</v>
      </c>
      <c r="H181" s="26">
        <f t="shared" si="53"/>
        <v>0.4599936</v>
      </c>
      <c r="I181" s="23">
        <v>109397.52727272701</v>
      </c>
      <c r="J181" s="51">
        <f t="shared" si="55"/>
        <v>0.109397527272727</v>
      </c>
      <c r="K181" s="23">
        <v>-22590.3272727273</v>
      </c>
      <c r="L181" s="23">
        <f t="shared" si="56"/>
        <v>-2.2590327272727299E-2</v>
      </c>
      <c r="M181" s="23">
        <f t="shared" si="57"/>
        <v>8.6807199999999696E-2</v>
      </c>
      <c r="N181" s="23">
        <v>-0.50718842181818102</v>
      </c>
      <c r="O181" s="7">
        <f t="shared" si="58"/>
        <v>0.88037482181818127</v>
      </c>
    </row>
    <row r="182" spans="1:15" x14ac:dyDescent="0.7">
      <c r="A182" s="6"/>
      <c r="B182" s="6"/>
      <c r="C182" s="6">
        <v>29</v>
      </c>
      <c r="D182" s="7">
        <v>5.1790000000000003</v>
      </c>
      <c r="E182" s="7">
        <v>0</v>
      </c>
      <c r="F182" s="7">
        <v>5.1790000000000003</v>
      </c>
      <c r="G182" s="17">
        <f t="shared" si="54"/>
        <v>447465.60000000003</v>
      </c>
      <c r="H182" s="26">
        <f t="shared" si="53"/>
        <v>0.44746560000000002</v>
      </c>
      <c r="I182" s="23">
        <v>110303.709090909</v>
      </c>
      <c r="J182" s="51">
        <f t="shared" si="55"/>
        <v>0.110303709090909</v>
      </c>
      <c r="K182" s="23">
        <v>-22832.1090909091</v>
      </c>
      <c r="L182" s="23">
        <f t="shared" si="56"/>
        <v>-2.2832109090909099E-2</v>
      </c>
      <c r="M182" s="23">
        <f t="shared" si="57"/>
        <v>8.7471599999999899E-2</v>
      </c>
      <c r="N182" s="23">
        <v>-0.51273320727272698</v>
      </c>
      <c r="O182" s="7">
        <f t="shared" si="58"/>
        <v>0.87272720727272712</v>
      </c>
    </row>
    <row r="183" spans="1:15" s="15" customFormat="1" ht="25.2" thickBot="1" x14ac:dyDescent="0.75">
      <c r="A183" s="9"/>
      <c r="B183" s="12" t="s">
        <v>20</v>
      </c>
      <c r="C183" s="9">
        <v>30</v>
      </c>
      <c r="D183" s="10">
        <v>5.0369999999999999</v>
      </c>
      <c r="E183" s="10">
        <v>0</v>
      </c>
      <c r="F183" s="10">
        <v>5.0369999999999999</v>
      </c>
      <c r="G183" s="58">
        <f t="shared" si="54"/>
        <v>435196.8</v>
      </c>
      <c r="H183" s="59">
        <f t="shared" si="53"/>
        <v>0.43519679999999999</v>
      </c>
      <c r="I183" s="27">
        <v>111209.890909091</v>
      </c>
      <c r="J183" s="52">
        <f t="shared" si="55"/>
        <v>0.111209890909091</v>
      </c>
      <c r="K183" s="27">
        <v>-23073.8909090909</v>
      </c>
      <c r="L183" s="27">
        <f t="shared" si="56"/>
        <v>-2.3073890909090899E-2</v>
      </c>
      <c r="M183" s="27">
        <f t="shared" si="57"/>
        <v>8.8136000000000103E-2</v>
      </c>
      <c r="N183" s="27">
        <v>-0.51827799272727204</v>
      </c>
      <c r="O183" s="10">
        <f t="shared" si="58"/>
        <v>0.86533879272727199</v>
      </c>
    </row>
    <row r="184" spans="1:15" x14ac:dyDescent="0.7">
      <c r="A184" s="3"/>
      <c r="B184" s="3" t="s">
        <v>21</v>
      </c>
      <c r="C184" s="3">
        <v>1</v>
      </c>
      <c r="D184" s="4">
        <v>4.758</v>
      </c>
      <c r="E184" s="4">
        <v>1</v>
      </c>
      <c r="F184" s="4">
        <v>4.758</v>
      </c>
      <c r="G184" s="17">
        <f t="shared" si="54"/>
        <v>411091.20000000001</v>
      </c>
      <c r="H184" s="26">
        <f t="shared" si="53"/>
        <v>0.41109119999999999</v>
      </c>
      <c r="I184" s="26">
        <v>112116.072727273</v>
      </c>
      <c r="J184" s="54">
        <f t="shared" si="55"/>
        <v>0.112116072727273</v>
      </c>
      <c r="K184" s="26">
        <v>-23315.6727272727</v>
      </c>
      <c r="L184" s="26">
        <f t="shared" si="56"/>
        <v>-2.3315672727272699E-2</v>
      </c>
      <c r="M184" s="26">
        <f t="shared" si="57"/>
        <v>8.8800400000000307E-2</v>
      </c>
      <c r="N184" s="26">
        <v>-0.52382277818181799</v>
      </c>
      <c r="O184" s="4">
        <f t="shared" si="58"/>
        <v>0.84611357818181765</v>
      </c>
    </row>
    <row r="185" spans="1:15" x14ac:dyDescent="0.7">
      <c r="A185" s="6"/>
      <c r="B185" s="6"/>
      <c r="C185" s="6">
        <v>2</v>
      </c>
      <c r="D185" s="7">
        <v>5.0279999999999996</v>
      </c>
      <c r="E185" s="7">
        <v>22.6</v>
      </c>
      <c r="F185" s="7">
        <v>5.0279999999999996</v>
      </c>
      <c r="G185" s="17">
        <f t="shared" si="54"/>
        <v>434419.19999999995</v>
      </c>
      <c r="H185" s="26">
        <f t="shared" si="53"/>
        <v>0.43441919999999995</v>
      </c>
      <c r="I185" s="23">
        <v>113022.254545455</v>
      </c>
      <c r="J185" s="51">
        <f t="shared" si="55"/>
        <v>0.113022254545455</v>
      </c>
      <c r="K185" s="23">
        <v>-23557.4545454545</v>
      </c>
      <c r="L185" s="23">
        <f t="shared" si="56"/>
        <v>-2.35574545454545E-2</v>
      </c>
      <c r="M185" s="23">
        <f t="shared" si="57"/>
        <v>8.9464800000000511E-2</v>
      </c>
      <c r="N185" s="23">
        <v>-0.52936756363636395</v>
      </c>
      <c r="O185" s="7">
        <f t="shared" si="58"/>
        <v>0.87432196363636339</v>
      </c>
    </row>
    <row r="186" spans="1:15" x14ac:dyDescent="0.7">
      <c r="A186" s="6"/>
      <c r="B186" s="6"/>
      <c r="C186" s="6">
        <v>3</v>
      </c>
      <c r="D186" s="7">
        <v>5.2990000000000004</v>
      </c>
      <c r="E186" s="7">
        <v>26.5</v>
      </c>
      <c r="F186" s="7">
        <v>5.2990000000000004</v>
      </c>
      <c r="G186" s="17">
        <f t="shared" si="54"/>
        <v>457833.60000000003</v>
      </c>
      <c r="H186" s="26">
        <f t="shared" si="53"/>
        <v>0.45783360000000001</v>
      </c>
      <c r="I186" s="23">
        <v>113928.43636363601</v>
      </c>
      <c r="J186" s="51">
        <f t="shared" si="55"/>
        <v>0.113928436363636</v>
      </c>
      <c r="K186" s="23">
        <v>-23799.236363636399</v>
      </c>
      <c r="L186" s="23">
        <f t="shared" si="56"/>
        <v>-2.37992363636364E-2</v>
      </c>
      <c r="M186" s="23">
        <f t="shared" si="57"/>
        <v>9.0129199999999604E-2</v>
      </c>
      <c r="N186" s="23">
        <v>-0.53491234909090801</v>
      </c>
      <c r="O186" s="7">
        <f t="shared" si="58"/>
        <v>0.90261674909090839</v>
      </c>
    </row>
    <row r="187" spans="1:15" x14ac:dyDescent="0.7">
      <c r="A187" s="6"/>
      <c r="B187" s="6"/>
      <c r="C187" s="3">
        <v>4</v>
      </c>
      <c r="D187" s="7">
        <v>4.8259999999999996</v>
      </c>
      <c r="E187" s="7">
        <v>15.6</v>
      </c>
      <c r="F187" s="7">
        <v>4.8259999999999996</v>
      </c>
      <c r="G187" s="17">
        <f t="shared" si="54"/>
        <v>416966.39999999997</v>
      </c>
      <c r="H187" s="26">
        <f t="shared" si="53"/>
        <v>0.41696639999999996</v>
      </c>
      <c r="I187" s="23">
        <v>114834.618181818</v>
      </c>
      <c r="J187" s="51">
        <f t="shared" si="55"/>
        <v>0.114834618181818</v>
      </c>
      <c r="K187" s="23">
        <v>-24041.018181818199</v>
      </c>
      <c r="L187" s="23">
        <f t="shared" si="56"/>
        <v>-2.40410181818182E-2</v>
      </c>
      <c r="M187" s="23">
        <f t="shared" si="57"/>
        <v>9.0793599999999808E-2</v>
      </c>
      <c r="N187" s="23">
        <v>-0.54045713454545397</v>
      </c>
      <c r="O187" s="7">
        <f t="shared" si="58"/>
        <v>0.86662993454545412</v>
      </c>
    </row>
    <row r="188" spans="1:15" x14ac:dyDescent="0.7">
      <c r="A188" s="6"/>
      <c r="B188" s="6"/>
      <c r="C188" s="6">
        <v>5</v>
      </c>
      <c r="D188" s="7">
        <v>4.3529999999999998</v>
      </c>
      <c r="E188" s="7">
        <v>0</v>
      </c>
      <c r="F188" s="7">
        <v>4.3529999999999998</v>
      </c>
      <c r="G188" s="17">
        <f t="shared" si="54"/>
        <v>376099.19999999995</v>
      </c>
      <c r="H188" s="26">
        <f t="shared" si="53"/>
        <v>0.37609919999999997</v>
      </c>
      <c r="I188" s="23">
        <v>115740.8</v>
      </c>
      <c r="J188" s="51">
        <f t="shared" si="55"/>
        <v>0.1157408</v>
      </c>
      <c r="K188" s="23">
        <v>-24282.799999999999</v>
      </c>
      <c r="L188" s="23">
        <f t="shared" si="56"/>
        <v>-2.42828E-2</v>
      </c>
      <c r="M188" s="23">
        <f t="shared" si="57"/>
        <v>9.1458000000000012E-2</v>
      </c>
      <c r="N188" s="23">
        <v>-0.54600191999999903</v>
      </c>
      <c r="O188" s="7">
        <f t="shared" si="58"/>
        <v>0.83064311999999896</v>
      </c>
    </row>
    <row r="189" spans="1:15" x14ac:dyDescent="0.7">
      <c r="A189" s="6"/>
      <c r="B189" s="6"/>
      <c r="C189" s="6">
        <v>6</v>
      </c>
      <c r="D189" s="7">
        <v>4.9619999999999997</v>
      </c>
      <c r="E189" s="7">
        <v>0</v>
      </c>
      <c r="F189" s="7">
        <v>4.9619999999999997</v>
      </c>
      <c r="G189" s="17">
        <f t="shared" si="54"/>
        <v>428716.79999999999</v>
      </c>
      <c r="H189" s="26">
        <f t="shared" si="53"/>
        <v>0.42871680000000001</v>
      </c>
      <c r="I189" s="23">
        <v>116646.981818182</v>
      </c>
      <c r="J189" s="51">
        <f t="shared" si="55"/>
        <v>0.11664698181818201</v>
      </c>
      <c r="K189" s="23">
        <v>-24524.581818181799</v>
      </c>
      <c r="L189" s="23">
        <f t="shared" si="56"/>
        <v>-2.45245818181818E-2</v>
      </c>
      <c r="M189" s="23">
        <f t="shared" si="57"/>
        <v>9.2122400000000201E-2</v>
      </c>
      <c r="N189" s="23">
        <v>-0.55154670545454498</v>
      </c>
      <c r="O189" s="7">
        <f t="shared" si="58"/>
        <v>0.88814110545454472</v>
      </c>
    </row>
    <row r="190" spans="1:15" x14ac:dyDescent="0.7">
      <c r="A190" s="6"/>
      <c r="B190" s="6"/>
      <c r="C190" s="3">
        <v>7</v>
      </c>
      <c r="D190" s="7">
        <v>4.9619999999999997</v>
      </c>
      <c r="E190" s="7">
        <v>0</v>
      </c>
      <c r="F190" s="7">
        <v>4.9619999999999997</v>
      </c>
      <c r="G190" s="17">
        <f t="shared" si="54"/>
        <v>428716.79999999999</v>
      </c>
      <c r="H190" s="26">
        <f t="shared" si="53"/>
        <v>0.42871680000000001</v>
      </c>
      <c r="I190" s="23">
        <v>117553.163636364</v>
      </c>
      <c r="J190" s="51">
        <f t="shared" si="55"/>
        <v>0.11755316363636401</v>
      </c>
      <c r="K190" s="23">
        <v>-24766.3636363636</v>
      </c>
      <c r="L190" s="23">
        <f t="shared" si="56"/>
        <v>-2.47663636363636E-2</v>
      </c>
      <c r="M190" s="23">
        <f t="shared" si="57"/>
        <v>9.2786800000000405E-2</v>
      </c>
      <c r="N190" s="23">
        <v>-0.55709149090909005</v>
      </c>
      <c r="O190" s="7">
        <f t="shared" si="58"/>
        <v>0.89302149090908967</v>
      </c>
    </row>
    <row r="191" spans="1:15" x14ac:dyDescent="0.7">
      <c r="A191" s="6"/>
      <c r="B191" s="6"/>
      <c r="C191" s="6">
        <v>8</v>
      </c>
      <c r="D191" s="7">
        <v>6.4939999999999998</v>
      </c>
      <c r="E191" s="7">
        <v>27.8</v>
      </c>
      <c r="F191" s="7">
        <v>6.4939999999999998</v>
      </c>
      <c r="G191" s="17">
        <f t="shared" si="54"/>
        <v>561081.59999999998</v>
      </c>
      <c r="H191" s="26">
        <f t="shared" si="53"/>
        <v>0.56108159999999996</v>
      </c>
      <c r="I191" s="23">
        <v>118459.345454546</v>
      </c>
      <c r="J191" s="51">
        <f t="shared" si="55"/>
        <v>0.11845934545454599</v>
      </c>
      <c r="K191" s="23">
        <v>-25008.1454545454</v>
      </c>
      <c r="L191" s="23">
        <f t="shared" si="56"/>
        <v>-2.50081454545454E-2</v>
      </c>
      <c r="M191" s="23">
        <f t="shared" si="57"/>
        <v>9.3451200000000595E-2</v>
      </c>
      <c r="N191" s="23">
        <v>-0.562636276363636</v>
      </c>
      <c r="O191" s="7">
        <f t="shared" si="58"/>
        <v>1.0302666763636354</v>
      </c>
    </row>
    <row r="192" spans="1:15" x14ac:dyDescent="0.7">
      <c r="A192" s="6"/>
      <c r="B192" s="6"/>
      <c r="C192" s="6">
        <v>9</v>
      </c>
      <c r="D192" s="7">
        <v>10.518000000000001</v>
      </c>
      <c r="E192" s="7">
        <v>50.2</v>
      </c>
      <c r="F192" s="7">
        <v>10.518000000000001</v>
      </c>
      <c r="G192" s="17">
        <f t="shared" si="54"/>
        <v>908755.20000000007</v>
      </c>
      <c r="H192" s="26">
        <f t="shared" si="53"/>
        <v>0.9087552000000001</v>
      </c>
      <c r="I192" s="23">
        <v>119365.52727272701</v>
      </c>
      <c r="J192" s="51">
        <f t="shared" si="55"/>
        <v>0.11936552727272701</v>
      </c>
      <c r="K192" s="23">
        <v>-25249.927272727298</v>
      </c>
      <c r="L192" s="23">
        <f t="shared" si="56"/>
        <v>-2.5249927272727297E-2</v>
      </c>
      <c r="M192" s="23">
        <f t="shared" si="57"/>
        <v>9.4115599999999716E-2</v>
      </c>
      <c r="N192" s="23">
        <v>-0.56818106181818095</v>
      </c>
      <c r="O192" s="7">
        <f t="shared" si="58"/>
        <v>1.3828206618181813</v>
      </c>
    </row>
    <row r="193" spans="1:15" x14ac:dyDescent="0.7">
      <c r="A193" s="6"/>
      <c r="B193" s="6"/>
      <c r="C193" s="3">
        <v>10</v>
      </c>
      <c r="D193" s="7">
        <v>10.627000000000001</v>
      </c>
      <c r="E193" s="7">
        <v>12.6</v>
      </c>
      <c r="F193" s="7">
        <v>10.627000000000001</v>
      </c>
      <c r="G193" s="17">
        <f t="shared" si="54"/>
        <v>918172.8</v>
      </c>
      <c r="H193" s="26">
        <f t="shared" si="53"/>
        <v>0.91817280000000001</v>
      </c>
      <c r="I193" s="23">
        <v>120271.709090909</v>
      </c>
      <c r="J193" s="51">
        <f t="shared" si="55"/>
        <v>0.12027170909090901</v>
      </c>
      <c r="K193" s="23">
        <v>-25491.709090909098</v>
      </c>
      <c r="L193" s="23">
        <f t="shared" si="56"/>
        <v>-2.5491709090909098E-2</v>
      </c>
      <c r="M193" s="23">
        <f t="shared" si="57"/>
        <v>9.4779999999999906E-2</v>
      </c>
      <c r="N193" s="23">
        <v>-0.57372584727272702</v>
      </c>
      <c r="O193" s="7">
        <f t="shared" si="58"/>
        <v>1.3971186472727273</v>
      </c>
    </row>
    <row r="194" spans="1:15" x14ac:dyDescent="0.7">
      <c r="A194" s="6"/>
      <c r="B194" s="6"/>
      <c r="C194" s="6">
        <v>11</v>
      </c>
      <c r="D194" s="7">
        <v>17.341999999999999</v>
      </c>
      <c r="E194" s="7">
        <v>16.899999999999999</v>
      </c>
      <c r="F194" s="7">
        <v>17.341999999999999</v>
      </c>
      <c r="G194" s="17">
        <f t="shared" si="54"/>
        <v>1498348.7999999998</v>
      </c>
      <c r="H194" s="26">
        <f t="shared" si="53"/>
        <v>1.4983487999999998</v>
      </c>
      <c r="I194" s="23">
        <v>121177.890909091</v>
      </c>
      <c r="J194" s="51">
        <f t="shared" si="55"/>
        <v>0.12117789090909101</v>
      </c>
      <c r="K194" s="23">
        <v>-25733.490909090899</v>
      </c>
      <c r="L194" s="23">
        <f t="shared" si="56"/>
        <v>-2.5733490909090898E-2</v>
      </c>
      <c r="M194" s="23">
        <f t="shared" si="57"/>
        <v>9.544440000000011E-2</v>
      </c>
      <c r="N194" s="23">
        <v>-0.57927063272727197</v>
      </c>
      <c r="O194" s="7">
        <f t="shared" si="58"/>
        <v>1.9821750327272718</v>
      </c>
    </row>
    <row r="195" spans="1:15" x14ac:dyDescent="0.7">
      <c r="A195" s="6"/>
      <c r="B195" s="6"/>
      <c r="C195" s="6">
        <v>12</v>
      </c>
      <c r="D195" s="7">
        <v>56.097999999999999</v>
      </c>
      <c r="E195" s="7">
        <v>45.6</v>
      </c>
      <c r="F195" s="7">
        <v>56.097999999999999</v>
      </c>
      <c r="G195" s="17">
        <f t="shared" si="54"/>
        <v>4846867.2</v>
      </c>
      <c r="H195" s="26">
        <f t="shared" ref="H195:H258" si="59">G195/1000000</f>
        <v>4.8468672000000002</v>
      </c>
      <c r="I195" s="23">
        <v>122084.072727273</v>
      </c>
      <c r="J195" s="51">
        <f t="shared" si="55"/>
        <v>0.12208407272727299</v>
      </c>
      <c r="K195" s="23">
        <v>-25975.272727272699</v>
      </c>
      <c r="L195" s="23">
        <f t="shared" si="56"/>
        <v>-2.5975272727272698E-2</v>
      </c>
      <c r="M195" s="23">
        <f t="shared" si="57"/>
        <v>9.61088000000003E-2</v>
      </c>
      <c r="N195" s="23">
        <v>-0.58481541818181704</v>
      </c>
      <c r="O195" s="7">
        <f t="shared" si="58"/>
        <v>5.3355738181818166</v>
      </c>
    </row>
    <row r="196" spans="1:15" x14ac:dyDescent="0.7">
      <c r="A196" s="6"/>
      <c r="B196" s="6"/>
      <c r="C196" s="3">
        <v>13</v>
      </c>
      <c r="D196" s="7">
        <v>16.648</v>
      </c>
      <c r="E196" s="7">
        <v>0.5</v>
      </c>
      <c r="F196" s="7">
        <v>16.648</v>
      </c>
      <c r="G196" s="17">
        <f t="shared" ref="G196:G259" si="60">F196*86400</f>
        <v>1438387.2</v>
      </c>
      <c r="H196" s="26">
        <f t="shared" si="59"/>
        <v>1.4383872</v>
      </c>
      <c r="I196" s="23">
        <v>122990.254545455</v>
      </c>
      <c r="J196" s="51">
        <f t="shared" si="55"/>
        <v>0.12299025454545499</v>
      </c>
      <c r="K196" s="23">
        <v>-26217.054545454499</v>
      </c>
      <c r="L196" s="23">
        <f t="shared" si="56"/>
        <v>-2.6217054545454498E-2</v>
      </c>
      <c r="M196" s="23">
        <f t="shared" si="57"/>
        <v>9.6773200000000503E-2</v>
      </c>
      <c r="N196" s="23">
        <v>-0.59036020363636299</v>
      </c>
      <c r="O196" s="7">
        <f t="shared" si="58"/>
        <v>1.9319742036363623</v>
      </c>
    </row>
    <row r="197" spans="1:15" x14ac:dyDescent="0.7">
      <c r="A197" s="6"/>
      <c r="B197" s="6"/>
      <c r="C197" s="6">
        <v>14</v>
      </c>
      <c r="D197" s="7">
        <v>16.609000000000002</v>
      </c>
      <c r="E197" s="7">
        <v>0</v>
      </c>
      <c r="F197" s="7">
        <v>16.609000000000002</v>
      </c>
      <c r="G197" s="17">
        <f t="shared" si="60"/>
        <v>1435017.6</v>
      </c>
      <c r="H197" s="26">
        <f t="shared" si="59"/>
        <v>1.4350176000000001</v>
      </c>
      <c r="I197" s="23">
        <v>123896.436363637</v>
      </c>
      <c r="J197" s="51">
        <f t="shared" si="55"/>
        <v>0.12389643636363699</v>
      </c>
      <c r="K197" s="23">
        <v>-26458.836363636401</v>
      </c>
      <c r="L197" s="23">
        <f t="shared" si="56"/>
        <v>-2.6458836363636402E-2</v>
      </c>
      <c r="M197" s="23">
        <f t="shared" si="57"/>
        <v>9.7437600000000596E-2</v>
      </c>
      <c r="N197" s="23">
        <v>-0.59590498909090805</v>
      </c>
      <c r="O197" s="7">
        <f t="shared" si="58"/>
        <v>1.9334849890909076</v>
      </c>
    </row>
    <row r="198" spans="1:15" x14ac:dyDescent="0.7">
      <c r="A198" s="6"/>
      <c r="B198" s="6"/>
      <c r="C198" s="6">
        <v>15</v>
      </c>
      <c r="D198" s="7">
        <v>12.125</v>
      </c>
      <c r="E198" s="7">
        <v>0</v>
      </c>
      <c r="F198" s="7">
        <v>12.125</v>
      </c>
      <c r="G198" s="17">
        <f t="shared" si="60"/>
        <v>1047600</v>
      </c>
      <c r="H198" s="26">
        <f t="shared" si="59"/>
        <v>1.0476000000000001</v>
      </c>
      <c r="I198" s="23">
        <v>124802.618181818</v>
      </c>
      <c r="J198" s="51">
        <f t="shared" si="55"/>
        <v>0.12480261818181801</v>
      </c>
      <c r="K198" s="23">
        <v>-26700.618181818201</v>
      </c>
      <c r="L198" s="23">
        <f t="shared" si="56"/>
        <v>-2.6700618181818202E-2</v>
      </c>
      <c r="M198" s="23">
        <f t="shared" si="57"/>
        <v>9.81019999999998E-2</v>
      </c>
      <c r="N198" s="23">
        <v>-0.60144977454545401</v>
      </c>
      <c r="O198" s="7">
        <f t="shared" si="58"/>
        <v>1.5509477745454543</v>
      </c>
    </row>
    <row r="199" spans="1:15" x14ac:dyDescent="0.7">
      <c r="A199" s="6"/>
      <c r="B199" s="6"/>
      <c r="C199" s="3">
        <v>16</v>
      </c>
      <c r="D199" s="7">
        <v>13.818</v>
      </c>
      <c r="E199" s="7">
        <v>37.6</v>
      </c>
      <c r="F199" s="7">
        <v>13.818</v>
      </c>
      <c r="G199" s="17">
        <f t="shared" si="60"/>
        <v>1193875.2</v>
      </c>
      <c r="H199" s="26">
        <f t="shared" si="59"/>
        <v>1.1938751999999999</v>
      </c>
      <c r="I199" s="23">
        <v>125708.8</v>
      </c>
      <c r="J199" s="51">
        <f t="shared" si="55"/>
        <v>0.12570880000000001</v>
      </c>
      <c r="K199" s="23">
        <v>-26942.400000000001</v>
      </c>
      <c r="L199" s="23">
        <f t="shared" si="56"/>
        <v>-2.6942400000000002E-2</v>
      </c>
      <c r="M199" s="23">
        <f t="shared" si="57"/>
        <v>9.8766400000000004E-2</v>
      </c>
      <c r="N199" s="23">
        <v>-0.60699455999999896</v>
      </c>
      <c r="O199" s="7">
        <f t="shared" si="58"/>
        <v>1.7021033599999988</v>
      </c>
    </row>
    <row r="200" spans="1:15" x14ac:dyDescent="0.7">
      <c r="A200" s="6"/>
      <c r="B200" s="6"/>
      <c r="C200" s="6">
        <v>17</v>
      </c>
      <c r="D200" s="7">
        <v>23.613</v>
      </c>
      <c r="E200" s="7">
        <v>1.7</v>
      </c>
      <c r="F200" s="7">
        <v>23.613</v>
      </c>
      <c r="G200" s="17">
        <f t="shared" si="60"/>
        <v>2040163.2</v>
      </c>
      <c r="H200" s="26">
        <f t="shared" si="59"/>
        <v>2.0401631999999998</v>
      </c>
      <c r="I200" s="23">
        <v>126614.981818182</v>
      </c>
      <c r="J200" s="51">
        <f t="shared" si="55"/>
        <v>0.12661498181818201</v>
      </c>
      <c r="K200" s="23">
        <v>-27184.181818181802</v>
      </c>
      <c r="L200" s="23">
        <f t="shared" si="56"/>
        <v>-2.7184181818181802E-2</v>
      </c>
      <c r="M200" s="23">
        <f t="shared" si="57"/>
        <v>9.9430800000000208E-2</v>
      </c>
      <c r="N200" s="23">
        <v>-0.61253934545454503</v>
      </c>
      <c r="O200" s="7">
        <f t="shared" si="58"/>
        <v>2.5532717454545448</v>
      </c>
    </row>
    <row r="201" spans="1:15" x14ac:dyDescent="0.7">
      <c r="A201" s="6"/>
      <c r="B201" s="6"/>
      <c r="C201" s="6">
        <v>18</v>
      </c>
      <c r="D201" s="7">
        <v>17.803000000000001</v>
      </c>
      <c r="E201" s="7">
        <v>0</v>
      </c>
      <c r="F201" s="7">
        <v>17.803000000000001</v>
      </c>
      <c r="G201" s="17">
        <f t="shared" si="60"/>
        <v>1538179.2000000002</v>
      </c>
      <c r="H201" s="26">
        <f t="shared" si="59"/>
        <v>1.5381792000000001</v>
      </c>
      <c r="I201" s="23">
        <v>127521.163636364</v>
      </c>
      <c r="J201" s="51">
        <f t="shared" si="55"/>
        <v>0.12752116363636401</v>
      </c>
      <c r="K201" s="23">
        <v>-27425.963636363598</v>
      </c>
      <c r="L201" s="23">
        <f t="shared" si="56"/>
        <v>-2.7425963636363598E-2</v>
      </c>
      <c r="M201" s="23">
        <f t="shared" si="57"/>
        <v>0.10009520000000041</v>
      </c>
      <c r="N201" s="23">
        <v>-0.61808413090908998</v>
      </c>
      <c r="O201" s="7">
        <f t="shared" si="58"/>
        <v>2.0561681309090898</v>
      </c>
    </row>
    <row r="202" spans="1:15" x14ac:dyDescent="0.7">
      <c r="A202" s="6"/>
      <c r="B202" s="6"/>
      <c r="C202" s="3">
        <v>19</v>
      </c>
      <c r="D202" s="7">
        <v>13.044</v>
      </c>
      <c r="E202" s="7">
        <v>0</v>
      </c>
      <c r="F202" s="7">
        <v>13.044</v>
      </c>
      <c r="G202" s="17">
        <f t="shared" si="60"/>
        <v>1127001.6000000001</v>
      </c>
      <c r="H202" s="26">
        <f t="shared" si="59"/>
        <v>1.1270016</v>
      </c>
      <c r="I202" s="23">
        <v>128427.345454546</v>
      </c>
      <c r="J202" s="51">
        <f t="shared" si="55"/>
        <v>0.12842734545454601</v>
      </c>
      <c r="K202" s="23">
        <v>-27667.745454545398</v>
      </c>
      <c r="L202" s="23">
        <f t="shared" si="56"/>
        <v>-2.7667745454545398E-2</v>
      </c>
      <c r="M202" s="23">
        <f t="shared" si="57"/>
        <v>0.10075960000000062</v>
      </c>
      <c r="N202" s="23">
        <v>-0.62362891636363604</v>
      </c>
      <c r="O202" s="7">
        <f t="shared" si="58"/>
        <v>1.6498709163636356</v>
      </c>
    </row>
    <row r="203" spans="1:15" x14ac:dyDescent="0.7">
      <c r="A203" s="6"/>
      <c r="B203" s="6"/>
      <c r="C203" s="6">
        <v>20</v>
      </c>
      <c r="D203" s="7">
        <v>10.016</v>
      </c>
      <c r="E203" s="7">
        <v>0</v>
      </c>
      <c r="F203" s="7">
        <v>10.016</v>
      </c>
      <c r="G203" s="17">
        <f t="shared" si="60"/>
        <v>865382.40000000002</v>
      </c>
      <c r="H203" s="26">
        <f t="shared" si="59"/>
        <v>0.8653824</v>
      </c>
      <c r="I203" s="23">
        <v>40539</v>
      </c>
      <c r="J203" s="51">
        <f t="shared" ref="J203:J209" si="61">I203/1000000</f>
        <v>4.0538999999999999E-2</v>
      </c>
      <c r="K203" s="23">
        <v>0</v>
      </c>
      <c r="L203" s="23">
        <f t="shared" ref="L203:L204" si="62">K203/1000000</f>
        <v>0</v>
      </c>
      <c r="M203" s="23">
        <f t="shared" ref="M203:M209" si="63">J203+L203</f>
        <v>4.0538999999999999E-2</v>
      </c>
      <c r="N203" s="23">
        <v>9.9792000000000006E-2</v>
      </c>
      <c r="O203" s="4">
        <f t="shared" ref="O203:O209" si="64">H203-M203-N203</f>
        <v>0.72505140000000001</v>
      </c>
    </row>
    <row r="204" spans="1:15" x14ac:dyDescent="0.7">
      <c r="A204" s="6"/>
      <c r="B204" s="6"/>
      <c r="C204" s="6">
        <v>21</v>
      </c>
      <c r="D204" s="7">
        <v>16.045999999999999</v>
      </c>
      <c r="E204" s="7">
        <v>59.5</v>
      </c>
      <c r="F204" s="7">
        <v>16.045999999999999</v>
      </c>
      <c r="G204" s="17">
        <f t="shared" si="60"/>
        <v>1386374.4</v>
      </c>
      <c r="H204" s="26">
        <f t="shared" si="59"/>
        <v>1.3863744</v>
      </c>
      <c r="I204" s="23">
        <v>41893</v>
      </c>
      <c r="J204" s="51">
        <f t="shared" si="61"/>
        <v>4.1893E-2</v>
      </c>
      <c r="K204" s="23">
        <v>0</v>
      </c>
      <c r="L204" s="23">
        <f t="shared" si="62"/>
        <v>0</v>
      </c>
      <c r="M204" s="23">
        <f t="shared" si="63"/>
        <v>4.1893E-2</v>
      </c>
      <c r="N204" s="23">
        <v>9.9792000000000006E-2</v>
      </c>
      <c r="O204" s="4">
        <f t="shared" si="64"/>
        <v>1.2446893999999999</v>
      </c>
    </row>
    <row r="205" spans="1:15" x14ac:dyDescent="0.7">
      <c r="A205" s="6"/>
      <c r="B205" s="6"/>
      <c r="C205" s="3">
        <v>22</v>
      </c>
      <c r="D205" s="7">
        <v>16.556999999999999</v>
      </c>
      <c r="E205" s="7">
        <v>15.1</v>
      </c>
      <c r="F205" s="7">
        <v>16.556999999999999</v>
      </c>
      <c r="G205" s="17">
        <f t="shared" si="60"/>
        <v>1430524.7999999998</v>
      </c>
      <c r="H205" s="26">
        <f t="shared" si="59"/>
        <v>1.4305247999999997</v>
      </c>
      <c r="I205" s="23">
        <v>40743</v>
      </c>
      <c r="J205" s="51">
        <f t="shared" si="61"/>
        <v>4.0743000000000001E-2</v>
      </c>
      <c r="K205" s="23">
        <v>2185</v>
      </c>
      <c r="L205" s="23">
        <f>K205/1000000</f>
        <v>2.1849999999999999E-3</v>
      </c>
      <c r="M205" s="23">
        <f t="shared" si="63"/>
        <v>4.2928000000000001E-2</v>
      </c>
      <c r="N205" s="23">
        <v>9.9792000000000006E-2</v>
      </c>
      <c r="O205" s="4">
        <f t="shared" si="64"/>
        <v>1.2878047999999995</v>
      </c>
    </row>
    <row r="206" spans="1:15" x14ac:dyDescent="0.7">
      <c r="A206" s="6"/>
      <c r="B206" s="6"/>
      <c r="C206" s="6">
        <v>23</v>
      </c>
      <c r="D206" s="7">
        <v>12.798999999999999</v>
      </c>
      <c r="E206" s="7">
        <v>15.6</v>
      </c>
      <c r="F206" s="7">
        <v>12.798999999999999</v>
      </c>
      <c r="G206" s="17">
        <f t="shared" si="60"/>
        <v>1105833.5999999999</v>
      </c>
      <c r="H206" s="26">
        <f t="shared" si="59"/>
        <v>1.1058335999999998</v>
      </c>
      <c r="I206" s="23">
        <v>38842</v>
      </c>
      <c r="J206" s="51">
        <f t="shared" si="61"/>
        <v>3.8842000000000002E-2</v>
      </c>
      <c r="K206" s="23">
        <v>5355</v>
      </c>
      <c r="L206" s="23">
        <f t="shared" ref="L206:L212" si="65">K206/1000000</f>
        <v>5.3550000000000004E-3</v>
      </c>
      <c r="M206" s="23">
        <f t="shared" si="63"/>
        <v>4.4197E-2</v>
      </c>
      <c r="N206" s="23">
        <v>9.9792000000000006E-2</v>
      </c>
      <c r="O206" s="4">
        <f t="shared" si="64"/>
        <v>0.96184459999999972</v>
      </c>
    </row>
    <row r="207" spans="1:15" x14ac:dyDescent="0.7">
      <c r="A207" s="6"/>
      <c r="B207" s="6"/>
      <c r="C207" s="6">
        <v>24</v>
      </c>
      <c r="D207" s="7">
        <v>10.052</v>
      </c>
      <c r="E207" s="7">
        <v>1</v>
      </c>
      <c r="F207" s="7">
        <v>10.052</v>
      </c>
      <c r="G207" s="17">
        <f t="shared" si="60"/>
        <v>868492.79999999993</v>
      </c>
      <c r="H207" s="26">
        <f t="shared" si="59"/>
        <v>0.86849279999999995</v>
      </c>
      <c r="I207" s="23">
        <v>3024.4103896102802</v>
      </c>
      <c r="J207" s="51">
        <f t="shared" si="61"/>
        <v>3.0244103896102802E-3</v>
      </c>
      <c r="K207" s="23">
        <v>15681.3324675325</v>
      </c>
      <c r="L207" s="23">
        <f t="shared" si="65"/>
        <v>1.5681332467532502E-2</v>
      </c>
      <c r="M207" s="23">
        <f t="shared" si="63"/>
        <v>1.8705742857142781E-2</v>
      </c>
      <c r="N207" s="23">
        <v>0.40586897454545201</v>
      </c>
      <c r="O207" s="7">
        <f t="shared" si="64"/>
        <v>0.44391808259740517</v>
      </c>
    </row>
    <row r="208" spans="1:15" x14ac:dyDescent="0.7">
      <c r="A208" s="6"/>
      <c r="B208" s="6"/>
      <c r="C208" s="3">
        <v>25</v>
      </c>
      <c r="D208" s="7">
        <v>10.045999999999999</v>
      </c>
      <c r="E208" s="7">
        <v>0</v>
      </c>
      <c r="F208" s="7">
        <v>10.045999999999999</v>
      </c>
      <c r="G208" s="17">
        <f t="shared" si="60"/>
        <v>867974.39999999991</v>
      </c>
      <c r="H208" s="26">
        <f t="shared" si="59"/>
        <v>0.86797439999999992</v>
      </c>
      <c r="I208" s="23">
        <v>-15668.790259740699</v>
      </c>
      <c r="J208" s="51">
        <f t="shared" si="61"/>
        <v>-1.56687902597407E-2</v>
      </c>
      <c r="K208" s="23">
        <v>22270.875974025999</v>
      </c>
      <c r="L208" s="23">
        <f t="shared" si="65"/>
        <v>2.2270875974025998E-2</v>
      </c>
      <c r="M208" s="23">
        <f t="shared" si="63"/>
        <v>6.6020857142852982E-3</v>
      </c>
      <c r="N208" s="23">
        <v>0.55930351792208199</v>
      </c>
      <c r="O208" s="7">
        <f t="shared" si="64"/>
        <v>0.3020687963636326</v>
      </c>
    </row>
    <row r="209" spans="1:15" x14ac:dyDescent="0.7">
      <c r="A209" s="6"/>
      <c r="B209" s="6"/>
      <c r="C209" s="6">
        <v>26</v>
      </c>
      <c r="D209" s="7">
        <v>9.5109999999999992</v>
      </c>
      <c r="E209" s="7">
        <v>1.2</v>
      </c>
      <c r="F209" s="7">
        <v>9.5109999999999992</v>
      </c>
      <c r="G209" s="17">
        <f t="shared" si="60"/>
        <v>821750.39999999991</v>
      </c>
      <c r="H209" s="26">
        <f t="shared" si="59"/>
        <v>0.82175039999999988</v>
      </c>
      <c r="I209" s="23">
        <v>-34361.990909090702</v>
      </c>
      <c r="J209" s="51">
        <f t="shared" si="61"/>
        <v>-3.4361990909090701E-2</v>
      </c>
      <c r="K209" s="23">
        <v>28860.4194805195</v>
      </c>
      <c r="L209" s="23">
        <f t="shared" si="65"/>
        <v>2.8860419480519501E-2</v>
      </c>
      <c r="M209" s="23">
        <f t="shared" si="63"/>
        <v>-5.5015714285711996E-3</v>
      </c>
      <c r="N209" s="23">
        <v>0.71273806129870199</v>
      </c>
      <c r="O209" s="7">
        <f t="shared" si="64"/>
        <v>0.11451391012986911</v>
      </c>
    </row>
    <row r="210" spans="1:15" x14ac:dyDescent="0.7">
      <c r="A210" s="6"/>
      <c r="B210" s="6"/>
      <c r="C210" s="6">
        <v>27</v>
      </c>
      <c r="D210" s="7">
        <v>9.1460000000000008</v>
      </c>
      <c r="E210" s="7">
        <v>1.6</v>
      </c>
      <c r="F210" s="7">
        <v>9.1460000000000008</v>
      </c>
      <c r="G210" s="17">
        <f t="shared" si="60"/>
        <v>790214.4</v>
      </c>
      <c r="H210" s="26">
        <f t="shared" si="59"/>
        <v>0.79021439999999998</v>
      </c>
      <c r="I210" s="23">
        <v>-53055.1915584417</v>
      </c>
      <c r="J210" s="51">
        <f t="shared" ref="J210:J215" si="66">I210/1000000</f>
        <v>-5.3055191558441697E-2</v>
      </c>
      <c r="K210" s="23">
        <v>35449.962987013001</v>
      </c>
      <c r="L210" s="23">
        <f t="shared" si="65"/>
        <v>3.5449962987013001E-2</v>
      </c>
      <c r="M210" s="23">
        <f t="shared" ref="M210:M215" si="67">J210+L210</f>
        <v>-1.7605228571428697E-2</v>
      </c>
      <c r="N210" s="23">
        <v>0.86617260467532198</v>
      </c>
      <c r="O210" s="4">
        <f t="shared" ref="O210:O215" si="68">H210-M210-N210</f>
        <v>-5.8352976103893339E-2</v>
      </c>
    </row>
    <row r="211" spans="1:15" x14ac:dyDescent="0.7">
      <c r="A211" s="6"/>
      <c r="B211" s="6"/>
      <c r="C211" s="3">
        <v>28</v>
      </c>
      <c r="D211" s="7">
        <v>10.093999999999999</v>
      </c>
      <c r="E211" s="7">
        <v>1</v>
      </c>
      <c r="F211" s="7">
        <v>10.093999999999999</v>
      </c>
      <c r="G211" s="17">
        <f t="shared" si="60"/>
        <v>872121.6</v>
      </c>
      <c r="H211" s="26">
        <f t="shared" si="59"/>
        <v>0.87212159999999994</v>
      </c>
      <c r="I211" s="23">
        <v>-71748.392207792698</v>
      </c>
      <c r="J211" s="51">
        <f t="shared" si="66"/>
        <v>-7.1748392207792694E-2</v>
      </c>
      <c r="K211" s="23">
        <v>42039.506493506502</v>
      </c>
      <c r="L211" s="23">
        <f t="shared" si="65"/>
        <v>4.2039506493506504E-2</v>
      </c>
      <c r="M211" s="23">
        <f t="shared" si="67"/>
        <v>-2.970888571428619E-2</v>
      </c>
      <c r="N211" s="23">
        <v>1.01960714805195</v>
      </c>
      <c r="O211" s="4">
        <f t="shared" si="68"/>
        <v>-0.11777666233766382</v>
      </c>
    </row>
    <row r="212" spans="1:15" x14ac:dyDescent="0.7">
      <c r="A212" s="6"/>
      <c r="B212" s="6"/>
      <c r="C212" s="6">
        <v>29</v>
      </c>
      <c r="D212" s="7">
        <v>9.19</v>
      </c>
      <c r="E212" s="7">
        <v>0</v>
      </c>
      <c r="F212" s="7">
        <v>9.19</v>
      </c>
      <c r="G212" s="17">
        <f t="shared" si="60"/>
        <v>794016</v>
      </c>
      <c r="H212" s="26">
        <f t="shared" si="59"/>
        <v>0.79401600000000006</v>
      </c>
      <c r="I212" s="23">
        <v>-90441.592857143696</v>
      </c>
      <c r="J212" s="51">
        <f t="shared" si="66"/>
        <v>-9.0441592857143691E-2</v>
      </c>
      <c r="K212" s="23">
        <v>48629.05</v>
      </c>
      <c r="L212" s="23">
        <f t="shared" si="65"/>
        <v>4.862905E-2</v>
      </c>
      <c r="M212" s="23">
        <f t="shared" si="67"/>
        <v>-4.1812542857143691E-2</v>
      </c>
      <c r="N212" s="23">
        <v>1.17304169142857</v>
      </c>
      <c r="O212" s="4">
        <f t="shared" si="68"/>
        <v>-0.33721314857142626</v>
      </c>
    </row>
    <row r="213" spans="1:15" x14ac:dyDescent="0.7">
      <c r="A213" s="6"/>
      <c r="B213" s="6"/>
      <c r="C213" s="6">
        <v>30</v>
      </c>
      <c r="D213" s="7">
        <v>8.0370000000000008</v>
      </c>
      <c r="E213" s="7">
        <v>5.6</v>
      </c>
      <c r="F213" s="7">
        <v>8.0370000000000008</v>
      </c>
      <c r="G213" s="17">
        <f t="shared" si="60"/>
        <v>694396.8</v>
      </c>
      <c r="H213" s="26">
        <f t="shared" si="59"/>
        <v>0.69439680000000004</v>
      </c>
      <c r="I213" s="23">
        <v>-109134.793506494</v>
      </c>
      <c r="J213" s="51">
        <f t="shared" si="66"/>
        <v>-0.10913479350649399</v>
      </c>
      <c r="K213" s="23">
        <v>55218.593506493497</v>
      </c>
      <c r="L213" s="23">
        <f t="shared" ref="L213:L215" si="69">K213/1000000</f>
        <v>5.5218593506493496E-2</v>
      </c>
      <c r="M213" s="23">
        <f t="shared" si="67"/>
        <v>-5.3916200000000497E-2</v>
      </c>
      <c r="N213" s="23">
        <v>1.3264762348051899</v>
      </c>
      <c r="O213" s="4">
        <f t="shared" si="68"/>
        <v>-0.57816323480518939</v>
      </c>
    </row>
    <row r="214" spans="1:15" s="15" customFormat="1" ht="25.2" thickBot="1" x14ac:dyDescent="0.75">
      <c r="A214" s="9"/>
      <c r="B214" s="12" t="s">
        <v>21</v>
      </c>
      <c r="C214" s="12">
        <v>31</v>
      </c>
      <c r="D214" s="10">
        <v>7.5780000000000003</v>
      </c>
      <c r="E214" s="10">
        <v>0</v>
      </c>
      <c r="F214" s="10">
        <v>7.5780000000000003</v>
      </c>
      <c r="G214" s="58">
        <f t="shared" si="60"/>
        <v>654739.20000000007</v>
      </c>
      <c r="H214" s="59">
        <f t="shared" si="59"/>
        <v>0.65473920000000008</v>
      </c>
      <c r="I214" s="27">
        <v>-127827.99415584499</v>
      </c>
      <c r="J214" s="52">
        <f t="shared" si="66"/>
        <v>-0.127827994155845</v>
      </c>
      <c r="K214" s="27">
        <v>61808.137012986997</v>
      </c>
      <c r="L214" s="27">
        <f t="shared" si="69"/>
        <v>6.1808137012986999E-2</v>
      </c>
      <c r="M214" s="27">
        <f t="shared" si="67"/>
        <v>-6.6019857142858004E-2</v>
      </c>
      <c r="N214" s="27">
        <v>1.4799107781818199</v>
      </c>
      <c r="O214" s="10">
        <f t="shared" si="68"/>
        <v>-0.75915172103896189</v>
      </c>
    </row>
    <row r="215" spans="1:15" x14ac:dyDescent="0.7">
      <c r="A215" s="3"/>
      <c r="B215" s="3" t="s">
        <v>22</v>
      </c>
      <c r="C215" s="3">
        <v>1</v>
      </c>
      <c r="D215" s="4">
        <v>7.1130000000000004</v>
      </c>
      <c r="E215" s="4">
        <v>8.9</v>
      </c>
      <c r="F215" s="4">
        <v>7.1130000000000004</v>
      </c>
      <c r="G215" s="17">
        <f t="shared" si="60"/>
        <v>614563.20000000007</v>
      </c>
      <c r="H215" s="26">
        <f t="shared" si="59"/>
        <v>0.61456320000000009</v>
      </c>
      <c r="I215" s="26">
        <v>-146521.19480519599</v>
      </c>
      <c r="J215" s="54">
        <f t="shared" si="66"/>
        <v>-0.14652119480519599</v>
      </c>
      <c r="K215" s="26">
        <v>68397.680519480506</v>
      </c>
      <c r="L215" s="26">
        <f t="shared" si="69"/>
        <v>6.8397680519480503E-2</v>
      </c>
      <c r="M215" s="26">
        <f t="shared" si="67"/>
        <v>-7.8123514285715484E-2</v>
      </c>
      <c r="N215" s="26">
        <v>1.6333453215584399</v>
      </c>
      <c r="O215" s="4">
        <f t="shared" si="68"/>
        <v>-0.94065860727272432</v>
      </c>
    </row>
    <row r="216" spans="1:15" x14ac:dyDescent="0.7">
      <c r="A216" s="6"/>
      <c r="B216" s="6"/>
      <c r="C216" s="6">
        <v>2</v>
      </c>
      <c r="D216" s="7">
        <v>6.64</v>
      </c>
      <c r="E216" s="7">
        <v>1</v>
      </c>
      <c r="F216" s="7">
        <v>6.64</v>
      </c>
      <c r="G216" s="17">
        <f t="shared" si="60"/>
        <v>573696</v>
      </c>
      <c r="H216" s="26">
        <f t="shared" si="59"/>
        <v>0.57369599999999998</v>
      </c>
      <c r="I216" s="23">
        <v>40539</v>
      </c>
      <c r="J216" s="51">
        <f t="shared" ref="J216:J233" si="70">I216/1000000</f>
        <v>4.0538999999999999E-2</v>
      </c>
      <c r="K216" s="23">
        <v>0</v>
      </c>
      <c r="L216" s="23">
        <f t="shared" ref="L216:L217" si="71">K216/1000000</f>
        <v>0</v>
      </c>
      <c r="M216" s="23">
        <f t="shared" ref="M216:M233" si="72">J216+L216</f>
        <v>4.0538999999999999E-2</v>
      </c>
      <c r="N216" s="23">
        <v>9.9792000000000006E-2</v>
      </c>
      <c r="O216" s="4">
        <f t="shared" ref="O216:O233" si="73">H216-M216-N216</f>
        <v>0.433365</v>
      </c>
    </row>
    <row r="217" spans="1:15" x14ac:dyDescent="0.7">
      <c r="A217" s="6"/>
      <c r="B217" s="6"/>
      <c r="C217" s="6">
        <v>3</v>
      </c>
      <c r="D217" s="7">
        <v>7.05</v>
      </c>
      <c r="E217" s="7">
        <v>0</v>
      </c>
      <c r="F217" s="7">
        <v>7.05</v>
      </c>
      <c r="G217" s="17">
        <f t="shared" si="60"/>
        <v>609120</v>
      </c>
      <c r="H217" s="26">
        <f t="shared" si="59"/>
        <v>0.60911999999999999</v>
      </c>
      <c r="I217" s="23">
        <v>41893</v>
      </c>
      <c r="J217" s="51">
        <f t="shared" si="70"/>
        <v>4.1893E-2</v>
      </c>
      <c r="K217" s="23">
        <v>0</v>
      </c>
      <c r="L217" s="23">
        <f t="shared" si="71"/>
        <v>0</v>
      </c>
      <c r="M217" s="23">
        <f t="shared" si="72"/>
        <v>4.1893E-2</v>
      </c>
      <c r="N217" s="23">
        <v>9.9792000000000006E-2</v>
      </c>
      <c r="O217" s="4">
        <f t="shared" si="73"/>
        <v>0.46743500000000004</v>
      </c>
    </row>
    <row r="218" spans="1:15" x14ac:dyDescent="0.7">
      <c r="A218" s="6"/>
      <c r="B218" s="6"/>
      <c r="C218" s="3">
        <v>4</v>
      </c>
      <c r="D218" s="7">
        <v>7.92</v>
      </c>
      <c r="E218" s="7">
        <v>0</v>
      </c>
      <c r="F218" s="7">
        <v>7.92</v>
      </c>
      <c r="G218" s="17">
        <f t="shared" si="60"/>
        <v>684288</v>
      </c>
      <c r="H218" s="26">
        <f t="shared" si="59"/>
        <v>0.68428800000000001</v>
      </c>
      <c r="I218" s="23">
        <v>40743</v>
      </c>
      <c r="J218" s="51">
        <f t="shared" si="70"/>
        <v>4.0743000000000001E-2</v>
      </c>
      <c r="K218" s="23">
        <v>2185</v>
      </c>
      <c r="L218" s="23">
        <f>K218/1000000</f>
        <v>2.1849999999999999E-3</v>
      </c>
      <c r="M218" s="23">
        <f t="shared" si="72"/>
        <v>4.2928000000000001E-2</v>
      </c>
      <c r="N218" s="23">
        <v>9.9792000000000006E-2</v>
      </c>
      <c r="O218" s="4">
        <f t="shared" si="73"/>
        <v>0.54156800000000005</v>
      </c>
    </row>
    <row r="219" spans="1:15" x14ac:dyDescent="0.7">
      <c r="A219" s="6"/>
      <c r="B219" s="6"/>
      <c r="C219" s="6">
        <v>5</v>
      </c>
      <c r="D219" s="7">
        <v>10.27</v>
      </c>
      <c r="E219" s="7">
        <v>15.6</v>
      </c>
      <c r="F219" s="7">
        <v>10.27</v>
      </c>
      <c r="G219" s="17">
        <f t="shared" si="60"/>
        <v>887328</v>
      </c>
      <c r="H219" s="26">
        <f t="shared" si="59"/>
        <v>0.88732800000000001</v>
      </c>
      <c r="I219" s="23">
        <v>38842</v>
      </c>
      <c r="J219" s="51">
        <f t="shared" si="70"/>
        <v>3.8842000000000002E-2</v>
      </c>
      <c r="K219" s="23">
        <v>5355</v>
      </c>
      <c r="L219" s="23">
        <f t="shared" ref="L219:L233" si="74">K219/1000000</f>
        <v>5.3550000000000004E-3</v>
      </c>
      <c r="M219" s="23">
        <f t="shared" si="72"/>
        <v>4.4197E-2</v>
      </c>
      <c r="N219" s="23">
        <v>9.9792000000000006E-2</v>
      </c>
      <c r="O219" s="4">
        <f t="shared" si="73"/>
        <v>0.74333899999999997</v>
      </c>
    </row>
    <row r="220" spans="1:15" x14ac:dyDescent="0.7">
      <c r="A220" s="6"/>
      <c r="B220" s="6"/>
      <c r="C220" s="6">
        <v>6</v>
      </c>
      <c r="D220" s="7">
        <v>8.7899999999999991</v>
      </c>
      <c r="E220" s="7">
        <v>2.7</v>
      </c>
      <c r="F220" s="7">
        <v>8.7899999999999991</v>
      </c>
      <c r="G220" s="17">
        <f t="shared" si="60"/>
        <v>759455.99999999988</v>
      </c>
      <c r="H220" s="26">
        <f t="shared" si="59"/>
        <v>0.75945599999999991</v>
      </c>
      <c r="I220" s="23">
        <v>17594</v>
      </c>
      <c r="J220" s="51">
        <f t="shared" si="70"/>
        <v>1.7593999999999999E-2</v>
      </c>
      <c r="K220" s="23">
        <v>0</v>
      </c>
      <c r="L220" s="23">
        <f t="shared" si="74"/>
        <v>0</v>
      </c>
      <c r="M220" s="23">
        <f t="shared" si="72"/>
        <v>1.7593999999999999E-2</v>
      </c>
      <c r="N220" s="23">
        <v>3.7670400000000001E-3</v>
      </c>
      <c r="O220" s="7">
        <f t="shared" si="73"/>
        <v>0.73809495999999986</v>
      </c>
    </row>
    <row r="221" spans="1:15" x14ac:dyDescent="0.7">
      <c r="A221" s="6"/>
      <c r="B221" s="6"/>
      <c r="C221" s="3">
        <v>7</v>
      </c>
      <c r="D221" s="7">
        <v>7.7850000000000001</v>
      </c>
      <c r="E221" s="7">
        <v>28.7</v>
      </c>
      <c r="F221" s="7">
        <v>7.7850000000000001</v>
      </c>
      <c r="G221" s="17">
        <f t="shared" si="60"/>
        <v>672624</v>
      </c>
      <c r="H221" s="26">
        <f t="shared" si="59"/>
        <v>0.672624</v>
      </c>
      <c r="I221" s="23">
        <v>19609</v>
      </c>
      <c r="J221" s="51">
        <f t="shared" si="70"/>
        <v>1.9609000000000001E-2</v>
      </c>
      <c r="K221" s="23">
        <v>0</v>
      </c>
      <c r="L221" s="23">
        <f t="shared" si="74"/>
        <v>0</v>
      </c>
      <c r="M221" s="23">
        <f t="shared" si="72"/>
        <v>1.9609000000000001E-2</v>
      </c>
      <c r="N221" s="23">
        <v>3.7670400000000001E-3</v>
      </c>
      <c r="O221" s="7">
        <f t="shared" si="73"/>
        <v>0.64924795999999996</v>
      </c>
    </row>
    <row r="222" spans="1:15" x14ac:dyDescent="0.7">
      <c r="A222" s="6"/>
      <c r="B222" s="6"/>
      <c r="C222" s="6">
        <v>8</v>
      </c>
      <c r="D222" s="7">
        <v>8.1980000000000004</v>
      </c>
      <c r="E222" s="7">
        <v>0</v>
      </c>
      <c r="F222" s="7">
        <v>8.1980000000000004</v>
      </c>
      <c r="G222" s="17">
        <f t="shared" si="60"/>
        <v>708307.20000000007</v>
      </c>
      <c r="H222" s="26">
        <f t="shared" si="59"/>
        <v>0.70830720000000003</v>
      </c>
      <c r="I222" s="24">
        <v>19144</v>
      </c>
      <c r="J222" s="51">
        <f t="shared" si="70"/>
        <v>1.9144000000000001E-2</v>
      </c>
      <c r="K222" s="23">
        <v>1379</v>
      </c>
      <c r="L222" s="23">
        <f t="shared" si="74"/>
        <v>1.379E-3</v>
      </c>
      <c r="M222" s="23">
        <f t="shared" si="72"/>
        <v>2.0523E-2</v>
      </c>
      <c r="N222" s="23">
        <v>3.7670400000000001E-3</v>
      </c>
      <c r="O222" s="7">
        <f t="shared" si="73"/>
        <v>0.68401716000000001</v>
      </c>
    </row>
    <row r="223" spans="1:15" x14ac:dyDescent="0.7">
      <c r="A223" s="6"/>
      <c r="B223" s="6"/>
      <c r="C223" s="6">
        <v>9</v>
      </c>
      <c r="D223" s="7">
        <v>7.34</v>
      </c>
      <c r="E223" s="7">
        <v>0</v>
      </c>
      <c r="F223" s="7">
        <v>7.34</v>
      </c>
      <c r="G223" s="17">
        <f t="shared" si="60"/>
        <v>634176</v>
      </c>
      <c r="H223" s="26">
        <f t="shared" si="59"/>
        <v>0.63417599999999996</v>
      </c>
      <c r="I223" s="23">
        <v>19555</v>
      </c>
      <c r="J223" s="51">
        <f t="shared" si="70"/>
        <v>1.9554999999999999E-2</v>
      </c>
      <c r="K223" s="23">
        <v>0</v>
      </c>
      <c r="L223" s="23">
        <f t="shared" si="74"/>
        <v>0</v>
      </c>
      <c r="M223" s="23">
        <f t="shared" si="72"/>
        <v>1.9554999999999999E-2</v>
      </c>
      <c r="N223" s="23">
        <v>3.7670400000000001E-3</v>
      </c>
      <c r="O223" s="7">
        <f t="shared" si="73"/>
        <v>0.61085395999999992</v>
      </c>
    </row>
    <row r="224" spans="1:15" x14ac:dyDescent="0.7">
      <c r="A224" s="6"/>
      <c r="B224" s="6"/>
      <c r="C224" s="3">
        <v>10</v>
      </c>
      <c r="D224" s="7">
        <v>6.54</v>
      </c>
      <c r="E224" s="7">
        <v>0</v>
      </c>
      <c r="F224" s="7">
        <v>6.54</v>
      </c>
      <c r="G224" s="17">
        <f t="shared" si="60"/>
        <v>565056</v>
      </c>
      <c r="H224" s="26">
        <f t="shared" si="59"/>
        <v>0.565056</v>
      </c>
      <c r="I224" s="23">
        <v>19407</v>
      </c>
      <c r="J224" s="51">
        <f t="shared" si="70"/>
        <v>1.9407000000000001E-2</v>
      </c>
      <c r="K224" s="23">
        <v>0</v>
      </c>
      <c r="L224" s="23">
        <f t="shared" si="74"/>
        <v>0</v>
      </c>
      <c r="M224" s="23">
        <f t="shared" si="72"/>
        <v>1.9407000000000001E-2</v>
      </c>
      <c r="N224" s="23">
        <v>3.7670400000000001E-3</v>
      </c>
      <c r="O224" s="7">
        <f t="shared" si="73"/>
        <v>0.54188196</v>
      </c>
    </row>
    <row r="225" spans="1:15" x14ac:dyDescent="0.7">
      <c r="A225" s="6"/>
      <c r="B225" s="6"/>
      <c r="C225" s="6">
        <v>11</v>
      </c>
      <c r="D225" s="7">
        <v>6.08</v>
      </c>
      <c r="E225" s="7">
        <v>0</v>
      </c>
      <c r="F225" s="7">
        <v>6.08</v>
      </c>
      <c r="G225" s="17">
        <f t="shared" si="60"/>
        <v>525312</v>
      </c>
      <c r="H225" s="26">
        <f t="shared" si="59"/>
        <v>0.525312</v>
      </c>
      <c r="I225" s="23">
        <v>18675</v>
      </c>
      <c r="J225" s="51">
        <f t="shared" si="70"/>
        <v>1.8675000000000001E-2</v>
      </c>
      <c r="K225" s="23">
        <v>0</v>
      </c>
      <c r="L225" s="23">
        <f>K225/1000000</f>
        <v>0</v>
      </c>
      <c r="M225" s="23">
        <f t="shared" si="72"/>
        <v>1.8675000000000001E-2</v>
      </c>
      <c r="N225" s="23">
        <v>3.7670400000000001E-3</v>
      </c>
      <c r="O225" s="7">
        <f t="shared" si="73"/>
        <v>0.50286995999999995</v>
      </c>
    </row>
    <row r="226" spans="1:15" x14ac:dyDescent="0.7">
      <c r="A226" s="6"/>
      <c r="B226" s="6"/>
      <c r="C226" s="6">
        <v>12</v>
      </c>
      <c r="D226" s="7">
        <v>6.08</v>
      </c>
      <c r="E226" s="7">
        <v>0</v>
      </c>
      <c r="F226" s="7">
        <v>6.08</v>
      </c>
      <c r="G226" s="17">
        <f t="shared" si="60"/>
        <v>525312</v>
      </c>
      <c r="H226" s="26">
        <f t="shared" si="59"/>
        <v>0.525312</v>
      </c>
      <c r="I226" s="23">
        <v>20513</v>
      </c>
      <c r="J226" s="51">
        <f t="shared" si="70"/>
        <v>2.0513E-2</v>
      </c>
      <c r="K226" s="23">
        <v>0</v>
      </c>
      <c r="L226" s="23">
        <f t="shared" si="74"/>
        <v>0</v>
      </c>
      <c r="M226" s="23">
        <f t="shared" si="72"/>
        <v>2.0513E-2</v>
      </c>
      <c r="N226" s="23">
        <v>3.7670400000000001E-3</v>
      </c>
      <c r="O226" s="7">
        <f t="shared" si="73"/>
        <v>0.50103195999999994</v>
      </c>
    </row>
    <row r="227" spans="1:15" x14ac:dyDescent="0.7">
      <c r="A227" s="6"/>
      <c r="B227" s="6"/>
      <c r="C227" s="3">
        <v>13</v>
      </c>
      <c r="D227" s="7">
        <v>5.9</v>
      </c>
      <c r="E227" s="7">
        <v>5.2</v>
      </c>
      <c r="F227" s="7">
        <v>5.9</v>
      </c>
      <c r="G227" s="17">
        <f t="shared" si="60"/>
        <v>509760.00000000006</v>
      </c>
      <c r="H227" s="26">
        <f t="shared" si="59"/>
        <v>0.5097600000000001</v>
      </c>
      <c r="I227" s="24">
        <v>19818</v>
      </c>
      <c r="J227" s="51">
        <f t="shared" si="70"/>
        <v>1.9817999999999999E-2</v>
      </c>
      <c r="K227" s="23">
        <v>0</v>
      </c>
      <c r="L227" s="23">
        <f t="shared" si="74"/>
        <v>0</v>
      </c>
      <c r="M227" s="23">
        <f t="shared" si="72"/>
        <v>1.9817999999999999E-2</v>
      </c>
      <c r="N227" s="23">
        <v>3.7670400000000001E-3</v>
      </c>
      <c r="O227" s="7">
        <f t="shared" si="73"/>
        <v>0.4861749600000001</v>
      </c>
    </row>
    <row r="228" spans="1:15" x14ac:dyDescent="0.7">
      <c r="A228" s="6"/>
      <c r="B228" s="6"/>
      <c r="C228" s="6">
        <v>14</v>
      </c>
      <c r="D228" s="7">
        <v>5.7460000000000004</v>
      </c>
      <c r="E228" s="7">
        <v>0</v>
      </c>
      <c r="F228" s="7">
        <v>5.7460000000000004</v>
      </c>
      <c r="G228" s="17">
        <f t="shared" si="60"/>
        <v>496454.40000000002</v>
      </c>
      <c r="H228" s="26">
        <f t="shared" si="59"/>
        <v>0.49645440000000002</v>
      </c>
      <c r="I228" s="24">
        <v>18318</v>
      </c>
      <c r="J228" s="51">
        <f t="shared" si="70"/>
        <v>1.8318000000000001E-2</v>
      </c>
      <c r="K228" s="23">
        <v>4676</v>
      </c>
      <c r="L228" s="23">
        <f t="shared" si="74"/>
        <v>4.6759999999999996E-3</v>
      </c>
      <c r="M228" s="23">
        <f t="shared" si="72"/>
        <v>2.2994000000000001E-2</v>
      </c>
      <c r="N228" s="23">
        <v>3.7670400000000001E-3</v>
      </c>
      <c r="O228" s="7">
        <f t="shared" si="73"/>
        <v>0.46969336</v>
      </c>
    </row>
    <row r="229" spans="1:15" x14ac:dyDescent="0.7">
      <c r="A229" s="6"/>
      <c r="B229" s="6"/>
      <c r="C229" s="6">
        <v>15</v>
      </c>
      <c r="D229" s="7">
        <v>7.5780000000000003</v>
      </c>
      <c r="E229" s="7">
        <v>61.2</v>
      </c>
      <c r="F229" s="7">
        <v>7.5780000000000003</v>
      </c>
      <c r="G229" s="17">
        <f t="shared" si="60"/>
        <v>654739.20000000007</v>
      </c>
      <c r="H229" s="26">
        <f t="shared" si="59"/>
        <v>0.65473920000000008</v>
      </c>
      <c r="I229" s="23">
        <v>19337</v>
      </c>
      <c r="J229" s="51">
        <f t="shared" si="70"/>
        <v>1.9337E-2</v>
      </c>
      <c r="K229" s="23">
        <v>0</v>
      </c>
      <c r="L229" s="23">
        <f t="shared" si="74"/>
        <v>0</v>
      </c>
      <c r="M229" s="23">
        <f t="shared" si="72"/>
        <v>1.9337E-2</v>
      </c>
      <c r="N229" s="23">
        <v>3.7670400000000001E-3</v>
      </c>
      <c r="O229" s="7">
        <f t="shared" si="73"/>
        <v>0.63163515999999997</v>
      </c>
    </row>
    <row r="230" spans="1:15" x14ac:dyDescent="0.7">
      <c r="A230" s="6"/>
      <c r="B230" s="6"/>
      <c r="C230" s="3">
        <v>16</v>
      </c>
      <c r="D230" s="7">
        <v>20.777999999999999</v>
      </c>
      <c r="E230" s="7">
        <v>44.2</v>
      </c>
      <c r="F230" s="7">
        <v>20.777999999999999</v>
      </c>
      <c r="G230" s="17">
        <f t="shared" si="60"/>
        <v>1795219.2</v>
      </c>
      <c r="H230" s="26">
        <f t="shared" si="59"/>
        <v>1.7952192</v>
      </c>
      <c r="I230" s="23">
        <v>23595</v>
      </c>
      <c r="J230" s="51">
        <f t="shared" si="70"/>
        <v>2.3595000000000001E-2</v>
      </c>
      <c r="K230" s="23">
        <v>0</v>
      </c>
      <c r="L230" s="23">
        <f t="shared" si="74"/>
        <v>0</v>
      </c>
      <c r="M230" s="23">
        <f t="shared" si="72"/>
        <v>2.3595000000000001E-2</v>
      </c>
      <c r="N230" s="23">
        <v>1.3184639999999999E-2</v>
      </c>
      <c r="O230" s="7">
        <f t="shared" si="73"/>
        <v>1.75843956</v>
      </c>
    </row>
    <row r="231" spans="1:15" x14ac:dyDescent="0.7">
      <c r="A231" s="6"/>
      <c r="B231" s="6"/>
      <c r="C231" s="6">
        <v>17</v>
      </c>
      <c r="D231" s="7">
        <v>21.113</v>
      </c>
      <c r="E231" s="7">
        <v>13.2</v>
      </c>
      <c r="F231" s="7">
        <v>21.113</v>
      </c>
      <c r="G231" s="17">
        <f t="shared" si="60"/>
        <v>1824163.2</v>
      </c>
      <c r="H231" s="26">
        <f t="shared" si="59"/>
        <v>1.8241631999999999</v>
      </c>
      <c r="I231" s="23">
        <v>22207</v>
      </c>
      <c r="J231" s="51">
        <f t="shared" si="70"/>
        <v>2.2207000000000001E-2</v>
      </c>
      <c r="K231" s="23">
        <v>0</v>
      </c>
      <c r="L231" s="23">
        <f t="shared" si="74"/>
        <v>0</v>
      </c>
      <c r="M231" s="23">
        <f t="shared" si="72"/>
        <v>2.2207000000000001E-2</v>
      </c>
      <c r="N231" s="23">
        <v>1.3184639999999999E-2</v>
      </c>
      <c r="O231" s="7">
        <f t="shared" si="73"/>
        <v>1.7887715599999998</v>
      </c>
    </row>
    <row r="232" spans="1:15" x14ac:dyDescent="0.7">
      <c r="A232" s="6"/>
      <c r="B232" s="6"/>
      <c r="C232" s="6">
        <v>18</v>
      </c>
      <c r="D232" s="7">
        <v>18.969000000000001</v>
      </c>
      <c r="E232" s="7">
        <v>12.1</v>
      </c>
      <c r="F232" s="7">
        <v>18.969000000000001</v>
      </c>
      <c r="G232" s="17">
        <f t="shared" si="60"/>
        <v>1638921.6</v>
      </c>
      <c r="H232" s="26">
        <f t="shared" si="59"/>
        <v>1.6389216000000002</v>
      </c>
      <c r="I232" s="23">
        <v>22589</v>
      </c>
      <c r="J232" s="51">
        <f t="shared" si="70"/>
        <v>2.2589000000000001E-2</v>
      </c>
      <c r="K232" s="23">
        <v>0</v>
      </c>
      <c r="L232" s="23">
        <f t="shared" si="74"/>
        <v>0</v>
      </c>
      <c r="M232" s="23">
        <f t="shared" si="72"/>
        <v>2.2589000000000001E-2</v>
      </c>
      <c r="N232" s="23">
        <v>1.3184639999999999E-2</v>
      </c>
      <c r="O232" s="7">
        <f t="shared" si="73"/>
        <v>1.6031479600000003</v>
      </c>
    </row>
    <row r="233" spans="1:15" x14ac:dyDescent="0.7">
      <c r="A233" s="6"/>
      <c r="B233" s="6"/>
      <c r="C233" s="3">
        <v>19</v>
      </c>
      <c r="D233" s="7">
        <v>17.552</v>
      </c>
      <c r="E233" s="7">
        <v>0</v>
      </c>
      <c r="F233" s="7">
        <v>17.552</v>
      </c>
      <c r="G233" s="17">
        <f t="shared" si="60"/>
        <v>1516492.8</v>
      </c>
      <c r="H233" s="26">
        <f t="shared" si="59"/>
        <v>1.5164928</v>
      </c>
      <c r="I233" s="23">
        <v>22385</v>
      </c>
      <c r="J233" s="51">
        <f t="shared" si="70"/>
        <v>2.2384999999999999E-2</v>
      </c>
      <c r="K233" s="23">
        <v>4755</v>
      </c>
      <c r="L233" s="23">
        <f t="shared" si="74"/>
        <v>4.7549999999999997E-3</v>
      </c>
      <c r="M233" s="23">
        <f t="shared" si="72"/>
        <v>2.7139999999999997E-2</v>
      </c>
      <c r="N233" s="23">
        <v>1.3184639999999999E-2</v>
      </c>
      <c r="O233" s="7">
        <f t="shared" si="73"/>
        <v>1.4761681600000001</v>
      </c>
    </row>
    <row r="234" spans="1:15" x14ac:dyDescent="0.7">
      <c r="A234" s="6"/>
      <c r="B234" s="6"/>
      <c r="C234" s="6">
        <v>20</v>
      </c>
      <c r="D234" s="7">
        <v>18.554000000000002</v>
      </c>
      <c r="E234" s="7">
        <v>12.5</v>
      </c>
      <c r="F234" s="7">
        <v>18.554000000000002</v>
      </c>
      <c r="G234" s="17">
        <f t="shared" si="60"/>
        <v>1603065.6</v>
      </c>
      <c r="H234" s="26">
        <f t="shared" si="59"/>
        <v>1.6030656000000001</v>
      </c>
      <c r="I234" s="23">
        <v>22648.791208791201</v>
      </c>
      <c r="J234" s="51">
        <f t="shared" ref="J234:J248" si="75">I234/1000000</f>
        <v>2.2648791208791201E-2</v>
      </c>
      <c r="K234" s="23">
        <v>1817.7252747252801</v>
      </c>
      <c r="L234" s="23">
        <f t="shared" ref="L234:L238" si="76">K234/1000000</f>
        <v>1.8177252747252801E-3</v>
      </c>
      <c r="M234" s="23">
        <f t="shared" ref="M234:M248" si="77">J234+L234</f>
        <v>2.4466516483516481E-2</v>
      </c>
      <c r="N234" s="23">
        <v>1.26671894505494E-2</v>
      </c>
      <c r="O234" s="7">
        <f t="shared" ref="O234:O248" si="78">H234-M234-N234</f>
        <v>1.5659318940659341</v>
      </c>
    </row>
    <row r="235" spans="1:15" x14ac:dyDescent="0.7">
      <c r="A235" s="6"/>
      <c r="B235" s="6"/>
      <c r="C235" s="6">
        <v>21</v>
      </c>
      <c r="D235" s="7">
        <v>22.14</v>
      </c>
      <c r="E235" s="7">
        <v>9.8000000000000007</v>
      </c>
      <c r="F235" s="7">
        <v>22.14</v>
      </c>
      <c r="G235" s="17">
        <f t="shared" si="60"/>
        <v>1912896</v>
      </c>
      <c r="H235" s="26">
        <f t="shared" si="59"/>
        <v>1.9128959999999999</v>
      </c>
      <c r="I235" s="23">
        <v>22975.810989010999</v>
      </c>
      <c r="J235" s="51">
        <f t="shared" si="75"/>
        <v>2.2975810989010997E-2</v>
      </c>
      <c r="K235" s="23">
        <v>1957.1362637362699</v>
      </c>
      <c r="L235" s="23">
        <f t="shared" si="76"/>
        <v>1.9571362637362697E-3</v>
      </c>
      <c r="M235" s="23">
        <f t="shared" si="77"/>
        <v>2.4932947252747268E-2</v>
      </c>
      <c r="N235" s="23">
        <v>1.3495110329670299E-2</v>
      </c>
      <c r="O235" s="7">
        <f t="shared" si="78"/>
        <v>1.8744679424175823</v>
      </c>
    </row>
    <row r="236" spans="1:15" x14ac:dyDescent="0.7">
      <c r="A236" s="6"/>
      <c r="B236" s="6"/>
      <c r="C236" s="3">
        <v>22</v>
      </c>
      <c r="D236" s="7">
        <v>16.52</v>
      </c>
      <c r="E236" s="7">
        <v>0.2</v>
      </c>
      <c r="F236" s="7">
        <v>16.52</v>
      </c>
      <c r="G236" s="17">
        <f t="shared" si="60"/>
        <v>1427328</v>
      </c>
      <c r="H236" s="26">
        <f t="shared" si="59"/>
        <v>1.4273279999999999</v>
      </c>
      <c r="I236" s="24">
        <v>23302.830769230801</v>
      </c>
      <c r="J236" s="51">
        <f t="shared" si="75"/>
        <v>2.3302830769230801E-2</v>
      </c>
      <c r="K236" s="23">
        <v>2096.5472527472498</v>
      </c>
      <c r="L236" s="23">
        <f t="shared" si="76"/>
        <v>2.0965472527472496E-3</v>
      </c>
      <c r="M236" s="23">
        <f t="shared" si="77"/>
        <v>2.5399378021978052E-2</v>
      </c>
      <c r="N236" s="23">
        <v>1.43230312087912E-2</v>
      </c>
      <c r="O236" s="7">
        <f t="shared" si="78"/>
        <v>1.3876055907692306</v>
      </c>
    </row>
    <row r="237" spans="1:15" x14ac:dyDescent="0.7">
      <c r="A237" s="6"/>
      <c r="B237" s="6"/>
      <c r="C237" s="6">
        <v>23</v>
      </c>
      <c r="D237" s="7">
        <v>10.89</v>
      </c>
      <c r="E237" s="7">
        <v>23.5</v>
      </c>
      <c r="F237" s="7">
        <v>10.89</v>
      </c>
      <c r="G237" s="17">
        <f t="shared" si="60"/>
        <v>940896</v>
      </c>
      <c r="H237" s="26">
        <f t="shared" si="59"/>
        <v>0.94089599999999995</v>
      </c>
      <c r="I237" s="23">
        <v>23629.850549450501</v>
      </c>
      <c r="J237" s="51">
        <f t="shared" si="75"/>
        <v>2.36298505494505E-2</v>
      </c>
      <c r="K237" s="23">
        <v>2235.9582417582401</v>
      </c>
      <c r="L237" s="23">
        <f t="shared" si="76"/>
        <v>2.2359582417582403E-3</v>
      </c>
      <c r="M237" s="23">
        <f t="shared" si="77"/>
        <v>2.5865808791208741E-2</v>
      </c>
      <c r="N237" s="23">
        <v>1.5150952087911999E-2</v>
      </c>
      <c r="O237" s="7">
        <f t="shared" si="78"/>
        <v>0.8998792391208793</v>
      </c>
    </row>
    <row r="238" spans="1:15" x14ac:dyDescent="0.7">
      <c r="A238" s="6"/>
      <c r="B238" s="6"/>
      <c r="C238" s="6">
        <v>24</v>
      </c>
      <c r="D238" s="7">
        <v>12.074</v>
      </c>
      <c r="E238" s="7">
        <v>4.2</v>
      </c>
      <c r="F238" s="7">
        <v>12.074</v>
      </c>
      <c r="G238" s="17">
        <f t="shared" si="60"/>
        <v>1043193.6</v>
      </c>
      <c r="H238" s="26">
        <f t="shared" si="59"/>
        <v>1.0431935999999999</v>
      </c>
      <c r="I238" s="23">
        <v>23956.870329670299</v>
      </c>
      <c r="J238" s="51">
        <f t="shared" si="75"/>
        <v>2.39568703296703E-2</v>
      </c>
      <c r="K238" s="23">
        <v>2375.3692307692299</v>
      </c>
      <c r="L238" s="23">
        <f t="shared" si="76"/>
        <v>2.3753692307692301E-3</v>
      </c>
      <c r="M238" s="23">
        <f t="shared" si="77"/>
        <v>2.6332239560439528E-2</v>
      </c>
      <c r="N238" s="23">
        <v>1.59788729670329E-2</v>
      </c>
      <c r="O238" s="7">
        <f t="shared" si="78"/>
        <v>1.0008824874725275</v>
      </c>
    </row>
    <row r="239" spans="1:15" x14ac:dyDescent="0.7">
      <c r="A239" s="6"/>
      <c r="B239" s="6"/>
      <c r="C239" s="3">
        <v>25</v>
      </c>
      <c r="D239" s="7">
        <v>15.545</v>
      </c>
      <c r="E239" s="7">
        <v>9.1</v>
      </c>
      <c r="F239" s="7">
        <v>15.545</v>
      </c>
      <c r="G239" s="17">
        <f t="shared" si="60"/>
        <v>1343088</v>
      </c>
      <c r="H239" s="26">
        <f t="shared" si="59"/>
        <v>1.3430880000000001</v>
      </c>
      <c r="I239" s="23">
        <v>24283.890109890101</v>
      </c>
      <c r="J239" s="51">
        <f t="shared" si="75"/>
        <v>2.4283890109890099E-2</v>
      </c>
      <c r="K239" s="23">
        <v>2514.7802197802198</v>
      </c>
      <c r="L239" s="23">
        <f>K239/1000000</f>
        <v>2.5147802197802199E-3</v>
      </c>
      <c r="M239" s="23">
        <f t="shared" si="77"/>
        <v>2.6798670329670319E-2</v>
      </c>
      <c r="N239" s="23">
        <v>1.68067938461538E-2</v>
      </c>
      <c r="O239" s="7">
        <f t="shared" si="78"/>
        <v>1.2994825358241759</v>
      </c>
    </row>
    <row r="240" spans="1:15" x14ac:dyDescent="0.7">
      <c r="A240" s="6"/>
      <c r="B240" s="6"/>
      <c r="C240" s="6">
        <v>26</v>
      </c>
      <c r="D240" s="7">
        <v>14.05</v>
      </c>
      <c r="E240" s="7">
        <v>0.2</v>
      </c>
      <c r="F240" s="7">
        <v>14.05</v>
      </c>
      <c r="G240" s="17">
        <f t="shared" si="60"/>
        <v>1213920</v>
      </c>
      <c r="H240" s="26">
        <f t="shared" si="59"/>
        <v>1.2139200000000001</v>
      </c>
      <c r="I240" s="23">
        <v>24610.909890109899</v>
      </c>
      <c r="J240" s="51">
        <f t="shared" si="75"/>
        <v>2.4610909890109899E-2</v>
      </c>
      <c r="K240" s="23">
        <v>2654.1912087912101</v>
      </c>
      <c r="L240" s="23">
        <f t="shared" ref="L240:L246" si="79">K240/1000000</f>
        <v>2.6541912087912102E-3</v>
      </c>
      <c r="M240" s="23">
        <f t="shared" si="77"/>
        <v>2.7265101098901109E-2</v>
      </c>
      <c r="N240" s="23">
        <v>1.7634714725274701E-2</v>
      </c>
      <c r="O240" s="7">
        <f t="shared" si="78"/>
        <v>1.1690201841758243</v>
      </c>
    </row>
    <row r="241" spans="1:15" x14ac:dyDescent="0.7">
      <c r="A241" s="6"/>
      <c r="B241" s="6"/>
      <c r="C241" s="6">
        <v>27</v>
      </c>
      <c r="D241" s="7">
        <v>14.05</v>
      </c>
      <c r="E241" s="7">
        <v>0</v>
      </c>
      <c r="F241" s="7">
        <v>14.05</v>
      </c>
      <c r="G241" s="17">
        <f t="shared" si="60"/>
        <v>1213920</v>
      </c>
      <c r="H241" s="26">
        <f t="shared" si="59"/>
        <v>1.2139200000000001</v>
      </c>
      <c r="I241" s="24">
        <v>24937.9296703297</v>
      </c>
      <c r="J241" s="51">
        <f t="shared" si="75"/>
        <v>2.4937929670329699E-2</v>
      </c>
      <c r="K241" s="23">
        <v>2793.6021978022</v>
      </c>
      <c r="L241" s="23">
        <f t="shared" si="79"/>
        <v>2.7936021978022E-3</v>
      </c>
      <c r="M241" s="23">
        <f t="shared" si="77"/>
        <v>2.77315318681319E-2</v>
      </c>
      <c r="N241" s="23">
        <v>1.8462635604395601E-2</v>
      </c>
      <c r="O241" s="7">
        <f t="shared" si="78"/>
        <v>1.1677258325274726</v>
      </c>
    </row>
    <row r="242" spans="1:15" x14ac:dyDescent="0.7">
      <c r="A242" s="6"/>
      <c r="B242" s="6"/>
      <c r="C242" s="3">
        <v>28</v>
      </c>
      <c r="D242" s="7">
        <v>13.942</v>
      </c>
      <c r="E242" s="7">
        <v>25.1</v>
      </c>
      <c r="F242" s="7">
        <v>13.942</v>
      </c>
      <c r="G242" s="17">
        <f t="shared" si="60"/>
        <v>1204588.8</v>
      </c>
      <c r="H242" s="26">
        <f t="shared" si="59"/>
        <v>1.2045888</v>
      </c>
      <c r="I242" s="24">
        <v>25264.949450549499</v>
      </c>
      <c r="J242" s="51">
        <f t="shared" si="75"/>
        <v>2.5264949450549499E-2</v>
      </c>
      <c r="K242" s="23">
        <v>2933.0131868131898</v>
      </c>
      <c r="L242" s="23">
        <f t="shared" si="79"/>
        <v>2.9330131868131899E-3</v>
      </c>
      <c r="M242" s="23">
        <f t="shared" si="77"/>
        <v>2.819796263736269E-2</v>
      </c>
      <c r="N242" s="23">
        <v>1.9290556483516401E-2</v>
      </c>
      <c r="O242" s="7">
        <f t="shared" si="78"/>
        <v>1.1571002808791209</v>
      </c>
    </row>
    <row r="243" spans="1:15" x14ac:dyDescent="0.7">
      <c r="A243" s="6"/>
      <c r="B243" s="6"/>
      <c r="C243" s="6">
        <v>29</v>
      </c>
      <c r="D243" s="7">
        <v>15.515000000000001</v>
      </c>
      <c r="E243" s="7">
        <v>35.4</v>
      </c>
      <c r="F243" s="7">
        <v>15.515000000000001</v>
      </c>
      <c r="G243" s="17">
        <f t="shared" si="60"/>
        <v>1340496</v>
      </c>
      <c r="H243" s="26">
        <f t="shared" si="59"/>
        <v>1.3404959999999999</v>
      </c>
      <c r="I243" s="23">
        <v>25591.969230769198</v>
      </c>
      <c r="J243" s="51">
        <f t="shared" si="75"/>
        <v>2.5591969230769198E-2</v>
      </c>
      <c r="K243" s="23">
        <v>3072.4241758241801</v>
      </c>
      <c r="L243" s="23">
        <f t="shared" si="79"/>
        <v>3.0724241758241801E-3</v>
      </c>
      <c r="M243" s="23">
        <f t="shared" si="77"/>
        <v>2.8664393406593377E-2</v>
      </c>
      <c r="N243" s="23">
        <v>2.0118477362637301E-2</v>
      </c>
      <c r="O243" s="7">
        <f t="shared" si="78"/>
        <v>1.2917131292307693</v>
      </c>
    </row>
    <row r="244" spans="1:15" x14ac:dyDescent="0.7">
      <c r="A244" s="6"/>
      <c r="B244" s="6"/>
      <c r="C244" s="6">
        <v>30</v>
      </c>
      <c r="D244" s="7">
        <v>14.911999999999999</v>
      </c>
      <c r="E244" s="7">
        <v>40.1</v>
      </c>
      <c r="F244" s="7">
        <v>14.911999999999999</v>
      </c>
      <c r="G244" s="17">
        <f t="shared" si="60"/>
        <v>1288396.7999999998</v>
      </c>
      <c r="H244" s="26">
        <f t="shared" si="59"/>
        <v>1.2883967999999999</v>
      </c>
      <c r="I244" s="23">
        <v>25918.989010989</v>
      </c>
      <c r="J244" s="51">
        <f t="shared" si="75"/>
        <v>2.5918989010989001E-2</v>
      </c>
      <c r="K244" s="23">
        <v>3211.83516483517</v>
      </c>
      <c r="L244" s="23">
        <f t="shared" si="79"/>
        <v>3.2118351648351699E-3</v>
      </c>
      <c r="M244" s="23">
        <f t="shared" si="77"/>
        <v>2.9130824175824171E-2</v>
      </c>
      <c r="N244" s="23">
        <v>2.0946398241758198E-2</v>
      </c>
      <c r="O244" s="7">
        <f t="shared" si="78"/>
        <v>1.2383195775824176</v>
      </c>
    </row>
    <row r="245" spans="1:15" s="15" customFormat="1" ht="25.2" thickBot="1" x14ac:dyDescent="0.75">
      <c r="A245" s="9"/>
      <c r="B245" s="9" t="s">
        <v>22</v>
      </c>
      <c r="C245" s="12">
        <v>31</v>
      </c>
      <c r="D245" s="10">
        <v>11.183999999999999</v>
      </c>
      <c r="E245" s="10">
        <v>0</v>
      </c>
      <c r="F245" s="10">
        <v>11.183999999999999</v>
      </c>
      <c r="G245" s="58">
        <f t="shared" si="60"/>
        <v>966297.59999999998</v>
      </c>
      <c r="H245" s="59">
        <f t="shared" si="59"/>
        <v>0.96629759999999998</v>
      </c>
      <c r="I245" s="27">
        <v>26246.008791208798</v>
      </c>
      <c r="J245" s="52">
        <f t="shared" si="75"/>
        <v>2.6246008791208798E-2</v>
      </c>
      <c r="K245" s="27">
        <v>3351.2461538461498</v>
      </c>
      <c r="L245" s="27">
        <f t="shared" si="79"/>
        <v>3.3512461538461498E-3</v>
      </c>
      <c r="M245" s="27">
        <f t="shared" si="77"/>
        <v>2.9597254945054947E-2</v>
      </c>
      <c r="N245" s="27">
        <v>2.1774319120879099E-2</v>
      </c>
      <c r="O245" s="10">
        <f t="shared" si="78"/>
        <v>0.91492602593406591</v>
      </c>
    </row>
    <row r="246" spans="1:15" x14ac:dyDescent="0.7">
      <c r="A246" s="3"/>
      <c r="B246" s="3" t="s">
        <v>23</v>
      </c>
      <c r="C246" s="3">
        <v>1</v>
      </c>
      <c r="D246" s="4">
        <v>10.003</v>
      </c>
      <c r="E246" s="4">
        <v>0</v>
      </c>
      <c r="F246" s="4">
        <v>10.003</v>
      </c>
      <c r="G246" s="17">
        <f t="shared" si="60"/>
        <v>864259.2</v>
      </c>
      <c r="H246" s="26">
        <f t="shared" si="59"/>
        <v>0.86425920000000001</v>
      </c>
      <c r="I246" s="26">
        <v>43312.7</v>
      </c>
      <c r="J246" s="54">
        <f t="shared" si="75"/>
        <v>4.3312699999999996E-2</v>
      </c>
      <c r="K246" s="26">
        <v>-6327.5</v>
      </c>
      <c r="L246" s="26">
        <f t="shared" si="79"/>
        <v>-6.3274999999999998E-3</v>
      </c>
      <c r="M246" s="26">
        <f t="shared" si="77"/>
        <v>3.6985199999999996E-2</v>
      </c>
      <c r="N246" s="26">
        <v>9.9792000000000006E-2</v>
      </c>
      <c r="O246" s="4">
        <f t="shared" si="78"/>
        <v>0.72748200000000007</v>
      </c>
    </row>
    <row r="247" spans="1:15" x14ac:dyDescent="0.7">
      <c r="A247" s="6"/>
      <c r="B247" s="6"/>
      <c r="C247" s="6">
        <v>2</v>
      </c>
      <c r="D247" s="7">
        <v>9.4049999999999994</v>
      </c>
      <c r="E247" s="7">
        <v>0</v>
      </c>
      <c r="F247" s="7">
        <v>9.4049999999999994</v>
      </c>
      <c r="G247" s="17">
        <f t="shared" si="60"/>
        <v>812592</v>
      </c>
      <c r="H247" s="26">
        <f t="shared" si="59"/>
        <v>0.81259199999999998</v>
      </c>
      <c r="I247" s="23">
        <v>42688.6</v>
      </c>
      <c r="J247" s="51">
        <f t="shared" si="75"/>
        <v>4.26886E-2</v>
      </c>
      <c r="K247" s="23">
        <v>-4502.5</v>
      </c>
      <c r="L247" s="23">
        <f>K247/1000000</f>
        <v>-4.5025000000000004E-3</v>
      </c>
      <c r="M247" s="23">
        <f t="shared" si="77"/>
        <v>3.8186100000000001E-2</v>
      </c>
      <c r="N247" s="23">
        <v>9.9792000000000006E-2</v>
      </c>
      <c r="O247" s="4">
        <f t="shared" si="78"/>
        <v>0.67461389999999999</v>
      </c>
    </row>
    <row r="248" spans="1:15" x14ac:dyDescent="0.7">
      <c r="A248" s="6"/>
      <c r="B248" s="6"/>
      <c r="C248" s="6">
        <v>3</v>
      </c>
      <c r="D248" s="7">
        <v>8.8840000000000003</v>
      </c>
      <c r="E248" s="7">
        <v>5.2</v>
      </c>
      <c r="F248" s="7">
        <v>8.8840000000000003</v>
      </c>
      <c r="G248" s="17">
        <f t="shared" si="60"/>
        <v>767577.59999999998</v>
      </c>
      <c r="H248" s="26">
        <f t="shared" si="59"/>
        <v>0.76757759999999997</v>
      </c>
      <c r="I248" s="23">
        <v>42064.5</v>
      </c>
      <c r="J248" s="51">
        <f t="shared" si="75"/>
        <v>4.2064499999999998E-2</v>
      </c>
      <c r="K248" s="23">
        <v>-2677.5</v>
      </c>
      <c r="L248" s="23">
        <f t="shared" ref="L248" si="80">K248/1000000</f>
        <v>-2.6775000000000002E-3</v>
      </c>
      <c r="M248" s="23">
        <f t="shared" si="77"/>
        <v>3.9386999999999998E-2</v>
      </c>
      <c r="N248" s="23">
        <v>9.9792000000000006E-2</v>
      </c>
      <c r="O248" s="4">
        <f t="shared" si="78"/>
        <v>0.62839860000000003</v>
      </c>
    </row>
    <row r="249" spans="1:15" x14ac:dyDescent="0.7">
      <c r="A249" s="6"/>
      <c r="B249" s="6"/>
      <c r="C249" s="3">
        <v>4</v>
      </c>
      <c r="D249" s="7">
        <v>12.923</v>
      </c>
      <c r="E249" s="7">
        <v>0</v>
      </c>
      <c r="F249" s="7">
        <v>12.923</v>
      </c>
      <c r="G249" s="17">
        <f t="shared" si="60"/>
        <v>1116547.2</v>
      </c>
      <c r="H249" s="26">
        <f t="shared" si="59"/>
        <v>1.1165471999999999</v>
      </c>
      <c r="I249" s="23">
        <v>40539</v>
      </c>
      <c r="J249" s="51">
        <f t="shared" ref="J249:J255" si="81">I249/1000000</f>
        <v>4.0538999999999999E-2</v>
      </c>
      <c r="K249" s="23">
        <v>0</v>
      </c>
      <c r="L249" s="23">
        <f t="shared" ref="L249:L250" si="82">K249/1000000</f>
        <v>0</v>
      </c>
      <c r="M249" s="23">
        <f t="shared" ref="M249:M255" si="83">J249+L249</f>
        <v>4.0538999999999999E-2</v>
      </c>
      <c r="N249" s="23">
        <v>9.9792000000000006E-2</v>
      </c>
      <c r="O249" s="4">
        <f t="shared" ref="O249:O255" si="84">H249-M249-N249</f>
        <v>0.97621619999999976</v>
      </c>
    </row>
    <row r="250" spans="1:15" x14ac:dyDescent="0.7">
      <c r="A250" s="6"/>
      <c r="B250" s="6"/>
      <c r="C250" s="6">
        <v>5</v>
      </c>
      <c r="D250" s="7">
        <v>10.052</v>
      </c>
      <c r="E250" s="7">
        <v>0</v>
      </c>
      <c r="F250" s="7">
        <v>10.052</v>
      </c>
      <c r="G250" s="17">
        <f t="shared" si="60"/>
        <v>868492.79999999993</v>
      </c>
      <c r="H250" s="26">
        <f t="shared" si="59"/>
        <v>0.86849279999999995</v>
      </c>
      <c r="I250" s="23">
        <v>41893</v>
      </c>
      <c r="J250" s="51">
        <f t="shared" si="81"/>
        <v>4.1893E-2</v>
      </c>
      <c r="K250" s="23">
        <v>0</v>
      </c>
      <c r="L250" s="23">
        <f t="shared" si="82"/>
        <v>0</v>
      </c>
      <c r="M250" s="23">
        <f t="shared" si="83"/>
        <v>4.1893E-2</v>
      </c>
      <c r="N250" s="23">
        <v>9.9792000000000006E-2</v>
      </c>
      <c r="O250" s="4">
        <f t="shared" si="84"/>
        <v>0.7268078</v>
      </c>
    </row>
    <row r="251" spans="1:15" x14ac:dyDescent="0.7">
      <c r="A251" s="6"/>
      <c r="B251" s="6"/>
      <c r="C251" s="6">
        <v>6</v>
      </c>
      <c r="D251" s="7">
        <v>9.2880000000000003</v>
      </c>
      <c r="E251" s="7">
        <v>12.1</v>
      </c>
      <c r="F251" s="7">
        <v>9.2880000000000003</v>
      </c>
      <c r="G251" s="17">
        <f t="shared" si="60"/>
        <v>802483.20000000007</v>
      </c>
      <c r="H251" s="26">
        <f t="shared" si="59"/>
        <v>0.80248320000000006</v>
      </c>
      <c r="I251" s="23">
        <v>40743</v>
      </c>
      <c r="J251" s="51">
        <f t="shared" si="81"/>
        <v>4.0743000000000001E-2</v>
      </c>
      <c r="K251" s="23">
        <v>2185</v>
      </c>
      <c r="L251" s="23">
        <f>K251/1000000</f>
        <v>2.1849999999999999E-3</v>
      </c>
      <c r="M251" s="23">
        <f t="shared" si="83"/>
        <v>4.2928000000000001E-2</v>
      </c>
      <c r="N251" s="23">
        <v>9.9792000000000006E-2</v>
      </c>
      <c r="O251" s="4">
        <f t="shared" si="84"/>
        <v>0.65976320000000011</v>
      </c>
    </row>
    <row r="252" spans="1:15" x14ac:dyDescent="0.7">
      <c r="A252" s="6"/>
      <c r="B252" s="6"/>
      <c r="C252" s="3">
        <v>7</v>
      </c>
      <c r="D252" s="7">
        <v>28.657999999999998</v>
      </c>
      <c r="E252" s="7">
        <v>0</v>
      </c>
      <c r="F252" s="7">
        <v>28.657999999999998</v>
      </c>
      <c r="G252" s="17">
        <f t="shared" si="60"/>
        <v>2476051.1999999997</v>
      </c>
      <c r="H252" s="26">
        <f t="shared" si="59"/>
        <v>2.4760511999999997</v>
      </c>
      <c r="I252" s="23">
        <v>38842</v>
      </c>
      <c r="J252" s="51">
        <f t="shared" si="81"/>
        <v>3.8842000000000002E-2</v>
      </c>
      <c r="K252" s="23">
        <v>5355</v>
      </c>
      <c r="L252" s="23">
        <f t="shared" ref="L252:L258" si="85">K252/1000000</f>
        <v>5.3550000000000004E-3</v>
      </c>
      <c r="M252" s="23">
        <f t="shared" si="83"/>
        <v>4.4197E-2</v>
      </c>
      <c r="N252" s="23">
        <v>9.9792000000000006E-2</v>
      </c>
      <c r="O252" s="4">
        <f t="shared" si="84"/>
        <v>2.3320621999999998</v>
      </c>
    </row>
    <row r="253" spans="1:15" x14ac:dyDescent="0.7">
      <c r="A253" s="6"/>
      <c r="B253" s="6"/>
      <c r="C253" s="6">
        <v>8</v>
      </c>
      <c r="D253" s="7">
        <v>27.263000000000002</v>
      </c>
      <c r="E253" s="7">
        <v>21.2</v>
      </c>
      <c r="F253" s="7">
        <v>27.263000000000002</v>
      </c>
      <c r="G253" s="17">
        <f t="shared" si="60"/>
        <v>2355523.2000000002</v>
      </c>
      <c r="H253" s="26">
        <f t="shared" si="59"/>
        <v>2.3555232000000004</v>
      </c>
      <c r="I253" s="23">
        <v>38944</v>
      </c>
      <c r="J253" s="51">
        <f t="shared" si="81"/>
        <v>3.8943999999999999E-2</v>
      </c>
      <c r="K253" s="23">
        <v>6447.5</v>
      </c>
      <c r="L253" s="23">
        <f t="shared" si="85"/>
        <v>6.4475000000000001E-3</v>
      </c>
      <c r="M253" s="23">
        <f t="shared" si="83"/>
        <v>4.5391500000000001E-2</v>
      </c>
      <c r="N253" s="23">
        <v>9.9792000000000006E-2</v>
      </c>
      <c r="O253" s="4">
        <f t="shared" si="84"/>
        <v>2.2103397000000005</v>
      </c>
    </row>
    <row r="254" spans="1:15" x14ac:dyDescent="0.7">
      <c r="A254" s="6"/>
      <c r="B254" s="6"/>
      <c r="C254" s="6">
        <v>9</v>
      </c>
      <c r="D254" s="7">
        <v>21.806000000000001</v>
      </c>
      <c r="E254" s="7">
        <v>39.4</v>
      </c>
      <c r="F254" s="7">
        <v>21.806000000000001</v>
      </c>
      <c r="G254" s="17">
        <f t="shared" si="60"/>
        <v>1884038.4000000001</v>
      </c>
      <c r="H254" s="26">
        <f t="shared" si="59"/>
        <v>1.8840384000000001</v>
      </c>
      <c r="I254" s="23">
        <v>38319.9</v>
      </c>
      <c r="J254" s="51">
        <f t="shared" si="81"/>
        <v>3.8319900000000004E-2</v>
      </c>
      <c r="K254" s="23">
        <v>8272.5</v>
      </c>
      <c r="L254" s="23">
        <f t="shared" si="85"/>
        <v>8.2725000000000003E-3</v>
      </c>
      <c r="M254" s="23">
        <f t="shared" si="83"/>
        <v>4.6592400000000006E-2</v>
      </c>
      <c r="N254" s="23">
        <v>9.9792000000000006E-2</v>
      </c>
      <c r="O254" s="4">
        <f t="shared" si="84"/>
        <v>1.737654</v>
      </c>
    </row>
    <row r="255" spans="1:15" x14ac:dyDescent="0.7">
      <c r="A255" s="6"/>
      <c r="B255" s="6"/>
      <c r="C255" s="3">
        <v>10</v>
      </c>
      <c r="D255" s="7">
        <v>40.532000000000004</v>
      </c>
      <c r="E255" s="7">
        <v>12.1</v>
      </c>
      <c r="F255" s="7">
        <v>40.532000000000004</v>
      </c>
      <c r="G255" s="17">
        <f t="shared" si="60"/>
        <v>3501964.8000000003</v>
      </c>
      <c r="H255" s="26">
        <f t="shared" si="59"/>
        <v>3.5019648000000001</v>
      </c>
      <c r="I255" s="23">
        <v>37695.800000000003</v>
      </c>
      <c r="J255" s="51">
        <f t="shared" si="81"/>
        <v>3.7695800000000002E-2</v>
      </c>
      <c r="K255" s="23">
        <v>10097.5</v>
      </c>
      <c r="L255" s="23">
        <f t="shared" si="85"/>
        <v>1.0097500000000001E-2</v>
      </c>
      <c r="M255" s="23">
        <f t="shared" si="83"/>
        <v>4.7793300000000004E-2</v>
      </c>
      <c r="N255" s="23">
        <v>9.9792000000000006E-2</v>
      </c>
      <c r="O255" s="4">
        <f t="shared" si="84"/>
        <v>3.3543795000000003</v>
      </c>
    </row>
    <row r="256" spans="1:15" x14ac:dyDescent="0.7">
      <c r="A256" s="6"/>
      <c r="B256" s="6"/>
      <c r="C256" s="6">
        <v>11</v>
      </c>
      <c r="D256" s="7">
        <v>30.686</v>
      </c>
      <c r="E256" s="7">
        <v>0</v>
      </c>
      <c r="F256" s="7">
        <v>30.686</v>
      </c>
      <c r="G256" s="17">
        <f t="shared" si="60"/>
        <v>2651270.4</v>
      </c>
      <c r="H256" s="26">
        <f t="shared" si="59"/>
        <v>2.6512704</v>
      </c>
      <c r="I256" s="23">
        <v>37071.699999999997</v>
      </c>
      <c r="J256" s="51">
        <f t="shared" ref="J256:J292" si="86">I256/1000000</f>
        <v>3.7071699999999999E-2</v>
      </c>
      <c r="K256" s="23">
        <v>11922.5</v>
      </c>
      <c r="L256" s="23">
        <f t="shared" si="85"/>
        <v>1.1922500000000001E-2</v>
      </c>
      <c r="M256" s="23">
        <f t="shared" ref="M256:M292" si="87">J256+L256</f>
        <v>4.8994200000000002E-2</v>
      </c>
      <c r="N256" s="23">
        <v>9.9792000000000006E-2</v>
      </c>
      <c r="O256" s="4">
        <f t="shared" ref="O256:O292" si="88">H256-M256-N256</f>
        <v>2.5024842</v>
      </c>
    </row>
    <row r="257" spans="1:15" x14ac:dyDescent="0.7">
      <c r="A257" s="6"/>
      <c r="B257" s="6"/>
      <c r="C257" s="6">
        <v>12</v>
      </c>
      <c r="D257" s="7">
        <v>22.221</v>
      </c>
      <c r="E257" s="7">
        <v>0</v>
      </c>
      <c r="F257" s="7">
        <v>22.221</v>
      </c>
      <c r="G257" s="17">
        <f t="shared" si="60"/>
        <v>1919894.4</v>
      </c>
      <c r="H257" s="26">
        <f t="shared" si="59"/>
        <v>1.9198944</v>
      </c>
      <c r="I257" s="23">
        <v>36447.599999999999</v>
      </c>
      <c r="J257" s="51">
        <f t="shared" si="86"/>
        <v>3.6447599999999997E-2</v>
      </c>
      <c r="K257" s="23">
        <v>13747.5</v>
      </c>
      <c r="L257" s="23">
        <f t="shared" si="85"/>
        <v>1.3747499999999999E-2</v>
      </c>
      <c r="M257" s="23">
        <f t="shared" si="87"/>
        <v>5.0195099999999993E-2</v>
      </c>
      <c r="N257" s="23">
        <v>9.9792000000000006E-2</v>
      </c>
      <c r="O257" s="4">
        <f t="shared" si="88"/>
        <v>1.7699072999999999</v>
      </c>
    </row>
    <row r="258" spans="1:15" x14ac:dyDescent="0.7">
      <c r="A258" s="6"/>
      <c r="B258" s="6"/>
      <c r="C258" s="3">
        <v>13</v>
      </c>
      <c r="D258" s="7">
        <v>19.451000000000001</v>
      </c>
      <c r="E258" s="7">
        <v>9.6</v>
      </c>
      <c r="F258" s="7">
        <v>19.451000000000001</v>
      </c>
      <c r="G258" s="17">
        <f t="shared" si="60"/>
        <v>1680566.4000000001</v>
      </c>
      <c r="H258" s="26">
        <f t="shared" si="59"/>
        <v>1.6805664000000002</v>
      </c>
      <c r="I258" s="23">
        <v>35823.5</v>
      </c>
      <c r="J258" s="51">
        <f t="shared" si="86"/>
        <v>3.5823500000000001E-2</v>
      </c>
      <c r="K258" s="23">
        <v>15572.5</v>
      </c>
      <c r="L258" s="23">
        <f t="shared" si="85"/>
        <v>1.55725E-2</v>
      </c>
      <c r="M258" s="23">
        <f t="shared" si="87"/>
        <v>5.1395999999999997E-2</v>
      </c>
      <c r="N258" s="23">
        <v>9.9792000000000006E-2</v>
      </c>
      <c r="O258" s="4">
        <f t="shared" si="88"/>
        <v>1.5293784000000001</v>
      </c>
    </row>
    <row r="259" spans="1:15" x14ac:dyDescent="0.7">
      <c r="A259" s="6"/>
      <c r="B259" s="6"/>
      <c r="C259" s="6">
        <v>14</v>
      </c>
      <c r="D259" s="7">
        <v>13.6</v>
      </c>
      <c r="E259" s="7">
        <v>19.100000000000001</v>
      </c>
      <c r="F259" s="7">
        <v>13.6</v>
      </c>
      <c r="G259" s="17">
        <f t="shared" si="60"/>
        <v>1175040</v>
      </c>
      <c r="H259" s="26">
        <f t="shared" ref="H259:H322" si="89">G259/1000000</f>
        <v>1.1750400000000001</v>
      </c>
      <c r="I259" s="23">
        <v>35199.4</v>
      </c>
      <c r="J259" s="51">
        <f t="shared" si="86"/>
        <v>3.5199399999999999E-2</v>
      </c>
      <c r="K259" s="23">
        <v>17397.5</v>
      </c>
      <c r="L259" s="23">
        <f t="shared" ref="L259:L292" si="90">K259/1000000</f>
        <v>1.73975E-2</v>
      </c>
      <c r="M259" s="23">
        <f t="shared" si="87"/>
        <v>5.2596900000000002E-2</v>
      </c>
      <c r="N259" s="23">
        <v>9.9792000000000006E-2</v>
      </c>
      <c r="O259" s="4">
        <f t="shared" si="88"/>
        <v>1.0226511</v>
      </c>
    </row>
    <row r="260" spans="1:15" x14ac:dyDescent="0.7">
      <c r="A260" s="6"/>
      <c r="B260" s="6"/>
      <c r="C260" s="6">
        <v>15</v>
      </c>
      <c r="D260" s="7">
        <v>16.907</v>
      </c>
      <c r="E260" s="7">
        <v>1.4</v>
      </c>
      <c r="F260" s="7">
        <v>16.907</v>
      </c>
      <c r="G260" s="17">
        <f t="shared" ref="G260:G323" si="91">F260*86400</f>
        <v>1460764.8</v>
      </c>
      <c r="H260" s="26">
        <f t="shared" si="89"/>
        <v>1.4607648</v>
      </c>
      <c r="I260" s="23">
        <v>34575.300000000003</v>
      </c>
      <c r="J260" s="51">
        <f t="shared" si="86"/>
        <v>3.4575300000000003E-2</v>
      </c>
      <c r="K260" s="23">
        <v>19222.5</v>
      </c>
      <c r="L260" s="23">
        <f t="shared" si="90"/>
        <v>1.92225E-2</v>
      </c>
      <c r="M260" s="23">
        <f t="shared" si="87"/>
        <v>5.3797800000000007E-2</v>
      </c>
      <c r="N260" s="23">
        <v>9.9792000000000006E-2</v>
      </c>
      <c r="O260" s="4">
        <f t="shared" si="88"/>
        <v>1.3071749999999998</v>
      </c>
    </row>
    <row r="261" spans="1:15" x14ac:dyDescent="0.7">
      <c r="A261" s="6"/>
      <c r="B261" s="6"/>
      <c r="C261" s="3">
        <v>16</v>
      </c>
      <c r="D261" s="7">
        <v>22.209</v>
      </c>
      <c r="E261" s="7">
        <v>21.1</v>
      </c>
      <c r="F261" s="7">
        <v>22.209</v>
      </c>
      <c r="G261" s="17">
        <f t="shared" si="91"/>
        <v>1918857.5999999999</v>
      </c>
      <c r="H261" s="26">
        <f t="shared" si="89"/>
        <v>1.9188575999999999</v>
      </c>
      <c r="I261" s="23">
        <v>33951.199999999997</v>
      </c>
      <c r="J261" s="51">
        <f t="shared" si="86"/>
        <v>3.3951199999999994E-2</v>
      </c>
      <c r="K261" s="23">
        <v>21047.5</v>
      </c>
      <c r="L261" s="23">
        <f t="shared" si="90"/>
        <v>2.10475E-2</v>
      </c>
      <c r="M261" s="23">
        <f t="shared" si="87"/>
        <v>5.4998699999999998E-2</v>
      </c>
      <c r="N261" s="23">
        <v>9.9792000000000006E-2</v>
      </c>
      <c r="O261" s="4">
        <f t="shared" si="88"/>
        <v>1.7640668999999998</v>
      </c>
    </row>
    <row r="262" spans="1:15" x14ac:dyDescent="0.7">
      <c r="A262" s="6"/>
      <c r="B262" s="6"/>
      <c r="C262" s="6">
        <v>17</v>
      </c>
      <c r="D262" s="7">
        <v>25.177999999999997</v>
      </c>
      <c r="E262" s="7">
        <v>0</v>
      </c>
      <c r="F262" s="7">
        <v>25.177999999999997</v>
      </c>
      <c r="G262" s="17">
        <f t="shared" si="91"/>
        <v>2175379.1999999997</v>
      </c>
      <c r="H262" s="26">
        <f t="shared" si="89"/>
        <v>2.1753791999999996</v>
      </c>
      <c r="I262" s="23">
        <v>33327.1</v>
      </c>
      <c r="J262" s="51">
        <f t="shared" si="86"/>
        <v>3.3327099999999998E-2</v>
      </c>
      <c r="K262" s="23">
        <v>22872.5</v>
      </c>
      <c r="L262" s="23">
        <f t="shared" si="90"/>
        <v>2.28725E-2</v>
      </c>
      <c r="M262" s="23">
        <f t="shared" si="87"/>
        <v>5.6199600000000002E-2</v>
      </c>
      <c r="N262" s="23">
        <v>9.9792000000000006E-2</v>
      </c>
      <c r="O262" s="4">
        <f t="shared" si="88"/>
        <v>2.0193875999999999</v>
      </c>
    </row>
    <row r="263" spans="1:15" x14ac:dyDescent="0.7">
      <c r="A263" s="6"/>
      <c r="B263" s="6"/>
      <c r="C263" s="6">
        <v>18</v>
      </c>
      <c r="D263" s="7">
        <v>39.5</v>
      </c>
      <c r="E263" s="7">
        <v>0</v>
      </c>
      <c r="F263" s="7">
        <v>39.5</v>
      </c>
      <c r="G263" s="17">
        <f t="shared" si="91"/>
        <v>3412800</v>
      </c>
      <c r="H263" s="26">
        <f t="shared" si="89"/>
        <v>3.4127999999999998</v>
      </c>
      <c r="I263" s="23">
        <v>32703</v>
      </c>
      <c r="J263" s="51">
        <f t="shared" si="86"/>
        <v>3.2703000000000003E-2</v>
      </c>
      <c r="K263" s="23">
        <v>24697.5</v>
      </c>
      <c r="L263" s="23">
        <f t="shared" si="90"/>
        <v>2.4697500000000001E-2</v>
      </c>
      <c r="M263" s="23">
        <f t="shared" si="87"/>
        <v>5.7400500000000007E-2</v>
      </c>
      <c r="N263" s="23">
        <v>9.9792000000000006E-2</v>
      </c>
      <c r="O263" s="4">
        <f t="shared" si="88"/>
        <v>3.2556075</v>
      </c>
    </row>
    <row r="264" spans="1:15" x14ac:dyDescent="0.7">
      <c r="A264" s="6"/>
      <c r="B264" s="6"/>
      <c r="C264" s="3">
        <v>19</v>
      </c>
      <c r="D264" s="7">
        <v>45.301000000000002</v>
      </c>
      <c r="E264" s="7">
        <v>0</v>
      </c>
      <c r="F264" s="7">
        <v>45.301000000000002</v>
      </c>
      <c r="G264" s="17">
        <f t="shared" si="91"/>
        <v>3914006.4000000004</v>
      </c>
      <c r="H264" s="26">
        <f t="shared" si="89"/>
        <v>3.9140064000000003</v>
      </c>
      <c r="I264" s="23">
        <v>32078.9</v>
      </c>
      <c r="J264" s="51">
        <f t="shared" si="86"/>
        <v>3.20789E-2</v>
      </c>
      <c r="K264" s="23">
        <v>26522.5</v>
      </c>
      <c r="L264" s="23">
        <f t="shared" si="90"/>
        <v>2.6522500000000001E-2</v>
      </c>
      <c r="M264" s="23">
        <f t="shared" si="87"/>
        <v>5.8601399999999998E-2</v>
      </c>
      <c r="N264" s="23">
        <v>9.9792000000000006E-2</v>
      </c>
      <c r="O264" s="4">
        <f t="shared" si="88"/>
        <v>3.7556130000000003</v>
      </c>
    </row>
    <row r="265" spans="1:15" x14ac:dyDescent="0.7">
      <c r="A265" s="6"/>
      <c r="B265" s="6"/>
      <c r="C265" s="6">
        <v>20</v>
      </c>
      <c r="D265" s="7">
        <v>27.576000000000001</v>
      </c>
      <c r="E265" s="7">
        <v>0</v>
      </c>
      <c r="F265" s="7">
        <v>27.576000000000001</v>
      </c>
      <c r="G265" s="17">
        <f t="shared" si="91"/>
        <v>2382566.3999999999</v>
      </c>
      <c r="H265" s="26">
        <f t="shared" si="89"/>
        <v>2.3825664</v>
      </c>
      <c r="I265" s="23">
        <v>31454.799999999999</v>
      </c>
      <c r="J265" s="51">
        <f t="shared" si="86"/>
        <v>3.1454799999999998E-2</v>
      </c>
      <c r="K265" s="23">
        <v>28347.5</v>
      </c>
      <c r="L265" s="23">
        <f t="shared" si="90"/>
        <v>2.8347500000000001E-2</v>
      </c>
      <c r="M265" s="23">
        <f t="shared" si="87"/>
        <v>5.9802300000000003E-2</v>
      </c>
      <c r="N265" s="23">
        <v>9.9792000000000006E-2</v>
      </c>
      <c r="O265" s="4">
        <f t="shared" si="88"/>
        <v>2.2229721000000002</v>
      </c>
    </row>
    <row r="266" spans="1:15" x14ac:dyDescent="0.7">
      <c r="A266" s="6"/>
      <c r="B266" s="6"/>
      <c r="C266" s="6">
        <v>21</v>
      </c>
      <c r="D266" s="7">
        <v>27.254999999999999</v>
      </c>
      <c r="E266" s="7">
        <v>22.1</v>
      </c>
      <c r="F266" s="7">
        <v>27.254999999999999</v>
      </c>
      <c r="G266" s="17">
        <f t="shared" si="91"/>
        <v>2354832</v>
      </c>
      <c r="H266" s="26">
        <f t="shared" si="89"/>
        <v>2.354832</v>
      </c>
      <c r="I266" s="23">
        <v>30830.7</v>
      </c>
      <c r="J266" s="51">
        <f t="shared" si="86"/>
        <v>3.0830699999999999E-2</v>
      </c>
      <c r="K266" s="23">
        <v>30172.5</v>
      </c>
      <c r="L266" s="23">
        <f t="shared" si="90"/>
        <v>3.0172500000000001E-2</v>
      </c>
      <c r="M266" s="23">
        <f t="shared" si="87"/>
        <v>6.10032E-2</v>
      </c>
      <c r="N266" s="23">
        <v>9.9792000000000006E-2</v>
      </c>
      <c r="O266" s="4">
        <f t="shared" si="88"/>
        <v>2.1940368000000001</v>
      </c>
    </row>
    <row r="267" spans="1:15" x14ac:dyDescent="0.7">
      <c r="A267" s="6"/>
      <c r="B267" s="6"/>
      <c r="C267" s="3">
        <v>22</v>
      </c>
      <c r="D267" s="7">
        <v>27.254999999999999</v>
      </c>
      <c r="E267" s="7">
        <v>0.3</v>
      </c>
      <c r="F267" s="7">
        <v>27.254999999999999</v>
      </c>
      <c r="G267" s="17">
        <f t="shared" si="91"/>
        <v>2354832</v>
      </c>
      <c r="H267" s="26">
        <f t="shared" si="89"/>
        <v>2.354832</v>
      </c>
      <c r="I267" s="23">
        <v>30206.6</v>
      </c>
      <c r="J267" s="51">
        <f t="shared" si="86"/>
        <v>3.02066E-2</v>
      </c>
      <c r="K267" s="23">
        <v>31997.5</v>
      </c>
      <c r="L267" s="23">
        <f t="shared" si="90"/>
        <v>3.1997499999999998E-2</v>
      </c>
      <c r="M267" s="23">
        <f t="shared" si="87"/>
        <v>6.2204099999999998E-2</v>
      </c>
      <c r="N267" s="23">
        <v>9.9792000000000006E-2</v>
      </c>
      <c r="O267" s="4">
        <f t="shared" si="88"/>
        <v>2.1928358999999999</v>
      </c>
    </row>
    <row r="268" spans="1:15" x14ac:dyDescent="0.7">
      <c r="A268" s="6"/>
      <c r="B268" s="6"/>
      <c r="C268" s="6">
        <v>23</v>
      </c>
      <c r="D268" s="7">
        <v>35.058</v>
      </c>
      <c r="E268" s="7">
        <v>4.3</v>
      </c>
      <c r="F268" s="7">
        <v>35.058</v>
      </c>
      <c r="G268" s="17">
        <f t="shared" si="91"/>
        <v>3029011.2</v>
      </c>
      <c r="H268" s="26">
        <f t="shared" si="89"/>
        <v>3.0290112000000002</v>
      </c>
      <c r="I268" s="23">
        <v>29582.5</v>
      </c>
      <c r="J268" s="51">
        <f t="shared" si="86"/>
        <v>2.9582500000000001E-2</v>
      </c>
      <c r="K268" s="23">
        <v>33822.5</v>
      </c>
      <c r="L268" s="23">
        <f t="shared" si="90"/>
        <v>3.3822499999999998E-2</v>
      </c>
      <c r="M268" s="23">
        <f t="shared" si="87"/>
        <v>6.3405000000000003E-2</v>
      </c>
      <c r="N268" s="23">
        <v>9.9792000000000006E-2</v>
      </c>
      <c r="O268" s="4">
        <f t="shared" si="88"/>
        <v>2.8658142000000004</v>
      </c>
    </row>
    <row r="269" spans="1:15" x14ac:dyDescent="0.7">
      <c r="A269" s="6"/>
      <c r="B269" s="6"/>
      <c r="C269" s="6">
        <v>24</v>
      </c>
      <c r="D269" s="7">
        <v>27.389000000000003</v>
      </c>
      <c r="E269" s="7">
        <v>0.7</v>
      </c>
      <c r="F269" s="7">
        <v>27.389000000000003</v>
      </c>
      <c r="G269" s="17">
        <f t="shared" si="91"/>
        <v>2366409.6</v>
      </c>
      <c r="H269" s="26">
        <f t="shared" si="89"/>
        <v>2.3664095999999999</v>
      </c>
      <c r="I269" s="23">
        <v>28958.400000000001</v>
      </c>
      <c r="J269" s="51">
        <f t="shared" si="86"/>
        <v>2.8958400000000002E-2</v>
      </c>
      <c r="K269" s="23">
        <v>35647.5</v>
      </c>
      <c r="L269" s="23">
        <f t="shared" si="90"/>
        <v>3.5647499999999999E-2</v>
      </c>
      <c r="M269" s="23">
        <f t="shared" si="87"/>
        <v>6.4605899999999994E-2</v>
      </c>
      <c r="N269" s="23">
        <v>9.9792000000000006E-2</v>
      </c>
      <c r="O269" s="4">
        <f t="shared" si="88"/>
        <v>2.2020116999999999</v>
      </c>
    </row>
    <row r="270" spans="1:15" x14ac:dyDescent="0.7">
      <c r="A270" s="6"/>
      <c r="B270" s="6"/>
      <c r="C270" s="3">
        <v>25</v>
      </c>
      <c r="D270" s="7">
        <v>24.039000000000001</v>
      </c>
      <c r="E270" s="7">
        <v>9.1</v>
      </c>
      <c r="F270" s="7">
        <v>24.039000000000001</v>
      </c>
      <c r="G270" s="17">
        <f t="shared" si="91"/>
        <v>2076969.6</v>
      </c>
      <c r="H270" s="26">
        <f t="shared" si="89"/>
        <v>2.0769696</v>
      </c>
      <c r="I270" s="23">
        <v>28334.3</v>
      </c>
      <c r="J270" s="51">
        <f t="shared" si="86"/>
        <v>2.83343E-2</v>
      </c>
      <c r="K270" s="23">
        <v>37472.5</v>
      </c>
      <c r="L270" s="23">
        <f t="shared" si="90"/>
        <v>3.7472499999999999E-2</v>
      </c>
      <c r="M270" s="23">
        <f t="shared" si="87"/>
        <v>6.5806799999999999E-2</v>
      </c>
      <c r="N270" s="23">
        <v>9.9792000000000006E-2</v>
      </c>
      <c r="O270" s="4">
        <f t="shared" si="88"/>
        <v>1.9113708</v>
      </c>
    </row>
    <row r="271" spans="1:15" x14ac:dyDescent="0.7">
      <c r="A271" s="6"/>
      <c r="B271" s="6"/>
      <c r="C271" s="6">
        <v>26</v>
      </c>
      <c r="D271" s="7">
        <v>24.049999999999997</v>
      </c>
      <c r="E271" s="7">
        <v>4.3</v>
      </c>
      <c r="F271" s="7">
        <v>24.049999999999997</v>
      </c>
      <c r="G271" s="17">
        <f t="shared" si="91"/>
        <v>2077919.9999999998</v>
      </c>
      <c r="H271" s="26">
        <f t="shared" si="89"/>
        <v>2.0779199999999998</v>
      </c>
      <c r="I271" s="23">
        <v>27710.2</v>
      </c>
      <c r="J271" s="51">
        <f t="shared" si="86"/>
        <v>2.7710200000000001E-2</v>
      </c>
      <c r="K271" s="23">
        <v>39297.5</v>
      </c>
      <c r="L271" s="23">
        <f t="shared" si="90"/>
        <v>3.9297499999999999E-2</v>
      </c>
      <c r="M271" s="23">
        <f t="shared" si="87"/>
        <v>6.7007700000000003E-2</v>
      </c>
      <c r="N271" s="23">
        <v>9.9792000000000006E-2</v>
      </c>
      <c r="O271" s="4">
        <f t="shared" si="88"/>
        <v>1.9111202999999997</v>
      </c>
    </row>
    <row r="272" spans="1:15" x14ac:dyDescent="0.7">
      <c r="A272" s="6"/>
      <c r="B272" s="6"/>
      <c r="C272" s="6">
        <v>27</v>
      </c>
      <c r="D272" s="7">
        <v>40.030999999999999</v>
      </c>
      <c r="E272" s="7">
        <v>20.399999999999999</v>
      </c>
      <c r="F272" s="7">
        <v>40.030999999999999</v>
      </c>
      <c r="G272" s="17">
        <f t="shared" si="91"/>
        <v>3458678.4</v>
      </c>
      <c r="H272" s="26">
        <f t="shared" si="89"/>
        <v>3.4586783999999997</v>
      </c>
      <c r="I272" s="23">
        <v>27086.1</v>
      </c>
      <c r="J272" s="51">
        <f t="shared" si="86"/>
        <v>2.7086099999999998E-2</v>
      </c>
      <c r="K272" s="23">
        <v>41122.5</v>
      </c>
      <c r="L272" s="23">
        <f t="shared" si="90"/>
        <v>4.1122499999999999E-2</v>
      </c>
      <c r="M272" s="23">
        <f t="shared" si="87"/>
        <v>6.8208599999999994E-2</v>
      </c>
      <c r="N272" s="23">
        <v>9.9792000000000006E-2</v>
      </c>
      <c r="O272" s="4">
        <f t="shared" si="88"/>
        <v>3.2906777999999997</v>
      </c>
    </row>
    <row r="273" spans="1:15" x14ac:dyDescent="0.7">
      <c r="A273" s="6"/>
      <c r="B273" s="6"/>
      <c r="C273" s="3">
        <v>28</v>
      </c>
      <c r="D273" s="7">
        <v>49.262999999999998</v>
      </c>
      <c r="E273" s="7">
        <v>0</v>
      </c>
      <c r="F273" s="7">
        <v>49.262999999999998</v>
      </c>
      <c r="G273" s="17">
        <f t="shared" si="91"/>
        <v>4256323.2</v>
      </c>
      <c r="H273" s="26">
        <f t="shared" si="89"/>
        <v>4.2563231999999998</v>
      </c>
      <c r="I273" s="23">
        <v>26462</v>
      </c>
      <c r="J273" s="51">
        <f t="shared" si="86"/>
        <v>2.6461999999999999E-2</v>
      </c>
      <c r="K273" s="23">
        <v>42947.5</v>
      </c>
      <c r="L273" s="23">
        <f t="shared" si="90"/>
        <v>4.29475E-2</v>
      </c>
      <c r="M273" s="23">
        <f t="shared" si="87"/>
        <v>6.9409499999999999E-2</v>
      </c>
      <c r="N273" s="23">
        <v>9.9792000000000006E-2</v>
      </c>
      <c r="O273" s="4">
        <f t="shared" si="88"/>
        <v>4.0871217</v>
      </c>
    </row>
    <row r="274" spans="1:15" x14ac:dyDescent="0.7">
      <c r="A274" s="6"/>
      <c r="B274" s="6"/>
      <c r="C274" s="6">
        <v>29</v>
      </c>
      <c r="D274" s="7">
        <v>39.924999999999997</v>
      </c>
      <c r="E274" s="7">
        <v>0</v>
      </c>
      <c r="F274" s="7">
        <v>39.924999999999997</v>
      </c>
      <c r="G274" s="17">
        <f t="shared" si="91"/>
        <v>3449519.9999999995</v>
      </c>
      <c r="H274" s="26">
        <f t="shared" si="89"/>
        <v>3.4495199999999997</v>
      </c>
      <c r="I274" s="23">
        <v>25837.9</v>
      </c>
      <c r="J274" s="51">
        <f t="shared" si="86"/>
        <v>2.58379E-2</v>
      </c>
      <c r="K274" s="23">
        <v>44772.5</v>
      </c>
      <c r="L274" s="23">
        <f t="shared" si="90"/>
        <v>4.47725E-2</v>
      </c>
      <c r="M274" s="23">
        <f t="shared" si="87"/>
        <v>7.0610400000000004E-2</v>
      </c>
      <c r="N274" s="23">
        <v>9.9792000000000006E-2</v>
      </c>
      <c r="O274" s="4">
        <f t="shared" si="88"/>
        <v>3.2791175999999997</v>
      </c>
    </row>
    <row r="275" spans="1:15" s="15" customFormat="1" ht="25.2" thickBot="1" x14ac:dyDescent="0.75">
      <c r="A275" s="9"/>
      <c r="B275" s="9" t="s">
        <v>23</v>
      </c>
      <c r="C275" s="9">
        <v>30</v>
      </c>
      <c r="D275" s="10">
        <v>35.007000000000005</v>
      </c>
      <c r="E275" s="10">
        <v>0</v>
      </c>
      <c r="F275" s="10">
        <v>35.007000000000005</v>
      </c>
      <c r="G275" s="58">
        <f t="shared" si="91"/>
        <v>3024604.8000000003</v>
      </c>
      <c r="H275" s="59">
        <f t="shared" si="89"/>
        <v>3.0246048000000001</v>
      </c>
      <c r="I275" s="27">
        <v>25213.8</v>
      </c>
      <c r="J275" s="52">
        <f t="shared" si="86"/>
        <v>2.5213799999999998E-2</v>
      </c>
      <c r="K275" s="27">
        <v>46597.5</v>
      </c>
      <c r="L275" s="27">
        <f t="shared" si="90"/>
        <v>4.65975E-2</v>
      </c>
      <c r="M275" s="27">
        <f t="shared" si="87"/>
        <v>7.1811299999999995E-2</v>
      </c>
      <c r="N275" s="27">
        <v>9.9792000000000006E-2</v>
      </c>
      <c r="O275" s="21">
        <f t="shared" si="88"/>
        <v>2.8530015000000004</v>
      </c>
    </row>
    <row r="276" spans="1:15" x14ac:dyDescent="0.7">
      <c r="A276" s="3"/>
      <c r="B276" s="3" t="s">
        <v>24</v>
      </c>
      <c r="C276" s="3">
        <v>1</v>
      </c>
      <c r="D276" s="4">
        <v>26.184000000000001</v>
      </c>
      <c r="E276" s="4">
        <v>1.8</v>
      </c>
      <c r="F276" s="4">
        <v>26.184000000000001</v>
      </c>
      <c r="G276" s="17">
        <f t="shared" si="91"/>
        <v>2262297.6000000001</v>
      </c>
      <c r="H276" s="26">
        <f t="shared" si="89"/>
        <v>2.2622976000000001</v>
      </c>
      <c r="I276" s="26">
        <v>24589.7</v>
      </c>
      <c r="J276" s="54">
        <f t="shared" si="86"/>
        <v>2.4589699999999999E-2</v>
      </c>
      <c r="K276" s="26">
        <v>48422.5</v>
      </c>
      <c r="L276" s="26">
        <f t="shared" si="90"/>
        <v>4.84225E-2</v>
      </c>
      <c r="M276" s="26">
        <f t="shared" si="87"/>
        <v>7.3012199999999999E-2</v>
      </c>
      <c r="N276" s="26">
        <v>9.9792000000000006E-2</v>
      </c>
      <c r="O276" s="4">
        <f t="shared" si="88"/>
        <v>2.0894934000000003</v>
      </c>
    </row>
    <row r="277" spans="1:15" x14ac:dyDescent="0.7">
      <c r="A277" s="6"/>
      <c r="B277" s="6"/>
      <c r="C277" s="6">
        <v>2</v>
      </c>
      <c r="D277" s="7">
        <v>32.679000000000002</v>
      </c>
      <c r="E277" s="7">
        <v>0</v>
      </c>
      <c r="F277" s="7">
        <v>32.679000000000002</v>
      </c>
      <c r="G277" s="17">
        <f t="shared" si="91"/>
        <v>2823465.6</v>
      </c>
      <c r="H277" s="26">
        <f t="shared" si="89"/>
        <v>2.8234656</v>
      </c>
      <c r="I277" s="23">
        <v>18917</v>
      </c>
      <c r="J277" s="51">
        <f t="shared" si="86"/>
        <v>1.8917E-2</v>
      </c>
      <c r="K277" s="23">
        <v>0</v>
      </c>
      <c r="L277" s="23">
        <f t="shared" si="90"/>
        <v>0</v>
      </c>
      <c r="M277" s="23">
        <f t="shared" si="87"/>
        <v>1.8917E-2</v>
      </c>
      <c r="N277" s="23">
        <v>5.3481599999999997E-2</v>
      </c>
      <c r="O277" s="7">
        <f t="shared" si="88"/>
        <v>2.7510669999999999</v>
      </c>
    </row>
    <row r="278" spans="1:15" x14ac:dyDescent="0.7">
      <c r="A278" s="6"/>
      <c r="B278" s="6"/>
      <c r="C278" s="6">
        <v>3</v>
      </c>
      <c r="D278" s="7">
        <v>31.542000000000002</v>
      </c>
      <c r="E278" s="7">
        <v>1.9</v>
      </c>
      <c r="F278" s="7">
        <v>31.542000000000002</v>
      </c>
      <c r="G278" s="17">
        <f t="shared" si="91"/>
        <v>2725228.8000000003</v>
      </c>
      <c r="H278" s="26">
        <f t="shared" si="89"/>
        <v>2.7252288000000005</v>
      </c>
      <c r="I278" s="23">
        <v>18073</v>
      </c>
      <c r="J278" s="51">
        <f t="shared" si="86"/>
        <v>1.8072999999999999E-2</v>
      </c>
      <c r="K278" s="23">
        <v>0</v>
      </c>
      <c r="L278" s="23">
        <f t="shared" si="90"/>
        <v>0</v>
      </c>
      <c r="M278" s="23">
        <f t="shared" si="87"/>
        <v>1.8072999999999999E-2</v>
      </c>
      <c r="N278" s="23">
        <v>6.2121599999999999E-2</v>
      </c>
      <c r="O278" s="7">
        <f t="shared" si="88"/>
        <v>2.6450342000000004</v>
      </c>
    </row>
    <row r="279" spans="1:15" x14ac:dyDescent="0.7">
      <c r="A279" s="6"/>
      <c r="B279" s="6"/>
      <c r="C279" s="3">
        <v>4</v>
      </c>
      <c r="D279" s="7">
        <v>35.039000000000001</v>
      </c>
      <c r="E279" s="7">
        <v>0</v>
      </c>
      <c r="F279" s="7">
        <v>35.039000000000001</v>
      </c>
      <c r="G279" s="17">
        <f t="shared" si="91"/>
        <v>3027369.6</v>
      </c>
      <c r="H279" s="26">
        <f t="shared" si="89"/>
        <v>3.0273696000000001</v>
      </c>
      <c r="I279" s="23">
        <v>16687</v>
      </c>
      <c r="J279" s="51">
        <f t="shared" si="86"/>
        <v>1.6687E-2</v>
      </c>
      <c r="K279" s="23">
        <v>0</v>
      </c>
      <c r="L279" s="23">
        <f t="shared" si="90"/>
        <v>0</v>
      </c>
      <c r="M279" s="23">
        <f t="shared" si="87"/>
        <v>1.6687E-2</v>
      </c>
      <c r="N279" s="23">
        <v>6.2121599999999999E-2</v>
      </c>
      <c r="O279" s="7">
        <f t="shared" si="88"/>
        <v>2.9485609999999998</v>
      </c>
    </row>
    <row r="280" spans="1:15" x14ac:dyDescent="0.7">
      <c r="A280" s="6"/>
      <c r="B280" s="6"/>
      <c r="C280" s="6">
        <v>5</v>
      </c>
      <c r="D280" s="7">
        <v>23.283999999999999</v>
      </c>
      <c r="E280" s="7">
        <v>0</v>
      </c>
      <c r="F280" s="7">
        <v>23.283999999999999</v>
      </c>
      <c r="G280" s="17">
        <f t="shared" si="91"/>
        <v>2011737.5999999999</v>
      </c>
      <c r="H280" s="26">
        <f t="shared" si="89"/>
        <v>2.0117376</v>
      </c>
      <c r="I280" s="23">
        <v>18797</v>
      </c>
      <c r="J280" s="51">
        <f t="shared" si="86"/>
        <v>1.8797000000000001E-2</v>
      </c>
      <c r="K280" s="23">
        <v>0</v>
      </c>
      <c r="L280" s="23">
        <f t="shared" si="90"/>
        <v>0</v>
      </c>
      <c r="M280" s="23">
        <f t="shared" si="87"/>
        <v>1.8797000000000001E-2</v>
      </c>
      <c r="N280" s="23">
        <v>6.2121599999999999E-2</v>
      </c>
      <c r="O280" s="7">
        <f t="shared" si="88"/>
        <v>1.9308190000000001</v>
      </c>
    </row>
    <row r="281" spans="1:15" x14ac:dyDescent="0.7">
      <c r="A281" s="6"/>
      <c r="B281" s="6"/>
      <c r="C281" s="6">
        <v>6</v>
      </c>
      <c r="D281" s="7">
        <v>23.283999999999999</v>
      </c>
      <c r="E281" s="7">
        <v>0</v>
      </c>
      <c r="F281" s="7">
        <v>23.283999999999999</v>
      </c>
      <c r="G281" s="17">
        <f t="shared" si="91"/>
        <v>2011737.5999999999</v>
      </c>
      <c r="H281" s="26">
        <f t="shared" si="89"/>
        <v>2.0117376</v>
      </c>
      <c r="I281" s="23">
        <v>19419</v>
      </c>
      <c r="J281" s="51">
        <f t="shared" si="86"/>
        <v>1.9418999999999999E-2</v>
      </c>
      <c r="K281" s="23">
        <v>0</v>
      </c>
      <c r="L281" s="23">
        <f t="shared" si="90"/>
        <v>0</v>
      </c>
      <c r="M281" s="23">
        <f t="shared" si="87"/>
        <v>1.9418999999999999E-2</v>
      </c>
      <c r="N281" s="23">
        <v>6.2121599999999999E-2</v>
      </c>
      <c r="O281" s="7">
        <f t="shared" si="88"/>
        <v>1.9301969999999999</v>
      </c>
    </row>
    <row r="282" spans="1:15" x14ac:dyDescent="0.7">
      <c r="A282" s="6"/>
      <c r="B282" s="6"/>
      <c r="C282" s="3">
        <v>7</v>
      </c>
      <c r="D282" s="7">
        <v>19.75</v>
      </c>
      <c r="E282" s="7">
        <v>0</v>
      </c>
      <c r="F282" s="7">
        <v>19.75</v>
      </c>
      <c r="G282" s="17">
        <f t="shared" si="91"/>
        <v>1706400</v>
      </c>
      <c r="H282" s="26">
        <f t="shared" si="89"/>
        <v>1.7063999999999999</v>
      </c>
      <c r="I282" s="23">
        <v>17695</v>
      </c>
      <c r="J282" s="51">
        <f t="shared" si="86"/>
        <v>1.7694999999999999E-2</v>
      </c>
      <c r="K282" s="23">
        <v>3671</v>
      </c>
      <c r="L282" s="23">
        <f t="shared" si="90"/>
        <v>3.6709999999999998E-3</v>
      </c>
      <c r="M282" s="23">
        <f t="shared" si="87"/>
        <v>2.1366E-2</v>
      </c>
      <c r="N282" s="23">
        <v>6.2121599999999999E-2</v>
      </c>
      <c r="O282" s="7">
        <f t="shared" si="88"/>
        <v>1.6229123999999999</v>
      </c>
    </row>
    <row r="283" spans="1:15" x14ac:dyDescent="0.7">
      <c r="A283" s="6"/>
      <c r="B283" s="6"/>
      <c r="C283" s="6">
        <v>8</v>
      </c>
      <c r="D283" s="7">
        <v>16.689999999999998</v>
      </c>
      <c r="E283" s="7">
        <v>0</v>
      </c>
      <c r="F283" s="7">
        <v>16.689999999999998</v>
      </c>
      <c r="G283" s="17">
        <f t="shared" si="91"/>
        <v>1442015.9999999998</v>
      </c>
      <c r="H283" s="26">
        <f t="shared" si="89"/>
        <v>1.4420159999999997</v>
      </c>
      <c r="I283" s="23">
        <v>16333</v>
      </c>
      <c r="J283" s="51">
        <f t="shared" si="86"/>
        <v>1.6333E-2</v>
      </c>
      <c r="K283" s="23">
        <v>6494</v>
      </c>
      <c r="L283" s="23">
        <f t="shared" si="90"/>
        <v>6.4939999999999998E-3</v>
      </c>
      <c r="M283" s="23">
        <f t="shared" si="87"/>
        <v>2.2827E-2</v>
      </c>
      <c r="N283" s="23">
        <v>6.2121599999999999E-2</v>
      </c>
      <c r="O283" s="7">
        <f t="shared" si="88"/>
        <v>1.3570673999999998</v>
      </c>
    </row>
    <row r="284" spans="1:15" x14ac:dyDescent="0.7">
      <c r="A284" s="6"/>
      <c r="B284" s="6"/>
      <c r="C284" s="6">
        <v>9</v>
      </c>
      <c r="D284" s="7">
        <v>14.05</v>
      </c>
      <c r="E284" s="7">
        <v>0</v>
      </c>
      <c r="F284" s="7">
        <v>14.05</v>
      </c>
      <c r="G284" s="17">
        <f t="shared" si="91"/>
        <v>1213920</v>
      </c>
      <c r="H284" s="26">
        <f t="shared" si="89"/>
        <v>1.2139200000000001</v>
      </c>
      <c r="I284" s="23">
        <v>17508</v>
      </c>
      <c r="J284" s="51">
        <f t="shared" si="86"/>
        <v>1.7507999999999999E-2</v>
      </c>
      <c r="K284" s="23">
        <v>6260</v>
      </c>
      <c r="L284" s="23">
        <f t="shared" si="90"/>
        <v>6.2599999999999999E-3</v>
      </c>
      <c r="M284" s="23">
        <f t="shared" si="87"/>
        <v>2.3767999999999997E-2</v>
      </c>
      <c r="N284" s="23">
        <v>6.2121599999999999E-2</v>
      </c>
      <c r="O284" s="7">
        <f t="shared" si="88"/>
        <v>1.1280304000000001</v>
      </c>
    </row>
    <row r="285" spans="1:15" x14ac:dyDescent="0.7">
      <c r="A285" s="6"/>
      <c r="B285" s="6"/>
      <c r="C285" s="3">
        <v>10</v>
      </c>
      <c r="D285" s="7">
        <v>14.061</v>
      </c>
      <c r="E285" s="7">
        <v>3.4</v>
      </c>
      <c r="F285" s="7">
        <v>14.061</v>
      </c>
      <c r="G285" s="17">
        <f t="shared" si="91"/>
        <v>1214870.3999999999</v>
      </c>
      <c r="H285" s="26">
        <f t="shared" si="89"/>
        <v>1.2148703999999999</v>
      </c>
      <c r="I285" s="23">
        <v>18019</v>
      </c>
      <c r="J285" s="51">
        <f t="shared" si="86"/>
        <v>1.8019E-2</v>
      </c>
      <c r="K285" s="23">
        <v>5892</v>
      </c>
      <c r="L285" s="23">
        <f t="shared" si="90"/>
        <v>5.8919999999999997E-3</v>
      </c>
      <c r="M285" s="23">
        <f t="shared" si="87"/>
        <v>2.3911000000000002E-2</v>
      </c>
      <c r="N285" s="23">
        <v>6.2121599999999999E-2</v>
      </c>
      <c r="O285" s="7">
        <f t="shared" si="88"/>
        <v>1.1288377999999999</v>
      </c>
    </row>
    <row r="286" spans="1:15" x14ac:dyDescent="0.7">
      <c r="A286" s="6"/>
      <c r="B286" s="6"/>
      <c r="C286" s="6">
        <v>11</v>
      </c>
      <c r="D286" s="7">
        <v>14.065</v>
      </c>
      <c r="E286" s="7">
        <v>0.5</v>
      </c>
      <c r="F286" s="7">
        <v>14.065</v>
      </c>
      <c r="G286" s="17">
        <f t="shared" si="91"/>
        <v>1215216</v>
      </c>
      <c r="H286" s="26">
        <f t="shared" si="89"/>
        <v>1.2152160000000001</v>
      </c>
      <c r="I286" s="23">
        <v>18841</v>
      </c>
      <c r="J286" s="51">
        <f t="shared" si="86"/>
        <v>1.8841E-2</v>
      </c>
      <c r="K286" s="23">
        <v>5835</v>
      </c>
      <c r="L286" s="23">
        <f t="shared" si="90"/>
        <v>5.8349999999999999E-3</v>
      </c>
      <c r="M286" s="23">
        <f t="shared" si="87"/>
        <v>2.4676E-2</v>
      </c>
      <c r="N286" s="23">
        <v>6.2121599999999999E-2</v>
      </c>
      <c r="O286" s="7">
        <f t="shared" si="88"/>
        <v>1.1284184000000002</v>
      </c>
    </row>
    <row r="287" spans="1:15" x14ac:dyDescent="0.7">
      <c r="A287" s="6"/>
      <c r="B287" s="6"/>
      <c r="C287" s="6">
        <v>12</v>
      </c>
      <c r="D287" s="7">
        <v>13.234999999999999</v>
      </c>
      <c r="E287" s="7">
        <v>0</v>
      </c>
      <c r="F287" s="7">
        <v>13.234999999999999</v>
      </c>
      <c r="G287" s="17">
        <f t="shared" si="91"/>
        <v>1143504</v>
      </c>
      <c r="H287" s="26">
        <f t="shared" si="89"/>
        <v>1.1435040000000001</v>
      </c>
      <c r="I287" s="23">
        <v>15059</v>
      </c>
      <c r="J287" s="51">
        <f t="shared" si="86"/>
        <v>1.5058999999999999E-2</v>
      </c>
      <c r="K287" s="23">
        <v>4963</v>
      </c>
      <c r="L287" s="23">
        <f t="shared" si="90"/>
        <v>4.9630000000000004E-3</v>
      </c>
      <c r="M287" s="23">
        <f t="shared" si="87"/>
        <v>2.0021999999999998E-2</v>
      </c>
      <c r="N287" s="23">
        <v>6.2121599999999999E-2</v>
      </c>
      <c r="O287" s="7">
        <f t="shared" si="88"/>
        <v>1.0613604000000001</v>
      </c>
    </row>
    <row r="288" spans="1:15" x14ac:dyDescent="0.7">
      <c r="A288" s="6"/>
      <c r="B288" s="6"/>
      <c r="C288" s="3">
        <v>13</v>
      </c>
      <c r="D288" s="7">
        <v>12.052</v>
      </c>
      <c r="E288" s="7">
        <v>0</v>
      </c>
      <c r="F288" s="7">
        <v>12.052</v>
      </c>
      <c r="G288" s="17">
        <f t="shared" si="91"/>
        <v>1041292.7999999999</v>
      </c>
      <c r="H288" s="26">
        <f t="shared" si="89"/>
        <v>1.0412927999999999</v>
      </c>
      <c r="I288" s="23">
        <v>18944</v>
      </c>
      <c r="J288" s="51">
        <f t="shared" si="86"/>
        <v>1.8943999999999999E-2</v>
      </c>
      <c r="K288" s="23">
        <v>6067</v>
      </c>
      <c r="L288" s="23">
        <f t="shared" si="90"/>
        <v>6.0670000000000003E-3</v>
      </c>
      <c r="M288" s="23">
        <f t="shared" si="87"/>
        <v>2.5010999999999999E-2</v>
      </c>
      <c r="N288" s="23">
        <v>0.2003616</v>
      </c>
      <c r="O288" s="7">
        <f t="shared" si="88"/>
        <v>0.81592019999999998</v>
      </c>
    </row>
    <row r="289" spans="1:15" x14ac:dyDescent="0.7">
      <c r="A289" s="6"/>
      <c r="B289" s="6"/>
      <c r="C289" s="6">
        <v>14</v>
      </c>
      <c r="D289" s="7">
        <v>12.05</v>
      </c>
      <c r="E289" s="7">
        <v>3.1</v>
      </c>
      <c r="F289" s="7">
        <v>12.05</v>
      </c>
      <c r="G289" s="17">
        <f t="shared" si="91"/>
        <v>1041120.0000000001</v>
      </c>
      <c r="H289" s="26">
        <f t="shared" si="89"/>
        <v>1.04112</v>
      </c>
      <c r="I289" s="23">
        <v>17854</v>
      </c>
      <c r="J289" s="51">
        <f t="shared" si="86"/>
        <v>1.7853999999999998E-2</v>
      </c>
      <c r="K289" s="23">
        <v>5162</v>
      </c>
      <c r="L289" s="23">
        <f t="shared" si="90"/>
        <v>5.1619999999999999E-3</v>
      </c>
      <c r="M289" s="23">
        <f t="shared" si="87"/>
        <v>2.3015999999999998E-2</v>
      </c>
      <c r="N289" s="23">
        <v>6.2121599999999999E-2</v>
      </c>
      <c r="O289" s="7">
        <f t="shared" si="88"/>
        <v>0.95598240000000012</v>
      </c>
    </row>
    <row r="290" spans="1:15" x14ac:dyDescent="0.7">
      <c r="A290" s="6"/>
      <c r="B290" s="6"/>
      <c r="C290" s="6">
        <v>15</v>
      </c>
      <c r="D290" s="7">
        <v>12.04</v>
      </c>
      <c r="E290" s="7">
        <v>1.9</v>
      </c>
      <c r="F290" s="7">
        <v>12.04</v>
      </c>
      <c r="G290" s="17">
        <f t="shared" si="91"/>
        <v>1040255.9999999999</v>
      </c>
      <c r="H290" s="26">
        <f t="shared" si="89"/>
        <v>1.0402559999999998</v>
      </c>
      <c r="I290" s="23">
        <v>18639</v>
      </c>
      <c r="J290" s="51">
        <f t="shared" si="86"/>
        <v>1.8638999999999999E-2</v>
      </c>
      <c r="K290" s="23">
        <v>5461</v>
      </c>
      <c r="L290" s="23">
        <f t="shared" si="90"/>
        <v>5.4609999999999997E-3</v>
      </c>
      <c r="M290" s="23">
        <f t="shared" si="87"/>
        <v>2.41E-2</v>
      </c>
      <c r="N290" s="23">
        <v>6.2121599999999999E-2</v>
      </c>
      <c r="O290" s="7">
        <f t="shared" si="88"/>
        <v>0.95403439999999984</v>
      </c>
    </row>
    <row r="291" spans="1:15" x14ac:dyDescent="0.7">
      <c r="A291" s="6"/>
      <c r="B291" s="6"/>
      <c r="C291" s="3">
        <v>16</v>
      </c>
      <c r="D291" s="7">
        <v>12.052</v>
      </c>
      <c r="E291" s="7">
        <v>10.5</v>
      </c>
      <c r="F291" s="7">
        <v>12.052</v>
      </c>
      <c r="G291" s="17">
        <f t="shared" si="91"/>
        <v>1041292.7999999999</v>
      </c>
      <c r="H291" s="26">
        <f t="shared" si="89"/>
        <v>1.0412927999999999</v>
      </c>
      <c r="I291" s="23">
        <v>17382</v>
      </c>
      <c r="J291" s="51">
        <f t="shared" si="86"/>
        <v>1.7382000000000002E-2</v>
      </c>
      <c r="K291" s="23">
        <v>2100</v>
      </c>
      <c r="L291" s="23">
        <f t="shared" si="90"/>
        <v>2.0999999999999999E-3</v>
      </c>
      <c r="M291" s="23">
        <f t="shared" si="87"/>
        <v>1.9482000000000003E-2</v>
      </c>
      <c r="N291" s="23">
        <v>6.2121599999999999E-2</v>
      </c>
      <c r="O291" s="7">
        <f t="shared" si="88"/>
        <v>0.95968919999999991</v>
      </c>
    </row>
    <row r="292" spans="1:15" x14ac:dyDescent="0.7">
      <c r="A292" s="6"/>
      <c r="B292" s="6"/>
      <c r="C292" s="6">
        <v>17</v>
      </c>
      <c r="D292" s="7">
        <v>27.54</v>
      </c>
      <c r="E292" s="7">
        <v>0.2</v>
      </c>
      <c r="F292" s="7">
        <v>27.54</v>
      </c>
      <c r="G292" s="17">
        <f t="shared" si="91"/>
        <v>2379456</v>
      </c>
      <c r="H292" s="26">
        <f t="shared" si="89"/>
        <v>2.3794559999999998</v>
      </c>
      <c r="I292" s="23">
        <v>18617</v>
      </c>
      <c r="J292" s="51">
        <f t="shared" si="86"/>
        <v>1.8617000000000002E-2</v>
      </c>
      <c r="K292" s="23">
        <v>0</v>
      </c>
      <c r="L292" s="23">
        <f t="shared" si="90"/>
        <v>0</v>
      </c>
      <c r="M292" s="23">
        <f t="shared" si="87"/>
        <v>1.8617000000000002E-2</v>
      </c>
      <c r="N292" s="23">
        <v>6.2121599999999999E-2</v>
      </c>
      <c r="O292" s="7">
        <f t="shared" si="88"/>
        <v>2.2987174000000001</v>
      </c>
    </row>
    <row r="293" spans="1:15" x14ac:dyDescent="0.7">
      <c r="A293" s="6"/>
      <c r="B293" s="6"/>
      <c r="C293" s="6">
        <v>18</v>
      </c>
      <c r="D293" s="7">
        <v>22.186999999999998</v>
      </c>
      <c r="E293" s="7">
        <v>0.8</v>
      </c>
      <c r="F293" s="7">
        <v>22.186999999999998</v>
      </c>
      <c r="G293" s="17">
        <f t="shared" si="91"/>
        <v>1916956.7999999998</v>
      </c>
      <c r="H293" s="26">
        <f t="shared" si="89"/>
        <v>1.9169567999999999</v>
      </c>
      <c r="I293" s="23">
        <v>17811.900000000001</v>
      </c>
      <c r="J293" s="51">
        <f t="shared" ref="J293:J312" si="92">I293/1000000</f>
        <v>1.7811900000000002E-2</v>
      </c>
      <c r="K293" s="23">
        <v>5499.2250000000004</v>
      </c>
      <c r="L293" s="23">
        <f t="shared" ref="L293:L312" si="93">K293/1000000</f>
        <v>5.4992249999999999E-3</v>
      </c>
      <c r="M293" s="23">
        <f t="shared" ref="M293:M312" si="94">J293+L293</f>
        <v>2.3311125000000002E-2</v>
      </c>
      <c r="N293" s="23">
        <v>8.3937600000000001E-2</v>
      </c>
      <c r="O293" s="7">
        <f t="shared" ref="O293:O312" si="95">H293-M293-N293</f>
        <v>1.8097080749999999</v>
      </c>
    </row>
    <row r="294" spans="1:15" x14ac:dyDescent="0.7">
      <c r="A294" s="6"/>
      <c r="B294" s="6"/>
      <c r="C294" s="3">
        <v>19</v>
      </c>
      <c r="D294" s="7">
        <v>17.441000000000003</v>
      </c>
      <c r="E294" s="7">
        <v>2.5</v>
      </c>
      <c r="F294" s="7">
        <v>17.441000000000003</v>
      </c>
      <c r="G294" s="17">
        <f t="shared" si="91"/>
        <v>1506902.4000000001</v>
      </c>
      <c r="H294" s="26">
        <f t="shared" si="89"/>
        <v>1.5069024000000002</v>
      </c>
      <c r="I294" s="23">
        <v>17798.711764705899</v>
      </c>
      <c r="J294" s="51">
        <f t="shared" si="92"/>
        <v>1.7798711764705898E-2</v>
      </c>
      <c r="K294" s="23">
        <v>5764.5382352941197</v>
      </c>
      <c r="L294" s="23">
        <f t="shared" si="93"/>
        <v>5.7645382352941197E-3</v>
      </c>
      <c r="M294" s="23">
        <f t="shared" si="94"/>
        <v>2.3563250000000018E-2</v>
      </c>
      <c r="N294" s="23">
        <v>8.5551247058823499E-2</v>
      </c>
      <c r="O294" s="7">
        <f t="shared" si="95"/>
        <v>1.3977879029411766</v>
      </c>
    </row>
    <row r="295" spans="1:15" x14ac:dyDescent="0.7">
      <c r="A295" s="6"/>
      <c r="B295" s="6"/>
      <c r="C295" s="6">
        <v>20</v>
      </c>
      <c r="D295" s="7">
        <v>17.768000000000001</v>
      </c>
      <c r="E295" s="7">
        <v>0</v>
      </c>
      <c r="F295" s="7">
        <v>17.768000000000001</v>
      </c>
      <c r="G295" s="17">
        <f t="shared" si="91"/>
        <v>1535155.2</v>
      </c>
      <c r="H295" s="26">
        <f t="shared" si="89"/>
        <v>1.5351551999999999</v>
      </c>
      <c r="I295" s="23">
        <v>17785.523529411799</v>
      </c>
      <c r="J295" s="51">
        <f t="shared" si="92"/>
        <v>1.77855235294118E-2</v>
      </c>
      <c r="K295" s="23">
        <v>6029.8514705882399</v>
      </c>
      <c r="L295" s="23">
        <f t="shared" si="93"/>
        <v>6.0298514705882395E-3</v>
      </c>
      <c r="M295" s="23">
        <f t="shared" si="94"/>
        <v>2.3815375000000041E-2</v>
      </c>
      <c r="N295" s="23">
        <v>8.7164894117646996E-2</v>
      </c>
      <c r="O295" s="7">
        <f t="shared" si="95"/>
        <v>1.4241749308823528</v>
      </c>
    </row>
    <row r="296" spans="1:15" x14ac:dyDescent="0.7">
      <c r="A296" s="6"/>
      <c r="B296" s="6"/>
      <c r="C296" s="6">
        <v>21</v>
      </c>
      <c r="D296" s="7">
        <v>14.708</v>
      </c>
      <c r="E296" s="7">
        <v>0</v>
      </c>
      <c r="F296" s="7">
        <v>14.708</v>
      </c>
      <c r="G296" s="17">
        <f t="shared" si="91"/>
        <v>1270771.2</v>
      </c>
      <c r="H296" s="26">
        <f t="shared" si="89"/>
        <v>1.2707712</v>
      </c>
      <c r="I296" s="23">
        <v>17772.335294117602</v>
      </c>
      <c r="J296" s="51">
        <f t="shared" si="92"/>
        <v>1.7772335294117602E-2</v>
      </c>
      <c r="K296" s="23">
        <v>6295.1647058823601</v>
      </c>
      <c r="L296" s="23">
        <f t="shared" si="93"/>
        <v>6.2951647058823602E-3</v>
      </c>
      <c r="M296" s="23">
        <f t="shared" si="94"/>
        <v>2.4067499999999964E-2</v>
      </c>
      <c r="N296" s="23">
        <v>8.8778541176470605E-2</v>
      </c>
      <c r="O296" s="7">
        <f t="shared" si="95"/>
        <v>1.1579251588235295</v>
      </c>
    </row>
    <row r="297" spans="1:15" x14ac:dyDescent="0.7">
      <c r="A297" s="6"/>
      <c r="B297" s="6"/>
      <c r="C297" s="3">
        <v>22</v>
      </c>
      <c r="D297" s="7">
        <v>14.7094</v>
      </c>
      <c r="E297" s="7">
        <v>35.6</v>
      </c>
      <c r="F297" s="7">
        <v>14.7094</v>
      </c>
      <c r="G297" s="17">
        <f t="shared" si="91"/>
        <v>1270892.1600000001</v>
      </c>
      <c r="H297" s="26">
        <f t="shared" si="89"/>
        <v>1.27089216</v>
      </c>
      <c r="I297" s="23">
        <v>17759.147058823499</v>
      </c>
      <c r="J297" s="51">
        <f t="shared" si="92"/>
        <v>1.7759147058823498E-2</v>
      </c>
      <c r="K297" s="23">
        <v>6560.4779411764703</v>
      </c>
      <c r="L297" s="23">
        <f t="shared" si="93"/>
        <v>6.5604779411764704E-3</v>
      </c>
      <c r="M297" s="23">
        <f t="shared" si="94"/>
        <v>2.431962499999997E-2</v>
      </c>
      <c r="N297" s="23">
        <v>9.0392188235294102E-2</v>
      </c>
      <c r="O297" s="7">
        <f t="shared" si="95"/>
        <v>1.156180346764706</v>
      </c>
    </row>
    <row r="298" spans="1:15" x14ac:dyDescent="0.7">
      <c r="A298" s="6"/>
      <c r="B298" s="6"/>
      <c r="C298" s="6">
        <v>23</v>
      </c>
      <c r="D298" s="7">
        <v>39.264000000000003</v>
      </c>
      <c r="E298" s="7">
        <v>16.7</v>
      </c>
      <c r="F298" s="7">
        <v>39.264000000000003</v>
      </c>
      <c r="G298" s="17">
        <f t="shared" si="91"/>
        <v>3392409.6000000001</v>
      </c>
      <c r="H298" s="26">
        <f t="shared" si="89"/>
        <v>3.3924096000000001</v>
      </c>
      <c r="I298" s="23">
        <v>17745.9588235294</v>
      </c>
      <c r="J298" s="51">
        <f t="shared" si="92"/>
        <v>1.77459588235294E-2</v>
      </c>
      <c r="K298" s="23">
        <v>6825.7911764705896</v>
      </c>
      <c r="L298" s="23">
        <f t="shared" si="93"/>
        <v>6.8257911764705893E-3</v>
      </c>
      <c r="M298" s="23">
        <f t="shared" si="94"/>
        <v>2.4571749999999989E-2</v>
      </c>
      <c r="N298" s="23">
        <v>9.2005835294117599E-2</v>
      </c>
      <c r="O298" s="7">
        <f t="shared" si="95"/>
        <v>3.2758320147058826</v>
      </c>
    </row>
    <row r="299" spans="1:15" x14ac:dyDescent="0.7">
      <c r="A299" s="6"/>
      <c r="B299" s="6"/>
      <c r="C299" s="6">
        <v>24</v>
      </c>
      <c r="D299" s="7">
        <v>56.06</v>
      </c>
      <c r="E299" s="7">
        <v>4.3</v>
      </c>
      <c r="F299" s="7">
        <v>56.06</v>
      </c>
      <c r="G299" s="17">
        <f t="shared" si="91"/>
        <v>4843584</v>
      </c>
      <c r="H299" s="26">
        <f t="shared" si="89"/>
        <v>4.8435839999999999</v>
      </c>
      <c r="I299" s="23">
        <v>17732.7705882353</v>
      </c>
      <c r="J299" s="51">
        <f t="shared" si="92"/>
        <v>1.7732770588235299E-2</v>
      </c>
      <c r="K299" s="23">
        <v>7091.1044117647098</v>
      </c>
      <c r="L299" s="23">
        <f t="shared" si="93"/>
        <v>7.09110441176471E-3</v>
      </c>
      <c r="M299" s="23">
        <f t="shared" si="94"/>
        <v>2.4823875000000009E-2</v>
      </c>
      <c r="N299" s="23">
        <v>9.3619482352941194E-2</v>
      </c>
      <c r="O299" s="7">
        <f t="shared" si="95"/>
        <v>4.7251406426470588</v>
      </c>
    </row>
    <row r="300" spans="1:15" x14ac:dyDescent="0.7">
      <c r="A300" s="6"/>
      <c r="B300" s="6"/>
      <c r="C300" s="3">
        <v>25</v>
      </c>
      <c r="D300" s="7">
        <v>37.232999999999997</v>
      </c>
      <c r="E300" s="7">
        <v>0</v>
      </c>
      <c r="F300" s="7">
        <v>37.232999999999997</v>
      </c>
      <c r="G300" s="17">
        <f t="shared" si="91"/>
        <v>3216931.1999999997</v>
      </c>
      <c r="H300" s="26">
        <f t="shared" si="89"/>
        <v>3.2169311999999999</v>
      </c>
      <c r="I300" s="23">
        <v>17719.582352941201</v>
      </c>
      <c r="J300" s="51">
        <f t="shared" si="92"/>
        <v>1.7719582352941202E-2</v>
      </c>
      <c r="K300" s="23">
        <v>7356.41764705883</v>
      </c>
      <c r="L300" s="23">
        <f t="shared" si="93"/>
        <v>7.3564176470588298E-3</v>
      </c>
      <c r="M300" s="23">
        <f t="shared" si="94"/>
        <v>2.5076000000000032E-2</v>
      </c>
      <c r="N300" s="23">
        <v>9.5233129411764705E-2</v>
      </c>
      <c r="O300" s="7">
        <f t="shared" si="95"/>
        <v>3.0966220705882352</v>
      </c>
    </row>
    <row r="301" spans="1:15" x14ac:dyDescent="0.7">
      <c r="A301" s="6"/>
      <c r="B301" s="6"/>
      <c r="C301" s="6">
        <v>26</v>
      </c>
      <c r="D301" s="7">
        <v>26.641999999999999</v>
      </c>
      <c r="E301" s="7">
        <v>0</v>
      </c>
      <c r="F301" s="7">
        <v>26.641999999999999</v>
      </c>
      <c r="G301" s="17">
        <f t="shared" si="91"/>
        <v>2301868.7999999998</v>
      </c>
      <c r="H301" s="26">
        <f t="shared" si="89"/>
        <v>2.3018687999999998</v>
      </c>
      <c r="I301" s="23">
        <v>17706.394117647102</v>
      </c>
      <c r="J301" s="51">
        <f t="shared" si="92"/>
        <v>1.7706394117647101E-2</v>
      </c>
      <c r="K301" s="23">
        <v>7621.7308823529402</v>
      </c>
      <c r="L301" s="23">
        <f t="shared" si="93"/>
        <v>7.62173088235294E-3</v>
      </c>
      <c r="M301" s="23">
        <f t="shared" si="94"/>
        <v>2.5328125000000042E-2</v>
      </c>
      <c r="N301" s="23">
        <v>9.6846776470588203E-2</v>
      </c>
      <c r="O301" s="7">
        <f t="shared" si="95"/>
        <v>2.1796938985294116</v>
      </c>
    </row>
    <row r="302" spans="1:15" x14ac:dyDescent="0.7">
      <c r="A302" s="6"/>
      <c r="B302" s="6"/>
      <c r="C302" s="6">
        <v>27</v>
      </c>
      <c r="D302" s="7">
        <v>22.446999999999999</v>
      </c>
      <c r="E302" s="7">
        <v>0</v>
      </c>
      <c r="F302" s="7">
        <v>22.446999999999999</v>
      </c>
      <c r="G302" s="17">
        <f t="shared" si="91"/>
        <v>1939420.7999999998</v>
      </c>
      <c r="H302" s="26">
        <f t="shared" si="89"/>
        <v>1.9394207999999997</v>
      </c>
      <c r="I302" s="23">
        <v>17693.205882352901</v>
      </c>
      <c r="J302" s="51">
        <f t="shared" si="92"/>
        <v>1.7693205882352899E-2</v>
      </c>
      <c r="K302" s="23">
        <v>7887.0441176470604</v>
      </c>
      <c r="L302" s="23">
        <f t="shared" si="93"/>
        <v>7.8870441176470598E-3</v>
      </c>
      <c r="M302" s="23">
        <f t="shared" si="94"/>
        <v>2.5580249999999957E-2</v>
      </c>
      <c r="N302" s="23">
        <v>9.84604235294117E-2</v>
      </c>
      <c r="O302" s="7">
        <f t="shared" si="95"/>
        <v>1.815380126470588</v>
      </c>
    </row>
    <row r="303" spans="1:15" x14ac:dyDescent="0.7">
      <c r="A303" s="6"/>
      <c r="B303" s="6"/>
      <c r="C303" s="3">
        <v>28</v>
      </c>
      <c r="D303" s="7">
        <v>20.282000000000004</v>
      </c>
      <c r="E303" s="7">
        <v>0</v>
      </c>
      <c r="F303" s="7">
        <v>20.282000000000004</v>
      </c>
      <c r="G303" s="17">
        <f t="shared" si="91"/>
        <v>1752364.8000000003</v>
      </c>
      <c r="H303" s="26">
        <f t="shared" si="89"/>
        <v>1.7523648000000003</v>
      </c>
      <c r="I303" s="23">
        <v>17680.017647058801</v>
      </c>
      <c r="J303" s="51">
        <f t="shared" si="92"/>
        <v>1.7680017647058802E-2</v>
      </c>
      <c r="K303" s="23">
        <v>8152.3573529411797</v>
      </c>
      <c r="L303" s="23">
        <f t="shared" si="93"/>
        <v>8.1523573529411805E-3</v>
      </c>
      <c r="M303" s="23">
        <f t="shared" si="94"/>
        <v>2.5832374999999984E-2</v>
      </c>
      <c r="N303" s="23">
        <v>0.100074070588235</v>
      </c>
      <c r="O303" s="7">
        <f t="shared" si="95"/>
        <v>1.6264583544117652</v>
      </c>
    </row>
    <row r="304" spans="1:15" x14ac:dyDescent="0.7">
      <c r="A304" s="6"/>
      <c r="B304" s="6"/>
      <c r="C304" s="6">
        <v>29</v>
      </c>
      <c r="D304" s="7">
        <v>18.209</v>
      </c>
      <c r="E304" s="7">
        <v>3.5</v>
      </c>
      <c r="F304" s="7">
        <v>18.209</v>
      </c>
      <c r="G304" s="17">
        <f t="shared" si="91"/>
        <v>1573257.5999999999</v>
      </c>
      <c r="H304" s="26">
        <f t="shared" si="89"/>
        <v>1.5732575999999998</v>
      </c>
      <c r="I304" s="23">
        <v>17666.829411764698</v>
      </c>
      <c r="J304" s="51">
        <f t="shared" si="92"/>
        <v>1.7666829411764697E-2</v>
      </c>
      <c r="K304" s="23">
        <v>8417.6705882352999</v>
      </c>
      <c r="L304" s="23">
        <f t="shared" si="93"/>
        <v>8.4176705882352994E-3</v>
      </c>
      <c r="M304" s="23">
        <f t="shared" si="94"/>
        <v>2.6084499999999997E-2</v>
      </c>
      <c r="N304" s="23">
        <v>0.101687717647059</v>
      </c>
      <c r="O304" s="7">
        <f t="shared" si="95"/>
        <v>1.4454853823529408</v>
      </c>
    </row>
    <row r="305" spans="1:15" x14ac:dyDescent="0.7">
      <c r="A305" s="13"/>
      <c r="B305" s="13"/>
      <c r="C305" s="13">
        <v>30</v>
      </c>
      <c r="D305" s="7">
        <v>17.303999999999998</v>
      </c>
      <c r="E305" s="14">
        <v>27.3</v>
      </c>
      <c r="F305" s="7">
        <v>17.303999999999998</v>
      </c>
      <c r="G305" s="17">
        <f t="shared" si="91"/>
        <v>1495065.5999999999</v>
      </c>
      <c r="H305" s="26">
        <f t="shared" si="89"/>
        <v>1.4950655999999998</v>
      </c>
      <c r="I305" s="23">
        <v>17653.641176470599</v>
      </c>
      <c r="J305" s="51">
        <f t="shared" si="92"/>
        <v>1.76536411764706E-2</v>
      </c>
      <c r="K305" s="23">
        <v>8682.9838235294192</v>
      </c>
      <c r="L305" s="23">
        <f t="shared" si="93"/>
        <v>8.68298382352942E-3</v>
      </c>
      <c r="M305" s="23">
        <f t="shared" si="94"/>
        <v>2.633662500000002E-2</v>
      </c>
      <c r="N305" s="23">
        <v>0.103301364705882</v>
      </c>
      <c r="O305" s="7">
        <f t="shared" si="95"/>
        <v>1.3654276102941176</v>
      </c>
    </row>
    <row r="306" spans="1:15" s="15" customFormat="1" ht="25.2" thickBot="1" x14ac:dyDescent="0.75">
      <c r="A306" s="9"/>
      <c r="B306" s="9" t="s">
        <v>24</v>
      </c>
      <c r="C306" s="9">
        <v>31</v>
      </c>
      <c r="D306" s="10">
        <v>20.648</v>
      </c>
      <c r="E306" s="10">
        <v>0</v>
      </c>
      <c r="F306" s="10">
        <v>20.648</v>
      </c>
      <c r="G306" s="58">
        <f t="shared" si="91"/>
        <v>1783987.2</v>
      </c>
      <c r="H306" s="59">
        <f t="shared" si="89"/>
        <v>1.7839871999999999</v>
      </c>
      <c r="I306" s="27">
        <v>17640.4529411765</v>
      </c>
      <c r="J306" s="52">
        <f t="shared" si="92"/>
        <v>1.7640452941176499E-2</v>
      </c>
      <c r="K306" s="27">
        <v>8948.2970588235294</v>
      </c>
      <c r="L306" s="27">
        <f t="shared" si="93"/>
        <v>8.9482970588235285E-3</v>
      </c>
      <c r="M306" s="27">
        <f t="shared" si="94"/>
        <v>2.6588750000000029E-2</v>
      </c>
      <c r="N306" s="27">
        <v>0.104915011764706</v>
      </c>
      <c r="O306" s="10">
        <f t="shared" si="95"/>
        <v>1.652483438235294</v>
      </c>
    </row>
    <row r="307" spans="1:15" s="49" customFormat="1" x14ac:dyDescent="0.7">
      <c r="A307" s="47"/>
      <c r="B307" s="47" t="s">
        <v>25</v>
      </c>
      <c r="C307" s="47">
        <v>1</v>
      </c>
      <c r="D307" s="48">
        <v>19.425999999999998</v>
      </c>
      <c r="E307" s="48">
        <v>15.7</v>
      </c>
      <c r="F307" s="48">
        <v>19.425999999999998</v>
      </c>
      <c r="G307" s="17">
        <f t="shared" si="91"/>
        <v>1678406.4</v>
      </c>
      <c r="H307" s="26">
        <f t="shared" si="89"/>
        <v>1.6784063999999999</v>
      </c>
      <c r="I307" s="26">
        <v>17627.264705882299</v>
      </c>
      <c r="J307" s="54">
        <f t="shared" si="92"/>
        <v>1.7627264705882297E-2</v>
      </c>
      <c r="K307" s="26">
        <v>9213.6102941176505</v>
      </c>
      <c r="L307" s="26">
        <f t="shared" si="93"/>
        <v>9.2136102941176509E-3</v>
      </c>
      <c r="M307" s="26">
        <f t="shared" si="94"/>
        <v>2.6840874999999948E-2</v>
      </c>
      <c r="N307" s="26">
        <v>0.10652865882352899</v>
      </c>
      <c r="O307" s="4">
        <f t="shared" si="95"/>
        <v>1.5450368661764708</v>
      </c>
    </row>
    <row r="308" spans="1:15" x14ac:dyDescent="0.7">
      <c r="A308" s="6"/>
      <c r="B308" s="6"/>
      <c r="C308" s="6">
        <v>2</v>
      </c>
      <c r="D308" s="7">
        <v>35.655000000000001</v>
      </c>
      <c r="E308" s="7">
        <v>0</v>
      </c>
      <c r="F308" s="7">
        <v>35.655000000000001</v>
      </c>
      <c r="G308" s="17">
        <f t="shared" si="91"/>
        <v>3080592</v>
      </c>
      <c r="H308" s="26">
        <f t="shared" si="89"/>
        <v>3.0805920000000002</v>
      </c>
      <c r="I308" s="23">
        <v>17614.076470588199</v>
      </c>
      <c r="J308" s="51">
        <f t="shared" si="92"/>
        <v>1.76140764705882E-2</v>
      </c>
      <c r="K308" s="23">
        <v>9478.9235294117698</v>
      </c>
      <c r="L308" s="23">
        <f t="shared" si="93"/>
        <v>9.4789235294117698E-3</v>
      </c>
      <c r="M308" s="23">
        <f t="shared" si="94"/>
        <v>2.7092999999999971E-2</v>
      </c>
      <c r="N308" s="23">
        <v>0.108142305882353</v>
      </c>
      <c r="O308" s="7">
        <f t="shared" si="95"/>
        <v>2.9453566941176472</v>
      </c>
    </row>
    <row r="309" spans="1:15" x14ac:dyDescent="0.7">
      <c r="A309" s="6"/>
      <c r="B309" s="6"/>
      <c r="C309" s="6">
        <v>3</v>
      </c>
      <c r="D309" s="7">
        <v>28.93</v>
      </c>
      <c r="E309" s="7">
        <v>0</v>
      </c>
      <c r="F309" s="7">
        <v>28.93</v>
      </c>
      <c r="G309" s="17">
        <f t="shared" si="91"/>
        <v>2499552</v>
      </c>
      <c r="H309" s="26">
        <f t="shared" si="89"/>
        <v>2.499552</v>
      </c>
      <c r="I309" s="23">
        <v>17600.8882352941</v>
      </c>
      <c r="J309" s="51">
        <f t="shared" si="92"/>
        <v>1.7600888235294099E-2</v>
      </c>
      <c r="K309" s="23">
        <v>9744.2367647058909</v>
      </c>
      <c r="L309" s="23">
        <f t="shared" si="93"/>
        <v>9.7442367647058905E-3</v>
      </c>
      <c r="M309" s="23">
        <f t="shared" si="94"/>
        <v>2.7345124999999991E-2</v>
      </c>
      <c r="N309" s="23">
        <v>0.109755952941176</v>
      </c>
      <c r="O309" s="7">
        <f t="shared" si="95"/>
        <v>2.3624509220588239</v>
      </c>
    </row>
    <row r="310" spans="1:15" x14ac:dyDescent="0.7">
      <c r="A310" s="6"/>
      <c r="B310" s="6"/>
      <c r="C310" s="3">
        <v>4</v>
      </c>
      <c r="D310" s="7">
        <v>28.93</v>
      </c>
      <c r="E310" s="7">
        <v>0</v>
      </c>
      <c r="F310" s="7">
        <v>28.93</v>
      </c>
      <c r="G310" s="17">
        <f t="shared" si="91"/>
        <v>2499552</v>
      </c>
      <c r="H310" s="26">
        <f t="shared" si="89"/>
        <v>2.499552</v>
      </c>
      <c r="I310" s="23">
        <v>17587.7</v>
      </c>
      <c r="J310" s="51">
        <f t="shared" si="92"/>
        <v>1.7587700000000001E-2</v>
      </c>
      <c r="K310" s="23">
        <v>10009.549999999999</v>
      </c>
      <c r="L310" s="23">
        <f t="shared" si="93"/>
        <v>1.0009549999999999E-2</v>
      </c>
      <c r="M310" s="23">
        <f t="shared" si="94"/>
        <v>2.759725E-2</v>
      </c>
      <c r="N310" s="23">
        <v>0.1113696</v>
      </c>
      <c r="O310" s="7">
        <f t="shared" si="95"/>
        <v>2.3605851499999999</v>
      </c>
    </row>
    <row r="311" spans="1:15" x14ac:dyDescent="0.7">
      <c r="A311" s="6"/>
      <c r="B311" s="6"/>
      <c r="C311" s="6">
        <v>5</v>
      </c>
      <c r="D311" s="7">
        <v>25.210999999999999</v>
      </c>
      <c r="E311" s="7">
        <v>0</v>
      </c>
      <c r="F311" s="7">
        <v>25.210999999999999</v>
      </c>
      <c r="G311" s="17">
        <f t="shared" si="91"/>
        <v>2178230.4</v>
      </c>
      <c r="H311" s="26">
        <f t="shared" si="89"/>
        <v>2.1782303999999999</v>
      </c>
      <c r="I311" s="23">
        <v>17574.511764705901</v>
      </c>
      <c r="J311" s="51">
        <f t="shared" si="92"/>
        <v>1.75745117647059E-2</v>
      </c>
      <c r="K311" s="23">
        <v>10274.8632352941</v>
      </c>
      <c r="L311" s="23">
        <f t="shared" si="93"/>
        <v>1.0274863235294101E-2</v>
      </c>
      <c r="M311" s="23">
        <f t="shared" si="94"/>
        <v>2.7849375000000003E-2</v>
      </c>
      <c r="N311" s="23">
        <v>0.112983247058824</v>
      </c>
      <c r="O311" s="7">
        <f t="shared" si="95"/>
        <v>2.0373977779411758</v>
      </c>
    </row>
    <row r="312" spans="1:15" x14ac:dyDescent="0.7">
      <c r="A312" s="6"/>
      <c r="B312" s="6"/>
      <c r="C312" s="6">
        <v>6</v>
      </c>
      <c r="D312" s="7">
        <v>20.538</v>
      </c>
      <c r="E312" s="7">
        <v>0</v>
      </c>
      <c r="F312" s="7">
        <v>20.538</v>
      </c>
      <c r="G312" s="17">
        <f t="shared" si="91"/>
        <v>1774483.2</v>
      </c>
      <c r="H312" s="26">
        <f t="shared" si="89"/>
        <v>1.7744831999999999</v>
      </c>
      <c r="I312" s="23">
        <v>17561.323529411799</v>
      </c>
      <c r="J312" s="51">
        <f t="shared" si="92"/>
        <v>1.7561323529411799E-2</v>
      </c>
      <c r="K312" s="23">
        <v>10540.1764705882</v>
      </c>
      <c r="L312" s="23">
        <f t="shared" si="93"/>
        <v>1.05401764705882E-2</v>
      </c>
      <c r="M312" s="23">
        <f t="shared" si="94"/>
        <v>2.8101500000000001E-2</v>
      </c>
      <c r="N312" s="23">
        <v>0.11459689411764699</v>
      </c>
      <c r="O312" s="7">
        <f t="shared" si="95"/>
        <v>1.631784805882353</v>
      </c>
    </row>
    <row r="313" spans="1:15" x14ac:dyDescent="0.7">
      <c r="A313" s="6"/>
      <c r="B313" s="6"/>
      <c r="C313" s="3">
        <v>7</v>
      </c>
      <c r="D313" s="7">
        <v>19.422999999999998</v>
      </c>
      <c r="E313" s="7">
        <v>0</v>
      </c>
      <c r="F313" s="7">
        <v>19.422999999999998</v>
      </c>
      <c r="G313" s="17">
        <f t="shared" si="91"/>
        <v>1678147.2</v>
      </c>
      <c r="H313" s="26">
        <f t="shared" si="89"/>
        <v>1.6781472</v>
      </c>
      <c r="I313" s="23">
        <v>15329</v>
      </c>
      <c r="J313" s="51">
        <f t="shared" ref="J313:J323" si="96">I313/1000000</f>
        <v>1.5329000000000001E-2</v>
      </c>
      <c r="K313" s="23">
        <v>2587</v>
      </c>
      <c r="L313" s="23">
        <f t="shared" ref="L313:L323" si="97">K313/1000000</f>
        <v>2.5869999999999999E-3</v>
      </c>
      <c r="M313" s="23">
        <f t="shared" ref="M313:M323" si="98">J313+L313</f>
        <v>1.7916000000000001E-2</v>
      </c>
      <c r="N313" s="23">
        <v>2.0736000000000001E-2</v>
      </c>
      <c r="O313" s="4">
        <f t="shared" ref="O313:O323" si="99">H313-M313-N313</f>
        <v>1.6394951999999998</v>
      </c>
    </row>
    <row r="314" spans="1:15" x14ac:dyDescent="0.7">
      <c r="A314" s="6"/>
      <c r="B314" s="6"/>
      <c r="C314" s="6">
        <v>8</v>
      </c>
      <c r="D314" s="7">
        <v>16.233000000000001</v>
      </c>
      <c r="E314" s="7">
        <v>0</v>
      </c>
      <c r="F314" s="7">
        <v>16.233000000000001</v>
      </c>
      <c r="G314" s="17">
        <f t="shared" si="91"/>
        <v>1402531.2</v>
      </c>
      <c r="H314" s="26">
        <f t="shared" si="89"/>
        <v>1.4025311999999999</v>
      </c>
      <c r="I314" s="23">
        <v>14219</v>
      </c>
      <c r="J314" s="51">
        <f t="shared" si="96"/>
        <v>1.4219000000000001E-2</v>
      </c>
      <c r="K314" s="23">
        <v>2183</v>
      </c>
      <c r="L314" s="23">
        <f t="shared" si="97"/>
        <v>2.183E-3</v>
      </c>
      <c r="M314" s="23">
        <f t="shared" si="98"/>
        <v>1.6402E-2</v>
      </c>
      <c r="N314" s="23">
        <v>2.0736000000000001E-2</v>
      </c>
      <c r="O314" s="4">
        <f t="shared" si="99"/>
        <v>1.3653931999999998</v>
      </c>
    </row>
    <row r="315" spans="1:15" x14ac:dyDescent="0.7">
      <c r="A315" s="6"/>
      <c r="B315" s="6"/>
      <c r="C315" s="6">
        <v>9</v>
      </c>
      <c r="D315" s="7">
        <v>13.601000000000001</v>
      </c>
      <c r="E315" s="7">
        <v>0</v>
      </c>
      <c r="F315" s="7">
        <v>13.601000000000001</v>
      </c>
      <c r="G315" s="17">
        <f t="shared" si="91"/>
        <v>1175126.4000000001</v>
      </c>
      <c r="H315" s="26">
        <f t="shared" si="89"/>
        <v>1.1751264000000001</v>
      </c>
      <c r="I315" s="23">
        <v>18458</v>
      </c>
      <c r="J315" s="51">
        <f t="shared" si="96"/>
        <v>1.8457999999999999E-2</v>
      </c>
      <c r="K315" s="23">
        <v>2149</v>
      </c>
      <c r="L315" s="23">
        <f t="shared" si="97"/>
        <v>2.1489999999999999E-3</v>
      </c>
      <c r="M315" s="23">
        <f t="shared" si="98"/>
        <v>2.0607E-2</v>
      </c>
      <c r="N315" s="23">
        <v>2.0736000000000001E-2</v>
      </c>
      <c r="O315" s="4">
        <f t="shared" si="99"/>
        <v>1.1337834</v>
      </c>
    </row>
    <row r="316" spans="1:15" x14ac:dyDescent="0.7">
      <c r="A316" s="6"/>
      <c r="B316" s="6"/>
      <c r="C316" s="3">
        <v>10</v>
      </c>
      <c r="D316" s="7">
        <v>16.059000000000001</v>
      </c>
      <c r="E316" s="7">
        <v>0</v>
      </c>
      <c r="F316" s="7">
        <v>16.059000000000001</v>
      </c>
      <c r="G316" s="17">
        <f t="shared" si="91"/>
        <v>1387497.6</v>
      </c>
      <c r="H316" s="26">
        <f t="shared" si="89"/>
        <v>1.3874976000000001</v>
      </c>
      <c r="I316" s="23">
        <v>14796</v>
      </c>
      <c r="J316" s="51">
        <f t="shared" si="96"/>
        <v>1.4796E-2</v>
      </c>
      <c r="K316" s="23">
        <v>2356</v>
      </c>
      <c r="L316" s="23">
        <f t="shared" si="97"/>
        <v>2.356E-3</v>
      </c>
      <c r="M316" s="23">
        <f t="shared" si="98"/>
        <v>1.7152000000000001E-2</v>
      </c>
      <c r="N316" s="23">
        <v>2.0736000000000001E-2</v>
      </c>
      <c r="O316" s="4">
        <f t="shared" si="99"/>
        <v>1.3496096</v>
      </c>
    </row>
    <row r="317" spans="1:15" x14ac:dyDescent="0.7">
      <c r="A317" s="6"/>
      <c r="B317" s="6"/>
      <c r="C317" s="6">
        <v>11</v>
      </c>
      <c r="D317" s="7">
        <v>15.058</v>
      </c>
      <c r="E317" s="7">
        <v>0</v>
      </c>
      <c r="F317" s="7">
        <v>15.058</v>
      </c>
      <c r="G317" s="17">
        <f t="shared" si="91"/>
        <v>1301011.2</v>
      </c>
      <c r="H317" s="26">
        <f t="shared" si="89"/>
        <v>1.3010112</v>
      </c>
      <c r="I317" s="23">
        <v>17672</v>
      </c>
      <c r="J317" s="51">
        <f t="shared" si="96"/>
        <v>1.7672E-2</v>
      </c>
      <c r="K317" s="23">
        <v>5544</v>
      </c>
      <c r="L317" s="23">
        <f t="shared" si="97"/>
        <v>5.5440000000000003E-3</v>
      </c>
      <c r="M317" s="23">
        <f t="shared" si="98"/>
        <v>2.3216000000000001E-2</v>
      </c>
      <c r="N317" s="23">
        <v>2.0736000000000001E-2</v>
      </c>
      <c r="O317" s="4">
        <f t="shared" si="99"/>
        <v>1.2570592</v>
      </c>
    </row>
    <row r="318" spans="1:15" x14ac:dyDescent="0.7">
      <c r="A318" s="6"/>
      <c r="B318" s="6"/>
      <c r="C318" s="6">
        <v>12</v>
      </c>
      <c r="D318" s="7">
        <v>14.082000000000001</v>
      </c>
      <c r="E318" s="7">
        <v>0</v>
      </c>
      <c r="F318" s="7">
        <v>14.082000000000001</v>
      </c>
      <c r="G318" s="17">
        <f t="shared" si="91"/>
        <v>1216684.8</v>
      </c>
      <c r="H318" s="26">
        <f t="shared" si="89"/>
        <v>1.2166848000000001</v>
      </c>
      <c r="I318" s="23">
        <v>14670</v>
      </c>
      <c r="J318" s="51">
        <f t="shared" si="96"/>
        <v>1.4670000000000001E-2</v>
      </c>
      <c r="K318" s="23">
        <v>5841</v>
      </c>
      <c r="L318" s="23">
        <f t="shared" si="97"/>
        <v>5.8409999999999998E-3</v>
      </c>
      <c r="M318" s="23">
        <f t="shared" si="98"/>
        <v>2.0511000000000001E-2</v>
      </c>
      <c r="N318" s="23">
        <v>2.0736000000000001E-2</v>
      </c>
      <c r="O318" s="4">
        <f t="shared" si="99"/>
        <v>1.1754378000000001</v>
      </c>
    </row>
    <row r="319" spans="1:15" x14ac:dyDescent="0.7">
      <c r="A319" s="6"/>
      <c r="B319" s="6"/>
      <c r="C319" s="3">
        <v>13</v>
      </c>
      <c r="D319" s="7">
        <v>19.209999999999997</v>
      </c>
      <c r="E319" s="7">
        <v>0</v>
      </c>
      <c r="F319" s="7">
        <v>19.209999999999997</v>
      </c>
      <c r="G319" s="17">
        <f t="shared" si="91"/>
        <v>1659743.9999999998</v>
      </c>
      <c r="H319" s="26">
        <f t="shared" si="89"/>
        <v>1.6597439999999997</v>
      </c>
      <c r="I319" s="23">
        <v>14756</v>
      </c>
      <c r="J319" s="51">
        <f t="shared" si="96"/>
        <v>1.4756E-2</v>
      </c>
      <c r="K319" s="23">
        <v>2644</v>
      </c>
      <c r="L319" s="23">
        <f t="shared" si="97"/>
        <v>2.6440000000000001E-3</v>
      </c>
      <c r="M319" s="23">
        <f t="shared" si="98"/>
        <v>1.7399999999999999E-2</v>
      </c>
      <c r="N319" s="23">
        <v>2.0736000000000001E-2</v>
      </c>
      <c r="O319" s="4">
        <f t="shared" si="99"/>
        <v>1.6216079999999995</v>
      </c>
    </row>
    <row r="320" spans="1:15" x14ac:dyDescent="0.7">
      <c r="A320" s="6"/>
      <c r="B320" s="6"/>
      <c r="C320" s="6">
        <v>14</v>
      </c>
      <c r="D320" s="7">
        <v>16.067</v>
      </c>
      <c r="E320" s="7">
        <v>0</v>
      </c>
      <c r="F320" s="7">
        <v>16.067</v>
      </c>
      <c r="G320" s="17">
        <f t="shared" si="91"/>
        <v>1388188.8</v>
      </c>
      <c r="H320" s="26">
        <f t="shared" si="89"/>
        <v>1.3881888</v>
      </c>
      <c r="I320" s="23">
        <v>15055</v>
      </c>
      <c r="J320" s="51">
        <f t="shared" si="96"/>
        <v>1.5055000000000001E-2</v>
      </c>
      <c r="K320" s="23">
        <v>0</v>
      </c>
      <c r="L320" s="23">
        <f t="shared" si="97"/>
        <v>0</v>
      </c>
      <c r="M320" s="23">
        <f t="shared" si="98"/>
        <v>1.5055000000000001E-2</v>
      </c>
      <c r="N320" s="23">
        <v>2.0736000000000001E-2</v>
      </c>
      <c r="O320" s="4">
        <f t="shared" si="99"/>
        <v>1.3523977999999999</v>
      </c>
    </row>
    <row r="321" spans="1:15" x14ac:dyDescent="0.7">
      <c r="A321" s="6"/>
      <c r="B321" s="6"/>
      <c r="C321" s="6">
        <v>15</v>
      </c>
      <c r="D321" s="7">
        <v>16.067999999999998</v>
      </c>
      <c r="E321" s="7">
        <v>0</v>
      </c>
      <c r="F321" s="7">
        <v>16.067999999999998</v>
      </c>
      <c r="G321" s="17">
        <f t="shared" si="91"/>
        <v>1388275.1999999997</v>
      </c>
      <c r="H321" s="26">
        <f t="shared" si="89"/>
        <v>1.3882751999999998</v>
      </c>
      <c r="I321" s="24">
        <v>13698</v>
      </c>
      <c r="J321" s="51">
        <f t="shared" si="96"/>
        <v>1.3698E-2</v>
      </c>
      <c r="K321" s="23">
        <v>9123</v>
      </c>
      <c r="L321" s="23">
        <f t="shared" si="97"/>
        <v>9.1229999999999992E-3</v>
      </c>
      <c r="M321" s="23">
        <f t="shared" si="98"/>
        <v>2.2821000000000001E-2</v>
      </c>
      <c r="N321" s="23">
        <v>1.1318399999999999E-2</v>
      </c>
      <c r="O321" s="4">
        <f t="shared" si="99"/>
        <v>1.3541357999999999</v>
      </c>
    </row>
    <row r="322" spans="1:15" x14ac:dyDescent="0.7">
      <c r="A322" s="6"/>
      <c r="B322" s="6"/>
      <c r="C322" s="3">
        <v>16</v>
      </c>
      <c r="D322" s="7">
        <v>15.068</v>
      </c>
      <c r="E322" s="7">
        <v>0</v>
      </c>
      <c r="F322" s="7">
        <v>15.068</v>
      </c>
      <c r="G322" s="17">
        <f t="shared" si="91"/>
        <v>1301875.2</v>
      </c>
      <c r="H322" s="26">
        <f t="shared" si="89"/>
        <v>1.3018752</v>
      </c>
      <c r="I322" s="23">
        <v>14186</v>
      </c>
      <c r="J322" s="51">
        <f t="shared" si="96"/>
        <v>1.4186000000000001E-2</v>
      </c>
      <c r="K322" s="23">
        <v>6892</v>
      </c>
      <c r="L322" s="23">
        <f t="shared" si="97"/>
        <v>6.8919999999999997E-3</v>
      </c>
      <c r="M322" s="23">
        <f t="shared" si="98"/>
        <v>2.1078E-2</v>
      </c>
      <c r="N322" s="23">
        <v>1.1318399999999999E-2</v>
      </c>
      <c r="O322" s="4">
        <f t="shared" si="99"/>
        <v>1.2694788000000001</v>
      </c>
    </row>
    <row r="323" spans="1:15" x14ac:dyDescent="0.7">
      <c r="A323" s="6"/>
      <c r="B323" s="6"/>
      <c r="C323" s="6">
        <v>17</v>
      </c>
      <c r="D323" s="7">
        <v>13.462</v>
      </c>
      <c r="E323" s="7">
        <v>0</v>
      </c>
      <c r="F323" s="7">
        <v>13.462</v>
      </c>
      <c r="G323" s="17">
        <f t="shared" si="91"/>
        <v>1163116.8</v>
      </c>
      <c r="H323" s="26">
        <f t="shared" ref="H323:H336" si="100">G323/1000000</f>
        <v>1.1631168000000001</v>
      </c>
      <c r="I323" s="24">
        <v>14674</v>
      </c>
      <c r="J323" s="51">
        <f t="shared" si="96"/>
        <v>1.4674E-2</v>
      </c>
      <c r="K323" s="23">
        <v>4661</v>
      </c>
      <c r="L323" s="23">
        <f t="shared" si="97"/>
        <v>4.6610000000000002E-3</v>
      </c>
      <c r="M323" s="23">
        <f t="shared" si="98"/>
        <v>1.9334999999999998E-2</v>
      </c>
      <c r="N323" s="23">
        <v>1.1318399999999999E-2</v>
      </c>
      <c r="O323" s="4">
        <f t="shared" si="99"/>
        <v>1.1324634</v>
      </c>
    </row>
    <row r="324" spans="1:15" x14ac:dyDescent="0.7">
      <c r="A324" s="6"/>
      <c r="B324" s="6"/>
      <c r="C324" s="6">
        <v>18</v>
      </c>
      <c r="D324" s="7">
        <v>13.384</v>
      </c>
      <c r="E324" s="7">
        <v>0</v>
      </c>
      <c r="F324" s="7">
        <v>13.384</v>
      </c>
      <c r="G324" s="17">
        <f t="shared" ref="G324:G367" si="101">F324*86400</f>
        <v>1156377.6000000001</v>
      </c>
      <c r="H324" s="26">
        <f t="shared" si="100"/>
        <v>1.1563776000000001</v>
      </c>
      <c r="I324" s="23">
        <v>15162</v>
      </c>
      <c r="J324" s="51">
        <f t="shared" ref="J324:J336" si="102">I324/1000000</f>
        <v>1.5162E-2</v>
      </c>
      <c r="K324" s="23">
        <v>2430</v>
      </c>
      <c r="L324" s="23">
        <f t="shared" ref="L324:L336" si="103">K324/1000000</f>
        <v>2.4299999999999999E-3</v>
      </c>
      <c r="M324" s="23">
        <f t="shared" ref="M324:M336" si="104">J324+L324</f>
        <v>1.7592E-2</v>
      </c>
      <c r="N324" s="23">
        <v>1.1318400000000001E-2</v>
      </c>
      <c r="O324" s="4">
        <f t="shared" ref="O324:O336" si="105">H324-M324-N324</f>
        <v>1.1274672000000001</v>
      </c>
    </row>
    <row r="325" spans="1:15" x14ac:dyDescent="0.7">
      <c r="A325" s="6"/>
      <c r="B325" s="6"/>
      <c r="C325" s="3">
        <v>19</v>
      </c>
      <c r="D325" s="7">
        <v>12.484999999999999</v>
      </c>
      <c r="E325" s="7">
        <v>0</v>
      </c>
      <c r="F325" s="7">
        <v>12.484999999999999</v>
      </c>
      <c r="G325" s="17">
        <f t="shared" si="101"/>
        <v>1078704</v>
      </c>
      <c r="H325" s="26">
        <f t="shared" si="100"/>
        <v>1.0787040000000001</v>
      </c>
      <c r="I325" s="24">
        <v>15650</v>
      </c>
      <c r="J325" s="51">
        <f t="shared" si="102"/>
        <v>1.5650000000000001E-2</v>
      </c>
      <c r="K325" s="23">
        <v>199</v>
      </c>
      <c r="L325" s="23">
        <f t="shared" si="103"/>
        <v>1.9900000000000001E-4</v>
      </c>
      <c r="M325" s="23">
        <f t="shared" si="104"/>
        <v>1.5849000000000002E-2</v>
      </c>
      <c r="N325" s="23">
        <v>1.1318400000000001E-2</v>
      </c>
      <c r="O325" s="4">
        <f t="shared" si="105"/>
        <v>1.0515366000000002</v>
      </c>
    </row>
    <row r="326" spans="1:15" x14ac:dyDescent="0.7">
      <c r="A326" s="6"/>
      <c r="B326" s="6"/>
      <c r="C326" s="6">
        <v>20</v>
      </c>
      <c r="D326" s="7">
        <v>12.484999999999999</v>
      </c>
      <c r="E326" s="7">
        <v>0</v>
      </c>
      <c r="F326" s="7">
        <v>12.484999999999999</v>
      </c>
      <c r="G326" s="17">
        <f t="shared" si="101"/>
        <v>1078704</v>
      </c>
      <c r="H326" s="26">
        <f t="shared" si="100"/>
        <v>1.0787040000000001</v>
      </c>
      <c r="I326" s="23">
        <v>66057.857142857101</v>
      </c>
      <c r="J326" s="51">
        <f t="shared" si="102"/>
        <v>6.6057857142857099E-2</v>
      </c>
      <c r="K326" s="23">
        <v>-12204.9285714286</v>
      </c>
      <c r="L326" s="23">
        <f t="shared" si="103"/>
        <v>-1.2204928571428599E-2</v>
      </c>
      <c r="M326" s="23">
        <f t="shared" si="104"/>
        <v>5.3852928571428496E-2</v>
      </c>
      <c r="N326" s="23">
        <v>-1.1775085714285699E-2</v>
      </c>
      <c r="O326" s="4">
        <f t="shared" si="105"/>
        <v>1.0366261571428574</v>
      </c>
    </row>
    <row r="327" spans="1:15" x14ac:dyDescent="0.7">
      <c r="A327" s="6"/>
      <c r="B327" s="6"/>
      <c r="C327" s="6">
        <v>21</v>
      </c>
      <c r="D327" s="7">
        <v>11.614000000000001</v>
      </c>
      <c r="E327" s="7">
        <v>0</v>
      </c>
      <c r="F327" s="7">
        <v>11.614000000000001</v>
      </c>
      <c r="G327" s="17">
        <f t="shared" si="101"/>
        <v>1003449.6000000001</v>
      </c>
      <c r="H327" s="26">
        <f t="shared" si="100"/>
        <v>1.0034496000000002</v>
      </c>
      <c r="I327" s="23">
        <v>64057.785714285703</v>
      </c>
      <c r="J327" s="51">
        <f t="shared" si="102"/>
        <v>6.4057785714285706E-2</v>
      </c>
      <c r="K327" s="23">
        <v>-11204.8214285714</v>
      </c>
      <c r="L327" s="23">
        <f t="shared" si="103"/>
        <v>-1.1204821428571401E-2</v>
      </c>
      <c r="M327" s="23">
        <f t="shared" si="104"/>
        <v>5.2852964285714302E-2</v>
      </c>
      <c r="N327" s="23">
        <v>-4.49897142857147E-3</v>
      </c>
      <c r="O327" s="4">
        <f t="shared" si="105"/>
        <v>0.95509560714285735</v>
      </c>
    </row>
    <row r="328" spans="1:15" x14ac:dyDescent="0.7">
      <c r="A328" s="6"/>
      <c r="B328" s="6"/>
      <c r="C328" s="3">
        <v>22</v>
      </c>
      <c r="D328" s="7">
        <v>10.772</v>
      </c>
      <c r="E328" s="7">
        <v>0</v>
      </c>
      <c r="F328" s="7">
        <v>10.772</v>
      </c>
      <c r="G328" s="17">
        <f t="shared" si="101"/>
        <v>930700.80000000005</v>
      </c>
      <c r="H328" s="26">
        <f t="shared" si="100"/>
        <v>0.93070079999999999</v>
      </c>
      <c r="I328" s="23">
        <v>62057.714285714297</v>
      </c>
      <c r="J328" s="51">
        <f t="shared" si="102"/>
        <v>6.2057714285714299E-2</v>
      </c>
      <c r="K328" s="23">
        <v>-10204.714285714301</v>
      </c>
      <c r="L328" s="23">
        <f t="shared" si="103"/>
        <v>-1.0204714285714301E-2</v>
      </c>
      <c r="M328" s="23">
        <f t="shared" si="104"/>
        <v>5.1852999999999996E-2</v>
      </c>
      <c r="N328" s="23">
        <v>2.77714285714283E-3</v>
      </c>
      <c r="O328" s="4">
        <f t="shared" si="105"/>
        <v>0.87607065714285715</v>
      </c>
    </row>
    <row r="329" spans="1:15" x14ac:dyDescent="0.7">
      <c r="A329" s="6"/>
      <c r="B329" s="6"/>
      <c r="C329" s="6">
        <v>23</v>
      </c>
      <c r="D329" s="7">
        <v>10.772</v>
      </c>
      <c r="E329" s="7">
        <v>5</v>
      </c>
      <c r="F329" s="7">
        <v>10.772</v>
      </c>
      <c r="G329" s="17">
        <f t="shared" si="101"/>
        <v>930700.80000000005</v>
      </c>
      <c r="H329" s="26">
        <f t="shared" si="100"/>
        <v>0.93070079999999999</v>
      </c>
      <c r="I329" s="23">
        <v>60057.642857142797</v>
      </c>
      <c r="J329" s="51">
        <f t="shared" si="102"/>
        <v>6.0057642857142796E-2</v>
      </c>
      <c r="K329" s="23">
        <v>-9204.6071428571395</v>
      </c>
      <c r="L329" s="23">
        <f t="shared" si="103"/>
        <v>-9.2046071428571394E-3</v>
      </c>
      <c r="M329" s="23">
        <f t="shared" si="104"/>
        <v>5.0853035714285656E-2</v>
      </c>
      <c r="N329" s="23">
        <v>1.0053257142857101E-2</v>
      </c>
      <c r="O329" s="4">
        <f t="shared" si="105"/>
        <v>0.86979450714285722</v>
      </c>
    </row>
    <row r="330" spans="1:15" x14ac:dyDescent="0.7">
      <c r="A330" s="6"/>
      <c r="B330" s="6"/>
      <c r="C330" s="6">
        <v>24</v>
      </c>
      <c r="D330" s="7">
        <v>10.772</v>
      </c>
      <c r="E330" s="7">
        <v>0</v>
      </c>
      <c r="F330" s="7">
        <v>10.772</v>
      </c>
      <c r="G330" s="17">
        <f t="shared" si="101"/>
        <v>930700.80000000005</v>
      </c>
      <c r="H330" s="26">
        <f t="shared" si="100"/>
        <v>0.93070079999999999</v>
      </c>
      <c r="I330" s="26">
        <v>58057.571428571398</v>
      </c>
      <c r="J330" s="54">
        <f t="shared" si="102"/>
        <v>5.8057571428571396E-2</v>
      </c>
      <c r="K330" s="26">
        <v>-8204.5</v>
      </c>
      <c r="L330" s="26">
        <f t="shared" si="103"/>
        <v>-8.2045E-3</v>
      </c>
      <c r="M330" s="26">
        <f t="shared" si="104"/>
        <v>4.9853071428571399E-2</v>
      </c>
      <c r="N330" s="26">
        <v>1.73293714285714E-2</v>
      </c>
      <c r="O330" s="4">
        <f t="shared" si="105"/>
        <v>0.86351835714285718</v>
      </c>
    </row>
    <row r="331" spans="1:15" x14ac:dyDescent="0.7">
      <c r="A331" s="6"/>
      <c r="B331" s="6"/>
      <c r="C331" s="3">
        <v>25</v>
      </c>
      <c r="D331" s="7">
        <v>11.618</v>
      </c>
      <c r="E331" s="7">
        <v>0</v>
      </c>
      <c r="F331" s="7">
        <v>11.618</v>
      </c>
      <c r="G331" s="17">
        <f t="shared" si="101"/>
        <v>1003795.2000000001</v>
      </c>
      <c r="H331" s="26">
        <f t="shared" si="100"/>
        <v>1.0037952000000001</v>
      </c>
      <c r="I331" s="23">
        <v>56057.5</v>
      </c>
      <c r="J331" s="51">
        <f t="shared" si="102"/>
        <v>5.6057500000000003E-2</v>
      </c>
      <c r="K331" s="23">
        <v>-7204.3928571428596</v>
      </c>
      <c r="L331" s="23">
        <f t="shared" si="103"/>
        <v>-7.2043928571428597E-3</v>
      </c>
      <c r="M331" s="23">
        <f t="shared" si="104"/>
        <v>4.8853107142857143E-2</v>
      </c>
      <c r="N331" s="23">
        <v>2.46054857142857E-2</v>
      </c>
      <c r="O331" s="4">
        <f t="shared" si="105"/>
        <v>0.93033660714285726</v>
      </c>
    </row>
    <row r="332" spans="1:15" x14ac:dyDescent="0.7">
      <c r="A332" s="6"/>
      <c r="B332" s="6"/>
      <c r="C332" s="6">
        <v>26</v>
      </c>
      <c r="D332" s="7">
        <v>11.618</v>
      </c>
      <c r="E332" s="7">
        <v>35.4</v>
      </c>
      <c r="F332" s="7">
        <v>11.618</v>
      </c>
      <c r="G332" s="17">
        <f t="shared" si="101"/>
        <v>1003795.2000000001</v>
      </c>
      <c r="H332" s="26">
        <f t="shared" si="100"/>
        <v>1.0037952000000001</v>
      </c>
      <c r="I332" s="23">
        <v>54057.4285714285</v>
      </c>
      <c r="J332" s="51">
        <f t="shared" si="102"/>
        <v>5.4057428571428499E-2</v>
      </c>
      <c r="K332" s="23">
        <v>-6204.2857142857201</v>
      </c>
      <c r="L332" s="23">
        <f t="shared" si="103"/>
        <v>-6.2042857142857203E-3</v>
      </c>
      <c r="M332" s="23">
        <f t="shared" si="104"/>
        <v>4.7853142857142782E-2</v>
      </c>
      <c r="N332" s="23">
        <v>3.1881600000000003E-2</v>
      </c>
      <c r="O332" s="4">
        <f t="shared" si="105"/>
        <v>0.92406045714285734</v>
      </c>
    </row>
    <row r="333" spans="1:15" x14ac:dyDescent="0.7">
      <c r="A333" s="6"/>
      <c r="B333" s="6"/>
      <c r="C333" s="6">
        <v>27</v>
      </c>
      <c r="D333" s="7">
        <v>13.385000000000002</v>
      </c>
      <c r="E333" s="7">
        <v>0</v>
      </c>
      <c r="F333" s="7">
        <v>13.385000000000002</v>
      </c>
      <c r="G333" s="17">
        <f t="shared" si="101"/>
        <v>1156464.0000000002</v>
      </c>
      <c r="H333" s="26">
        <f t="shared" si="100"/>
        <v>1.1564640000000002</v>
      </c>
      <c r="I333" s="23">
        <v>52057.357142857101</v>
      </c>
      <c r="J333" s="51">
        <f t="shared" si="102"/>
        <v>5.20573571428571E-2</v>
      </c>
      <c r="K333" s="23">
        <v>-5204.1785714285697</v>
      </c>
      <c r="L333" s="23">
        <f t="shared" si="103"/>
        <v>-5.2041785714285697E-3</v>
      </c>
      <c r="M333" s="23">
        <f t="shared" si="104"/>
        <v>4.6853178571428532E-2</v>
      </c>
      <c r="N333" s="23">
        <v>3.9157714285714303E-2</v>
      </c>
      <c r="O333" s="4">
        <f t="shared" si="105"/>
        <v>1.0704531071428574</v>
      </c>
    </row>
    <row r="334" spans="1:15" x14ac:dyDescent="0.7">
      <c r="A334" s="6"/>
      <c r="B334" s="6"/>
      <c r="C334" s="3">
        <v>28</v>
      </c>
      <c r="D334" s="7">
        <v>11.616</v>
      </c>
      <c r="E334" s="7">
        <v>0</v>
      </c>
      <c r="F334" s="7">
        <v>11.616</v>
      </c>
      <c r="G334" s="17">
        <f t="shared" si="101"/>
        <v>1003622.4</v>
      </c>
      <c r="H334" s="26">
        <f t="shared" si="100"/>
        <v>1.0036224</v>
      </c>
      <c r="I334" s="23">
        <v>50057.285714285703</v>
      </c>
      <c r="J334" s="51">
        <f t="shared" si="102"/>
        <v>5.00572857142857E-2</v>
      </c>
      <c r="K334" s="23">
        <v>-4204.0714285714303</v>
      </c>
      <c r="L334" s="23">
        <f t="shared" si="103"/>
        <v>-4.2040714285714303E-3</v>
      </c>
      <c r="M334" s="23">
        <f t="shared" si="104"/>
        <v>4.5853214285714268E-2</v>
      </c>
      <c r="N334" s="23">
        <v>4.6433828571428498E-2</v>
      </c>
      <c r="O334" s="4">
        <f t="shared" si="105"/>
        <v>0.91133535714285718</v>
      </c>
    </row>
    <row r="335" spans="1:15" x14ac:dyDescent="0.7">
      <c r="A335" s="13"/>
      <c r="B335" s="6"/>
      <c r="C335" s="13">
        <v>29</v>
      </c>
      <c r="D335" s="7">
        <v>10.398</v>
      </c>
      <c r="E335" s="14">
        <v>0</v>
      </c>
      <c r="F335" s="7">
        <v>10.398</v>
      </c>
      <c r="G335" s="17">
        <f t="shared" si="101"/>
        <v>898387.2</v>
      </c>
      <c r="H335" s="26">
        <f t="shared" si="100"/>
        <v>0.89838719999999994</v>
      </c>
      <c r="I335" s="23">
        <v>48057.214285714297</v>
      </c>
      <c r="J335" s="51">
        <f t="shared" si="102"/>
        <v>4.80572142857143E-2</v>
      </c>
      <c r="K335" s="23">
        <v>-3203.9642857142899</v>
      </c>
      <c r="L335" s="23">
        <f t="shared" si="103"/>
        <v>-3.20396428571429E-3</v>
      </c>
      <c r="M335" s="23">
        <f t="shared" si="104"/>
        <v>4.4853250000000011E-2</v>
      </c>
      <c r="N335" s="23">
        <v>5.3709942857142798E-2</v>
      </c>
      <c r="O335" s="4">
        <f t="shared" si="105"/>
        <v>0.79982400714285706</v>
      </c>
    </row>
    <row r="336" spans="1:15" s="15" customFormat="1" ht="25.2" thickBot="1" x14ac:dyDescent="0.75">
      <c r="A336" s="9"/>
      <c r="B336" s="12" t="s">
        <v>25</v>
      </c>
      <c r="C336" s="9">
        <v>30</v>
      </c>
      <c r="D336" s="10">
        <v>10.398</v>
      </c>
      <c r="E336" s="10">
        <v>0</v>
      </c>
      <c r="F336" s="10">
        <v>10.398</v>
      </c>
      <c r="G336" s="58">
        <f t="shared" si="101"/>
        <v>898387.2</v>
      </c>
      <c r="H336" s="59">
        <f t="shared" si="100"/>
        <v>0.89838719999999994</v>
      </c>
      <c r="I336" s="27">
        <v>46057.142857142899</v>
      </c>
      <c r="J336" s="52">
        <f t="shared" si="102"/>
        <v>4.6057142857142901E-2</v>
      </c>
      <c r="K336" s="27">
        <v>-2203.8571428571399</v>
      </c>
      <c r="L336" s="27">
        <f t="shared" si="103"/>
        <v>-2.2038571428571398E-3</v>
      </c>
      <c r="M336" s="27">
        <f t="shared" si="104"/>
        <v>4.3853285714285761E-2</v>
      </c>
      <c r="N336" s="27">
        <v>6.0986057142857097E-2</v>
      </c>
      <c r="O336" s="21">
        <f t="shared" si="105"/>
        <v>0.79354785714285714</v>
      </c>
    </row>
    <row r="337" spans="1:15" x14ac:dyDescent="0.7">
      <c r="A337" s="5"/>
      <c r="B337" s="3" t="s">
        <v>26</v>
      </c>
      <c r="C337" s="3">
        <v>1</v>
      </c>
      <c r="D337" s="4">
        <v>8.44</v>
      </c>
      <c r="E337" s="4">
        <v>0</v>
      </c>
      <c r="F337" s="25">
        <v>8.1379999999999999</v>
      </c>
      <c r="G337" s="17">
        <f t="shared" si="101"/>
        <v>703123.2</v>
      </c>
      <c r="H337" s="26">
        <f t="shared" ref="H337:H361" si="106">G337/1000000</f>
        <v>0.70312319999999995</v>
      </c>
      <c r="I337" s="26">
        <v>40288</v>
      </c>
      <c r="J337" s="54">
        <f t="shared" ref="J337:J361" si="107">I337/1000000</f>
        <v>4.0287999999999997E-2</v>
      </c>
      <c r="K337" s="26">
        <v>0</v>
      </c>
      <c r="L337" s="26">
        <f t="shared" ref="L337:L361" si="108">K337/1000000</f>
        <v>0</v>
      </c>
      <c r="M337" s="26">
        <f t="shared" ref="M337:M367" si="109">J337+L337</f>
        <v>4.0287999999999997E-2</v>
      </c>
      <c r="N337" s="26">
        <v>3.1881600000000003E-2</v>
      </c>
      <c r="O337" s="4">
        <f>H337-M337-N337</f>
        <v>0.6309536</v>
      </c>
    </row>
    <row r="338" spans="1:15" x14ac:dyDescent="0.7">
      <c r="A338" s="8"/>
      <c r="B338" s="6"/>
      <c r="C338" s="6">
        <v>2</v>
      </c>
      <c r="D338" s="7">
        <v>7.8319999999999999</v>
      </c>
      <c r="E338" s="7">
        <v>0</v>
      </c>
      <c r="F338" s="22">
        <v>7.8319999999999999</v>
      </c>
      <c r="G338" s="17">
        <f t="shared" si="101"/>
        <v>676684.79999999993</v>
      </c>
      <c r="H338" s="23">
        <f t="shared" si="106"/>
        <v>0.67668479999999998</v>
      </c>
      <c r="I338" s="23">
        <v>41061</v>
      </c>
      <c r="J338" s="51">
        <f t="shared" si="107"/>
        <v>4.1061E-2</v>
      </c>
      <c r="K338" s="23">
        <v>0</v>
      </c>
      <c r="L338" s="23">
        <f t="shared" si="108"/>
        <v>0</v>
      </c>
      <c r="M338" s="23">
        <f t="shared" si="109"/>
        <v>4.1061E-2</v>
      </c>
      <c r="N338" s="23">
        <v>9.9792000000000006E-2</v>
      </c>
      <c r="O338" s="4">
        <f t="shared" ref="O338:O367" si="110">H338-M338-N338</f>
        <v>0.53583179999999997</v>
      </c>
    </row>
    <row r="339" spans="1:15" x14ac:dyDescent="0.7">
      <c r="A339" s="8"/>
      <c r="B339" s="6"/>
      <c r="C339" s="6">
        <v>3</v>
      </c>
      <c r="D339" s="7">
        <v>7.8319999999999999</v>
      </c>
      <c r="E339" s="7">
        <v>0</v>
      </c>
      <c r="F339" s="22">
        <v>7.782</v>
      </c>
      <c r="G339" s="17">
        <f t="shared" si="101"/>
        <v>672364.8</v>
      </c>
      <c r="H339" s="23">
        <f t="shared" si="106"/>
        <v>0.6723648000000001</v>
      </c>
      <c r="I339" s="23">
        <v>40539</v>
      </c>
      <c r="J339" s="51">
        <f t="shared" si="107"/>
        <v>4.0538999999999999E-2</v>
      </c>
      <c r="K339" s="23">
        <v>0</v>
      </c>
      <c r="L339" s="23">
        <f t="shared" si="108"/>
        <v>0</v>
      </c>
      <c r="M339" s="23">
        <f t="shared" si="109"/>
        <v>4.0538999999999999E-2</v>
      </c>
      <c r="N339" s="23">
        <v>9.9792000000000006E-2</v>
      </c>
      <c r="O339" s="4">
        <f t="shared" si="110"/>
        <v>0.53203380000000011</v>
      </c>
    </row>
    <row r="340" spans="1:15" x14ac:dyDescent="0.7">
      <c r="A340" s="8"/>
      <c r="B340" s="6"/>
      <c r="C340" s="6">
        <v>4</v>
      </c>
      <c r="D340" s="7">
        <v>7.7329999999999997</v>
      </c>
      <c r="E340" s="7">
        <v>0</v>
      </c>
      <c r="F340" s="22">
        <v>7.7329999999999997</v>
      </c>
      <c r="G340" s="17">
        <f t="shared" si="101"/>
        <v>668131.19999999995</v>
      </c>
      <c r="H340" s="23">
        <f t="shared" si="106"/>
        <v>0.66813119999999993</v>
      </c>
      <c r="I340" s="23">
        <v>41893</v>
      </c>
      <c r="J340" s="51">
        <f t="shared" si="107"/>
        <v>4.1893E-2</v>
      </c>
      <c r="K340" s="23">
        <v>0</v>
      </c>
      <c r="L340" s="23">
        <f t="shared" si="108"/>
        <v>0</v>
      </c>
      <c r="M340" s="23">
        <f t="shared" si="109"/>
        <v>4.1893E-2</v>
      </c>
      <c r="N340" s="23">
        <v>9.9792000000000006E-2</v>
      </c>
      <c r="O340" s="4">
        <f t="shared" si="110"/>
        <v>0.52644619999999998</v>
      </c>
    </row>
    <row r="341" spans="1:15" x14ac:dyDescent="0.7">
      <c r="A341" s="8"/>
      <c r="B341" s="6"/>
      <c r="C341" s="6">
        <v>5</v>
      </c>
      <c r="D341" s="7">
        <v>7.1319999999999997</v>
      </c>
      <c r="E341" s="7">
        <v>0</v>
      </c>
      <c r="F341" s="22">
        <v>7.7329999999999997</v>
      </c>
      <c r="G341" s="17">
        <f t="shared" si="101"/>
        <v>668131.19999999995</v>
      </c>
      <c r="H341" s="23">
        <f t="shared" si="106"/>
        <v>0.66813119999999993</v>
      </c>
      <c r="I341" s="23">
        <v>40743</v>
      </c>
      <c r="J341" s="51">
        <f t="shared" si="107"/>
        <v>4.0743000000000001E-2</v>
      </c>
      <c r="K341" s="23">
        <v>2185</v>
      </c>
      <c r="L341" s="23">
        <f>K341/1000000</f>
        <v>2.1849999999999999E-3</v>
      </c>
      <c r="M341" s="23">
        <f t="shared" si="109"/>
        <v>4.2928000000000001E-2</v>
      </c>
      <c r="N341" s="23">
        <v>9.9792000000000006E-2</v>
      </c>
      <c r="O341" s="4">
        <f t="shared" si="110"/>
        <v>0.52541119999999997</v>
      </c>
    </row>
    <row r="342" spans="1:15" x14ac:dyDescent="0.7">
      <c r="A342" s="8"/>
      <c r="B342" s="6"/>
      <c r="C342" s="6">
        <v>6</v>
      </c>
      <c r="D342" s="7">
        <v>7.7329999999999997</v>
      </c>
      <c r="E342" s="7">
        <v>0</v>
      </c>
      <c r="F342" s="22">
        <v>7.4779999999999998</v>
      </c>
      <c r="G342" s="17">
        <f t="shared" si="101"/>
        <v>646099.19999999995</v>
      </c>
      <c r="H342" s="23">
        <f t="shared" si="106"/>
        <v>0.64609919999999998</v>
      </c>
      <c r="I342" s="23">
        <v>38842</v>
      </c>
      <c r="J342" s="51">
        <f t="shared" si="107"/>
        <v>3.8842000000000002E-2</v>
      </c>
      <c r="K342" s="23">
        <v>5355</v>
      </c>
      <c r="L342" s="23">
        <f t="shared" si="108"/>
        <v>5.3550000000000004E-3</v>
      </c>
      <c r="M342" s="23">
        <f t="shared" si="109"/>
        <v>4.4197E-2</v>
      </c>
      <c r="N342" s="23">
        <v>9.9792000000000006E-2</v>
      </c>
      <c r="O342" s="4">
        <f t="shared" si="110"/>
        <v>0.50211019999999995</v>
      </c>
    </row>
    <row r="343" spans="1:15" x14ac:dyDescent="0.7">
      <c r="A343" s="8"/>
      <c r="B343" s="6"/>
      <c r="C343" s="6">
        <v>7</v>
      </c>
      <c r="D343" s="7">
        <v>7.0350000000000001</v>
      </c>
      <c r="E343" s="7">
        <v>0</v>
      </c>
      <c r="F343" s="22">
        <v>7.0819999999999999</v>
      </c>
      <c r="G343" s="17">
        <f t="shared" si="101"/>
        <v>611884.79999999993</v>
      </c>
      <c r="H343" s="23">
        <f t="shared" si="106"/>
        <v>0.6118847999999999</v>
      </c>
      <c r="I343" s="23">
        <v>23032</v>
      </c>
      <c r="J343" s="51">
        <f t="shared" si="107"/>
        <v>2.3032E-2</v>
      </c>
      <c r="K343" s="23">
        <v>5036</v>
      </c>
      <c r="L343" s="23">
        <f>K343/1000000</f>
        <v>5.0359999999999997E-3</v>
      </c>
      <c r="M343" s="23">
        <f t="shared" si="109"/>
        <v>2.8067999999999999E-2</v>
      </c>
      <c r="N343" s="23">
        <v>9.9792000000000006E-2</v>
      </c>
      <c r="O343" s="4">
        <f t="shared" si="110"/>
        <v>0.48402479999999992</v>
      </c>
    </row>
    <row r="344" spans="1:15" x14ac:dyDescent="0.7">
      <c r="A344" s="8"/>
      <c r="B344" s="6"/>
      <c r="C344" s="6">
        <v>8</v>
      </c>
      <c r="D344" s="7">
        <v>7.0350000000000001</v>
      </c>
      <c r="E344" s="7">
        <v>0</v>
      </c>
      <c r="F344" s="22">
        <v>7.0350000000000001</v>
      </c>
      <c r="G344" s="17">
        <f t="shared" si="101"/>
        <v>607824</v>
      </c>
      <c r="H344" s="23">
        <f t="shared" si="106"/>
        <v>0.60782400000000003</v>
      </c>
      <c r="I344" s="23">
        <v>17209</v>
      </c>
      <c r="J344" s="51">
        <f t="shared" si="107"/>
        <v>1.7208999999999999E-2</v>
      </c>
      <c r="K344" s="23">
        <v>2517</v>
      </c>
      <c r="L344" s="23">
        <f t="shared" si="108"/>
        <v>2.5170000000000001E-3</v>
      </c>
      <c r="M344" s="23">
        <f t="shared" si="109"/>
        <v>1.9726E-2</v>
      </c>
      <c r="N344" s="23">
        <v>2.0736000000000001E-2</v>
      </c>
      <c r="O344" s="4">
        <f t="shared" si="110"/>
        <v>0.56736200000000003</v>
      </c>
    </row>
    <row r="345" spans="1:15" x14ac:dyDescent="0.7">
      <c r="A345" s="8"/>
      <c r="B345" s="6"/>
      <c r="C345" s="6">
        <v>9</v>
      </c>
      <c r="D345" s="7">
        <v>7.0350000000000001</v>
      </c>
      <c r="E345" s="7">
        <v>0</v>
      </c>
      <c r="F345" s="22">
        <v>7.0350000000000001</v>
      </c>
      <c r="G345" s="17">
        <f t="shared" si="101"/>
        <v>607824</v>
      </c>
      <c r="H345" s="23">
        <f t="shared" si="106"/>
        <v>0.60782400000000003</v>
      </c>
      <c r="I345" s="23">
        <v>15329</v>
      </c>
      <c r="J345" s="51">
        <f t="shared" si="107"/>
        <v>1.5329000000000001E-2</v>
      </c>
      <c r="K345" s="23">
        <v>2587</v>
      </c>
      <c r="L345" s="23">
        <f t="shared" si="108"/>
        <v>2.5869999999999999E-3</v>
      </c>
      <c r="M345" s="23">
        <f t="shared" si="109"/>
        <v>1.7916000000000001E-2</v>
      </c>
      <c r="N345" s="23">
        <v>2.0736000000000001E-2</v>
      </c>
      <c r="O345" s="4">
        <f t="shared" si="110"/>
        <v>0.56917200000000001</v>
      </c>
    </row>
    <row r="346" spans="1:15" x14ac:dyDescent="0.7">
      <c r="A346" s="8"/>
      <c r="B346" s="6"/>
      <c r="C346" s="6">
        <v>10</v>
      </c>
      <c r="D346" s="7">
        <v>7.0350000000000001</v>
      </c>
      <c r="E346" s="7">
        <v>0</v>
      </c>
      <c r="F346" s="22">
        <v>7.0129999999999999</v>
      </c>
      <c r="G346" s="17">
        <f t="shared" si="101"/>
        <v>605923.19999999995</v>
      </c>
      <c r="H346" s="23">
        <f t="shared" si="106"/>
        <v>0.6059232</v>
      </c>
      <c r="I346" s="23">
        <v>14219</v>
      </c>
      <c r="J346" s="51">
        <f t="shared" si="107"/>
        <v>1.4219000000000001E-2</v>
      </c>
      <c r="K346" s="23">
        <v>2183</v>
      </c>
      <c r="L346" s="23">
        <f t="shared" si="108"/>
        <v>2.183E-3</v>
      </c>
      <c r="M346" s="23">
        <f t="shared" si="109"/>
        <v>1.6402E-2</v>
      </c>
      <c r="N346" s="23">
        <v>2.0736000000000001E-2</v>
      </c>
      <c r="O346" s="4">
        <f t="shared" si="110"/>
        <v>0.56878519999999999</v>
      </c>
    </row>
    <row r="347" spans="1:15" x14ac:dyDescent="0.7">
      <c r="A347" s="8"/>
      <c r="B347" s="6"/>
      <c r="C347" s="6">
        <v>11</v>
      </c>
      <c r="D347" s="7">
        <v>6.9909999999999997</v>
      </c>
      <c r="E347" s="7">
        <v>0</v>
      </c>
      <c r="F347" s="22">
        <v>6.9909999999999997</v>
      </c>
      <c r="G347" s="17">
        <f t="shared" si="101"/>
        <v>604022.4</v>
      </c>
      <c r="H347" s="23">
        <f t="shared" si="106"/>
        <v>0.60402240000000007</v>
      </c>
      <c r="I347" s="23">
        <v>18458</v>
      </c>
      <c r="J347" s="51">
        <f t="shared" si="107"/>
        <v>1.8457999999999999E-2</v>
      </c>
      <c r="K347" s="23">
        <v>2149</v>
      </c>
      <c r="L347" s="23">
        <f t="shared" si="108"/>
        <v>2.1489999999999999E-3</v>
      </c>
      <c r="M347" s="23">
        <f t="shared" si="109"/>
        <v>2.0607E-2</v>
      </c>
      <c r="N347" s="23">
        <v>2.0736000000000001E-2</v>
      </c>
      <c r="O347" s="4">
        <f t="shared" si="110"/>
        <v>0.56267940000000005</v>
      </c>
    </row>
    <row r="348" spans="1:15" x14ac:dyDescent="0.7">
      <c r="A348" s="8"/>
      <c r="B348" s="6"/>
      <c r="C348" s="6">
        <v>12</v>
      </c>
      <c r="D348" s="7">
        <v>6.9909999999999997</v>
      </c>
      <c r="E348" s="7">
        <v>0</v>
      </c>
      <c r="F348" s="22">
        <v>6.94</v>
      </c>
      <c r="G348" s="17">
        <f t="shared" si="101"/>
        <v>599616</v>
      </c>
      <c r="H348" s="23">
        <f t="shared" si="106"/>
        <v>0.59961600000000004</v>
      </c>
      <c r="I348" s="23">
        <v>14796</v>
      </c>
      <c r="J348" s="51">
        <f t="shared" si="107"/>
        <v>1.4796E-2</v>
      </c>
      <c r="K348" s="23">
        <v>2356</v>
      </c>
      <c r="L348" s="23">
        <f t="shared" si="108"/>
        <v>2.356E-3</v>
      </c>
      <c r="M348" s="23">
        <f t="shared" si="109"/>
        <v>1.7152000000000001E-2</v>
      </c>
      <c r="N348" s="23">
        <v>2.0736000000000001E-2</v>
      </c>
      <c r="O348" s="4">
        <f t="shared" si="110"/>
        <v>0.56172800000000012</v>
      </c>
    </row>
    <row r="349" spans="1:15" x14ac:dyDescent="0.7">
      <c r="A349" s="8"/>
      <c r="B349" s="6"/>
      <c r="C349" s="6">
        <v>13</v>
      </c>
      <c r="D349" s="7">
        <v>6.8890000000000002</v>
      </c>
      <c r="E349" s="7">
        <v>0</v>
      </c>
      <c r="F349" s="22">
        <v>6.82</v>
      </c>
      <c r="G349" s="17">
        <f t="shared" si="101"/>
        <v>589248</v>
      </c>
      <c r="H349" s="23">
        <f t="shared" si="106"/>
        <v>0.58924799999999999</v>
      </c>
      <c r="I349" s="23">
        <v>17672</v>
      </c>
      <c r="J349" s="51">
        <f t="shared" si="107"/>
        <v>1.7672E-2</v>
      </c>
      <c r="K349" s="23">
        <v>5544</v>
      </c>
      <c r="L349" s="23">
        <f t="shared" si="108"/>
        <v>5.5440000000000003E-3</v>
      </c>
      <c r="M349" s="23">
        <f t="shared" si="109"/>
        <v>2.3216000000000001E-2</v>
      </c>
      <c r="N349" s="23">
        <v>2.0736000000000001E-2</v>
      </c>
      <c r="O349" s="4">
        <f t="shared" si="110"/>
        <v>0.545296</v>
      </c>
    </row>
    <row r="350" spans="1:15" x14ac:dyDescent="0.7">
      <c r="A350" s="8"/>
      <c r="B350" s="6"/>
      <c r="C350" s="6">
        <v>14</v>
      </c>
      <c r="D350" s="7">
        <v>6.7510000000000003</v>
      </c>
      <c r="E350" s="7">
        <v>0</v>
      </c>
      <c r="F350" s="22">
        <v>6.7510000000000003</v>
      </c>
      <c r="G350" s="17">
        <f t="shared" si="101"/>
        <v>583286.4</v>
      </c>
      <c r="H350" s="23">
        <f t="shared" si="106"/>
        <v>0.58328639999999998</v>
      </c>
      <c r="I350" s="23">
        <v>14670</v>
      </c>
      <c r="J350" s="51">
        <f t="shared" si="107"/>
        <v>1.4670000000000001E-2</v>
      </c>
      <c r="K350" s="23">
        <v>5841</v>
      </c>
      <c r="L350" s="23">
        <f t="shared" si="108"/>
        <v>5.8409999999999998E-3</v>
      </c>
      <c r="M350" s="23">
        <f t="shared" si="109"/>
        <v>2.0511000000000001E-2</v>
      </c>
      <c r="N350" s="23">
        <v>2.0736000000000001E-2</v>
      </c>
      <c r="O350" s="4">
        <f t="shared" si="110"/>
        <v>0.54203940000000006</v>
      </c>
    </row>
    <row r="351" spans="1:15" x14ac:dyDescent="0.7">
      <c r="A351" s="8"/>
      <c r="B351" s="6"/>
      <c r="C351" s="6">
        <v>15</v>
      </c>
      <c r="D351" s="7">
        <v>5.7510000000000003</v>
      </c>
      <c r="E351" s="7">
        <v>0</v>
      </c>
      <c r="F351" s="22">
        <v>6.69</v>
      </c>
      <c r="G351" s="17">
        <f t="shared" si="101"/>
        <v>578016</v>
      </c>
      <c r="H351" s="23">
        <f t="shared" si="106"/>
        <v>0.57801599999999997</v>
      </c>
      <c r="I351" s="23">
        <v>14756</v>
      </c>
      <c r="J351" s="51">
        <f t="shared" si="107"/>
        <v>1.4756E-2</v>
      </c>
      <c r="K351" s="23">
        <v>2644</v>
      </c>
      <c r="L351" s="23">
        <f t="shared" si="108"/>
        <v>2.6440000000000001E-3</v>
      </c>
      <c r="M351" s="23">
        <f t="shared" si="109"/>
        <v>1.7399999999999999E-2</v>
      </c>
      <c r="N351" s="23">
        <v>2.0736000000000001E-2</v>
      </c>
      <c r="O351" s="4">
        <f t="shared" si="110"/>
        <v>0.53988000000000003</v>
      </c>
    </row>
    <row r="352" spans="1:15" x14ac:dyDescent="0.7">
      <c r="A352" s="8"/>
      <c r="B352" s="6"/>
      <c r="C352" s="6">
        <v>16</v>
      </c>
      <c r="D352" s="7">
        <v>6.6289999999999996</v>
      </c>
      <c r="E352" s="7">
        <v>0</v>
      </c>
      <c r="F352" s="22">
        <v>6.6289999999999996</v>
      </c>
      <c r="G352" s="17">
        <f t="shared" si="101"/>
        <v>572745.6</v>
      </c>
      <c r="H352" s="23">
        <f t="shared" si="106"/>
        <v>0.57274559999999997</v>
      </c>
      <c r="I352" s="23">
        <v>15055</v>
      </c>
      <c r="J352" s="51">
        <f t="shared" si="107"/>
        <v>1.5055000000000001E-2</v>
      </c>
      <c r="K352" s="23">
        <v>0</v>
      </c>
      <c r="L352" s="23">
        <f t="shared" si="108"/>
        <v>0</v>
      </c>
      <c r="M352" s="23">
        <f t="shared" si="109"/>
        <v>1.5055000000000001E-2</v>
      </c>
      <c r="N352" s="23">
        <v>2.0736000000000001E-2</v>
      </c>
      <c r="O352" s="4">
        <f t="shared" si="110"/>
        <v>0.53695459999999995</v>
      </c>
    </row>
    <row r="353" spans="1:15" x14ac:dyDescent="0.7">
      <c r="A353" s="8"/>
      <c r="B353" s="6"/>
      <c r="C353" s="6">
        <v>17</v>
      </c>
      <c r="D353" s="7">
        <v>6.6289999999999996</v>
      </c>
      <c r="E353" s="7">
        <v>0</v>
      </c>
      <c r="F353" s="22">
        <v>6.62</v>
      </c>
      <c r="G353" s="17">
        <f t="shared" si="101"/>
        <v>571968</v>
      </c>
      <c r="H353" s="23">
        <f t="shared" si="106"/>
        <v>0.57196800000000003</v>
      </c>
      <c r="I353" s="23">
        <v>15139</v>
      </c>
      <c r="J353" s="51">
        <f t="shared" si="107"/>
        <v>1.5139E-2</v>
      </c>
      <c r="K353" s="23">
        <v>2504</v>
      </c>
      <c r="L353" s="23">
        <f t="shared" si="108"/>
        <v>2.5040000000000001E-3</v>
      </c>
      <c r="M353" s="23">
        <f t="shared" si="109"/>
        <v>1.7642999999999999E-2</v>
      </c>
      <c r="N353" s="23">
        <v>1.1318400000000001E-2</v>
      </c>
      <c r="O353" s="4">
        <f t="shared" si="110"/>
        <v>0.54300660000000012</v>
      </c>
    </row>
    <row r="354" spans="1:15" x14ac:dyDescent="0.7">
      <c r="A354" s="8"/>
      <c r="B354" s="6"/>
      <c r="C354" s="6">
        <v>18</v>
      </c>
      <c r="D354" s="7">
        <v>6.6120000000000001</v>
      </c>
      <c r="E354" s="7">
        <v>0</v>
      </c>
      <c r="F354" s="22">
        <v>6.6120000000000001</v>
      </c>
      <c r="G354" s="17">
        <f t="shared" si="101"/>
        <v>571276.80000000005</v>
      </c>
      <c r="H354" s="23">
        <f t="shared" si="106"/>
        <v>0.57127680000000003</v>
      </c>
      <c r="I354" s="23">
        <v>15162</v>
      </c>
      <c r="J354" s="51">
        <f t="shared" si="107"/>
        <v>1.5162E-2</v>
      </c>
      <c r="K354" s="23">
        <v>2430</v>
      </c>
      <c r="L354" s="23">
        <f t="shared" si="108"/>
        <v>2.4299999999999999E-3</v>
      </c>
      <c r="M354" s="23">
        <f t="shared" si="109"/>
        <v>1.7592E-2</v>
      </c>
      <c r="N354" s="23">
        <v>1.1318400000000001E-2</v>
      </c>
      <c r="O354" s="4">
        <f t="shared" si="110"/>
        <v>0.54236640000000003</v>
      </c>
    </row>
    <row r="355" spans="1:15" x14ac:dyDescent="0.7">
      <c r="A355" s="8"/>
      <c r="B355" s="6"/>
      <c r="C355" s="6">
        <v>19</v>
      </c>
      <c r="D355" s="7">
        <v>6.6120000000000001</v>
      </c>
      <c r="E355" s="7">
        <v>0</v>
      </c>
      <c r="F355" s="22">
        <v>6.5170000000000003</v>
      </c>
      <c r="G355" s="17">
        <f t="shared" si="101"/>
        <v>563068.80000000005</v>
      </c>
      <c r="H355" s="23">
        <f t="shared" si="106"/>
        <v>0.56306880000000004</v>
      </c>
      <c r="I355" s="24">
        <v>15650</v>
      </c>
      <c r="J355" s="51">
        <f t="shared" si="107"/>
        <v>1.5650000000000001E-2</v>
      </c>
      <c r="K355" s="23">
        <v>199</v>
      </c>
      <c r="L355" s="23">
        <f t="shared" si="108"/>
        <v>1.9900000000000001E-4</v>
      </c>
      <c r="M355" s="23">
        <f t="shared" si="109"/>
        <v>1.5849000000000002E-2</v>
      </c>
      <c r="N355" s="23">
        <v>1.1318400000000001E-2</v>
      </c>
      <c r="O355" s="4">
        <f t="shared" si="110"/>
        <v>0.53590140000000008</v>
      </c>
    </row>
    <row r="356" spans="1:15" x14ac:dyDescent="0.7">
      <c r="A356" s="8"/>
      <c r="B356" s="6"/>
      <c r="C356" s="6">
        <v>20</v>
      </c>
      <c r="D356" s="7">
        <v>6.4219999999999997</v>
      </c>
      <c r="E356" s="7">
        <v>0</v>
      </c>
      <c r="F356" s="22">
        <v>6.3310000000000004</v>
      </c>
      <c r="G356" s="17">
        <f t="shared" si="101"/>
        <v>546998.4</v>
      </c>
      <c r="H356" s="23">
        <f t="shared" si="106"/>
        <v>0.5469984</v>
      </c>
      <c r="I356" s="23">
        <v>14265</v>
      </c>
      <c r="J356" s="51">
        <f t="shared" si="107"/>
        <v>1.4265E-2</v>
      </c>
      <c r="K356" s="23">
        <v>0</v>
      </c>
      <c r="L356" s="23">
        <f t="shared" si="108"/>
        <v>0</v>
      </c>
      <c r="M356" s="23">
        <f t="shared" si="109"/>
        <v>1.4265E-2</v>
      </c>
      <c r="N356" s="23">
        <v>1.1318400000000001E-2</v>
      </c>
      <c r="O356" s="4">
        <f t="shared" si="110"/>
        <v>0.52141500000000007</v>
      </c>
    </row>
    <row r="357" spans="1:15" x14ac:dyDescent="0.7">
      <c r="A357" s="8"/>
      <c r="B357" s="6"/>
      <c r="C357" s="6">
        <v>21</v>
      </c>
      <c r="D357" s="7">
        <v>6.24</v>
      </c>
      <c r="E357" s="7">
        <v>0</v>
      </c>
      <c r="F357" s="22">
        <v>6.24</v>
      </c>
      <c r="G357" s="17">
        <f t="shared" si="101"/>
        <v>539136</v>
      </c>
      <c r="H357" s="23">
        <f t="shared" si="106"/>
        <v>0.53913599999999995</v>
      </c>
      <c r="I357" s="23">
        <v>13611</v>
      </c>
      <c r="J357" s="51">
        <f t="shared" si="107"/>
        <v>1.3611E-2</v>
      </c>
      <c r="K357" s="23">
        <v>0</v>
      </c>
      <c r="L357" s="23">
        <f t="shared" si="108"/>
        <v>0</v>
      </c>
      <c r="M357" s="23">
        <f t="shared" si="109"/>
        <v>1.3611E-2</v>
      </c>
      <c r="N357" s="23">
        <v>1.1318400000000001E-2</v>
      </c>
      <c r="O357" s="4">
        <f t="shared" si="110"/>
        <v>0.51420659999999996</v>
      </c>
    </row>
    <row r="358" spans="1:15" x14ac:dyDescent="0.7">
      <c r="A358" s="8"/>
      <c r="B358" s="6"/>
      <c r="C358" s="6">
        <v>22</v>
      </c>
      <c r="D358" s="7">
        <v>6.24</v>
      </c>
      <c r="E358" s="7">
        <v>0</v>
      </c>
      <c r="F358" s="22">
        <v>6.1070000000000002</v>
      </c>
      <c r="G358" s="17">
        <f t="shared" si="101"/>
        <v>527644.80000000005</v>
      </c>
      <c r="H358" s="23">
        <f t="shared" si="106"/>
        <v>0.52764480000000002</v>
      </c>
      <c r="I358" s="23">
        <v>14211</v>
      </c>
      <c r="J358" s="51">
        <f t="shared" si="107"/>
        <v>1.4211E-2</v>
      </c>
      <c r="K358" s="23">
        <v>2357</v>
      </c>
      <c r="L358" s="23">
        <f>K358/1000000</f>
        <v>2.3570000000000002E-3</v>
      </c>
      <c r="M358" s="23">
        <f t="shared" si="109"/>
        <v>1.6567999999999999E-2</v>
      </c>
      <c r="N358" s="23">
        <v>1.1318400000000001E-2</v>
      </c>
      <c r="O358" s="4">
        <f t="shared" si="110"/>
        <v>0.49975839999999999</v>
      </c>
    </row>
    <row r="359" spans="1:15" x14ac:dyDescent="0.7">
      <c r="A359" s="8"/>
      <c r="B359" s="6"/>
      <c r="C359" s="6">
        <v>23</v>
      </c>
      <c r="D359" s="7">
        <v>5.9740000000000002</v>
      </c>
      <c r="E359" s="7">
        <v>0</v>
      </c>
      <c r="F359" s="22">
        <v>5.9470000000000001</v>
      </c>
      <c r="G359" s="17">
        <f t="shared" si="101"/>
        <v>513820.8</v>
      </c>
      <c r="H359" s="23">
        <f t="shared" si="106"/>
        <v>0.51382079999999997</v>
      </c>
      <c r="I359" s="23">
        <v>15676</v>
      </c>
      <c r="J359" s="51">
        <f t="shared" si="107"/>
        <v>1.5675999999999999E-2</v>
      </c>
      <c r="K359" s="23">
        <v>2168</v>
      </c>
      <c r="L359" s="23">
        <f t="shared" si="108"/>
        <v>2.1679999999999998E-3</v>
      </c>
      <c r="M359" s="23">
        <f t="shared" si="109"/>
        <v>1.7843999999999999E-2</v>
      </c>
      <c r="N359" s="23">
        <v>2.4278400000000002E-2</v>
      </c>
      <c r="O359" s="4">
        <f t="shared" si="110"/>
        <v>0.47169840000000002</v>
      </c>
    </row>
    <row r="360" spans="1:15" x14ac:dyDescent="0.7">
      <c r="A360" s="8"/>
      <c r="B360" s="6"/>
      <c r="C360" s="6">
        <v>24</v>
      </c>
      <c r="D360" s="7">
        <v>5.9740000000000002</v>
      </c>
      <c r="E360" s="7">
        <v>0</v>
      </c>
      <c r="F360" s="22">
        <v>5.9740000000000002</v>
      </c>
      <c r="G360" s="17">
        <f t="shared" si="101"/>
        <v>516153.60000000003</v>
      </c>
      <c r="H360" s="23">
        <f t="shared" si="106"/>
        <v>0.51615359999999999</v>
      </c>
      <c r="I360" s="24">
        <v>15887</v>
      </c>
      <c r="J360" s="51">
        <f t="shared" si="107"/>
        <v>1.5886999999999998E-2</v>
      </c>
      <c r="K360" s="23">
        <v>234</v>
      </c>
      <c r="L360" s="23">
        <f t="shared" si="108"/>
        <v>2.34E-4</v>
      </c>
      <c r="M360" s="23">
        <f t="shared" si="109"/>
        <v>1.6121E-2</v>
      </c>
      <c r="N360" s="23">
        <v>2.4278400000000002E-2</v>
      </c>
      <c r="O360" s="4">
        <f t="shared" si="110"/>
        <v>0.47575419999999996</v>
      </c>
    </row>
    <row r="361" spans="1:15" x14ac:dyDescent="0.7">
      <c r="A361" s="8"/>
      <c r="B361" s="6"/>
      <c r="C361" s="6">
        <v>25</v>
      </c>
      <c r="D361" s="7">
        <v>5.9740000000000002</v>
      </c>
      <c r="E361" s="7">
        <v>0</v>
      </c>
      <c r="F361" s="22">
        <v>5.9740000000000002</v>
      </c>
      <c r="G361" s="17">
        <f t="shared" si="101"/>
        <v>516153.60000000003</v>
      </c>
      <c r="H361" s="23">
        <f t="shared" si="106"/>
        <v>0.51615359999999999</v>
      </c>
      <c r="I361" s="24">
        <v>18098</v>
      </c>
      <c r="J361" s="51">
        <f t="shared" si="107"/>
        <v>1.8098E-2</v>
      </c>
      <c r="K361" s="23">
        <v>863</v>
      </c>
      <c r="L361" s="23">
        <f t="shared" si="108"/>
        <v>8.6300000000000005E-4</v>
      </c>
      <c r="M361" s="23">
        <f t="shared" si="109"/>
        <v>1.8960999999999999E-2</v>
      </c>
      <c r="N361" s="23">
        <v>2.4278400000000002E-2</v>
      </c>
      <c r="O361" s="4">
        <f t="shared" si="110"/>
        <v>0.47291420000000001</v>
      </c>
    </row>
    <row r="362" spans="1:15" x14ac:dyDescent="0.7">
      <c r="A362" s="8"/>
      <c r="B362" s="6"/>
      <c r="C362" s="6">
        <v>26</v>
      </c>
      <c r="D362" s="7">
        <v>5.9740000000000002</v>
      </c>
      <c r="E362" s="7">
        <v>0</v>
      </c>
      <c r="F362" s="22">
        <v>5.9509999999999996</v>
      </c>
      <c r="G362" s="17">
        <f t="shared" si="101"/>
        <v>514166.39999999997</v>
      </c>
      <c r="H362" s="23">
        <f t="shared" ref="H362:H367" si="111">G362/1000000</f>
        <v>0.51416639999999991</v>
      </c>
      <c r="I362" s="23">
        <v>25911</v>
      </c>
      <c r="J362" s="51">
        <f t="shared" ref="J362:J367" si="112">I362/1000000</f>
        <v>2.5911E-2</v>
      </c>
      <c r="K362" s="23">
        <v>5957</v>
      </c>
      <c r="L362" s="23">
        <f t="shared" ref="L362:L367" si="113">K362/1000000</f>
        <v>5.9569999999999996E-3</v>
      </c>
      <c r="M362" s="23">
        <f t="shared" si="109"/>
        <v>3.1868E-2</v>
      </c>
      <c r="N362" s="23">
        <v>2.4278400000000002E-2</v>
      </c>
      <c r="O362" s="4">
        <f t="shared" si="110"/>
        <v>0.45801999999999993</v>
      </c>
    </row>
    <row r="363" spans="1:15" x14ac:dyDescent="0.7">
      <c r="A363" s="8"/>
      <c r="B363" s="6"/>
      <c r="C363" s="6">
        <v>27</v>
      </c>
      <c r="D363" s="7">
        <v>5.9740000000000002</v>
      </c>
      <c r="E363" s="7">
        <v>0</v>
      </c>
      <c r="F363" s="22">
        <v>5.9509999999999996</v>
      </c>
      <c r="G363" s="17">
        <f t="shared" si="101"/>
        <v>514166.39999999997</v>
      </c>
      <c r="H363" s="23">
        <f t="shared" si="111"/>
        <v>0.51416639999999991</v>
      </c>
      <c r="I363" s="23">
        <v>25911</v>
      </c>
      <c r="J363" s="51">
        <f t="shared" si="112"/>
        <v>2.5911E-2</v>
      </c>
      <c r="K363" s="23">
        <v>5957</v>
      </c>
      <c r="L363" s="23">
        <f t="shared" si="113"/>
        <v>5.9569999999999996E-3</v>
      </c>
      <c r="M363" s="23">
        <f t="shared" si="109"/>
        <v>3.1868E-2</v>
      </c>
      <c r="N363" s="23">
        <v>2.4278400000000002E-2</v>
      </c>
      <c r="O363" s="4">
        <f t="shared" si="110"/>
        <v>0.45801999999999993</v>
      </c>
    </row>
    <row r="364" spans="1:15" x14ac:dyDescent="0.7">
      <c r="A364" s="8"/>
      <c r="B364" s="6"/>
      <c r="C364" s="6">
        <v>28</v>
      </c>
      <c r="D364" s="7">
        <v>5.9320000000000004</v>
      </c>
      <c r="E364" s="7">
        <v>0</v>
      </c>
      <c r="F364" s="22">
        <v>5.9320000000000004</v>
      </c>
      <c r="G364" s="17">
        <f t="shared" si="101"/>
        <v>512524.80000000005</v>
      </c>
      <c r="H364" s="23">
        <f t="shared" si="111"/>
        <v>0.5125248</v>
      </c>
      <c r="I364" s="23">
        <v>18823</v>
      </c>
      <c r="J364" s="51">
        <f t="shared" si="112"/>
        <v>1.8822999999999999E-2</v>
      </c>
      <c r="K364" s="23">
        <v>5508</v>
      </c>
      <c r="L364" s="23">
        <f t="shared" si="113"/>
        <v>5.5079999999999999E-3</v>
      </c>
      <c r="M364" s="23">
        <f t="shared" si="109"/>
        <v>2.4330999999999998E-2</v>
      </c>
      <c r="N364" s="23">
        <v>2.4278400000000002E-2</v>
      </c>
      <c r="O364" s="4">
        <f t="shared" si="110"/>
        <v>0.46391540000000003</v>
      </c>
    </row>
    <row r="365" spans="1:15" x14ac:dyDescent="0.7">
      <c r="A365" s="8"/>
      <c r="B365" s="6"/>
      <c r="C365" s="6">
        <v>29</v>
      </c>
      <c r="D365" s="7">
        <v>5.9320000000000004</v>
      </c>
      <c r="E365" s="7">
        <v>0</v>
      </c>
      <c r="F365" s="22">
        <v>5.9320000000000004</v>
      </c>
      <c r="G365" s="17">
        <f t="shared" si="101"/>
        <v>512524.80000000005</v>
      </c>
      <c r="H365" s="23">
        <f t="shared" si="111"/>
        <v>0.5125248</v>
      </c>
      <c r="I365" s="23">
        <v>17021</v>
      </c>
      <c r="J365" s="51">
        <f t="shared" si="112"/>
        <v>1.7021000000000001E-2</v>
      </c>
      <c r="K365" s="23">
        <v>2770</v>
      </c>
      <c r="L365" s="23">
        <f t="shared" si="113"/>
        <v>2.7699999999999999E-3</v>
      </c>
      <c r="M365" s="23">
        <f t="shared" si="109"/>
        <v>1.9791000000000003E-2</v>
      </c>
      <c r="N365" s="23">
        <v>2.4278400000000002E-2</v>
      </c>
      <c r="O365" s="4">
        <f t="shared" si="110"/>
        <v>0.46845540000000002</v>
      </c>
    </row>
    <row r="366" spans="1:15" x14ac:dyDescent="0.7">
      <c r="A366" s="8"/>
      <c r="B366" s="6"/>
      <c r="C366" s="6">
        <v>30</v>
      </c>
      <c r="D366" s="7">
        <v>5.9320000000000004</v>
      </c>
      <c r="E366" s="7">
        <v>0</v>
      </c>
      <c r="F366" s="22">
        <v>5.9219999999999997</v>
      </c>
      <c r="G366" s="17">
        <f t="shared" si="101"/>
        <v>511660.79999999999</v>
      </c>
      <c r="H366" s="23">
        <f t="shared" si="111"/>
        <v>0.51166080000000003</v>
      </c>
      <c r="I366" s="23">
        <v>13488</v>
      </c>
      <c r="J366" s="51">
        <f t="shared" si="112"/>
        <v>1.3488E-2</v>
      </c>
      <c r="K366" s="23">
        <v>2836</v>
      </c>
      <c r="L366" s="23">
        <f t="shared" si="113"/>
        <v>2.836E-3</v>
      </c>
      <c r="M366" s="23">
        <f t="shared" si="109"/>
        <v>1.6323999999999998E-2</v>
      </c>
      <c r="N366" s="23">
        <v>2.4278400000000002E-2</v>
      </c>
      <c r="O366" s="4">
        <f t="shared" si="110"/>
        <v>0.47105840000000004</v>
      </c>
    </row>
    <row r="367" spans="1:15" s="15" customFormat="1" ht="25.2" thickBot="1" x14ac:dyDescent="0.75">
      <c r="A367" s="11"/>
      <c r="B367" s="9" t="s">
        <v>26</v>
      </c>
      <c r="C367" s="9">
        <v>31</v>
      </c>
      <c r="D367" s="10">
        <v>5.9109999999999996</v>
      </c>
      <c r="E367" s="10">
        <v>0</v>
      </c>
      <c r="F367" s="50">
        <v>5.9109999999999996</v>
      </c>
      <c r="G367" s="19">
        <f t="shared" si="101"/>
        <v>510710.39999999997</v>
      </c>
      <c r="H367" s="27">
        <f t="shared" si="111"/>
        <v>0.51071040000000001</v>
      </c>
      <c r="I367" s="27">
        <v>13755</v>
      </c>
      <c r="J367" s="52">
        <f t="shared" si="112"/>
        <v>1.3755E-2</v>
      </c>
      <c r="K367" s="27">
        <v>2919</v>
      </c>
      <c r="L367" s="27">
        <f t="shared" si="113"/>
        <v>2.9190000000000002E-3</v>
      </c>
      <c r="M367" s="27">
        <f t="shared" si="109"/>
        <v>1.6674000000000001E-2</v>
      </c>
      <c r="N367" s="27">
        <v>2.4278400000000002E-2</v>
      </c>
      <c r="O367" s="21">
        <f t="shared" si="110"/>
        <v>0.46975800000000001</v>
      </c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2026-02-22T18:06:20Z</dcterms:modified>
</cp:coreProperties>
</file>