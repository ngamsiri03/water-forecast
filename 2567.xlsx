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13_ncr:1_{42641471-A9EB-4B06-BA0E-9311B9245B63}" xr6:coauthVersionLast="47" xr6:coauthVersionMax="47" xr10:uidLastSave="{00000000-0000-0000-0000-000000000000}"/>
  <bookViews>
    <workbookView xWindow="-108" yWindow="-108" windowWidth="23256" windowHeight="12456" xr2:uid="{A2BDC848-59FB-445C-8CAA-A456E68836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02" i="1" l="1"/>
  <c r="O153" i="1"/>
  <c r="O3" i="1"/>
  <c r="O145" i="1"/>
  <c r="O144" i="1"/>
  <c r="G142" i="1"/>
  <c r="O364" i="1" l="1"/>
  <c r="O365" i="1"/>
  <c r="O366" i="1"/>
  <c r="O367" i="1"/>
  <c r="O368" i="1"/>
  <c r="M364" i="1"/>
  <c r="M365" i="1"/>
  <c r="M366" i="1"/>
  <c r="M367" i="1"/>
  <c r="M368" i="1"/>
  <c r="L368" i="1"/>
  <c r="J368" i="1"/>
  <c r="G368" i="1"/>
  <c r="H368" i="1" s="1"/>
  <c r="L367" i="1"/>
  <c r="J367" i="1"/>
  <c r="G367" i="1"/>
  <c r="H367" i="1" s="1"/>
  <c r="L366" i="1"/>
  <c r="J366" i="1"/>
  <c r="G366" i="1"/>
  <c r="H366" i="1" s="1"/>
  <c r="L365" i="1"/>
  <c r="J365" i="1"/>
  <c r="G365" i="1"/>
  <c r="H365" i="1" s="1"/>
  <c r="L364" i="1"/>
  <c r="J364" i="1"/>
  <c r="G364" i="1"/>
  <c r="H364" i="1" s="1"/>
  <c r="O357" i="1"/>
  <c r="O358" i="1"/>
  <c r="O359" i="1"/>
  <c r="O360" i="1"/>
  <c r="O361" i="1"/>
  <c r="O362" i="1"/>
  <c r="O363" i="1"/>
  <c r="M357" i="1"/>
  <c r="M358" i="1"/>
  <c r="M359" i="1"/>
  <c r="M360" i="1"/>
  <c r="M361" i="1"/>
  <c r="M362" i="1"/>
  <c r="M363" i="1"/>
  <c r="L363" i="1"/>
  <c r="J363" i="1"/>
  <c r="G363" i="1"/>
  <c r="H363" i="1" s="1"/>
  <c r="L362" i="1"/>
  <c r="J362" i="1"/>
  <c r="G362" i="1"/>
  <c r="H362" i="1" s="1"/>
  <c r="L361" i="1"/>
  <c r="J361" i="1"/>
  <c r="G361" i="1"/>
  <c r="H361" i="1" s="1"/>
  <c r="L360" i="1"/>
  <c r="J360" i="1"/>
  <c r="G360" i="1"/>
  <c r="H360" i="1" s="1"/>
  <c r="L359" i="1"/>
  <c r="J359" i="1"/>
  <c r="G359" i="1"/>
  <c r="H359" i="1" s="1"/>
  <c r="L358" i="1"/>
  <c r="J358" i="1"/>
  <c r="G358" i="1"/>
  <c r="H358" i="1" s="1"/>
  <c r="L357" i="1"/>
  <c r="J357" i="1"/>
  <c r="G357" i="1"/>
  <c r="H357" i="1" s="1"/>
  <c r="O350" i="1"/>
  <c r="O351" i="1"/>
  <c r="O352" i="1"/>
  <c r="O353" i="1"/>
  <c r="O354" i="1"/>
  <c r="O355" i="1"/>
  <c r="O356" i="1"/>
  <c r="M351" i="1"/>
  <c r="M352" i="1"/>
  <c r="M353" i="1"/>
  <c r="M354" i="1"/>
  <c r="M355" i="1"/>
  <c r="M356" i="1"/>
  <c r="M350" i="1"/>
  <c r="L351" i="1"/>
  <c r="L352" i="1"/>
  <c r="L353" i="1"/>
  <c r="L354" i="1"/>
  <c r="L355" i="1"/>
  <c r="L356" i="1"/>
  <c r="L350" i="1"/>
  <c r="O349" i="1" l="1"/>
  <c r="O343" i="1"/>
  <c r="O344" i="1"/>
  <c r="O345" i="1"/>
  <c r="O346" i="1"/>
  <c r="O347" i="1"/>
  <c r="O348" i="1"/>
  <c r="O339" i="1"/>
  <c r="O340" i="1"/>
  <c r="O341" i="1"/>
  <c r="O342" i="1"/>
  <c r="M338" i="1"/>
  <c r="O338" i="1" s="1"/>
  <c r="M339" i="1"/>
  <c r="M340" i="1"/>
  <c r="M341" i="1"/>
  <c r="M342" i="1"/>
  <c r="O331" i="1"/>
  <c r="O332" i="1"/>
  <c r="O337" i="1"/>
  <c r="M330" i="1"/>
  <c r="O330" i="1" s="1"/>
  <c r="M331" i="1"/>
  <c r="M332" i="1"/>
  <c r="M333" i="1"/>
  <c r="O333" i="1" s="1"/>
  <c r="M334" i="1"/>
  <c r="O334" i="1" s="1"/>
  <c r="M335" i="1"/>
  <c r="O335" i="1" s="1"/>
  <c r="M336" i="1"/>
  <c r="O336" i="1" s="1"/>
  <c r="M337" i="1"/>
  <c r="J337" i="1"/>
  <c r="G337" i="1"/>
  <c r="H337" i="1" s="1"/>
  <c r="J336" i="1"/>
  <c r="G336" i="1"/>
  <c r="H336" i="1" s="1"/>
  <c r="J335" i="1"/>
  <c r="G335" i="1"/>
  <c r="H335" i="1" s="1"/>
  <c r="J334" i="1"/>
  <c r="G334" i="1"/>
  <c r="H334" i="1" s="1"/>
  <c r="J333" i="1"/>
  <c r="G333" i="1"/>
  <c r="H333" i="1" s="1"/>
  <c r="L332" i="1"/>
  <c r="J332" i="1"/>
  <c r="G332" i="1"/>
  <c r="H332" i="1" s="1"/>
  <c r="L331" i="1"/>
  <c r="J331" i="1"/>
  <c r="G331" i="1"/>
  <c r="H331" i="1" s="1"/>
  <c r="J330" i="1"/>
  <c r="G330" i="1"/>
  <c r="H330" i="1" s="1"/>
  <c r="O323" i="1"/>
  <c r="O324" i="1"/>
  <c r="O325" i="1"/>
  <c r="O328" i="1"/>
  <c r="O329" i="1"/>
  <c r="M323" i="1"/>
  <c r="M324" i="1"/>
  <c r="M325" i="1"/>
  <c r="M326" i="1"/>
  <c r="O326" i="1" s="1"/>
  <c r="M327" i="1"/>
  <c r="O327" i="1" s="1"/>
  <c r="M328" i="1"/>
  <c r="M329" i="1"/>
  <c r="J329" i="1"/>
  <c r="G329" i="1"/>
  <c r="H329" i="1" s="1"/>
  <c r="J328" i="1"/>
  <c r="G328" i="1"/>
  <c r="H328" i="1" s="1"/>
  <c r="J327" i="1"/>
  <c r="G327" i="1"/>
  <c r="H327" i="1" s="1"/>
  <c r="J326" i="1"/>
  <c r="G326" i="1"/>
  <c r="H326" i="1" s="1"/>
  <c r="L325" i="1"/>
  <c r="J325" i="1"/>
  <c r="G325" i="1"/>
  <c r="H325" i="1" s="1"/>
  <c r="L324" i="1"/>
  <c r="J324" i="1"/>
  <c r="G324" i="1"/>
  <c r="H324" i="1" s="1"/>
  <c r="L323" i="1"/>
  <c r="J323" i="1"/>
  <c r="G323" i="1"/>
  <c r="H323" i="1" s="1"/>
  <c r="O316" i="1"/>
  <c r="O317" i="1"/>
  <c r="O318" i="1"/>
  <c r="O319" i="1"/>
  <c r="O320" i="1"/>
  <c r="O321" i="1"/>
  <c r="O322" i="1"/>
  <c r="M316" i="1"/>
  <c r="M317" i="1"/>
  <c r="M318" i="1"/>
  <c r="M319" i="1"/>
  <c r="M320" i="1"/>
  <c r="M321" i="1"/>
  <c r="M322" i="1"/>
  <c r="L322" i="1"/>
  <c r="J322" i="1"/>
  <c r="G322" i="1"/>
  <c r="H322" i="1" s="1"/>
  <c r="L321" i="1"/>
  <c r="J321" i="1"/>
  <c r="G321" i="1"/>
  <c r="H321" i="1" s="1"/>
  <c r="L320" i="1"/>
  <c r="J320" i="1"/>
  <c r="G320" i="1"/>
  <c r="H320" i="1" s="1"/>
  <c r="L319" i="1"/>
  <c r="J319" i="1"/>
  <c r="G319" i="1"/>
  <c r="H319" i="1" s="1"/>
  <c r="L318" i="1"/>
  <c r="J318" i="1"/>
  <c r="G318" i="1"/>
  <c r="H318" i="1" s="1"/>
  <c r="L317" i="1"/>
  <c r="J317" i="1"/>
  <c r="G317" i="1"/>
  <c r="H317" i="1" s="1"/>
  <c r="L316" i="1"/>
  <c r="J316" i="1"/>
  <c r="G316" i="1"/>
  <c r="H316" i="1" s="1"/>
  <c r="O309" i="1"/>
  <c r="O310" i="1"/>
  <c r="O311" i="1"/>
  <c r="O312" i="1"/>
  <c r="O313" i="1"/>
  <c r="O314" i="1"/>
  <c r="O315" i="1"/>
  <c r="M309" i="1"/>
  <c r="M310" i="1"/>
  <c r="M311" i="1"/>
  <c r="M312" i="1"/>
  <c r="M313" i="1"/>
  <c r="M314" i="1"/>
  <c r="M315" i="1"/>
  <c r="L315" i="1"/>
  <c r="J315" i="1"/>
  <c r="G315" i="1"/>
  <c r="H315" i="1" s="1"/>
  <c r="L314" i="1"/>
  <c r="J314" i="1"/>
  <c r="G314" i="1"/>
  <c r="H314" i="1" s="1"/>
  <c r="L313" i="1"/>
  <c r="J313" i="1"/>
  <c r="G313" i="1"/>
  <c r="H313" i="1" s="1"/>
  <c r="L312" i="1"/>
  <c r="J312" i="1"/>
  <c r="G312" i="1"/>
  <c r="H312" i="1" s="1"/>
  <c r="L311" i="1"/>
  <c r="J311" i="1"/>
  <c r="G311" i="1"/>
  <c r="H311" i="1" s="1"/>
  <c r="L310" i="1"/>
  <c r="J310" i="1"/>
  <c r="G310" i="1"/>
  <c r="H310" i="1" s="1"/>
  <c r="L309" i="1"/>
  <c r="J309" i="1"/>
  <c r="G309" i="1"/>
  <c r="H309" i="1" s="1"/>
  <c r="O302" i="1"/>
  <c r="O303" i="1"/>
  <c r="O304" i="1"/>
  <c r="O305" i="1"/>
  <c r="O306" i="1"/>
  <c r="O307" i="1"/>
  <c r="O308" i="1"/>
  <c r="M302" i="1"/>
  <c r="M303" i="1"/>
  <c r="M304" i="1"/>
  <c r="M305" i="1"/>
  <c r="M306" i="1"/>
  <c r="M307" i="1"/>
  <c r="M308" i="1"/>
  <c r="L308" i="1"/>
  <c r="J308" i="1"/>
  <c r="G308" i="1"/>
  <c r="H308" i="1" s="1"/>
  <c r="L307" i="1"/>
  <c r="J307" i="1"/>
  <c r="G307" i="1"/>
  <c r="H307" i="1" s="1"/>
  <c r="L306" i="1"/>
  <c r="J306" i="1"/>
  <c r="G306" i="1"/>
  <c r="H306" i="1" s="1"/>
  <c r="L305" i="1"/>
  <c r="J305" i="1"/>
  <c r="G305" i="1"/>
  <c r="H305" i="1" s="1"/>
  <c r="J304" i="1"/>
  <c r="G304" i="1"/>
  <c r="H304" i="1" s="1"/>
  <c r="J303" i="1"/>
  <c r="G303" i="1"/>
  <c r="H303" i="1" s="1"/>
  <c r="J302" i="1"/>
  <c r="H302" i="1"/>
  <c r="O295" i="1"/>
  <c r="O296" i="1"/>
  <c r="O297" i="1"/>
  <c r="O298" i="1"/>
  <c r="O299" i="1"/>
  <c r="O300" i="1"/>
  <c r="M295" i="1"/>
  <c r="M296" i="1"/>
  <c r="M297" i="1"/>
  <c r="M298" i="1"/>
  <c r="M299" i="1"/>
  <c r="M300" i="1"/>
  <c r="M301" i="1"/>
  <c r="O301" i="1" s="1"/>
  <c r="J301" i="1"/>
  <c r="H301" i="1"/>
  <c r="G301" i="1"/>
  <c r="J300" i="1"/>
  <c r="H300" i="1"/>
  <c r="G300" i="1"/>
  <c r="J299" i="1"/>
  <c r="H299" i="1"/>
  <c r="G299" i="1"/>
  <c r="J298" i="1"/>
  <c r="G298" i="1"/>
  <c r="H298" i="1" s="1"/>
  <c r="J297" i="1"/>
  <c r="G297" i="1"/>
  <c r="H297" i="1" s="1"/>
  <c r="J296" i="1"/>
  <c r="G296" i="1"/>
  <c r="H296" i="1" s="1"/>
  <c r="J295" i="1"/>
  <c r="G295" i="1"/>
  <c r="H295" i="1" s="1"/>
  <c r="O288" i="1"/>
  <c r="O289" i="1"/>
  <c r="O290" i="1"/>
  <c r="O291" i="1"/>
  <c r="O292" i="1"/>
  <c r="O293" i="1"/>
  <c r="O294" i="1"/>
  <c r="M288" i="1"/>
  <c r="M289" i="1"/>
  <c r="M290" i="1"/>
  <c r="M291" i="1"/>
  <c r="M292" i="1"/>
  <c r="M293" i="1"/>
  <c r="M294" i="1"/>
  <c r="J294" i="1"/>
  <c r="G294" i="1"/>
  <c r="H294" i="1" s="1"/>
  <c r="J293" i="1"/>
  <c r="G293" i="1"/>
  <c r="H293" i="1" s="1"/>
  <c r="J292" i="1"/>
  <c r="H292" i="1"/>
  <c r="G292" i="1"/>
  <c r="J291" i="1"/>
  <c r="G291" i="1"/>
  <c r="H291" i="1" s="1"/>
  <c r="J290" i="1"/>
  <c r="H290" i="1"/>
  <c r="G290" i="1"/>
  <c r="J289" i="1"/>
  <c r="H289" i="1"/>
  <c r="G289" i="1"/>
  <c r="J288" i="1"/>
  <c r="G288" i="1"/>
  <c r="H288" i="1" s="1"/>
  <c r="M286" i="1"/>
  <c r="O286" i="1" s="1"/>
  <c r="M287" i="1"/>
  <c r="O287" i="1" s="1"/>
  <c r="M285" i="1"/>
  <c r="O285" i="1" s="1"/>
  <c r="J287" i="1"/>
  <c r="G287" i="1"/>
  <c r="H287" i="1" s="1"/>
  <c r="J286" i="1"/>
  <c r="G286" i="1"/>
  <c r="H286" i="1" s="1"/>
  <c r="J285" i="1"/>
  <c r="H285" i="1"/>
  <c r="G285" i="1"/>
  <c r="J284" i="1"/>
  <c r="J283" i="1"/>
  <c r="J282" i="1"/>
  <c r="J281" i="1"/>
  <c r="J280" i="1"/>
  <c r="J279" i="1"/>
  <c r="J278" i="1"/>
  <c r="J277" i="1"/>
  <c r="J276" i="1"/>
  <c r="J275" i="1"/>
  <c r="J274" i="1"/>
  <c r="M267" i="1"/>
  <c r="O267" i="1" s="1"/>
  <c r="M268" i="1"/>
  <c r="O268" i="1" s="1"/>
  <c r="M269" i="1"/>
  <c r="O269" i="1" s="1"/>
  <c r="J273" i="1"/>
  <c r="J272" i="1"/>
  <c r="J271" i="1"/>
  <c r="J270" i="1"/>
  <c r="J269" i="1"/>
  <c r="G269" i="1"/>
  <c r="H269" i="1" s="1"/>
  <c r="J268" i="1"/>
  <c r="G268" i="1"/>
  <c r="H268" i="1" s="1"/>
  <c r="J267" i="1"/>
  <c r="G267" i="1"/>
  <c r="H267" i="1" s="1"/>
  <c r="O260" i="1"/>
  <c r="O261" i="1"/>
  <c r="O262" i="1"/>
  <c r="O263" i="1"/>
  <c r="O264" i="1"/>
  <c r="O265" i="1"/>
  <c r="O266" i="1"/>
  <c r="M260" i="1"/>
  <c r="M261" i="1"/>
  <c r="M262" i="1"/>
  <c r="M263" i="1"/>
  <c r="M264" i="1"/>
  <c r="M265" i="1"/>
  <c r="M266" i="1"/>
  <c r="J266" i="1"/>
  <c r="G266" i="1"/>
  <c r="H266" i="1" s="1"/>
  <c r="L265" i="1"/>
  <c r="J265" i="1"/>
  <c r="G265" i="1"/>
  <c r="H265" i="1" s="1"/>
  <c r="L264" i="1"/>
  <c r="J264" i="1"/>
  <c r="G264" i="1"/>
  <c r="H264" i="1" s="1"/>
  <c r="L263" i="1"/>
  <c r="J263" i="1"/>
  <c r="G263" i="1"/>
  <c r="H263" i="1" s="1"/>
  <c r="L262" i="1"/>
  <c r="J262" i="1"/>
  <c r="G262" i="1"/>
  <c r="H262" i="1" s="1"/>
  <c r="L261" i="1"/>
  <c r="J261" i="1"/>
  <c r="G261" i="1"/>
  <c r="H261" i="1" s="1"/>
  <c r="L260" i="1"/>
  <c r="J260" i="1"/>
  <c r="G260" i="1"/>
  <c r="H260" i="1" s="1"/>
  <c r="O253" i="1"/>
  <c r="O254" i="1"/>
  <c r="O255" i="1"/>
  <c r="O256" i="1"/>
  <c r="O257" i="1"/>
  <c r="O258" i="1"/>
  <c r="O259" i="1"/>
  <c r="M253" i="1"/>
  <c r="M254" i="1"/>
  <c r="M255" i="1"/>
  <c r="M256" i="1"/>
  <c r="M257" i="1"/>
  <c r="M258" i="1"/>
  <c r="M259" i="1"/>
  <c r="L259" i="1"/>
  <c r="J259" i="1"/>
  <c r="H259" i="1"/>
  <c r="G259" i="1"/>
  <c r="L258" i="1"/>
  <c r="J258" i="1"/>
  <c r="G258" i="1"/>
  <c r="H258" i="1" s="1"/>
  <c r="L257" i="1"/>
  <c r="J257" i="1"/>
  <c r="H257" i="1"/>
  <c r="G257" i="1"/>
  <c r="L256" i="1"/>
  <c r="J256" i="1"/>
  <c r="G256" i="1"/>
  <c r="H256" i="1" s="1"/>
  <c r="L255" i="1"/>
  <c r="J255" i="1"/>
  <c r="H255" i="1"/>
  <c r="G255" i="1"/>
  <c r="J254" i="1"/>
  <c r="G254" i="1"/>
  <c r="H254" i="1" s="1"/>
  <c r="L253" i="1"/>
  <c r="J253" i="1"/>
  <c r="H253" i="1"/>
  <c r="G253" i="1"/>
  <c r="O246" i="1"/>
  <c r="O247" i="1"/>
  <c r="O248" i="1"/>
  <c r="O249" i="1"/>
  <c r="O250" i="1"/>
  <c r="O251" i="1"/>
  <c r="O252" i="1"/>
  <c r="M246" i="1"/>
  <c r="M247" i="1"/>
  <c r="M248" i="1"/>
  <c r="M249" i="1"/>
  <c r="M250" i="1"/>
  <c r="M251" i="1"/>
  <c r="M252" i="1"/>
  <c r="L252" i="1"/>
  <c r="J252" i="1"/>
  <c r="G252" i="1"/>
  <c r="H252" i="1" s="1"/>
  <c r="L251" i="1"/>
  <c r="J251" i="1"/>
  <c r="G251" i="1"/>
  <c r="H251" i="1" s="1"/>
  <c r="L250" i="1"/>
  <c r="J250" i="1"/>
  <c r="G250" i="1"/>
  <c r="H250" i="1" s="1"/>
  <c r="L249" i="1"/>
  <c r="J249" i="1"/>
  <c r="G249" i="1"/>
  <c r="H249" i="1" s="1"/>
  <c r="L248" i="1"/>
  <c r="J248" i="1"/>
  <c r="G248" i="1"/>
  <c r="H248" i="1" s="1"/>
  <c r="L247" i="1"/>
  <c r="J247" i="1"/>
  <c r="G247" i="1"/>
  <c r="H247" i="1" s="1"/>
  <c r="L246" i="1"/>
  <c r="J246" i="1"/>
  <c r="G246" i="1"/>
  <c r="H246" i="1" s="1"/>
  <c r="O239" i="1"/>
  <c r="O240" i="1"/>
  <c r="O242" i="1"/>
  <c r="O243" i="1"/>
  <c r="O244" i="1"/>
  <c r="O245" i="1"/>
  <c r="M239" i="1"/>
  <c r="M240" i="1"/>
  <c r="M241" i="1"/>
  <c r="O241" i="1" s="1"/>
  <c r="M242" i="1"/>
  <c r="M243" i="1"/>
  <c r="M244" i="1"/>
  <c r="M245" i="1"/>
  <c r="L245" i="1"/>
  <c r="J245" i="1"/>
  <c r="H245" i="1"/>
  <c r="G245" i="1"/>
  <c r="L244" i="1"/>
  <c r="J244" i="1"/>
  <c r="G244" i="1"/>
  <c r="H244" i="1" s="1"/>
  <c r="L243" i="1"/>
  <c r="J243" i="1"/>
  <c r="H243" i="1"/>
  <c r="G243" i="1"/>
  <c r="L242" i="1"/>
  <c r="J242" i="1"/>
  <c r="G242" i="1"/>
  <c r="H242" i="1" s="1"/>
  <c r="J241" i="1"/>
  <c r="H241" i="1"/>
  <c r="G241" i="1"/>
  <c r="J240" i="1"/>
  <c r="G240" i="1"/>
  <c r="H240" i="1" s="1"/>
  <c r="J239" i="1"/>
  <c r="H239" i="1"/>
  <c r="G239" i="1"/>
  <c r="O233" i="1"/>
  <c r="O235" i="1"/>
  <c r="O236" i="1"/>
  <c r="O237" i="1"/>
  <c r="M232" i="1"/>
  <c r="O232" i="1" s="1"/>
  <c r="M233" i="1"/>
  <c r="M234" i="1"/>
  <c r="O234" i="1" s="1"/>
  <c r="M235" i="1"/>
  <c r="M236" i="1"/>
  <c r="M237" i="1"/>
  <c r="M238" i="1"/>
  <c r="O238" i="1" s="1"/>
  <c r="J238" i="1"/>
  <c r="H238" i="1"/>
  <c r="G238" i="1"/>
  <c r="J237" i="1"/>
  <c r="G237" i="1"/>
  <c r="H237" i="1" s="1"/>
  <c r="J236" i="1"/>
  <c r="H236" i="1"/>
  <c r="G236" i="1"/>
  <c r="J235" i="1"/>
  <c r="G235" i="1"/>
  <c r="H235" i="1" s="1"/>
  <c r="J234" i="1"/>
  <c r="H234" i="1"/>
  <c r="G234" i="1"/>
  <c r="J233" i="1"/>
  <c r="G233" i="1"/>
  <c r="H233" i="1" s="1"/>
  <c r="J232" i="1"/>
  <c r="H232" i="1"/>
  <c r="G232" i="1"/>
  <c r="O225" i="1"/>
  <c r="O226" i="1"/>
  <c r="O227" i="1"/>
  <c r="O228" i="1"/>
  <c r="O229" i="1"/>
  <c r="O230" i="1"/>
  <c r="M225" i="1"/>
  <c r="M226" i="1"/>
  <c r="M227" i="1"/>
  <c r="M228" i="1"/>
  <c r="M229" i="1"/>
  <c r="M230" i="1"/>
  <c r="M231" i="1"/>
  <c r="O231" i="1" s="1"/>
  <c r="J231" i="1"/>
  <c r="G231" i="1"/>
  <c r="H231" i="1" s="1"/>
  <c r="J230" i="1"/>
  <c r="G230" i="1"/>
  <c r="H230" i="1" s="1"/>
  <c r="J229" i="1"/>
  <c r="G229" i="1"/>
  <c r="H229" i="1" s="1"/>
  <c r="J228" i="1"/>
  <c r="G228" i="1"/>
  <c r="H228" i="1" s="1"/>
  <c r="L227" i="1"/>
  <c r="J227" i="1"/>
  <c r="G227" i="1"/>
  <c r="H227" i="1" s="1"/>
  <c r="L226" i="1"/>
  <c r="J226" i="1"/>
  <c r="G226" i="1"/>
  <c r="H226" i="1" s="1"/>
  <c r="L225" i="1"/>
  <c r="J225" i="1"/>
  <c r="G225" i="1"/>
  <c r="H225" i="1" s="1"/>
  <c r="O218" i="1"/>
  <c r="O219" i="1"/>
  <c r="O220" i="1"/>
  <c r="O221" i="1"/>
  <c r="O222" i="1"/>
  <c r="O223" i="1"/>
  <c r="O224" i="1"/>
  <c r="M218" i="1"/>
  <c r="M219" i="1"/>
  <c r="M220" i="1"/>
  <c r="M221" i="1"/>
  <c r="M222" i="1"/>
  <c r="M223" i="1"/>
  <c r="M224" i="1"/>
  <c r="L224" i="1"/>
  <c r="J224" i="1"/>
  <c r="G224" i="1"/>
  <c r="H224" i="1" s="1"/>
  <c r="L223" i="1"/>
  <c r="J223" i="1"/>
  <c r="G223" i="1"/>
  <c r="H223" i="1" s="1"/>
  <c r="L222" i="1"/>
  <c r="J222" i="1"/>
  <c r="H222" i="1"/>
  <c r="G222" i="1"/>
  <c r="L221" i="1"/>
  <c r="J221" i="1"/>
  <c r="G221" i="1"/>
  <c r="H221" i="1" s="1"/>
  <c r="L220" i="1"/>
  <c r="J220" i="1"/>
  <c r="H220" i="1"/>
  <c r="G220" i="1"/>
  <c r="L219" i="1"/>
  <c r="J219" i="1"/>
  <c r="G219" i="1"/>
  <c r="H219" i="1" s="1"/>
  <c r="L218" i="1"/>
  <c r="J218" i="1"/>
  <c r="H218" i="1"/>
  <c r="G218" i="1"/>
  <c r="O211" i="1"/>
  <c r="O212" i="1"/>
  <c r="O213" i="1"/>
  <c r="O214" i="1"/>
  <c r="O215" i="1"/>
  <c r="O216" i="1"/>
  <c r="O217" i="1"/>
  <c r="M211" i="1"/>
  <c r="M212" i="1"/>
  <c r="M213" i="1"/>
  <c r="M214" i="1"/>
  <c r="M215" i="1"/>
  <c r="M216" i="1"/>
  <c r="M217" i="1"/>
  <c r="L217" i="1"/>
  <c r="J217" i="1"/>
  <c r="G217" i="1"/>
  <c r="H217" i="1" s="1"/>
  <c r="L216" i="1"/>
  <c r="J216" i="1"/>
  <c r="G216" i="1"/>
  <c r="H216" i="1" s="1"/>
  <c r="L215" i="1"/>
  <c r="J215" i="1"/>
  <c r="G215" i="1"/>
  <c r="H215" i="1" s="1"/>
  <c r="L214" i="1"/>
  <c r="J214" i="1"/>
  <c r="G214" i="1"/>
  <c r="H214" i="1" s="1"/>
  <c r="L213" i="1"/>
  <c r="J213" i="1"/>
  <c r="G213" i="1"/>
  <c r="H213" i="1" s="1"/>
  <c r="L212" i="1"/>
  <c r="J212" i="1"/>
  <c r="G212" i="1"/>
  <c r="H212" i="1" s="1"/>
  <c r="L211" i="1"/>
  <c r="J211" i="1"/>
  <c r="G211" i="1"/>
  <c r="H211" i="1" s="1"/>
  <c r="O204" i="1"/>
  <c r="O205" i="1"/>
  <c r="O206" i="1"/>
  <c r="O207" i="1"/>
  <c r="O208" i="1"/>
  <c r="O210" i="1"/>
  <c r="M204" i="1"/>
  <c r="M205" i="1"/>
  <c r="M206" i="1"/>
  <c r="M207" i="1"/>
  <c r="M208" i="1"/>
  <c r="M209" i="1"/>
  <c r="O209" i="1" s="1"/>
  <c r="M210" i="1"/>
  <c r="L210" i="1"/>
  <c r="J210" i="1"/>
  <c r="G210" i="1"/>
  <c r="H210" i="1" s="1"/>
  <c r="J209" i="1"/>
  <c r="G209" i="1"/>
  <c r="H209" i="1" s="1"/>
  <c r="J208" i="1"/>
  <c r="G208" i="1"/>
  <c r="H208" i="1" s="1"/>
  <c r="J207" i="1"/>
  <c r="G207" i="1"/>
  <c r="H207" i="1" s="1"/>
  <c r="J206" i="1"/>
  <c r="G206" i="1"/>
  <c r="H206" i="1" s="1"/>
  <c r="L205" i="1"/>
  <c r="J205" i="1"/>
  <c r="G205" i="1"/>
  <c r="H205" i="1" s="1"/>
  <c r="L204" i="1"/>
  <c r="J204" i="1"/>
  <c r="G204" i="1"/>
  <c r="H204" i="1" s="1"/>
  <c r="O197" i="1"/>
  <c r="O198" i="1"/>
  <c r="O199" i="1"/>
  <c r="O200" i="1"/>
  <c r="O201" i="1"/>
  <c r="O202" i="1"/>
  <c r="O203" i="1"/>
  <c r="M197" i="1"/>
  <c r="M198" i="1"/>
  <c r="M199" i="1"/>
  <c r="M200" i="1"/>
  <c r="M201" i="1"/>
  <c r="M202" i="1"/>
  <c r="M203" i="1"/>
  <c r="L203" i="1"/>
  <c r="J203" i="1"/>
  <c r="G203" i="1"/>
  <c r="H203" i="1" s="1"/>
  <c r="L202" i="1"/>
  <c r="J202" i="1"/>
  <c r="G202" i="1"/>
  <c r="H202" i="1" s="1"/>
  <c r="L201" i="1"/>
  <c r="J201" i="1"/>
  <c r="G201" i="1"/>
  <c r="H201" i="1" s="1"/>
  <c r="L200" i="1"/>
  <c r="J200" i="1"/>
  <c r="G200" i="1"/>
  <c r="H200" i="1" s="1"/>
  <c r="L199" i="1"/>
  <c r="J199" i="1"/>
  <c r="G199" i="1"/>
  <c r="H199" i="1" s="1"/>
  <c r="L198" i="1"/>
  <c r="J198" i="1"/>
  <c r="G198" i="1"/>
  <c r="H198" i="1" s="1"/>
  <c r="L197" i="1"/>
  <c r="J197" i="1"/>
  <c r="G197" i="1"/>
  <c r="H197" i="1" s="1"/>
  <c r="O190" i="1"/>
  <c r="O191" i="1"/>
  <c r="O192" i="1"/>
  <c r="O193" i="1"/>
  <c r="O194" i="1"/>
  <c r="O195" i="1"/>
  <c r="O196" i="1"/>
  <c r="M190" i="1"/>
  <c r="M191" i="1"/>
  <c r="M192" i="1"/>
  <c r="M193" i="1"/>
  <c r="M194" i="1"/>
  <c r="M195" i="1"/>
  <c r="M196" i="1"/>
  <c r="L196" i="1"/>
  <c r="J196" i="1"/>
  <c r="H196" i="1"/>
  <c r="G196" i="1"/>
  <c r="L195" i="1"/>
  <c r="J195" i="1"/>
  <c r="G195" i="1"/>
  <c r="H195" i="1" s="1"/>
  <c r="L194" i="1"/>
  <c r="J194" i="1"/>
  <c r="H194" i="1"/>
  <c r="G194" i="1"/>
  <c r="L193" i="1"/>
  <c r="J193" i="1"/>
  <c r="G193" i="1"/>
  <c r="H193" i="1" s="1"/>
  <c r="L192" i="1"/>
  <c r="J192" i="1"/>
  <c r="H192" i="1"/>
  <c r="G192" i="1"/>
  <c r="L191" i="1"/>
  <c r="J191" i="1"/>
  <c r="G191" i="1"/>
  <c r="H191" i="1" s="1"/>
  <c r="L190" i="1"/>
  <c r="J190" i="1"/>
  <c r="H190" i="1"/>
  <c r="G190" i="1"/>
  <c r="O183" i="1"/>
  <c r="O184" i="1"/>
  <c r="O185" i="1"/>
  <c r="O186" i="1"/>
  <c r="O187" i="1"/>
  <c r="M183" i="1"/>
  <c r="M184" i="1"/>
  <c r="M185" i="1"/>
  <c r="M186" i="1"/>
  <c r="M187" i="1"/>
  <c r="M188" i="1"/>
  <c r="O188" i="1" s="1"/>
  <c r="M189" i="1"/>
  <c r="O189" i="1" s="1"/>
  <c r="J189" i="1"/>
  <c r="G189" i="1"/>
  <c r="H189" i="1" s="1"/>
  <c r="J188" i="1"/>
  <c r="G188" i="1"/>
  <c r="H188" i="1" s="1"/>
  <c r="J187" i="1"/>
  <c r="H187" i="1"/>
  <c r="G187" i="1"/>
  <c r="J186" i="1"/>
  <c r="G186" i="1"/>
  <c r="H186" i="1" s="1"/>
  <c r="J185" i="1"/>
  <c r="H185" i="1"/>
  <c r="G185" i="1"/>
  <c r="J184" i="1"/>
  <c r="H184" i="1"/>
  <c r="G184" i="1"/>
  <c r="J183" i="1"/>
  <c r="H183" i="1"/>
  <c r="G183" i="1"/>
  <c r="O179" i="1" l="1"/>
  <c r="O180" i="1"/>
  <c r="O181" i="1"/>
  <c r="O182" i="1"/>
  <c r="O177" i="1"/>
  <c r="M178" i="1"/>
  <c r="O178" i="1" s="1"/>
  <c r="M179" i="1"/>
  <c r="M180" i="1"/>
  <c r="M181" i="1"/>
  <c r="M182" i="1"/>
  <c r="M177" i="1"/>
  <c r="J182" i="1"/>
  <c r="H182" i="1"/>
  <c r="G182" i="1"/>
  <c r="J181" i="1"/>
  <c r="G181" i="1"/>
  <c r="H181" i="1" s="1"/>
  <c r="J180" i="1"/>
  <c r="H180" i="1"/>
  <c r="G180" i="1"/>
  <c r="J179" i="1"/>
  <c r="G179" i="1"/>
  <c r="H179" i="1" s="1"/>
  <c r="J178" i="1"/>
  <c r="H178" i="1"/>
  <c r="G178" i="1"/>
  <c r="J177" i="1"/>
  <c r="H177" i="1"/>
  <c r="G177" i="1"/>
  <c r="J176" i="1"/>
  <c r="J175" i="1"/>
  <c r="J174" i="1"/>
  <c r="J173" i="1"/>
  <c r="J172" i="1"/>
  <c r="J171" i="1"/>
  <c r="J170" i="1"/>
  <c r="J169" i="1"/>
  <c r="O147" i="1"/>
  <c r="J168" i="1"/>
  <c r="J167" i="1"/>
  <c r="J166" i="1"/>
  <c r="J165" i="1"/>
  <c r="J164" i="1"/>
  <c r="J163" i="1"/>
  <c r="J162" i="1"/>
  <c r="J161" i="1"/>
  <c r="J160" i="1"/>
  <c r="J159" i="1"/>
  <c r="M158" i="1" l="1"/>
  <c r="O158" i="1" s="1"/>
  <c r="J158" i="1"/>
  <c r="J157" i="1"/>
  <c r="M157" i="1" s="1"/>
  <c r="O157" i="1" s="1"/>
  <c r="J156" i="1"/>
  <c r="M156" i="1" s="1"/>
  <c r="O156" i="1" s="1"/>
  <c r="M155" i="1"/>
  <c r="O155" i="1" s="1"/>
  <c r="J155" i="1"/>
  <c r="J154" i="1"/>
  <c r="M154" i="1" s="1"/>
  <c r="O154" i="1" s="1"/>
  <c r="J153" i="1"/>
  <c r="M153" i="1" s="1"/>
  <c r="M152" i="1"/>
  <c r="O152" i="1" s="1"/>
  <c r="J152" i="1"/>
  <c r="O146" i="1"/>
  <c r="O148" i="1"/>
  <c r="O150" i="1"/>
  <c r="M151" i="1"/>
  <c r="O151" i="1" s="1"/>
  <c r="J151" i="1"/>
  <c r="H151" i="1"/>
  <c r="G151" i="1"/>
  <c r="J150" i="1"/>
  <c r="M150" i="1" s="1"/>
  <c r="G150" i="1"/>
  <c r="H150" i="1" s="1"/>
  <c r="J149" i="1"/>
  <c r="M149" i="1" s="1"/>
  <c r="O149" i="1" s="1"/>
  <c r="M148" i="1"/>
  <c r="L148" i="1"/>
  <c r="J148" i="1"/>
  <c r="L147" i="1"/>
  <c r="J147" i="1"/>
  <c r="M147" i="1" s="1"/>
  <c r="L146" i="1"/>
  <c r="J146" i="1"/>
  <c r="M146" i="1" s="1"/>
  <c r="L145" i="1"/>
  <c r="M145" i="1" s="1"/>
  <c r="J145" i="1"/>
  <c r="O138" i="1"/>
  <c r="O139" i="1"/>
  <c r="O143" i="1"/>
  <c r="L144" i="1"/>
  <c r="M144" i="1" s="1"/>
  <c r="J144" i="1"/>
  <c r="G144" i="1"/>
  <c r="H144" i="1" s="1"/>
  <c r="L143" i="1"/>
  <c r="J143" i="1"/>
  <c r="M143" i="1" s="1"/>
  <c r="G143" i="1"/>
  <c r="H143" i="1" s="1"/>
  <c r="J142" i="1"/>
  <c r="M142" i="1" s="1"/>
  <c r="O142" i="1" s="1"/>
  <c r="H142" i="1"/>
  <c r="M141" i="1"/>
  <c r="O141" i="1" s="1"/>
  <c r="J141" i="1"/>
  <c r="G141" i="1"/>
  <c r="H141" i="1" s="1"/>
  <c r="M140" i="1"/>
  <c r="O140" i="1" s="1"/>
  <c r="J140" i="1"/>
  <c r="H140" i="1"/>
  <c r="G140" i="1"/>
  <c r="L139" i="1"/>
  <c r="J139" i="1"/>
  <c r="M139" i="1" s="1"/>
  <c r="G139" i="1"/>
  <c r="H139" i="1" s="1"/>
  <c r="L138" i="1"/>
  <c r="J138" i="1"/>
  <c r="M138" i="1" s="1"/>
  <c r="H138" i="1"/>
  <c r="G138" i="1"/>
  <c r="O131" i="1"/>
  <c r="O132" i="1"/>
  <c r="O133" i="1"/>
  <c r="O134" i="1"/>
  <c r="O135" i="1"/>
  <c r="O137" i="1"/>
  <c r="L137" i="1"/>
  <c r="J137" i="1"/>
  <c r="M137" i="1" s="1"/>
  <c r="G137" i="1"/>
  <c r="H137" i="1" s="1"/>
  <c r="J136" i="1"/>
  <c r="M136" i="1" s="1"/>
  <c r="O136" i="1" s="1"/>
  <c r="G136" i="1"/>
  <c r="H136" i="1" s="1"/>
  <c r="L135" i="1"/>
  <c r="J135" i="1"/>
  <c r="M135" i="1" s="1"/>
  <c r="H135" i="1"/>
  <c r="G135" i="1"/>
  <c r="M134" i="1"/>
  <c r="L134" i="1"/>
  <c r="J134" i="1"/>
  <c r="G134" i="1"/>
  <c r="H134" i="1" s="1"/>
  <c r="L133" i="1"/>
  <c r="M133" i="1" s="1"/>
  <c r="J133" i="1"/>
  <c r="H133" i="1"/>
  <c r="G133" i="1"/>
  <c r="L132" i="1"/>
  <c r="J132" i="1"/>
  <c r="M132" i="1" s="1"/>
  <c r="G132" i="1"/>
  <c r="H132" i="1" s="1"/>
  <c r="L131" i="1"/>
  <c r="M131" i="1" s="1"/>
  <c r="J131" i="1"/>
  <c r="G131" i="1"/>
  <c r="H131" i="1" s="1"/>
  <c r="O124" i="1"/>
  <c r="O125" i="1"/>
  <c r="O126" i="1"/>
  <c r="O127" i="1"/>
  <c r="O128" i="1"/>
  <c r="O129" i="1"/>
  <c r="O130" i="1"/>
  <c r="L130" i="1"/>
  <c r="J130" i="1"/>
  <c r="M130" i="1" s="1"/>
  <c r="H130" i="1"/>
  <c r="G130" i="1"/>
  <c r="L129" i="1"/>
  <c r="J129" i="1"/>
  <c r="M129" i="1" s="1"/>
  <c r="G129" i="1"/>
  <c r="H129" i="1" s="1"/>
  <c r="L128" i="1"/>
  <c r="J128" i="1"/>
  <c r="M128" i="1" s="1"/>
  <c r="G128" i="1"/>
  <c r="H128" i="1" s="1"/>
  <c r="M127" i="1"/>
  <c r="L127" i="1"/>
  <c r="J127" i="1"/>
  <c r="G127" i="1"/>
  <c r="H127" i="1" s="1"/>
  <c r="M126" i="1"/>
  <c r="L126" i="1"/>
  <c r="J126" i="1"/>
  <c r="H126" i="1"/>
  <c r="G126" i="1"/>
  <c r="L125" i="1"/>
  <c r="J125" i="1"/>
  <c r="M125" i="1" s="1"/>
  <c r="H125" i="1"/>
  <c r="G125" i="1"/>
  <c r="L124" i="1"/>
  <c r="J124" i="1"/>
  <c r="M124" i="1" s="1"/>
  <c r="H124" i="1"/>
  <c r="G124" i="1"/>
  <c r="O122" i="1"/>
  <c r="O123" i="1"/>
  <c r="L123" i="1"/>
  <c r="M123" i="1" s="1"/>
  <c r="J123" i="1"/>
  <c r="H123" i="1"/>
  <c r="G123" i="1"/>
  <c r="L122" i="1"/>
  <c r="J122" i="1"/>
  <c r="M122" i="1" s="1"/>
  <c r="G122" i="1"/>
  <c r="H122" i="1" s="1"/>
  <c r="J121" i="1"/>
  <c r="M121" i="1" s="1"/>
  <c r="O121" i="1" s="1"/>
  <c r="G121" i="1"/>
  <c r="H121" i="1" s="1"/>
  <c r="M120" i="1"/>
  <c r="O120" i="1" s="1"/>
  <c r="J120" i="1"/>
  <c r="G120" i="1"/>
  <c r="H120" i="1" s="1"/>
  <c r="J119" i="1"/>
  <c r="M119" i="1" s="1"/>
  <c r="O119" i="1" s="1"/>
  <c r="H119" i="1"/>
  <c r="G119" i="1"/>
  <c r="J118" i="1"/>
  <c r="M118" i="1" s="1"/>
  <c r="O118" i="1" s="1"/>
  <c r="G118" i="1"/>
  <c r="H118" i="1" s="1"/>
  <c r="M117" i="1"/>
  <c r="O117" i="1" s="1"/>
  <c r="J117" i="1"/>
  <c r="H117" i="1"/>
  <c r="G117" i="1"/>
  <c r="O110" i="1"/>
  <c r="O111" i="1"/>
  <c r="O112" i="1"/>
  <c r="O113" i="1"/>
  <c r="O114" i="1"/>
  <c r="J116" i="1"/>
  <c r="M116" i="1" s="1"/>
  <c r="O116" i="1" s="1"/>
  <c r="G116" i="1"/>
  <c r="H116" i="1" s="1"/>
  <c r="J115" i="1"/>
  <c r="M115" i="1" s="1"/>
  <c r="O115" i="1" s="1"/>
  <c r="G115" i="1"/>
  <c r="H115" i="1" s="1"/>
  <c r="M114" i="1"/>
  <c r="J114" i="1"/>
  <c r="H114" i="1"/>
  <c r="G114" i="1"/>
  <c r="M113" i="1"/>
  <c r="L113" i="1"/>
  <c r="J113" i="1"/>
  <c r="H113" i="1"/>
  <c r="G113" i="1"/>
  <c r="L112" i="1"/>
  <c r="J112" i="1"/>
  <c r="M112" i="1" s="1"/>
  <c r="H112" i="1"/>
  <c r="G112" i="1"/>
  <c r="L111" i="1"/>
  <c r="J111" i="1"/>
  <c r="M111" i="1" s="1"/>
  <c r="G111" i="1"/>
  <c r="H111" i="1" s="1"/>
  <c r="L110" i="1"/>
  <c r="M110" i="1" s="1"/>
  <c r="J110" i="1"/>
  <c r="G110" i="1"/>
  <c r="H110" i="1" s="1"/>
  <c r="O103" i="1"/>
  <c r="O104" i="1"/>
  <c r="O105" i="1"/>
  <c r="O106" i="1"/>
  <c r="O107" i="1"/>
  <c r="O108" i="1"/>
  <c r="O109" i="1"/>
  <c r="L109" i="1"/>
  <c r="J109" i="1"/>
  <c r="M109" i="1" s="1"/>
  <c r="H109" i="1"/>
  <c r="G109" i="1"/>
  <c r="M108" i="1"/>
  <c r="L108" i="1"/>
  <c r="J108" i="1"/>
  <c r="G108" i="1"/>
  <c r="H108" i="1" s="1"/>
  <c r="L107" i="1"/>
  <c r="M107" i="1" s="1"/>
  <c r="J107" i="1"/>
  <c r="H107" i="1"/>
  <c r="G107" i="1"/>
  <c r="M106" i="1"/>
  <c r="L106" i="1"/>
  <c r="J106" i="1"/>
  <c r="G106" i="1"/>
  <c r="H106" i="1" s="1"/>
  <c r="L105" i="1"/>
  <c r="J105" i="1"/>
  <c r="M105" i="1" s="1"/>
  <c r="H105" i="1"/>
  <c r="G105" i="1"/>
  <c r="L104" i="1"/>
  <c r="J104" i="1"/>
  <c r="M104" i="1" s="1"/>
  <c r="G104" i="1"/>
  <c r="H104" i="1" s="1"/>
  <c r="L103" i="1"/>
  <c r="M103" i="1" s="1"/>
  <c r="J103" i="1"/>
  <c r="H103" i="1"/>
  <c r="G103" i="1"/>
  <c r="O99" i="1"/>
  <c r="O101" i="1"/>
  <c r="O102" i="1"/>
  <c r="L102" i="1"/>
  <c r="J102" i="1"/>
  <c r="M102" i="1" s="1"/>
  <c r="H102" i="1"/>
  <c r="G102" i="1"/>
  <c r="L101" i="1"/>
  <c r="J101" i="1"/>
  <c r="M101" i="1" s="1"/>
  <c r="G101" i="1"/>
  <c r="H101" i="1" s="1"/>
  <c r="J100" i="1"/>
  <c r="M100" i="1" s="1"/>
  <c r="O100" i="1" s="1"/>
  <c r="G100" i="1"/>
  <c r="H100" i="1" s="1"/>
  <c r="M99" i="1"/>
  <c r="J99" i="1"/>
  <c r="G99" i="1"/>
  <c r="H99" i="1" s="1"/>
  <c r="M98" i="1"/>
  <c r="O98" i="1" s="1"/>
  <c r="J98" i="1"/>
  <c r="H98" i="1"/>
  <c r="G98" i="1"/>
  <c r="J97" i="1"/>
  <c r="M97" i="1" s="1"/>
  <c r="O97" i="1" s="1"/>
  <c r="H97" i="1"/>
  <c r="G97" i="1"/>
  <c r="J96" i="1"/>
  <c r="M96" i="1" s="1"/>
  <c r="O96" i="1" s="1"/>
  <c r="H96" i="1"/>
  <c r="G96" i="1"/>
  <c r="O89" i="1"/>
  <c r="O90" i="1"/>
  <c r="O91" i="1"/>
  <c r="O92" i="1"/>
  <c r="M95" i="1"/>
  <c r="O95" i="1" s="1"/>
  <c r="J95" i="1"/>
  <c r="G95" i="1"/>
  <c r="H95" i="1" s="1"/>
  <c r="J94" i="1"/>
  <c r="M94" i="1" s="1"/>
  <c r="O94" i="1" s="1"/>
  <c r="G94" i="1"/>
  <c r="H94" i="1" s="1"/>
  <c r="J93" i="1"/>
  <c r="M93" i="1" s="1"/>
  <c r="O93" i="1" s="1"/>
  <c r="H93" i="1"/>
  <c r="G93" i="1"/>
  <c r="M92" i="1"/>
  <c r="L92" i="1"/>
  <c r="J92" i="1"/>
  <c r="G92" i="1"/>
  <c r="H92" i="1" s="1"/>
  <c r="M91" i="1"/>
  <c r="L91" i="1"/>
  <c r="J91" i="1"/>
  <c r="H91" i="1"/>
  <c r="G91" i="1"/>
  <c r="L90" i="1"/>
  <c r="J90" i="1"/>
  <c r="M90" i="1" s="1"/>
  <c r="H90" i="1"/>
  <c r="G90" i="1"/>
  <c r="L89" i="1"/>
  <c r="J89" i="1"/>
  <c r="M89" i="1" s="1"/>
  <c r="H89" i="1"/>
  <c r="G89" i="1"/>
  <c r="O82" i="1"/>
  <c r="O83" i="1"/>
  <c r="O84" i="1"/>
  <c r="O85" i="1"/>
  <c r="O86" i="1"/>
  <c r="O88" i="1"/>
  <c r="L88" i="1"/>
  <c r="J88" i="1"/>
  <c r="M88" i="1" s="1"/>
  <c r="H88" i="1"/>
  <c r="G88" i="1"/>
  <c r="J87" i="1"/>
  <c r="M87" i="1" s="1"/>
  <c r="O87" i="1" s="1"/>
  <c r="G87" i="1"/>
  <c r="H87" i="1" s="1"/>
  <c r="L86" i="1"/>
  <c r="M86" i="1" s="1"/>
  <c r="J86" i="1"/>
  <c r="H86" i="1"/>
  <c r="G86" i="1"/>
  <c r="M85" i="1"/>
  <c r="L85" i="1"/>
  <c r="J85" i="1"/>
  <c r="G85" i="1"/>
  <c r="H85" i="1" s="1"/>
  <c r="L84" i="1"/>
  <c r="M84" i="1" s="1"/>
  <c r="J84" i="1"/>
  <c r="H84" i="1"/>
  <c r="G84" i="1"/>
  <c r="L83" i="1"/>
  <c r="J83" i="1"/>
  <c r="M83" i="1" s="1"/>
  <c r="G83" i="1"/>
  <c r="H83" i="1" s="1"/>
  <c r="L82" i="1"/>
  <c r="J82" i="1"/>
  <c r="M82" i="1" s="1"/>
  <c r="G82" i="1"/>
  <c r="H82" i="1" s="1"/>
  <c r="O80" i="1"/>
  <c r="O81" i="1"/>
  <c r="L81" i="1"/>
  <c r="J81" i="1"/>
  <c r="M81" i="1" s="1"/>
  <c r="H81" i="1"/>
  <c r="G81" i="1"/>
  <c r="L80" i="1"/>
  <c r="J80" i="1"/>
  <c r="M80" i="1" s="1"/>
  <c r="G80" i="1"/>
  <c r="H80" i="1" s="1"/>
  <c r="M79" i="1"/>
  <c r="O79" i="1" s="1"/>
  <c r="J79" i="1"/>
  <c r="G79" i="1"/>
  <c r="H79" i="1" s="1"/>
  <c r="M78" i="1"/>
  <c r="O78" i="1" s="1"/>
  <c r="J78" i="1"/>
  <c r="G78" i="1"/>
  <c r="H78" i="1" s="1"/>
  <c r="J77" i="1"/>
  <c r="M77" i="1" s="1"/>
  <c r="O77" i="1" s="1"/>
  <c r="H77" i="1"/>
  <c r="G77" i="1"/>
  <c r="J76" i="1"/>
  <c r="M76" i="1" s="1"/>
  <c r="O76" i="1" s="1"/>
  <c r="G76" i="1"/>
  <c r="H76" i="1" s="1"/>
  <c r="M75" i="1"/>
  <c r="O75" i="1" s="1"/>
  <c r="J75" i="1"/>
  <c r="G75" i="1"/>
  <c r="H75" i="1" s="1"/>
  <c r="O68" i="1"/>
  <c r="O69" i="1"/>
  <c r="O70" i="1"/>
  <c r="O71" i="1"/>
  <c r="J74" i="1"/>
  <c r="M74" i="1" s="1"/>
  <c r="O74" i="1" s="1"/>
  <c r="G74" i="1"/>
  <c r="H74" i="1" s="1"/>
  <c r="J73" i="1"/>
  <c r="M73" i="1" s="1"/>
  <c r="O73" i="1" s="1"/>
  <c r="G73" i="1"/>
  <c r="H73" i="1" s="1"/>
  <c r="J72" i="1"/>
  <c r="M72" i="1" s="1"/>
  <c r="O72" i="1" s="1"/>
  <c r="G72" i="1"/>
  <c r="H72" i="1" s="1"/>
  <c r="M71" i="1"/>
  <c r="L71" i="1"/>
  <c r="J71" i="1"/>
  <c r="G71" i="1"/>
  <c r="H71" i="1" s="1"/>
  <c r="L70" i="1"/>
  <c r="J70" i="1"/>
  <c r="M70" i="1" s="1"/>
  <c r="H70" i="1"/>
  <c r="G70" i="1"/>
  <c r="L69" i="1"/>
  <c r="J69" i="1"/>
  <c r="M69" i="1" s="1"/>
  <c r="G69" i="1"/>
  <c r="H69" i="1" s="1"/>
  <c r="L68" i="1"/>
  <c r="M68" i="1" s="1"/>
  <c r="J68" i="1"/>
  <c r="G68" i="1"/>
  <c r="H68" i="1" s="1"/>
  <c r="O63" i="1"/>
  <c r="O64" i="1"/>
  <c r="O65" i="1"/>
  <c r="O66" i="1"/>
  <c r="O67" i="1"/>
  <c r="L67" i="1"/>
  <c r="J67" i="1"/>
  <c r="M67" i="1" s="1"/>
  <c r="H67" i="1"/>
  <c r="G67" i="1"/>
  <c r="L66" i="1"/>
  <c r="J66" i="1"/>
  <c r="M66" i="1" s="1"/>
  <c r="G66" i="1"/>
  <c r="H66" i="1" s="1"/>
  <c r="L65" i="1"/>
  <c r="J65" i="1"/>
  <c r="M65" i="1" s="1"/>
  <c r="G65" i="1"/>
  <c r="H65" i="1" s="1"/>
  <c r="M64" i="1"/>
  <c r="L64" i="1"/>
  <c r="J64" i="1"/>
  <c r="G64" i="1"/>
  <c r="H64" i="1" s="1"/>
  <c r="L63" i="1"/>
  <c r="J63" i="1"/>
  <c r="M63" i="1" s="1"/>
  <c r="H63" i="1"/>
  <c r="G63" i="1"/>
  <c r="O61" i="1"/>
  <c r="O62" i="1"/>
  <c r="L62" i="1"/>
  <c r="J62" i="1"/>
  <c r="M62" i="1" s="1"/>
  <c r="G62" i="1"/>
  <c r="H62" i="1" s="1"/>
  <c r="L61" i="1"/>
  <c r="J61" i="1"/>
  <c r="M61" i="1" s="1"/>
  <c r="G61" i="1"/>
  <c r="H61" i="1" s="1"/>
  <c r="O59" i="1"/>
  <c r="O60" i="1"/>
  <c r="L60" i="1"/>
  <c r="J60" i="1"/>
  <c r="M60" i="1" s="1"/>
  <c r="H60" i="1"/>
  <c r="G60" i="1"/>
  <c r="L59" i="1"/>
  <c r="J59" i="1"/>
  <c r="M59" i="1" s="1"/>
  <c r="G59" i="1"/>
  <c r="H59" i="1" s="1"/>
  <c r="M58" i="1"/>
  <c r="O58" i="1" s="1"/>
  <c r="J58" i="1"/>
  <c r="H58" i="1"/>
  <c r="G58" i="1"/>
  <c r="M57" i="1"/>
  <c r="O57" i="1" s="1"/>
  <c r="J57" i="1"/>
  <c r="G57" i="1"/>
  <c r="H57" i="1" s="1"/>
  <c r="M56" i="1"/>
  <c r="O56" i="1" s="1"/>
  <c r="J56" i="1"/>
  <c r="H56" i="1"/>
  <c r="G56" i="1"/>
  <c r="J55" i="1"/>
  <c r="M55" i="1" s="1"/>
  <c r="O55" i="1" s="1"/>
  <c r="G55" i="1"/>
  <c r="H55" i="1" s="1"/>
  <c r="J54" i="1"/>
  <c r="M54" i="1" s="1"/>
  <c r="O54" i="1" s="1"/>
  <c r="G54" i="1"/>
  <c r="H54" i="1" s="1"/>
  <c r="O47" i="1"/>
  <c r="O48" i="1"/>
  <c r="O49" i="1"/>
  <c r="O50" i="1"/>
  <c r="O51" i="1"/>
  <c r="J53" i="1"/>
  <c r="M53" i="1" s="1"/>
  <c r="O53" i="1" s="1"/>
  <c r="H53" i="1"/>
  <c r="G53" i="1"/>
  <c r="M52" i="1"/>
  <c r="O52" i="1" s="1"/>
  <c r="J52" i="1"/>
  <c r="G52" i="1"/>
  <c r="H52" i="1" s="1"/>
  <c r="J51" i="1"/>
  <c r="M51" i="1" s="1"/>
  <c r="H51" i="1"/>
  <c r="G51" i="1"/>
  <c r="L50" i="1"/>
  <c r="J50" i="1"/>
  <c r="M50" i="1" s="1"/>
  <c r="G50" i="1"/>
  <c r="H50" i="1" s="1"/>
  <c r="L49" i="1"/>
  <c r="J49" i="1"/>
  <c r="M49" i="1" s="1"/>
  <c r="H49" i="1"/>
  <c r="G49" i="1"/>
  <c r="L48" i="1"/>
  <c r="J48" i="1"/>
  <c r="M48" i="1" s="1"/>
  <c r="G48" i="1"/>
  <c r="H48" i="1" s="1"/>
  <c r="L47" i="1"/>
  <c r="M47" i="1" s="1"/>
  <c r="J47" i="1"/>
  <c r="H47" i="1"/>
  <c r="G47" i="1"/>
  <c r="O42" i="1"/>
  <c r="O43" i="1"/>
  <c r="O44" i="1"/>
  <c r="O45" i="1"/>
  <c r="O46" i="1"/>
  <c r="L46" i="1"/>
  <c r="M46" i="1" s="1"/>
  <c r="J46" i="1"/>
  <c r="G46" i="1"/>
  <c r="H46" i="1" s="1"/>
  <c r="L45" i="1"/>
  <c r="J45" i="1"/>
  <c r="M45" i="1" s="1"/>
  <c r="G45" i="1"/>
  <c r="H45" i="1" s="1"/>
  <c r="L44" i="1"/>
  <c r="J44" i="1"/>
  <c r="M44" i="1" s="1"/>
  <c r="H44" i="1"/>
  <c r="G44" i="1"/>
  <c r="M43" i="1"/>
  <c r="L43" i="1"/>
  <c r="J43" i="1"/>
  <c r="G43" i="1"/>
  <c r="H43" i="1" s="1"/>
  <c r="M42" i="1"/>
  <c r="L42" i="1"/>
  <c r="J42" i="1"/>
  <c r="H42" i="1"/>
  <c r="G42" i="1"/>
  <c r="J41" i="1"/>
  <c r="M41" i="1" s="1"/>
  <c r="O41" i="1" s="1"/>
  <c r="H41" i="1"/>
  <c r="G41" i="1"/>
  <c r="J40" i="1"/>
  <c r="M40" i="1" s="1"/>
  <c r="O40" i="1" s="1"/>
  <c r="H40" i="1"/>
  <c r="G40" i="1"/>
  <c r="O34" i="1"/>
  <c r="O35" i="1"/>
  <c r="O36" i="1"/>
  <c r="J39" i="1"/>
  <c r="M39" i="1" s="1"/>
  <c r="O39" i="1" s="1"/>
  <c r="G39" i="1"/>
  <c r="H39" i="1" s="1"/>
  <c r="J38" i="1"/>
  <c r="M38" i="1" s="1"/>
  <c r="O38" i="1" s="1"/>
  <c r="G38" i="1"/>
  <c r="H38" i="1" s="1"/>
  <c r="J37" i="1"/>
  <c r="M37" i="1" s="1"/>
  <c r="O37" i="1" s="1"/>
  <c r="G37" i="1"/>
  <c r="H37" i="1" s="1"/>
  <c r="M36" i="1"/>
  <c r="L36" i="1"/>
  <c r="J36" i="1"/>
  <c r="H36" i="1"/>
  <c r="G36" i="1"/>
  <c r="L35" i="1"/>
  <c r="J35" i="1"/>
  <c r="M35" i="1" s="1"/>
  <c r="H35" i="1"/>
  <c r="G35" i="1"/>
  <c r="L34" i="1"/>
  <c r="J34" i="1"/>
  <c r="M34" i="1" s="1"/>
  <c r="G34" i="1"/>
  <c r="H34" i="1" s="1"/>
  <c r="O33" i="1"/>
  <c r="M33" i="1"/>
  <c r="L33" i="1"/>
  <c r="J33" i="1"/>
  <c r="H33" i="1"/>
  <c r="G33" i="1"/>
  <c r="O26" i="1"/>
  <c r="O27" i="1"/>
  <c r="O28" i="1"/>
  <c r="O29" i="1"/>
  <c r="O30" i="1"/>
  <c r="O31" i="1"/>
  <c r="O32" i="1"/>
  <c r="L32" i="1"/>
  <c r="J32" i="1"/>
  <c r="M32" i="1" s="1"/>
  <c r="G32" i="1"/>
  <c r="H32" i="1" s="1"/>
  <c r="L31" i="1"/>
  <c r="J31" i="1"/>
  <c r="M31" i="1" s="1"/>
  <c r="G31" i="1"/>
  <c r="H31" i="1" s="1"/>
  <c r="L30" i="1"/>
  <c r="J30" i="1"/>
  <c r="M30" i="1" s="1"/>
  <c r="H30" i="1"/>
  <c r="G30" i="1"/>
  <c r="L29" i="1"/>
  <c r="J29" i="1"/>
  <c r="M29" i="1" s="1"/>
  <c r="G29" i="1"/>
  <c r="H29" i="1" s="1"/>
  <c r="L28" i="1"/>
  <c r="J28" i="1"/>
  <c r="M28" i="1" s="1"/>
  <c r="H28" i="1"/>
  <c r="G28" i="1"/>
  <c r="M27" i="1"/>
  <c r="L27" i="1"/>
  <c r="J27" i="1"/>
  <c r="G27" i="1"/>
  <c r="H27" i="1" s="1"/>
  <c r="L26" i="1"/>
  <c r="M26" i="1" s="1"/>
  <c r="J26" i="1"/>
  <c r="H26" i="1"/>
  <c r="G26" i="1"/>
  <c r="O19" i="1"/>
  <c r="O20" i="1"/>
  <c r="O21" i="1"/>
  <c r="O22" i="1"/>
  <c r="O23" i="1"/>
  <c r="O24" i="1"/>
  <c r="O25" i="1"/>
  <c r="M25" i="1"/>
  <c r="L25" i="1"/>
  <c r="J25" i="1"/>
  <c r="G25" i="1"/>
  <c r="H25" i="1" s="1"/>
  <c r="L24" i="1"/>
  <c r="J24" i="1"/>
  <c r="M24" i="1" s="1"/>
  <c r="H24" i="1"/>
  <c r="G24" i="1"/>
  <c r="L23" i="1"/>
  <c r="J23" i="1"/>
  <c r="M23" i="1" s="1"/>
  <c r="G23" i="1"/>
  <c r="H23" i="1" s="1"/>
  <c r="L22" i="1"/>
  <c r="J22" i="1"/>
  <c r="M22" i="1" s="1"/>
  <c r="G22" i="1"/>
  <c r="H22" i="1" s="1"/>
  <c r="L21" i="1"/>
  <c r="J21" i="1"/>
  <c r="M21" i="1" s="1"/>
  <c r="G21" i="1"/>
  <c r="H21" i="1" s="1"/>
  <c r="M20" i="1"/>
  <c r="L20" i="1"/>
  <c r="J20" i="1"/>
  <c r="G20" i="1"/>
  <c r="H20" i="1" s="1"/>
  <c r="L19" i="1"/>
  <c r="J19" i="1"/>
  <c r="M19" i="1" s="1"/>
  <c r="H19" i="1"/>
  <c r="G19" i="1"/>
  <c r="O16" i="1"/>
  <c r="O17" i="1"/>
  <c r="O18" i="1"/>
  <c r="L18" i="1"/>
  <c r="M18" i="1" s="1"/>
  <c r="J18" i="1"/>
  <c r="H18" i="1"/>
  <c r="G18" i="1"/>
  <c r="L17" i="1"/>
  <c r="J17" i="1"/>
  <c r="M17" i="1" s="1"/>
  <c r="G17" i="1"/>
  <c r="H17" i="1" s="1"/>
  <c r="L16" i="1"/>
  <c r="J16" i="1"/>
  <c r="M16" i="1" s="1"/>
  <c r="G16" i="1"/>
  <c r="H16" i="1" s="1"/>
  <c r="M15" i="1"/>
  <c r="O15" i="1" s="1"/>
  <c r="J15" i="1"/>
  <c r="G15" i="1"/>
  <c r="H15" i="1" s="1"/>
  <c r="J14" i="1"/>
  <c r="H14" i="1"/>
  <c r="G14" i="1"/>
  <c r="J13" i="1"/>
  <c r="G13" i="1"/>
  <c r="H13" i="1" s="1"/>
  <c r="M12" i="1"/>
  <c r="O12" i="1" s="1"/>
  <c r="J12" i="1"/>
  <c r="H12" i="1"/>
  <c r="G12" i="1"/>
  <c r="O5" i="1"/>
  <c r="O6" i="1"/>
  <c r="O9" i="1"/>
  <c r="M11" i="1"/>
  <c r="O11" i="1" s="1"/>
  <c r="M10" i="1"/>
  <c r="O10" i="1" s="1"/>
  <c r="M9" i="1"/>
  <c r="M8" i="1"/>
  <c r="O8" i="1" s="1"/>
  <c r="M7" i="1"/>
  <c r="O7" i="1" s="1"/>
  <c r="M6" i="1"/>
  <c r="M5" i="1"/>
  <c r="J11" i="1"/>
  <c r="H11" i="1"/>
  <c r="G11" i="1"/>
  <c r="J10" i="1"/>
  <c r="G10" i="1"/>
  <c r="H10" i="1" s="1"/>
  <c r="J9" i="1"/>
  <c r="G9" i="1"/>
  <c r="H9" i="1" s="1"/>
  <c r="J8" i="1"/>
  <c r="G8" i="1"/>
  <c r="H8" i="1" s="1"/>
  <c r="J7" i="1"/>
  <c r="G7" i="1"/>
  <c r="H7" i="1" s="1"/>
  <c r="J6" i="1"/>
  <c r="G6" i="1"/>
  <c r="H6" i="1" s="1"/>
  <c r="J5" i="1"/>
  <c r="H5" i="1"/>
  <c r="G5" i="1"/>
  <c r="M4" i="1"/>
  <c r="O4" i="1" s="1"/>
  <c r="M3" i="1"/>
  <c r="J4" i="1"/>
  <c r="J3" i="1"/>
  <c r="G4" i="1"/>
  <c r="H4" i="1" s="1"/>
  <c r="G3" i="1"/>
  <c r="H3" i="1" s="1"/>
  <c r="M14" i="1" l="1"/>
  <c r="O14" i="1" s="1"/>
  <c r="M13" i="1"/>
  <c r="O13" i="1" s="1"/>
</calcChain>
</file>

<file path=xl/sharedStrings.xml><?xml version="1.0" encoding="utf-8"?>
<sst xmlns="http://schemas.openxmlformats.org/spreadsheetml/2006/main" count="41" uniqueCount="28">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</sst>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8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  <font>
      <sz val="16"/>
      <name val="TH SarabunPSK"/>
      <family val="2"/>
    </font>
    <font>
      <sz val="10"/>
      <name val="Arial"/>
      <family val="2"/>
    </font>
    <font>
      <sz val="11"/>
      <color theme="1"/>
      <name val="Tahoma"/>
      <family val="2"/>
      <charset val="22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7" fillId="0" borderId="0"/>
  </cellStyleXfs>
  <cellXfs count="81">
    <xf numFmtId="0" fontId="0" fillId="0" borderId="0" xfId="0"/>
    <xf numFmtId="0" fontId="3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0" xfId="0" applyFont="1" applyFill="1"/>
    <xf numFmtId="0" fontId="4" fillId="0" borderId="1" xfId="0" applyFont="1" applyBorder="1" applyAlignment="1">
      <alignment horizontal="center"/>
    </xf>
    <xf numFmtId="187" fontId="4" fillId="0" borderId="1" xfId="0" applyNumberFormat="1" applyFont="1" applyBorder="1"/>
    <xf numFmtId="187" fontId="4" fillId="0" borderId="1" xfId="1" applyNumberFormat="1" applyFont="1" applyBorder="1"/>
    <xf numFmtId="187" fontId="4" fillId="0" borderId="1" xfId="0" applyNumberFormat="1" applyFont="1" applyBorder="1" applyAlignment="1"/>
    <xf numFmtId="0" fontId="4" fillId="0" borderId="6" xfId="0" applyFont="1" applyBorder="1" applyAlignment="1">
      <alignment horizontal="center"/>
    </xf>
    <xf numFmtId="187" fontId="4" fillId="0" borderId="6" xfId="0" applyNumberFormat="1" applyFont="1" applyBorder="1"/>
    <xf numFmtId="0" fontId="4" fillId="0" borderId="4" xfId="0" applyFont="1" applyBorder="1" applyAlignment="1">
      <alignment horizontal="center"/>
    </xf>
    <xf numFmtId="187" fontId="4" fillId="0" borderId="4" xfId="0" applyNumberFormat="1" applyFont="1" applyBorder="1"/>
    <xf numFmtId="187" fontId="4" fillId="0" borderId="4" xfId="1" applyNumberFormat="1" applyFont="1" applyBorder="1"/>
    <xf numFmtId="187" fontId="4" fillId="0" borderId="6" xfId="1" applyNumberFormat="1" applyFont="1" applyBorder="1"/>
    <xf numFmtId="0" fontId="4" fillId="0" borderId="6" xfId="0" applyFont="1" applyFill="1" applyBorder="1" applyAlignment="1">
      <alignment horizontal="center"/>
    </xf>
    <xf numFmtId="187" fontId="4" fillId="0" borderId="6" xfId="0" applyNumberFormat="1" applyFont="1" applyFill="1" applyBorder="1"/>
    <xf numFmtId="0" fontId="4" fillId="0" borderId="3" xfId="0" applyFont="1" applyBorder="1" applyAlignment="1">
      <alignment horizontal="center"/>
    </xf>
    <xf numFmtId="187" fontId="4" fillId="0" borderId="3" xfId="0" applyNumberFormat="1" applyFont="1" applyBorder="1"/>
    <xf numFmtId="187" fontId="4" fillId="0" borderId="6" xfId="1" applyNumberFormat="1" applyFont="1" applyFill="1" applyBorder="1" applyAlignment="1">
      <alignment horizontal="right"/>
    </xf>
    <xf numFmtId="187" fontId="4" fillId="0" borderId="6" xfId="1" applyNumberFormat="1" applyFont="1" applyBorder="1" applyAlignment="1">
      <alignment horizontal="center"/>
    </xf>
    <xf numFmtId="187" fontId="4" fillId="0" borderId="1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center"/>
    </xf>
    <xf numFmtId="187" fontId="4" fillId="10" borderId="1" xfId="1" applyNumberFormat="1" applyFont="1" applyFill="1" applyBorder="1"/>
    <xf numFmtId="187" fontId="4" fillId="0" borderId="1" xfId="1" applyNumberFormat="1" applyFont="1" applyFill="1" applyBorder="1"/>
    <xf numFmtId="187" fontId="4" fillId="0" borderId="4" xfId="1" applyNumberFormat="1" applyFont="1" applyFill="1" applyBorder="1" applyAlignment="1">
      <alignment horizontal="right"/>
    </xf>
    <xf numFmtId="187" fontId="4" fillId="0" borderId="4" xfId="1" applyNumberFormat="1" applyFont="1" applyBorder="1" applyAlignment="1">
      <alignment horizontal="center"/>
    </xf>
    <xf numFmtId="187" fontId="4" fillId="10" borderId="4" xfId="1" applyNumberFormat="1" applyFont="1" applyFill="1" applyBorder="1"/>
    <xf numFmtId="187" fontId="4" fillId="10" borderId="6" xfId="1" applyNumberFormat="1" applyFont="1" applyFill="1" applyBorder="1"/>
    <xf numFmtId="187" fontId="5" fillId="0" borderId="1" xfId="1" applyNumberFormat="1" applyFont="1" applyFill="1" applyBorder="1" applyAlignment="1">
      <alignment horizontal="right"/>
    </xf>
    <xf numFmtId="187" fontId="4" fillId="10" borderId="1" xfId="1" applyNumberFormat="1" applyFont="1" applyFill="1" applyBorder="1" applyAlignment="1">
      <alignment horizontal="right"/>
    </xf>
    <xf numFmtId="187" fontId="4" fillId="10" borderId="4" xfId="1" applyNumberFormat="1" applyFont="1" applyFill="1" applyBorder="1" applyAlignment="1">
      <alignment horizontal="right"/>
    </xf>
    <xf numFmtId="187" fontId="4" fillId="10" borderId="6" xfId="1" applyNumberFormat="1" applyFont="1" applyFill="1" applyBorder="1" applyAlignment="1">
      <alignment horizontal="right"/>
    </xf>
    <xf numFmtId="187" fontId="4" fillId="10" borderId="1" xfId="1" applyNumberFormat="1" applyFont="1" applyFill="1" applyBorder="1" applyAlignment="1">
      <alignment horizontal="center"/>
    </xf>
    <xf numFmtId="187" fontId="5" fillId="10" borderId="1" xfId="1" applyNumberFormat="1" applyFont="1" applyFill="1" applyBorder="1" applyAlignment="1">
      <alignment horizontal="right"/>
    </xf>
    <xf numFmtId="187" fontId="4" fillId="10" borderId="1" xfId="0" applyNumberFormat="1" applyFont="1" applyFill="1" applyBorder="1"/>
    <xf numFmtId="187" fontId="5" fillId="10" borderId="4" xfId="1" applyNumberFormat="1" applyFont="1" applyFill="1" applyBorder="1" applyAlignment="1">
      <alignment horizontal="right"/>
    </xf>
    <xf numFmtId="187" fontId="4" fillId="10" borderId="4" xfId="1" applyNumberFormat="1" applyFont="1" applyFill="1" applyBorder="1" applyAlignment="1">
      <alignment horizontal="center"/>
    </xf>
    <xf numFmtId="187" fontId="4" fillId="10" borderId="4" xfId="0" applyNumberFormat="1" applyFont="1" applyFill="1" applyBorder="1"/>
    <xf numFmtId="187" fontId="5" fillId="10" borderId="6" xfId="1" applyNumberFormat="1" applyFont="1" applyFill="1" applyBorder="1" applyAlignment="1">
      <alignment horizontal="right"/>
    </xf>
    <xf numFmtId="187" fontId="4" fillId="10" borderId="6" xfId="1" applyNumberFormat="1" applyFont="1" applyFill="1" applyBorder="1" applyAlignment="1">
      <alignment horizontal="center"/>
    </xf>
    <xf numFmtId="187" fontId="4" fillId="10" borderId="6" xfId="0" applyNumberFormat="1" applyFont="1" applyFill="1" applyBorder="1"/>
    <xf numFmtId="187" fontId="4" fillId="0" borderId="3" xfId="1" applyNumberFormat="1" applyFont="1" applyBorder="1"/>
    <xf numFmtId="187" fontId="4" fillId="10" borderId="3" xfId="1" applyNumberFormat="1" applyFont="1" applyFill="1" applyBorder="1" applyAlignment="1">
      <alignment horizontal="right"/>
    </xf>
    <xf numFmtId="187" fontId="4" fillId="10" borderId="3" xfId="1" applyNumberFormat="1" applyFont="1" applyFill="1" applyBorder="1"/>
    <xf numFmtId="187" fontId="4" fillId="10" borderId="3" xfId="1" applyNumberFormat="1" applyFont="1" applyFill="1" applyBorder="1" applyAlignment="1">
      <alignment horizontal="center"/>
    </xf>
    <xf numFmtId="187" fontId="4" fillId="10" borderId="3" xfId="0" applyNumberFormat="1" applyFont="1" applyFill="1" applyBorder="1"/>
    <xf numFmtId="187" fontId="5" fillId="0" borderId="1" xfId="1" applyNumberFormat="1" applyFont="1" applyFill="1" applyBorder="1" applyAlignment="1">
      <alignment horizontal="right" vertical="center"/>
    </xf>
    <xf numFmtId="0" fontId="2" fillId="0" borderId="4" xfId="0" applyFont="1" applyBorder="1"/>
    <xf numFmtId="187" fontId="5" fillId="0" borderId="4" xfId="1" applyNumberFormat="1" applyFont="1" applyFill="1" applyBorder="1" applyAlignment="1">
      <alignment horizontal="right"/>
    </xf>
    <xf numFmtId="0" fontId="2" fillId="0" borderId="9" xfId="0" applyFont="1" applyBorder="1"/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5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8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4">
    <cellStyle name="จุลภาค" xfId="1" builtinId="3"/>
    <cellStyle name="ปกติ" xfId="0" builtinId="0"/>
    <cellStyle name="ปกติ 2" xfId="2" xr:uid="{C7B25CF7-4861-487C-B27E-5E99C05087F9}"/>
    <cellStyle name="ปกติ 3" xfId="3" xr:uid="{7087C344-1168-4C31-B588-5FBB4D8B0F4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5FBC4-2160-4A52-8942-8DD0909D5B9D}">
  <dimension ref="A1:O368"/>
  <sheetViews>
    <sheetView tabSelected="1" topLeftCell="A377" zoomScale="85" zoomScaleNormal="70" workbookViewId="0">
      <selection activeCell="C126" sqref="C126"/>
    </sheetView>
  </sheetViews>
  <sheetFormatPr defaultColWidth="8.8984375" defaultRowHeight="24.6" x14ac:dyDescent="0.7"/>
  <cols>
    <col min="1" max="1" width="11.59765625" style="11" customWidth="1"/>
    <col min="2" max="2" width="17.59765625" style="12" customWidth="1"/>
    <col min="3" max="3" width="8.8984375" style="12"/>
    <col min="4" max="4" width="15.296875" style="11" customWidth="1"/>
    <col min="5" max="5" width="13.09765625" style="11" customWidth="1"/>
    <col min="6" max="6" width="18.796875" style="11" customWidth="1"/>
    <col min="7" max="7" width="15.59765625" style="11" customWidth="1"/>
    <col min="8" max="8" width="17.3984375" style="11" customWidth="1"/>
    <col min="9" max="9" width="19.69921875" style="11" customWidth="1"/>
    <col min="10" max="10" width="23.296875" style="11" customWidth="1"/>
    <col min="11" max="11" width="21.3984375" style="11" customWidth="1"/>
    <col min="12" max="12" width="19.8984375" style="11" customWidth="1"/>
    <col min="13" max="13" width="19.796875" style="11" customWidth="1"/>
    <col min="14" max="14" width="15.3984375" style="11" customWidth="1"/>
    <col min="15" max="15" width="21.69921875" style="11" customWidth="1"/>
    <col min="16" max="16384" width="8.8984375" style="11"/>
  </cols>
  <sheetData>
    <row r="1" spans="1:15" x14ac:dyDescent="0.7">
      <c r="A1" s="75" t="s">
        <v>0</v>
      </c>
      <c r="B1" s="75" t="s">
        <v>1</v>
      </c>
      <c r="C1" s="75" t="s">
        <v>2</v>
      </c>
      <c r="D1" s="77" t="s">
        <v>3</v>
      </c>
      <c r="E1" s="79" t="s">
        <v>4</v>
      </c>
      <c r="F1" s="73" t="s">
        <v>5</v>
      </c>
      <c r="G1" s="67" t="s">
        <v>6</v>
      </c>
      <c r="H1" s="67" t="s">
        <v>7</v>
      </c>
      <c r="I1" s="69" t="s">
        <v>8</v>
      </c>
      <c r="J1" s="71" t="s">
        <v>9</v>
      </c>
      <c r="K1" s="71" t="s">
        <v>10</v>
      </c>
      <c r="L1" s="71" t="s">
        <v>11</v>
      </c>
      <c r="M1" s="61" t="s">
        <v>12</v>
      </c>
      <c r="N1" s="63" t="s">
        <v>13</v>
      </c>
      <c r="O1" s="65" t="s">
        <v>14</v>
      </c>
    </row>
    <row r="2" spans="1:15" ht="34.799999999999997" customHeight="1" thickBot="1" x14ac:dyDescent="0.75">
      <c r="A2" s="76"/>
      <c r="B2" s="76"/>
      <c r="C2" s="76"/>
      <c r="D2" s="78"/>
      <c r="E2" s="80"/>
      <c r="F2" s="74"/>
      <c r="G2" s="68"/>
      <c r="H2" s="68"/>
      <c r="I2" s="70"/>
      <c r="J2" s="72"/>
      <c r="K2" s="72"/>
      <c r="L2" s="72"/>
      <c r="M2" s="62"/>
      <c r="N2" s="64"/>
      <c r="O2" s="66"/>
    </row>
    <row r="3" spans="1:15" x14ac:dyDescent="0.7">
      <c r="A3" s="1">
        <v>2567</v>
      </c>
      <c r="B3" s="2" t="s">
        <v>15</v>
      </c>
      <c r="C3" s="19">
        <v>1</v>
      </c>
      <c r="D3" s="20">
        <v>11.898999999999999</v>
      </c>
      <c r="E3" s="24">
        <v>0</v>
      </c>
      <c r="F3" s="29">
        <v>11.898999999999999</v>
      </c>
      <c r="G3" s="24">
        <f t="shared" ref="G3:G66" si="0">F3*86400</f>
        <v>1028073.6</v>
      </c>
      <c r="H3" s="24">
        <f t="shared" ref="H3:H66" si="1">G3/1000000</f>
        <v>1.0280735999999999</v>
      </c>
      <c r="I3" s="24">
        <v>26997</v>
      </c>
      <c r="J3" s="30">
        <f t="shared" ref="J3:J66" si="2">I3/1000000</f>
        <v>2.6997E-2</v>
      </c>
      <c r="K3" s="24">
        <v>0</v>
      </c>
      <c r="L3" s="24">
        <v>0</v>
      </c>
      <c r="M3" s="24">
        <f t="shared" ref="M3:M66" si="3">J3+L3</f>
        <v>2.6997E-2</v>
      </c>
      <c r="N3" s="24">
        <v>0.1001808</v>
      </c>
      <c r="O3" s="24">
        <f>H3-M3-N3</f>
        <v>0.90089580000000002</v>
      </c>
    </row>
    <row r="4" spans="1:15" x14ac:dyDescent="0.7">
      <c r="A4" s="4"/>
      <c r="B4" s="4"/>
      <c r="C4" s="15">
        <v>2</v>
      </c>
      <c r="D4" s="18">
        <v>11.898999999999999</v>
      </c>
      <c r="E4" s="17">
        <v>0</v>
      </c>
      <c r="F4" s="31">
        <v>11.898999999999999</v>
      </c>
      <c r="G4" s="17">
        <f t="shared" si="0"/>
        <v>1028073.6</v>
      </c>
      <c r="H4" s="17">
        <f t="shared" si="1"/>
        <v>1.0280735999999999</v>
      </c>
      <c r="I4" s="17">
        <v>26571</v>
      </c>
      <c r="J4" s="32">
        <f t="shared" si="2"/>
        <v>2.6571000000000001E-2</v>
      </c>
      <c r="K4" s="17">
        <v>0</v>
      </c>
      <c r="L4" s="17">
        <v>0</v>
      </c>
      <c r="M4" s="17">
        <f t="shared" si="3"/>
        <v>2.6571000000000001E-2</v>
      </c>
      <c r="N4" s="17">
        <v>0.1001808</v>
      </c>
      <c r="O4" s="17">
        <f>H4-M4-N4</f>
        <v>0.90132180000000006</v>
      </c>
    </row>
    <row r="5" spans="1:15" x14ac:dyDescent="0.7">
      <c r="A5" s="4"/>
      <c r="B5" s="4"/>
      <c r="C5" s="15">
        <v>3</v>
      </c>
      <c r="D5" s="16">
        <v>11.747999999999999</v>
      </c>
      <c r="E5" s="17">
        <v>0</v>
      </c>
      <c r="F5" s="31">
        <v>11.747999999999999</v>
      </c>
      <c r="G5" s="17">
        <f t="shared" si="0"/>
        <v>1015027.2</v>
      </c>
      <c r="H5" s="17">
        <f t="shared" si="1"/>
        <v>1.0150272</v>
      </c>
      <c r="I5" s="17">
        <v>28944</v>
      </c>
      <c r="J5" s="32">
        <f t="shared" si="2"/>
        <v>2.8944000000000001E-2</v>
      </c>
      <c r="K5" s="17">
        <v>0</v>
      </c>
      <c r="L5" s="17">
        <v>0</v>
      </c>
      <c r="M5" s="17">
        <f t="shared" si="3"/>
        <v>2.8944000000000001E-2</v>
      </c>
      <c r="N5" s="17">
        <v>0.1001808</v>
      </c>
      <c r="O5" s="17">
        <f t="shared" ref="O5:O68" si="4">H5-M5-N5</f>
        <v>0.88590240000000009</v>
      </c>
    </row>
    <row r="6" spans="1:15" x14ac:dyDescent="0.7">
      <c r="A6" s="4"/>
      <c r="B6" s="4"/>
      <c r="C6" s="15">
        <v>4</v>
      </c>
      <c r="D6" s="16">
        <v>11.747999999999999</v>
      </c>
      <c r="E6" s="17">
        <v>0</v>
      </c>
      <c r="F6" s="31">
        <v>11.599</v>
      </c>
      <c r="G6" s="17">
        <f t="shared" si="0"/>
        <v>1002153.6</v>
      </c>
      <c r="H6" s="17">
        <f t="shared" si="1"/>
        <v>1.0021536</v>
      </c>
      <c r="I6" s="17">
        <v>25721</v>
      </c>
      <c r="J6" s="32">
        <f t="shared" si="2"/>
        <v>2.5721000000000001E-2</v>
      </c>
      <c r="K6" s="17">
        <v>0</v>
      </c>
      <c r="L6" s="17">
        <v>0</v>
      </c>
      <c r="M6" s="17">
        <f t="shared" si="3"/>
        <v>2.5721000000000001E-2</v>
      </c>
      <c r="N6" s="17">
        <v>0.1001808</v>
      </c>
      <c r="O6" s="17">
        <f t="shared" si="4"/>
        <v>0.87625180000000003</v>
      </c>
    </row>
    <row r="7" spans="1:15" x14ac:dyDescent="0.7">
      <c r="A7" s="4"/>
      <c r="B7" s="4"/>
      <c r="C7" s="15">
        <v>5</v>
      </c>
      <c r="D7" s="16">
        <v>11.449</v>
      </c>
      <c r="E7" s="17">
        <v>0</v>
      </c>
      <c r="F7" s="31">
        <v>11.302</v>
      </c>
      <c r="G7" s="17">
        <f t="shared" si="0"/>
        <v>976492.79999999993</v>
      </c>
      <c r="H7" s="17">
        <f t="shared" si="1"/>
        <v>0.97649279999999994</v>
      </c>
      <c r="I7" s="17">
        <v>20302</v>
      </c>
      <c r="J7" s="32">
        <f t="shared" si="2"/>
        <v>2.0302000000000001E-2</v>
      </c>
      <c r="K7" s="17">
        <v>0</v>
      </c>
      <c r="L7" s="17">
        <v>0</v>
      </c>
      <c r="M7" s="17">
        <f t="shared" si="3"/>
        <v>2.0302000000000001E-2</v>
      </c>
      <c r="N7" s="17">
        <v>0.1001808</v>
      </c>
      <c r="O7" s="17">
        <f t="shared" si="4"/>
        <v>0.85600999999999994</v>
      </c>
    </row>
    <row r="8" spans="1:15" x14ac:dyDescent="0.7">
      <c r="A8" s="4"/>
      <c r="B8" s="4"/>
      <c r="C8" s="15">
        <v>6</v>
      </c>
      <c r="D8" s="16">
        <v>11.154</v>
      </c>
      <c r="E8" s="17">
        <v>0</v>
      </c>
      <c r="F8" s="31">
        <v>11.154</v>
      </c>
      <c r="G8" s="17">
        <f t="shared" si="0"/>
        <v>963705.6</v>
      </c>
      <c r="H8" s="17">
        <f t="shared" si="1"/>
        <v>0.96370559999999994</v>
      </c>
      <c r="I8" s="17">
        <v>28982</v>
      </c>
      <c r="J8" s="32">
        <f t="shared" si="2"/>
        <v>2.8982000000000001E-2</v>
      </c>
      <c r="K8" s="17">
        <v>0</v>
      </c>
      <c r="L8" s="17">
        <v>0</v>
      </c>
      <c r="M8" s="17">
        <f t="shared" si="3"/>
        <v>2.8982000000000001E-2</v>
      </c>
      <c r="N8" s="17">
        <v>0.1001808</v>
      </c>
      <c r="O8" s="17">
        <f t="shared" si="4"/>
        <v>0.83454280000000003</v>
      </c>
    </row>
    <row r="9" spans="1:15" x14ac:dyDescent="0.7">
      <c r="A9" s="4"/>
      <c r="B9" s="4"/>
      <c r="C9" s="15">
        <v>7</v>
      </c>
      <c r="D9" s="16">
        <v>11.009</v>
      </c>
      <c r="E9" s="17">
        <v>0</v>
      </c>
      <c r="F9" s="31">
        <v>10.865</v>
      </c>
      <c r="G9" s="17">
        <f t="shared" si="0"/>
        <v>938736</v>
      </c>
      <c r="H9" s="17">
        <f t="shared" si="1"/>
        <v>0.93873600000000001</v>
      </c>
      <c r="I9" s="17">
        <v>29322</v>
      </c>
      <c r="J9" s="32">
        <f t="shared" si="2"/>
        <v>2.9322000000000001E-2</v>
      </c>
      <c r="K9" s="17">
        <v>0</v>
      </c>
      <c r="L9" s="17">
        <v>0</v>
      </c>
      <c r="M9" s="17">
        <f t="shared" si="3"/>
        <v>2.9322000000000001E-2</v>
      </c>
      <c r="N9" s="17">
        <v>0.1001808</v>
      </c>
      <c r="O9" s="17">
        <f t="shared" si="4"/>
        <v>0.8092332000000001</v>
      </c>
    </row>
    <row r="10" spans="1:15" x14ac:dyDescent="0.7">
      <c r="A10" s="4"/>
      <c r="B10" s="4"/>
      <c r="C10" s="15">
        <v>8</v>
      </c>
      <c r="D10" s="16">
        <v>10.721</v>
      </c>
      <c r="E10" s="17">
        <v>0</v>
      </c>
      <c r="F10" s="31">
        <v>10.721</v>
      </c>
      <c r="G10" s="17">
        <f t="shared" si="0"/>
        <v>926294.4</v>
      </c>
      <c r="H10" s="17">
        <f t="shared" si="1"/>
        <v>0.92629440000000007</v>
      </c>
      <c r="I10" s="17">
        <v>27587</v>
      </c>
      <c r="J10" s="32">
        <f t="shared" si="2"/>
        <v>2.7587E-2</v>
      </c>
      <c r="K10" s="17">
        <v>0</v>
      </c>
      <c r="L10" s="17">
        <v>0</v>
      </c>
      <c r="M10" s="17">
        <f t="shared" si="3"/>
        <v>2.7587E-2</v>
      </c>
      <c r="N10" s="17">
        <v>0.1001808</v>
      </c>
      <c r="O10" s="17">
        <f t="shared" si="4"/>
        <v>0.79852660000000009</v>
      </c>
    </row>
    <row r="11" spans="1:15" x14ac:dyDescent="0.7">
      <c r="A11" s="4"/>
      <c r="B11" s="4"/>
      <c r="C11" s="15">
        <v>9</v>
      </c>
      <c r="D11" s="16">
        <v>10.577999999999999</v>
      </c>
      <c r="E11" s="17">
        <v>0</v>
      </c>
      <c r="F11" s="31">
        <v>10.577999999999999</v>
      </c>
      <c r="G11" s="17">
        <f t="shared" si="0"/>
        <v>913939.2</v>
      </c>
      <c r="H11" s="17">
        <f t="shared" si="1"/>
        <v>0.91393919999999995</v>
      </c>
      <c r="I11" s="17">
        <v>29184</v>
      </c>
      <c r="J11" s="32">
        <f t="shared" si="2"/>
        <v>2.9184000000000002E-2</v>
      </c>
      <c r="K11" s="17">
        <v>0</v>
      </c>
      <c r="L11" s="17">
        <v>0</v>
      </c>
      <c r="M11" s="17">
        <f t="shared" si="3"/>
        <v>2.9184000000000002E-2</v>
      </c>
      <c r="N11" s="17">
        <v>8.2900799999999997E-2</v>
      </c>
      <c r="O11" s="17">
        <f t="shared" si="4"/>
        <v>0.80185439999999997</v>
      </c>
    </row>
    <row r="12" spans="1:15" x14ac:dyDescent="0.7">
      <c r="A12" s="4"/>
      <c r="B12" s="4"/>
      <c r="C12" s="15">
        <v>10</v>
      </c>
      <c r="D12" s="16">
        <v>10.577999999999999</v>
      </c>
      <c r="E12" s="17">
        <v>0</v>
      </c>
      <c r="F12" s="31">
        <v>10.578144878680428</v>
      </c>
      <c r="G12" s="17">
        <f t="shared" si="0"/>
        <v>913951.71751798899</v>
      </c>
      <c r="H12" s="17">
        <f t="shared" si="1"/>
        <v>0.91395171751798898</v>
      </c>
      <c r="I12" s="17">
        <v>27567</v>
      </c>
      <c r="J12" s="32">
        <f t="shared" si="2"/>
        <v>2.7567000000000001E-2</v>
      </c>
      <c r="K12" s="17">
        <v>0</v>
      </c>
      <c r="L12" s="17">
        <v>0</v>
      </c>
      <c r="M12" s="17">
        <f t="shared" si="3"/>
        <v>2.7567000000000001E-2</v>
      </c>
      <c r="N12" s="17">
        <v>8.2900799999999997E-2</v>
      </c>
      <c r="O12" s="17">
        <f t="shared" si="4"/>
        <v>0.80348391751798898</v>
      </c>
    </row>
    <row r="13" spans="1:15" x14ac:dyDescent="0.7">
      <c r="A13" s="4"/>
      <c r="B13" s="4"/>
      <c r="C13" s="15">
        <v>11</v>
      </c>
      <c r="D13" s="16">
        <v>10.436999999999999</v>
      </c>
      <c r="E13" s="17">
        <v>0</v>
      </c>
      <c r="F13" s="31">
        <v>10.436810014032529</v>
      </c>
      <c r="G13" s="17">
        <f t="shared" si="0"/>
        <v>901740.38521241047</v>
      </c>
      <c r="H13" s="17">
        <f t="shared" si="1"/>
        <v>0.90174038521241051</v>
      </c>
      <c r="I13" s="17">
        <v>27917</v>
      </c>
      <c r="J13" s="32">
        <f t="shared" si="2"/>
        <v>2.7917000000000001E-2</v>
      </c>
      <c r="K13" s="17">
        <v>0</v>
      </c>
      <c r="L13" s="17">
        <v>0</v>
      </c>
      <c r="M13" s="17">
        <f t="shared" si="3"/>
        <v>2.7917000000000001E-2</v>
      </c>
      <c r="N13" s="17">
        <v>8.2900799999999997E-2</v>
      </c>
      <c r="O13" s="17">
        <f t="shared" si="4"/>
        <v>0.79092258521241054</v>
      </c>
    </row>
    <row r="14" spans="1:15" x14ac:dyDescent="0.7">
      <c r="A14" s="4"/>
      <c r="B14" s="4"/>
      <c r="C14" s="15">
        <v>12</v>
      </c>
      <c r="D14" s="16">
        <v>10.436999999999999</v>
      </c>
      <c r="E14" s="17">
        <v>0</v>
      </c>
      <c r="F14" s="31">
        <v>10.436810014032529</v>
      </c>
      <c r="G14" s="17">
        <f t="shared" si="0"/>
        <v>901740.38521241047</v>
      </c>
      <c r="H14" s="17">
        <f t="shared" si="1"/>
        <v>0.90174038521241051</v>
      </c>
      <c r="I14" s="17">
        <v>29790</v>
      </c>
      <c r="J14" s="32">
        <f t="shared" si="2"/>
        <v>2.9790000000000001E-2</v>
      </c>
      <c r="K14" s="17">
        <v>0</v>
      </c>
      <c r="L14" s="17">
        <v>0</v>
      </c>
      <c r="M14" s="17">
        <f t="shared" si="3"/>
        <v>2.9790000000000001E-2</v>
      </c>
      <c r="N14" s="17">
        <v>8.2900799999999997E-2</v>
      </c>
      <c r="O14" s="17">
        <f t="shared" si="4"/>
        <v>0.78904958521241053</v>
      </c>
    </row>
    <row r="15" spans="1:15" x14ac:dyDescent="0.7">
      <c r="A15" s="4"/>
      <c r="B15" s="4"/>
      <c r="C15" s="15">
        <v>13</v>
      </c>
      <c r="D15" s="16">
        <v>10.297000000000001</v>
      </c>
      <c r="E15" s="17">
        <v>0</v>
      </c>
      <c r="F15" s="31">
        <v>10.296552035662856</v>
      </c>
      <c r="G15" s="17">
        <f t="shared" si="0"/>
        <v>889622.09588127071</v>
      </c>
      <c r="H15" s="17">
        <f t="shared" si="1"/>
        <v>0.88962209588127072</v>
      </c>
      <c r="I15" s="17">
        <v>29225</v>
      </c>
      <c r="J15" s="32">
        <f t="shared" si="2"/>
        <v>2.9225000000000001E-2</v>
      </c>
      <c r="K15" s="17">
        <v>0</v>
      </c>
      <c r="L15" s="17">
        <v>0</v>
      </c>
      <c r="M15" s="17">
        <f t="shared" si="3"/>
        <v>2.9225000000000001E-2</v>
      </c>
      <c r="N15" s="17">
        <v>8.2900799999999997E-2</v>
      </c>
      <c r="O15" s="17">
        <f t="shared" si="4"/>
        <v>0.77749629588127078</v>
      </c>
    </row>
    <row r="16" spans="1:15" x14ac:dyDescent="0.7">
      <c r="A16" s="4"/>
      <c r="B16" s="4"/>
      <c r="C16" s="15">
        <v>14</v>
      </c>
      <c r="D16" s="16">
        <v>10.297000000000001</v>
      </c>
      <c r="E16" s="17">
        <v>0</v>
      </c>
      <c r="F16" s="31">
        <v>10.296552035662856</v>
      </c>
      <c r="G16" s="17">
        <f t="shared" si="0"/>
        <v>889622.09588127071</v>
      </c>
      <c r="H16" s="17">
        <f t="shared" si="1"/>
        <v>0.88962209588127072</v>
      </c>
      <c r="I16" s="17">
        <v>28437</v>
      </c>
      <c r="J16" s="32">
        <f t="shared" si="2"/>
        <v>2.8437E-2</v>
      </c>
      <c r="K16" s="33">
        <v>3925</v>
      </c>
      <c r="L16" s="17">
        <f t="shared" ref="L16:L33" si="5">K16/1000000</f>
        <v>3.9249999999999997E-3</v>
      </c>
      <c r="M16" s="17">
        <f t="shared" si="3"/>
        <v>3.2362000000000002E-2</v>
      </c>
      <c r="N16" s="17">
        <v>8.2900799999999997E-2</v>
      </c>
      <c r="O16" s="17">
        <f t="shared" si="4"/>
        <v>0.77435929588127073</v>
      </c>
    </row>
    <row r="17" spans="1:15" x14ac:dyDescent="0.7">
      <c r="A17" s="4"/>
      <c r="B17" s="4"/>
      <c r="C17" s="15">
        <v>15</v>
      </c>
      <c r="D17" s="16">
        <v>10.297000000000001</v>
      </c>
      <c r="E17" s="17">
        <v>0</v>
      </c>
      <c r="F17" s="31">
        <v>11.89908468766032</v>
      </c>
      <c r="G17" s="17">
        <f t="shared" si="0"/>
        <v>1028080.9170138517</v>
      </c>
      <c r="H17" s="17">
        <f t="shared" si="1"/>
        <v>1.0280809170138516</v>
      </c>
      <c r="I17" s="17">
        <v>29871</v>
      </c>
      <c r="J17" s="32">
        <f t="shared" si="2"/>
        <v>2.9871000000000002E-2</v>
      </c>
      <c r="K17" s="33">
        <v>5153</v>
      </c>
      <c r="L17" s="17">
        <f t="shared" si="5"/>
        <v>5.1529999999999996E-3</v>
      </c>
      <c r="M17" s="17">
        <f t="shared" si="3"/>
        <v>3.5024E-2</v>
      </c>
      <c r="N17" s="17">
        <v>8.2900799999999997E-2</v>
      </c>
      <c r="O17" s="17">
        <f t="shared" si="4"/>
        <v>0.91015611701385168</v>
      </c>
    </row>
    <row r="18" spans="1:15" x14ac:dyDescent="0.7">
      <c r="A18" s="4"/>
      <c r="B18" s="4"/>
      <c r="C18" s="15">
        <v>16</v>
      </c>
      <c r="D18" s="16">
        <v>13.472</v>
      </c>
      <c r="E18" s="17">
        <v>1.7</v>
      </c>
      <c r="F18" s="31">
        <v>13.635332584685882</v>
      </c>
      <c r="G18" s="17">
        <f t="shared" si="0"/>
        <v>1178092.7353168603</v>
      </c>
      <c r="H18" s="17">
        <f t="shared" si="1"/>
        <v>1.1780927353168602</v>
      </c>
      <c r="I18" s="17">
        <v>28005</v>
      </c>
      <c r="J18" s="32">
        <f t="shared" si="2"/>
        <v>2.8004999999999999E-2</v>
      </c>
      <c r="K18" s="33">
        <v>5114</v>
      </c>
      <c r="L18" s="17">
        <f t="shared" si="5"/>
        <v>5.1139999999999996E-3</v>
      </c>
      <c r="M18" s="17">
        <f t="shared" si="3"/>
        <v>3.3118999999999996E-2</v>
      </c>
      <c r="N18" s="17">
        <v>8.2900799999999997E-2</v>
      </c>
      <c r="O18" s="17">
        <f t="shared" si="4"/>
        <v>1.0620729353168603</v>
      </c>
    </row>
    <row r="19" spans="1:15" x14ac:dyDescent="0.7">
      <c r="A19" s="4"/>
      <c r="B19" s="4"/>
      <c r="C19" s="15">
        <v>17</v>
      </c>
      <c r="D19" s="16">
        <v>13.8</v>
      </c>
      <c r="E19" s="16">
        <v>2.2999999999999998</v>
      </c>
      <c r="F19" s="31">
        <v>13.3095367961298</v>
      </c>
      <c r="G19" s="17">
        <f t="shared" si="0"/>
        <v>1149943.9791856147</v>
      </c>
      <c r="H19" s="17">
        <f t="shared" si="1"/>
        <v>1.1499439791856148</v>
      </c>
      <c r="I19" s="17">
        <v>29417</v>
      </c>
      <c r="J19" s="32">
        <f t="shared" si="2"/>
        <v>2.9416999999999999E-2</v>
      </c>
      <c r="K19" s="33">
        <v>4748</v>
      </c>
      <c r="L19" s="17">
        <f t="shared" si="5"/>
        <v>4.7479999999999996E-3</v>
      </c>
      <c r="M19" s="17">
        <f t="shared" si="3"/>
        <v>3.4165000000000001E-2</v>
      </c>
      <c r="N19" s="17">
        <v>8.2900799999999997E-2</v>
      </c>
      <c r="O19" s="17">
        <f t="shared" si="4"/>
        <v>1.0328781791856148</v>
      </c>
    </row>
    <row r="20" spans="1:15" x14ac:dyDescent="0.7">
      <c r="A20" s="4"/>
      <c r="B20" s="4"/>
      <c r="C20" s="15">
        <v>18</v>
      </c>
      <c r="D20" s="16">
        <v>13.8</v>
      </c>
      <c r="E20" s="16">
        <v>3.6</v>
      </c>
      <c r="F20" s="31">
        <v>13.635332584685882</v>
      </c>
      <c r="G20" s="17">
        <f t="shared" si="0"/>
        <v>1178092.7353168603</v>
      </c>
      <c r="H20" s="17">
        <f t="shared" si="1"/>
        <v>1.1780927353168602</v>
      </c>
      <c r="I20" s="34">
        <v>27626</v>
      </c>
      <c r="J20" s="32">
        <f t="shared" si="2"/>
        <v>2.7626000000000001E-2</v>
      </c>
      <c r="K20" s="33">
        <v>5260</v>
      </c>
      <c r="L20" s="17">
        <f t="shared" si="5"/>
        <v>5.2599999999999999E-3</v>
      </c>
      <c r="M20" s="17">
        <f t="shared" si="3"/>
        <v>3.2885999999999999E-2</v>
      </c>
      <c r="N20" s="17">
        <v>8.2900799999999997E-2</v>
      </c>
      <c r="O20" s="17">
        <f t="shared" si="4"/>
        <v>1.0623059353168602</v>
      </c>
    </row>
    <row r="21" spans="1:15" x14ac:dyDescent="0.7">
      <c r="A21" s="4"/>
      <c r="B21" s="4"/>
      <c r="C21" s="15">
        <v>19</v>
      </c>
      <c r="D21" s="16">
        <v>13.472</v>
      </c>
      <c r="E21" s="17">
        <v>0</v>
      </c>
      <c r="F21" s="31">
        <v>13.148335833745115</v>
      </c>
      <c r="G21" s="17">
        <f t="shared" si="0"/>
        <v>1136016.2160355779</v>
      </c>
      <c r="H21" s="17">
        <f t="shared" si="1"/>
        <v>1.136016216035578</v>
      </c>
      <c r="I21" s="17">
        <v>20014</v>
      </c>
      <c r="J21" s="32">
        <f t="shared" si="2"/>
        <v>2.0014000000000001E-2</v>
      </c>
      <c r="K21" s="33">
        <v>4716</v>
      </c>
      <c r="L21" s="17">
        <f t="shared" si="5"/>
        <v>4.7159999999999997E-3</v>
      </c>
      <c r="M21" s="17">
        <f t="shared" si="3"/>
        <v>2.4730000000000002E-2</v>
      </c>
      <c r="N21" s="17">
        <v>8.2900799999999997E-2</v>
      </c>
      <c r="O21" s="17">
        <f t="shared" si="4"/>
        <v>1.0283854160355781</v>
      </c>
    </row>
    <row r="22" spans="1:15" x14ac:dyDescent="0.7">
      <c r="A22" s="4"/>
      <c r="B22" s="4"/>
      <c r="C22" s="15">
        <v>20</v>
      </c>
      <c r="D22" s="16">
        <v>12.829000000000001</v>
      </c>
      <c r="E22" s="17">
        <v>0</v>
      </c>
      <c r="F22" s="31">
        <v>12.514779534935174</v>
      </c>
      <c r="G22" s="17">
        <f t="shared" si="0"/>
        <v>1081276.9518183991</v>
      </c>
      <c r="H22" s="17">
        <f t="shared" si="1"/>
        <v>1.0812769518183991</v>
      </c>
      <c r="I22" s="17">
        <v>28469</v>
      </c>
      <c r="J22" s="32">
        <f t="shared" si="2"/>
        <v>2.8469000000000001E-2</v>
      </c>
      <c r="K22" s="33">
        <v>4727</v>
      </c>
      <c r="L22" s="17">
        <f t="shared" si="5"/>
        <v>4.7270000000000003E-3</v>
      </c>
      <c r="M22" s="17">
        <f t="shared" si="3"/>
        <v>3.3196000000000003E-2</v>
      </c>
      <c r="N22" s="17">
        <v>8.2900799999999997E-2</v>
      </c>
      <c r="O22" s="17">
        <f t="shared" si="4"/>
        <v>0.96518015181839911</v>
      </c>
    </row>
    <row r="23" spans="1:15" x14ac:dyDescent="0.7">
      <c r="A23" s="4"/>
      <c r="B23" s="4"/>
      <c r="C23" s="15">
        <v>21</v>
      </c>
      <c r="D23" s="16">
        <v>12.205</v>
      </c>
      <c r="E23" s="17">
        <v>0</v>
      </c>
      <c r="F23" s="31">
        <v>11.747930758869515</v>
      </c>
      <c r="G23" s="17">
        <f t="shared" si="0"/>
        <v>1015021.2175663261</v>
      </c>
      <c r="H23" s="17">
        <f t="shared" si="1"/>
        <v>1.0150212175663262</v>
      </c>
      <c r="I23" s="17">
        <v>26163</v>
      </c>
      <c r="J23" s="32">
        <f t="shared" si="2"/>
        <v>2.6162999999999999E-2</v>
      </c>
      <c r="K23" s="33">
        <v>5255</v>
      </c>
      <c r="L23" s="17">
        <f t="shared" si="5"/>
        <v>5.2550000000000001E-3</v>
      </c>
      <c r="M23" s="17">
        <f t="shared" si="3"/>
        <v>3.1418000000000001E-2</v>
      </c>
      <c r="N23" s="17">
        <v>8.2900799999999997E-2</v>
      </c>
      <c r="O23" s="17">
        <f t="shared" si="4"/>
        <v>0.9007024175663263</v>
      </c>
    </row>
    <row r="24" spans="1:15" x14ac:dyDescent="0.7">
      <c r="A24" s="4"/>
      <c r="B24" s="4"/>
      <c r="C24" s="15">
        <v>22</v>
      </c>
      <c r="D24" s="16">
        <v>11.301</v>
      </c>
      <c r="E24" s="17">
        <v>0</v>
      </c>
      <c r="F24" s="31">
        <v>11.301071424275181</v>
      </c>
      <c r="G24" s="17">
        <f t="shared" si="0"/>
        <v>976412.57105737564</v>
      </c>
      <c r="H24" s="17">
        <f t="shared" si="1"/>
        <v>0.97641257105737567</v>
      </c>
      <c r="I24" s="17">
        <v>19858</v>
      </c>
      <c r="J24" s="32">
        <f t="shared" si="2"/>
        <v>1.9858000000000001E-2</v>
      </c>
      <c r="K24" s="33">
        <v>5192</v>
      </c>
      <c r="L24" s="17">
        <f t="shared" si="5"/>
        <v>5.1919999999999996E-3</v>
      </c>
      <c r="M24" s="17">
        <f t="shared" si="3"/>
        <v>2.5049999999999999E-2</v>
      </c>
      <c r="N24" s="17">
        <v>8.2900799999999997E-2</v>
      </c>
      <c r="O24" s="17">
        <f t="shared" si="4"/>
        <v>0.86846177105737565</v>
      </c>
    </row>
    <row r="25" spans="1:15" x14ac:dyDescent="0.7">
      <c r="A25" s="4"/>
      <c r="B25" s="4"/>
      <c r="C25" s="15">
        <v>23</v>
      </c>
      <c r="D25" s="16">
        <v>11.301</v>
      </c>
      <c r="E25" s="17">
        <v>0</v>
      </c>
      <c r="F25" s="31">
        <v>10.436810014032529</v>
      </c>
      <c r="G25" s="17">
        <f t="shared" si="0"/>
        <v>901740.38521241047</v>
      </c>
      <c r="H25" s="17">
        <f t="shared" si="1"/>
        <v>0.90174038521241051</v>
      </c>
      <c r="I25" s="17">
        <v>27790</v>
      </c>
      <c r="J25" s="32">
        <f t="shared" si="2"/>
        <v>2.7789999999999999E-2</v>
      </c>
      <c r="K25" s="33">
        <v>4846</v>
      </c>
      <c r="L25" s="17">
        <f t="shared" si="5"/>
        <v>4.8459999999999996E-3</v>
      </c>
      <c r="M25" s="17">
        <f t="shared" si="3"/>
        <v>3.2635999999999998E-2</v>
      </c>
      <c r="N25" s="17">
        <v>8.1172800000000003E-2</v>
      </c>
      <c r="O25" s="17">
        <f t="shared" si="4"/>
        <v>0.78793158521241047</v>
      </c>
    </row>
    <row r="26" spans="1:15" x14ac:dyDescent="0.7">
      <c r="A26" s="4"/>
      <c r="B26" s="4"/>
      <c r="C26" s="15">
        <v>24</v>
      </c>
      <c r="D26" s="16">
        <v>9.4770000000000003</v>
      </c>
      <c r="E26" s="17">
        <v>0</v>
      </c>
      <c r="F26" s="31">
        <v>9.082222929295023</v>
      </c>
      <c r="G26" s="17">
        <f t="shared" si="0"/>
        <v>784704.06109108997</v>
      </c>
      <c r="H26" s="17">
        <f t="shared" si="1"/>
        <v>0.78470406109108992</v>
      </c>
      <c r="I26" s="17">
        <v>30075</v>
      </c>
      <c r="J26" s="32">
        <f t="shared" si="2"/>
        <v>3.0075000000000001E-2</v>
      </c>
      <c r="K26" s="33">
        <v>4818</v>
      </c>
      <c r="L26" s="17">
        <f t="shared" si="5"/>
        <v>4.8180000000000002E-3</v>
      </c>
      <c r="M26" s="17">
        <f t="shared" si="3"/>
        <v>3.4893E-2</v>
      </c>
      <c r="N26" s="17">
        <v>8.1172800000000003E-2</v>
      </c>
      <c r="O26" s="17">
        <f t="shared" si="4"/>
        <v>0.66863826109108992</v>
      </c>
    </row>
    <row r="27" spans="1:15" x14ac:dyDescent="0.7">
      <c r="A27" s="4"/>
      <c r="B27" s="4"/>
      <c r="C27" s="15">
        <v>25</v>
      </c>
      <c r="D27" s="16">
        <v>8.6959999999999997</v>
      </c>
      <c r="E27" s="17">
        <v>0</v>
      </c>
      <c r="F27" s="31">
        <v>8.6964225087753295</v>
      </c>
      <c r="G27" s="17">
        <f t="shared" si="0"/>
        <v>751370.90475818852</v>
      </c>
      <c r="H27" s="17">
        <f t="shared" si="1"/>
        <v>0.75137090475818857</v>
      </c>
      <c r="I27" s="17">
        <v>44023</v>
      </c>
      <c r="J27" s="32">
        <f t="shared" si="2"/>
        <v>4.4023E-2</v>
      </c>
      <c r="K27" s="33">
        <v>4391</v>
      </c>
      <c r="L27" s="17">
        <f t="shared" si="5"/>
        <v>4.3909999999999999E-3</v>
      </c>
      <c r="M27" s="17">
        <f t="shared" si="3"/>
        <v>4.8413999999999999E-2</v>
      </c>
      <c r="N27" s="17">
        <v>8.1172800000000003E-2</v>
      </c>
      <c r="O27" s="17">
        <f t="shared" si="4"/>
        <v>0.62178410475818857</v>
      </c>
    </row>
    <row r="28" spans="1:15" x14ac:dyDescent="0.7">
      <c r="A28" s="4"/>
      <c r="B28" s="4"/>
      <c r="C28" s="15">
        <v>26</v>
      </c>
      <c r="D28" s="16">
        <v>8.5839999999999996</v>
      </c>
      <c r="E28" s="17">
        <v>0</v>
      </c>
      <c r="F28" s="31">
        <v>8.5699062112609141</v>
      </c>
      <c r="G28" s="17">
        <f t="shared" si="0"/>
        <v>740439.89665294299</v>
      </c>
      <c r="H28" s="17">
        <f t="shared" si="1"/>
        <v>0.74043989665294296</v>
      </c>
      <c r="I28" s="17">
        <v>29375</v>
      </c>
      <c r="J28" s="32">
        <f t="shared" si="2"/>
        <v>2.9374999999999998E-2</v>
      </c>
      <c r="K28" s="33">
        <v>4949</v>
      </c>
      <c r="L28" s="17">
        <f t="shared" si="5"/>
        <v>4.9490000000000003E-3</v>
      </c>
      <c r="M28" s="17">
        <f t="shared" si="3"/>
        <v>3.4324E-2</v>
      </c>
      <c r="N28" s="17">
        <v>8.1172800000000003E-2</v>
      </c>
      <c r="O28" s="17">
        <f t="shared" si="4"/>
        <v>0.6249430966529429</v>
      </c>
    </row>
    <row r="29" spans="1:15" x14ac:dyDescent="0.7">
      <c r="A29" s="4"/>
      <c r="B29" s="4"/>
      <c r="C29" s="15">
        <v>27</v>
      </c>
      <c r="D29" s="16">
        <v>8.5839999999999996</v>
      </c>
      <c r="E29" s="17">
        <v>0</v>
      </c>
      <c r="F29" s="31">
        <v>8.5699062112609141</v>
      </c>
      <c r="G29" s="17">
        <f t="shared" si="0"/>
        <v>740439.89665294299</v>
      </c>
      <c r="H29" s="17">
        <f t="shared" si="1"/>
        <v>0.74043989665294296</v>
      </c>
      <c r="I29" s="17">
        <v>19746</v>
      </c>
      <c r="J29" s="32">
        <f t="shared" si="2"/>
        <v>1.9746E-2</v>
      </c>
      <c r="K29" s="33">
        <v>4322</v>
      </c>
      <c r="L29" s="17">
        <f t="shared" si="5"/>
        <v>4.3220000000000003E-3</v>
      </c>
      <c r="M29" s="17">
        <f t="shared" si="3"/>
        <v>2.4067999999999999E-2</v>
      </c>
      <c r="N29" s="17">
        <v>8.1172800000000003E-2</v>
      </c>
      <c r="O29" s="17">
        <f t="shared" si="4"/>
        <v>0.63519909665294294</v>
      </c>
    </row>
    <row r="30" spans="1:15" x14ac:dyDescent="0.7">
      <c r="A30" s="4"/>
      <c r="B30" s="4"/>
      <c r="C30" s="15">
        <v>28</v>
      </c>
      <c r="D30" s="16">
        <v>8.5839999999999996</v>
      </c>
      <c r="E30" s="17">
        <v>0</v>
      </c>
      <c r="F30" s="31">
        <v>8.5699062112609141</v>
      </c>
      <c r="G30" s="17">
        <f t="shared" si="0"/>
        <v>740439.89665294299</v>
      </c>
      <c r="H30" s="17">
        <f t="shared" si="1"/>
        <v>0.74043989665294296</v>
      </c>
      <c r="I30" s="17">
        <v>17241</v>
      </c>
      <c r="J30" s="32">
        <f t="shared" si="2"/>
        <v>1.7240999999999999E-2</v>
      </c>
      <c r="K30" s="33">
        <v>4150</v>
      </c>
      <c r="L30" s="17">
        <f t="shared" si="5"/>
        <v>4.15E-3</v>
      </c>
      <c r="M30" s="17">
        <f t="shared" si="3"/>
        <v>2.1391E-2</v>
      </c>
      <c r="N30" s="17">
        <v>8.1172800000000003E-2</v>
      </c>
      <c r="O30" s="17">
        <f t="shared" si="4"/>
        <v>0.63787609665294287</v>
      </c>
    </row>
    <row r="31" spans="1:15" x14ac:dyDescent="0.7">
      <c r="A31" s="4"/>
      <c r="B31" s="4"/>
      <c r="C31" s="15">
        <v>29</v>
      </c>
      <c r="D31" s="16">
        <v>8.6959999999999997</v>
      </c>
      <c r="E31" s="17">
        <v>0</v>
      </c>
      <c r="F31" s="31">
        <v>8.6964225087753295</v>
      </c>
      <c r="G31" s="17">
        <f t="shared" si="0"/>
        <v>751370.90475818852</v>
      </c>
      <c r="H31" s="17">
        <f t="shared" si="1"/>
        <v>0.75137090475818857</v>
      </c>
      <c r="I31" s="17">
        <v>17803</v>
      </c>
      <c r="J31" s="32">
        <f t="shared" si="2"/>
        <v>1.7802999999999999E-2</v>
      </c>
      <c r="K31" s="33">
        <v>4117</v>
      </c>
      <c r="L31" s="17">
        <f t="shared" si="5"/>
        <v>4.117E-3</v>
      </c>
      <c r="M31" s="17">
        <f t="shared" si="3"/>
        <v>2.1919999999999999E-2</v>
      </c>
      <c r="N31" s="17">
        <v>8.1172800000000003E-2</v>
      </c>
      <c r="O31" s="17">
        <f t="shared" si="4"/>
        <v>0.64827810475818848</v>
      </c>
    </row>
    <row r="32" spans="1:15" x14ac:dyDescent="0.7">
      <c r="A32" s="4"/>
      <c r="B32" s="4"/>
      <c r="C32" s="15">
        <v>30</v>
      </c>
      <c r="D32" s="16">
        <v>8.6959999999999997</v>
      </c>
      <c r="E32" s="17">
        <v>0</v>
      </c>
      <c r="F32" s="31">
        <v>8.6964225087753295</v>
      </c>
      <c r="G32" s="17">
        <f t="shared" si="0"/>
        <v>751370.90475818852</v>
      </c>
      <c r="H32" s="17">
        <f t="shared" si="1"/>
        <v>0.75137090475818857</v>
      </c>
      <c r="I32" s="17">
        <v>17498</v>
      </c>
      <c r="J32" s="32">
        <f t="shared" si="2"/>
        <v>1.7498E-2</v>
      </c>
      <c r="K32" s="33">
        <v>4107</v>
      </c>
      <c r="L32" s="17">
        <f t="shared" si="5"/>
        <v>4.1070000000000004E-3</v>
      </c>
      <c r="M32" s="17">
        <f t="shared" si="3"/>
        <v>2.1604999999999999E-2</v>
      </c>
      <c r="N32" s="17">
        <v>8.1172800000000003E-2</v>
      </c>
      <c r="O32" s="17">
        <f t="shared" si="4"/>
        <v>0.64859310475818854</v>
      </c>
    </row>
    <row r="33" spans="1:15" s="10" customFormat="1" ht="25.2" thickBot="1" x14ac:dyDescent="0.75">
      <c r="A33" s="6"/>
      <c r="B33" s="6" t="s">
        <v>15</v>
      </c>
      <c r="C33" s="21">
        <v>31</v>
      </c>
      <c r="D33" s="22">
        <v>8.57</v>
      </c>
      <c r="E33" s="23">
        <v>0</v>
      </c>
      <c r="F33" s="35">
        <v>8.5699062112609141</v>
      </c>
      <c r="G33" s="23">
        <f t="shared" si="0"/>
        <v>740439.89665294299</v>
      </c>
      <c r="H33" s="23">
        <f t="shared" si="1"/>
        <v>0.74043989665294296</v>
      </c>
      <c r="I33" s="23">
        <v>18467</v>
      </c>
      <c r="J33" s="36">
        <f t="shared" si="2"/>
        <v>1.8467000000000001E-2</v>
      </c>
      <c r="K33" s="37">
        <v>4025</v>
      </c>
      <c r="L33" s="23">
        <f t="shared" si="5"/>
        <v>4.0249999999999999E-3</v>
      </c>
      <c r="M33" s="23">
        <f t="shared" si="3"/>
        <v>2.2492000000000002E-2</v>
      </c>
      <c r="N33" s="23">
        <v>8.1172800000000003E-2</v>
      </c>
      <c r="O33" s="23">
        <f t="shared" si="4"/>
        <v>0.63677509665294296</v>
      </c>
    </row>
    <row r="34" spans="1:15" x14ac:dyDescent="0.7">
      <c r="A34" s="2"/>
      <c r="B34" s="2" t="s">
        <v>16</v>
      </c>
      <c r="C34" s="19">
        <v>1</v>
      </c>
      <c r="D34" s="29">
        <v>8.1969999999999992</v>
      </c>
      <c r="E34" s="24">
        <v>0</v>
      </c>
      <c r="F34" s="29">
        <v>8.1965690793614847</v>
      </c>
      <c r="G34" s="24">
        <f t="shared" si="0"/>
        <v>708183.56845683232</v>
      </c>
      <c r="H34" s="24">
        <f t="shared" si="1"/>
        <v>0.70818356845683228</v>
      </c>
      <c r="I34" s="24">
        <v>19807</v>
      </c>
      <c r="J34" s="30">
        <f t="shared" si="2"/>
        <v>1.9807000000000002E-2</v>
      </c>
      <c r="K34" s="38">
        <v>4927</v>
      </c>
      <c r="L34" s="24">
        <f>K34/1000000</f>
        <v>4.927E-3</v>
      </c>
      <c r="M34" s="24">
        <f t="shared" si="3"/>
        <v>2.4734000000000003E-2</v>
      </c>
      <c r="N34" s="24">
        <v>9.0676799999999988E-2</v>
      </c>
      <c r="O34" s="24">
        <f t="shared" si="4"/>
        <v>0.59277276845683224</v>
      </c>
    </row>
    <row r="35" spans="1:15" x14ac:dyDescent="0.7">
      <c r="A35" s="4"/>
      <c r="B35" s="4"/>
      <c r="C35" s="15">
        <v>2</v>
      </c>
      <c r="D35" s="16">
        <v>8.0739999999999998</v>
      </c>
      <c r="E35" s="17">
        <v>0</v>
      </c>
      <c r="F35" s="31">
        <v>8.0741844846701127</v>
      </c>
      <c r="G35" s="17">
        <f t="shared" si="0"/>
        <v>697609.53947549779</v>
      </c>
      <c r="H35" s="17">
        <f t="shared" si="1"/>
        <v>0.69760953947549775</v>
      </c>
      <c r="I35" s="17">
        <v>26326</v>
      </c>
      <c r="J35" s="32">
        <f t="shared" si="2"/>
        <v>2.6325999999999999E-2</v>
      </c>
      <c r="K35" s="17">
        <v>4942</v>
      </c>
      <c r="L35" s="17">
        <f t="shared" ref="L35:L36" si="6">K35/1000000</f>
        <v>4.9420000000000002E-3</v>
      </c>
      <c r="M35" s="17">
        <f t="shared" si="3"/>
        <v>3.1267999999999997E-2</v>
      </c>
      <c r="N35" s="17">
        <v>9.0676799999999988E-2</v>
      </c>
      <c r="O35" s="17">
        <f t="shared" si="4"/>
        <v>0.57566473947549779</v>
      </c>
    </row>
    <row r="36" spans="1:15" x14ac:dyDescent="0.7">
      <c r="A36" s="4"/>
      <c r="B36" s="4"/>
      <c r="C36" s="15">
        <v>3</v>
      </c>
      <c r="D36" s="16">
        <v>8.0739999999999998</v>
      </c>
      <c r="E36" s="17">
        <v>0</v>
      </c>
      <c r="F36" s="31">
        <v>8.0741844846701127</v>
      </c>
      <c r="G36" s="17">
        <f t="shared" si="0"/>
        <v>697609.53947549779</v>
      </c>
      <c r="H36" s="17">
        <f t="shared" si="1"/>
        <v>0.69760953947549775</v>
      </c>
      <c r="I36" s="17">
        <v>18643</v>
      </c>
      <c r="J36" s="32">
        <f t="shared" si="2"/>
        <v>1.8643E-2</v>
      </c>
      <c r="K36" s="17">
        <v>2207</v>
      </c>
      <c r="L36" s="17">
        <f t="shared" si="6"/>
        <v>2.2070000000000002E-3</v>
      </c>
      <c r="M36" s="17">
        <f t="shared" si="3"/>
        <v>2.085E-2</v>
      </c>
      <c r="N36" s="17">
        <v>8.5536000000000001E-2</v>
      </c>
      <c r="O36" s="17">
        <f t="shared" si="4"/>
        <v>0.59122353947549766</v>
      </c>
    </row>
    <row r="37" spans="1:15" x14ac:dyDescent="0.7">
      <c r="A37" s="4"/>
      <c r="B37" s="4"/>
      <c r="C37" s="15">
        <v>4</v>
      </c>
      <c r="D37" s="16">
        <v>7.9530000000000003</v>
      </c>
      <c r="E37" s="17">
        <v>0</v>
      </c>
      <c r="F37" s="31">
        <v>7.8324899192847512</v>
      </c>
      <c r="G37" s="17">
        <f t="shared" si="0"/>
        <v>676727.12902620248</v>
      </c>
      <c r="H37" s="17">
        <f t="shared" si="1"/>
        <v>0.67672712902620247</v>
      </c>
      <c r="I37" s="17">
        <v>19087</v>
      </c>
      <c r="J37" s="32">
        <f t="shared" si="2"/>
        <v>1.9087E-2</v>
      </c>
      <c r="K37" s="17">
        <v>0</v>
      </c>
      <c r="L37" s="17">
        <v>0</v>
      </c>
      <c r="M37" s="17">
        <f t="shared" si="3"/>
        <v>1.9087E-2</v>
      </c>
      <c r="N37" s="17">
        <v>8.5536000000000001E-2</v>
      </c>
      <c r="O37" s="17">
        <f t="shared" si="4"/>
        <v>0.57210412902620256</v>
      </c>
    </row>
    <row r="38" spans="1:15" x14ac:dyDescent="0.7">
      <c r="A38" s="4"/>
      <c r="B38" s="4"/>
      <c r="C38" s="15">
        <v>5</v>
      </c>
      <c r="D38" s="16">
        <v>7.7130000000000001</v>
      </c>
      <c r="E38" s="17">
        <v>0</v>
      </c>
      <c r="F38" s="31">
        <v>7.5948759075556751</v>
      </c>
      <c r="G38" s="17">
        <f t="shared" si="0"/>
        <v>656197.27841281029</v>
      </c>
      <c r="H38" s="17">
        <f t="shared" si="1"/>
        <v>0.65619727841281028</v>
      </c>
      <c r="I38" s="17">
        <v>19476</v>
      </c>
      <c r="J38" s="32">
        <f t="shared" si="2"/>
        <v>1.9476E-2</v>
      </c>
      <c r="K38" s="17">
        <v>0</v>
      </c>
      <c r="L38" s="17">
        <v>0</v>
      </c>
      <c r="M38" s="17">
        <f t="shared" si="3"/>
        <v>1.9476E-2</v>
      </c>
      <c r="N38" s="17">
        <v>8.5536000000000001E-2</v>
      </c>
      <c r="O38" s="17">
        <f t="shared" si="4"/>
        <v>0.55118527841281018</v>
      </c>
    </row>
    <row r="39" spans="1:15" x14ac:dyDescent="0.7">
      <c r="A39" s="4"/>
      <c r="B39" s="4"/>
      <c r="C39" s="15">
        <v>6</v>
      </c>
      <c r="D39" s="31">
        <v>7.4779999999999998</v>
      </c>
      <c r="E39" s="17">
        <v>0</v>
      </c>
      <c r="F39" s="31">
        <v>7.3613197174969196</v>
      </c>
      <c r="G39" s="17">
        <f t="shared" si="0"/>
        <v>636018.02359173389</v>
      </c>
      <c r="H39" s="17">
        <f t="shared" si="1"/>
        <v>0.63601802359173387</v>
      </c>
      <c r="I39" s="17">
        <v>29850</v>
      </c>
      <c r="J39" s="32">
        <f t="shared" si="2"/>
        <v>2.9850000000000002E-2</v>
      </c>
      <c r="K39" s="17">
        <v>0</v>
      </c>
      <c r="L39" s="17">
        <v>0</v>
      </c>
      <c r="M39" s="17">
        <f t="shared" si="3"/>
        <v>2.9850000000000002E-2</v>
      </c>
      <c r="N39" s="17">
        <v>8.5536000000000001E-2</v>
      </c>
      <c r="O39" s="17">
        <f t="shared" si="4"/>
        <v>0.52063202359173388</v>
      </c>
    </row>
    <row r="40" spans="1:15" x14ac:dyDescent="0.7">
      <c r="A40" s="4"/>
      <c r="B40" s="4"/>
      <c r="C40" s="15">
        <v>7</v>
      </c>
      <c r="D40" s="16">
        <v>7.2460000000000004</v>
      </c>
      <c r="E40" s="17">
        <v>0</v>
      </c>
      <c r="F40" s="31">
        <v>7.2460562032113538</v>
      </c>
      <c r="G40" s="17">
        <f t="shared" si="0"/>
        <v>626059.25595746096</v>
      </c>
      <c r="H40" s="17">
        <f t="shared" si="1"/>
        <v>0.62605925595746093</v>
      </c>
      <c r="I40" s="17">
        <v>24144</v>
      </c>
      <c r="J40" s="32">
        <f t="shared" si="2"/>
        <v>2.4143999999999999E-2</v>
      </c>
      <c r="K40" s="17">
        <v>0</v>
      </c>
      <c r="L40" s="17">
        <v>0</v>
      </c>
      <c r="M40" s="17">
        <f t="shared" si="3"/>
        <v>2.4143999999999999E-2</v>
      </c>
      <c r="N40" s="17">
        <v>8.5536000000000001E-2</v>
      </c>
      <c r="O40" s="17">
        <f t="shared" si="4"/>
        <v>0.51637925595746093</v>
      </c>
    </row>
    <row r="41" spans="1:15" x14ac:dyDescent="0.7">
      <c r="A41" s="4"/>
      <c r="B41" s="4"/>
      <c r="C41" s="15">
        <v>8</v>
      </c>
      <c r="D41" s="16">
        <v>7.1319999999999997</v>
      </c>
      <c r="E41" s="17">
        <v>0</v>
      </c>
      <c r="F41" s="31">
        <v>7.0185441358427614</v>
      </c>
      <c r="G41" s="17">
        <f t="shared" si="0"/>
        <v>606402.21333681454</v>
      </c>
      <c r="H41" s="17">
        <f t="shared" si="1"/>
        <v>0.60640221333681454</v>
      </c>
      <c r="I41" s="17">
        <v>20934</v>
      </c>
      <c r="J41" s="32">
        <f t="shared" si="2"/>
        <v>2.0934000000000001E-2</v>
      </c>
      <c r="K41" s="17">
        <v>0</v>
      </c>
      <c r="L41" s="17">
        <v>0</v>
      </c>
      <c r="M41" s="17">
        <f t="shared" si="3"/>
        <v>2.0934000000000001E-2</v>
      </c>
      <c r="N41" s="17">
        <v>2.5919999999999999E-2</v>
      </c>
      <c r="O41" s="17">
        <f t="shared" si="4"/>
        <v>0.55954821333681459</v>
      </c>
    </row>
    <row r="42" spans="1:15" x14ac:dyDescent="0.7">
      <c r="A42" s="4"/>
      <c r="B42" s="4"/>
      <c r="C42" s="15">
        <v>9</v>
      </c>
      <c r="D42" s="16">
        <v>6.9059999999999997</v>
      </c>
      <c r="E42" s="17">
        <v>0</v>
      </c>
      <c r="F42" s="31">
        <v>6.9062899047542397</v>
      </c>
      <c r="G42" s="17">
        <f t="shared" si="0"/>
        <v>596703.44777076633</v>
      </c>
      <c r="H42" s="17">
        <f t="shared" si="1"/>
        <v>0.59670344777076634</v>
      </c>
      <c r="I42" s="17">
        <v>21104</v>
      </c>
      <c r="J42" s="32">
        <f t="shared" si="2"/>
        <v>2.1104000000000001E-2</v>
      </c>
      <c r="K42" s="17">
        <v>3756</v>
      </c>
      <c r="L42" s="17">
        <f t="shared" ref="L42:L50" si="7">K42/1000000</f>
        <v>3.7559999999999998E-3</v>
      </c>
      <c r="M42" s="17">
        <f t="shared" si="3"/>
        <v>2.486E-2</v>
      </c>
      <c r="N42" s="17">
        <v>3.10608E-2</v>
      </c>
      <c r="O42" s="17">
        <f t="shared" si="4"/>
        <v>0.54078264777076634</v>
      </c>
    </row>
    <row r="43" spans="1:15" x14ac:dyDescent="0.7">
      <c r="A43" s="4"/>
      <c r="B43" s="4"/>
      <c r="C43" s="15">
        <v>10</v>
      </c>
      <c r="D43" s="16">
        <v>6.7960000000000003</v>
      </c>
      <c r="E43" s="17">
        <v>0</v>
      </c>
      <c r="F43" s="31">
        <v>6.7950330915243651</v>
      </c>
      <c r="G43" s="17">
        <f t="shared" si="0"/>
        <v>587090.85910770518</v>
      </c>
      <c r="H43" s="17">
        <f t="shared" si="1"/>
        <v>0.5870908591077052</v>
      </c>
      <c r="I43" s="17">
        <v>25837</v>
      </c>
      <c r="J43" s="32">
        <f t="shared" si="2"/>
        <v>2.5836999999999999E-2</v>
      </c>
      <c r="K43" s="17">
        <v>336</v>
      </c>
      <c r="L43" s="17">
        <f t="shared" si="7"/>
        <v>3.3599999999999998E-4</v>
      </c>
      <c r="M43" s="17">
        <f t="shared" si="3"/>
        <v>2.6172999999999998E-2</v>
      </c>
      <c r="N43" s="17">
        <v>2.5919999999999999E-2</v>
      </c>
      <c r="O43" s="17">
        <f t="shared" si="4"/>
        <v>0.53499785910770514</v>
      </c>
    </row>
    <row r="44" spans="1:15" x14ac:dyDescent="0.7">
      <c r="A44" s="4"/>
      <c r="B44" s="4"/>
      <c r="C44" s="15">
        <v>11</v>
      </c>
      <c r="D44" s="16">
        <v>6.7960000000000003</v>
      </c>
      <c r="E44" s="17">
        <v>0</v>
      </c>
      <c r="F44" s="31">
        <v>6.7950330915243651</v>
      </c>
      <c r="G44" s="17">
        <f t="shared" si="0"/>
        <v>587090.85910770518</v>
      </c>
      <c r="H44" s="17">
        <f t="shared" si="1"/>
        <v>0.5870908591077052</v>
      </c>
      <c r="I44" s="17">
        <v>28076</v>
      </c>
      <c r="J44" s="32">
        <f t="shared" si="2"/>
        <v>2.8076E-2</v>
      </c>
      <c r="K44" s="17">
        <v>7</v>
      </c>
      <c r="L44" s="17">
        <f t="shared" si="7"/>
        <v>6.9999999999999999E-6</v>
      </c>
      <c r="M44" s="17">
        <f t="shared" si="3"/>
        <v>2.8083E-2</v>
      </c>
      <c r="N44" s="17">
        <v>2.5919999999999999E-2</v>
      </c>
      <c r="O44" s="17">
        <f t="shared" si="4"/>
        <v>0.53308785910770529</v>
      </c>
    </row>
    <row r="45" spans="1:15" x14ac:dyDescent="0.7">
      <c r="A45" s="4"/>
      <c r="B45" s="4"/>
      <c r="C45" s="15">
        <v>12</v>
      </c>
      <c r="D45" s="16">
        <v>6.6849999999999996</v>
      </c>
      <c r="E45" s="17">
        <v>0</v>
      </c>
      <c r="F45" s="31">
        <v>6.6847708595486592</v>
      </c>
      <c r="G45" s="17">
        <f t="shared" si="0"/>
        <v>577564.20226500416</v>
      </c>
      <c r="H45" s="17">
        <f t="shared" si="1"/>
        <v>0.57756420226500416</v>
      </c>
      <c r="I45" s="17">
        <v>27550</v>
      </c>
      <c r="J45" s="32">
        <f t="shared" si="2"/>
        <v>2.7550000000000002E-2</v>
      </c>
      <c r="K45" s="17">
        <v>3588</v>
      </c>
      <c r="L45" s="17">
        <f t="shared" si="7"/>
        <v>3.588E-3</v>
      </c>
      <c r="M45" s="17">
        <f t="shared" si="3"/>
        <v>3.1138000000000002E-2</v>
      </c>
      <c r="N45" s="17">
        <v>2.5919999999999999E-2</v>
      </c>
      <c r="O45" s="17">
        <f t="shared" si="4"/>
        <v>0.52050620226500421</v>
      </c>
    </row>
    <row r="46" spans="1:15" x14ac:dyDescent="0.7">
      <c r="A46" s="4"/>
      <c r="B46" s="4"/>
      <c r="C46" s="15">
        <v>13</v>
      </c>
      <c r="D46" s="31">
        <v>6.6849999999999996</v>
      </c>
      <c r="E46" s="17">
        <v>0</v>
      </c>
      <c r="F46" s="31">
        <v>6.6847708595486592</v>
      </c>
      <c r="G46" s="17">
        <f t="shared" si="0"/>
        <v>577564.20226500416</v>
      </c>
      <c r="H46" s="17">
        <f t="shared" si="1"/>
        <v>0.57756420226500416</v>
      </c>
      <c r="I46" s="17">
        <v>26645</v>
      </c>
      <c r="J46" s="32">
        <f t="shared" si="2"/>
        <v>2.6644999999999999E-2</v>
      </c>
      <c r="K46" s="17">
        <v>4197</v>
      </c>
      <c r="L46" s="17">
        <f t="shared" si="7"/>
        <v>4.1970000000000002E-3</v>
      </c>
      <c r="M46" s="17">
        <f t="shared" si="3"/>
        <v>3.0841999999999998E-2</v>
      </c>
      <c r="N46" s="17">
        <v>0</v>
      </c>
      <c r="O46" s="17">
        <f t="shared" si="4"/>
        <v>0.54672220226500412</v>
      </c>
    </row>
    <row r="47" spans="1:15" x14ac:dyDescent="0.7">
      <c r="A47" s="4"/>
      <c r="B47" s="4"/>
      <c r="C47" s="15">
        <v>14</v>
      </c>
      <c r="D47" s="16">
        <v>6.5759999999999996</v>
      </c>
      <c r="E47" s="17">
        <v>0</v>
      </c>
      <c r="F47" s="31">
        <v>6.5755003734296773</v>
      </c>
      <c r="G47" s="17">
        <f t="shared" si="0"/>
        <v>568123.23226432409</v>
      </c>
      <c r="H47" s="17">
        <f t="shared" si="1"/>
        <v>0.56812323226432404</v>
      </c>
      <c r="I47" s="17">
        <v>27243</v>
      </c>
      <c r="J47" s="32">
        <f t="shared" si="2"/>
        <v>2.7243E-2</v>
      </c>
      <c r="K47" s="17">
        <v>1347</v>
      </c>
      <c r="L47" s="17">
        <f t="shared" si="7"/>
        <v>1.3470000000000001E-3</v>
      </c>
      <c r="M47" s="17">
        <f t="shared" si="3"/>
        <v>2.8590000000000001E-2</v>
      </c>
      <c r="N47" s="17">
        <v>0</v>
      </c>
      <c r="O47" s="17">
        <f t="shared" si="4"/>
        <v>0.53953323226432404</v>
      </c>
    </row>
    <row r="48" spans="1:15" x14ac:dyDescent="0.7">
      <c r="A48" s="4"/>
      <c r="B48" s="4"/>
      <c r="C48" s="15">
        <v>15</v>
      </c>
      <c r="D48" s="16">
        <v>6.5759999999999996</v>
      </c>
      <c r="E48" s="17">
        <v>0</v>
      </c>
      <c r="F48" s="31">
        <v>6.5755003734296773</v>
      </c>
      <c r="G48" s="17">
        <f t="shared" si="0"/>
        <v>568123.23226432409</v>
      </c>
      <c r="H48" s="17">
        <f t="shared" si="1"/>
        <v>0.56812323226432404</v>
      </c>
      <c r="I48" s="17">
        <v>21862</v>
      </c>
      <c r="J48" s="32">
        <f t="shared" si="2"/>
        <v>2.1861999999999999E-2</v>
      </c>
      <c r="K48" s="17">
        <v>3412</v>
      </c>
      <c r="L48" s="17">
        <f t="shared" si="7"/>
        <v>3.4120000000000001E-3</v>
      </c>
      <c r="M48" s="17">
        <f t="shared" si="3"/>
        <v>2.5273999999999998E-2</v>
      </c>
      <c r="N48" s="17">
        <v>0</v>
      </c>
      <c r="O48" s="17">
        <f t="shared" si="4"/>
        <v>0.54284923226432402</v>
      </c>
    </row>
    <row r="49" spans="1:15" x14ac:dyDescent="0.7">
      <c r="A49" s="4"/>
      <c r="B49" s="4"/>
      <c r="C49" s="15">
        <v>16</v>
      </c>
      <c r="D49" s="16">
        <v>6.4669999999999996</v>
      </c>
      <c r="E49" s="17">
        <v>0</v>
      </c>
      <c r="F49" s="31">
        <v>6.4672187991234029</v>
      </c>
      <c r="G49" s="17">
        <f t="shared" si="0"/>
        <v>558767.70424426196</v>
      </c>
      <c r="H49" s="17">
        <f t="shared" si="1"/>
        <v>0.55876770424426192</v>
      </c>
      <c r="I49" s="17">
        <v>41225</v>
      </c>
      <c r="J49" s="32">
        <f t="shared" si="2"/>
        <v>4.1224999999999998E-2</v>
      </c>
      <c r="K49" s="17">
        <v>3788</v>
      </c>
      <c r="L49" s="17">
        <f t="shared" si="7"/>
        <v>3.7880000000000001E-3</v>
      </c>
      <c r="M49" s="17">
        <f t="shared" si="3"/>
        <v>4.5012999999999997E-2</v>
      </c>
      <c r="N49" s="17">
        <v>0</v>
      </c>
      <c r="O49" s="17">
        <f t="shared" si="4"/>
        <v>0.51375470424426195</v>
      </c>
    </row>
    <row r="50" spans="1:15" x14ac:dyDescent="0.7">
      <c r="A50" s="4"/>
      <c r="B50" s="4"/>
      <c r="C50" s="15">
        <v>17</v>
      </c>
      <c r="D50" s="16">
        <v>6.36</v>
      </c>
      <c r="E50" s="17">
        <v>0</v>
      </c>
      <c r="F50" s="31">
        <v>6.3599233040911018</v>
      </c>
      <c r="G50" s="17">
        <f>F50*86400</f>
        <v>549497.37347347115</v>
      </c>
      <c r="H50" s="17">
        <f t="shared" si="1"/>
        <v>0.54949737347347116</v>
      </c>
      <c r="I50" s="17">
        <v>27794</v>
      </c>
      <c r="J50" s="32">
        <f t="shared" si="2"/>
        <v>2.7793999999999999E-2</v>
      </c>
      <c r="K50" s="17">
        <v>1866</v>
      </c>
      <c r="L50" s="17">
        <f t="shared" si="7"/>
        <v>1.866E-3</v>
      </c>
      <c r="M50" s="17">
        <f t="shared" si="3"/>
        <v>2.9659999999999999E-2</v>
      </c>
      <c r="N50" s="17">
        <v>2.5919999999999999E-2</v>
      </c>
      <c r="O50" s="17">
        <f t="shared" si="4"/>
        <v>0.49391737347347114</v>
      </c>
    </row>
    <row r="51" spans="1:15" x14ac:dyDescent="0.7">
      <c r="A51" s="4"/>
      <c r="B51" s="4"/>
      <c r="C51" s="15">
        <v>18</v>
      </c>
      <c r="D51" s="16">
        <v>6.36</v>
      </c>
      <c r="E51" s="17">
        <v>0</v>
      </c>
      <c r="F51" s="31">
        <v>6.3599233040911018</v>
      </c>
      <c r="G51" s="17">
        <f t="shared" si="0"/>
        <v>549497.37347347115</v>
      </c>
      <c r="H51" s="17">
        <f t="shared" si="1"/>
        <v>0.54949737347347116</v>
      </c>
      <c r="I51" s="17">
        <v>17442</v>
      </c>
      <c r="J51" s="32">
        <f t="shared" si="2"/>
        <v>1.7441999999999999E-2</v>
      </c>
      <c r="K51" s="17">
        <v>0</v>
      </c>
      <c r="L51" s="17">
        <v>0</v>
      </c>
      <c r="M51" s="17">
        <f t="shared" si="3"/>
        <v>1.7441999999999999E-2</v>
      </c>
      <c r="N51" s="17">
        <v>0</v>
      </c>
      <c r="O51" s="17">
        <f t="shared" si="4"/>
        <v>0.5320553734734712</v>
      </c>
    </row>
    <row r="52" spans="1:15" x14ac:dyDescent="0.7">
      <c r="A52" s="4"/>
      <c r="B52" s="4"/>
      <c r="C52" s="15">
        <v>19</v>
      </c>
      <c r="D52" s="16">
        <v>6.2539999999999996</v>
      </c>
      <c r="E52" s="17">
        <v>0</v>
      </c>
      <c r="F52" s="31">
        <v>6.2536110574605361</v>
      </c>
      <c r="G52" s="17">
        <f t="shared" si="0"/>
        <v>540311.99536459032</v>
      </c>
      <c r="H52" s="17">
        <f t="shared" si="1"/>
        <v>0.54031199536459029</v>
      </c>
      <c r="I52" s="17">
        <v>19748</v>
      </c>
      <c r="J52" s="32">
        <f t="shared" si="2"/>
        <v>1.9748000000000002E-2</v>
      </c>
      <c r="K52" s="17">
        <v>0</v>
      </c>
      <c r="L52" s="17">
        <v>0</v>
      </c>
      <c r="M52" s="17">
        <f t="shared" si="3"/>
        <v>1.9748000000000002E-2</v>
      </c>
      <c r="N52" s="17">
        <v>0</v>
      </c>
      <c r="O52" s="17">
        <f t="shared" si="4"/>
        <v>0.5205639953645903</v>
      </c>
    </row>
    <row r="53" spans="1:15" x14ac:dyDescent="0.7">
      <c r="A53" s="4"/>
      <c r="B53" s="4"/>
      <c r="C53" s="15">
        <v>20</v>
      </c>
      <c r="D53" s="16">
        <v>6.2539999999999996</v>
      </c>
      <c r="E53" s="17">
        <v>0</v>
      </c>
      <c r="F53" s="31">
        <v>6.1482792301876845</v>
      </c>
      <c r="G53" s="17">
        <f t="shared" si="0"/>
        <v>531211.32548821589</v>
      </c>
      <c r="H53" s="17">
        <f t="shared" si="1"/>
        <v>0.53121132548821592</v>
      </c>
      <c r="I53" s="17">
        <v>21202</v>
      </c>
      <c r="J53" s="32">
        <f t="shared" si="2"/>
        <v>2.1201999999999999E-2</v>
      </c>
      <c r="K53" s="17">
        <v>0</v>
      </c>
      <c r="L53" s="17">
        <v>0</v>
      </c>
      <c r="M53" s="17">
        <f t="shared" si="3"/>
        <v>2.1201999999999999E-2</v>
      </c>
      <c r="N53" s="17">
        <v>0</v>
      </c>
      <c r="O53" s="17">
        <f t="shared" si="4"/>
        <v>0.51000932548821587</v>
      </c>
    </row>
    <row r="54" spans="1:15" x14ac:dyDescent="0.7">
      <c r="A54" s="4"/>
      <c r="B54" s="4"/>
      <c r="C54" s="15">
        <v>21</v>
      </c>
      <c r="D54" s="16">
        <v>6.0439999999999996</v>
      </c>
      <c r="E54" s="17">
        <v>0</v>
      </c>
      <c r="F54" s="31">
        <v>5.8381380052012952</v>
      </c>
      <c r="G54" s="17">
        <f t="shared" si="0"/>
        <v>504415.12364939193</v>
      </c>
      <c r="H54" s="17">
        <f t="shared" si="1"/>
        <v>0.50441512364939189</v>
      </c>
      <c r="I54" s="17">
        <v>16599</v>
      </c>
      <c r="J54" s="32">
        <f t="shared" si="2"/>
        <v>1.6598999999999999E-2</v>
      </c>
      <c r="K54" s="17">
        <v>0</v>
      </c>
      <c r="L54" s="17">
        <v>0</v>
      </c>
      <c r="M54" s="17">
        <f t="shared" si="3"/>
        <v>1.6598999999999999E-2</v>
      </c>
      <c r="N54" s="17">
        <v>3.456E-2</v>
      </c>
      <c r="O54" s="17">
        <f t="shared" si="4"/>
        <v>0.45325612364939194</v>
      </c>
    </row>
    <row r="55" spans="1:15" x14ac:dyDescent="0.7">
      <c r="A55" s="4"/>
      <c r="B55" s="4"/>
      <c r="C55" s="15">
        <v>22</v>
      </c>
      <c r="D55" s="31">
        <v>5.6360000000000001</v>
      </c>
      <c r="E55" s="17">
        <v>0</v>
      </c>
      <c r="F55" s="31">
        <v>5.5367189221945017</v>
      </c>
      <c r="G55" s="17">
        <f t="shared" si="0"/>
        <v>478372.51487760496</v>
      </c>
      <c r="H55" s="17">
        <f t="shared" si="1"/>
        <v>0.47837251487760496</v>
      </c>
      <c r="I55" s="17">
        <v>19351</v>
      </c>
      <c r="J55" s="32">
        <f t="shared" si="2"/>
        <v>1.9351E-2</v>
      </c>
      <c r="K55" s="17">
        <v>0</v>
      </c>
      <c r="L55" s="17">
        <v>0</v>
      </c>
      <c r="M55" s="17">
        <f t="shared" si="3"/>
        <v>1.9351E-2</v>
      </c>
      <c r="N55" s="17">
        <v>8.6400000000000005E-2</v>
      </c>
      <c r="O55" s="17">
        <f t="shared" si="4"/>
        <v>0.37262151487760498</v>
      </c>
    </row>
    <row r="56" spans="1:15" x14ac:dyDescent="0.7">
      <c r="A56" s="4"/>
      <c r="B56" s="4"/>
      <c r="C56" s="15">
        <v>23</v>
      </c>
      <c r="D56" s="31">
        <v>5.3410000000000002</v>
      </c>
      <c r="E56" s="17">
        <v>0</v>
      </c>
      <c r="F56" s="31">
        <v>5.3405809709968262</v>
      </c>
      <c r="G56" s="17">
        <f t="shared" si="0"/>
        <v>461426.19589412579</v>
      </c>
      <c r="H56" s="17">
        <f t="shared" si="1"/>
        <v>0.46142619589412581</v>
      </c>
      <c r="I56" s="17">
        <v>20404</v>
      </c>
      <c r="J56" s="32">
        <f t="shared" si="2"/>
        <v>2.0403999999999999E-2</v>
      </c>
      <c r="K56" s="17">
        <v>0</v>
      </c>
      <c r="L56" s="17">
        <v>0</v>
      </c>
      <c r="M56" s="17">
        <f t="shared" si="3"/>
        <v>2.0403999999999999E-2</v>
      </c>
      <c r="N56" s="17">
        <v>8.6400000000000005E-2</v>
      </c>
      <c r="O56" s="17">
        <f t="shared" si="4"/>
        <v>0.3546221958941258</v>
      </c>
    </row>
    <row r="57" spans="1:15" x14ac:dyDescent="0.7">
      <c r="A57" s="4"/>
      <c r="B57" s="4"/>
      <c r="C57" s="15">
        <v>24</v>
      </c>
      <c r="D57" s="16">
        <v>5.2439999999999998</v>
      </c>
      <c r="E57" s="17">
        <v>0</v>
      </c>
      <c r="F57" s="31">
        <v>5.1482633088971355</v>
      </c>
      <c r="G57" s="17">
        <f t="shared" si="0"/>
        <v>444809.94988871249</v>
      </c>
      <c r="H57" s="17">
        <f t="shared" si="1"/>
        <v>0.44480994988871247</v>
      </c>
      <c r="I57" s="17">
        <v>20682</v>
      </c>
      <c r="J57" s="32">
        <f t="shared" si="2"/>
        <v>2.0681999999999999E-2</v>
      </c>
      <c r="K57" s="17">
        <v>0</v>
      </c>
      <c r="L57" s="17">
        <v>0</v>
      </c>
      <c r="M57" s="17">
        <f t="shared" si="3"/>
        <v>2.0681999999999999E-2</v>
      </c>
      <c r="N57" s="17">
        <v>8.6400000000000005E-2</v>
      </c>
      <c r="O57" s="17">
        <f t="shared" si="4"/>
        <v>0.33772794988871246</v>
      </c>
    </row>
    <row r="58" spans="1:15" x14ac:dyDescent="0.7">
      <c r="A58" s="4"/>
      <c r="B58" s="4"/>
      <c r="C58" s="15">
        <v>25</v>
      </c>
      <c r="D58" s="16">
        <v>4.96</v>
      </c>
      <c r="E58" s="17">
        <v>0</v>
      </c>
      <c r="F58" s="31">
        <v>4.8669009156243979</v>
      </c>
      <c r="G58" s="17">
        <f t="shared" si="0"/>
        <v>420500.23910994799</v>
      </c>
      <c r="H58" s="17">
        <f t="shared" si="1"/>
        <v>0.42050023910994799</v>
      </c>
      <c r="I58" s="17">
        <v>20344</v>
      </c>
      <c r="J58" s="32">
        <f t="shared" si="2"/>
        <v>2.0344000000000001E-2</v>
      </c>
      <c r="K58" s="17">
        <v>0</v>
      </c>
      <c r="L58" s="17">
        <v>0</v>
      </c>
      <c r="M58" s="17">
        <f t="shared" si="3"/>
        <v>2.0344000000000001E-2</v>
      </c>
      <c r="N58" s="17">
        <v>2.5919999999999999E-2</v>
      </c>
      <c r="O58" s="17">
        <f t="shared" si="4"/>
        <v>0.37423623910994802</v>
      </c>
    </row>
    <row r="59" spans="1:15" x14ac:dyDescent="0.7">
      <c r="A59" s="4"/>
      <c r="B59" s="4"/>
      <c r="C59" s="15">
        <v>26</v>
      </c>
      <c r="D59" s="31">
        <v>4.7549999999999999</v>
      </c>
      <c r="E59" s="17">
        <v>0</v>
      </c>
      <c r="F59" s="31">
        <v>4.7749993938767039</v>
      </c>
      <c r="G59" s="17">
        <f t="shared" si="0"/>
        <v>412559.94763094722</v>
      </c>
      <c r="H59" s="17">
        <f t="shared" si="1"/>
        <v>0.41255994763094722</v>
      </c>
      <c r="I59" s="17">
        <v>26684</v>
      </c>
      <c r="J59" s="32">
        <f t="shared" si="2"/>
        <v>2.6683999999999999E-2</v>
      </c>
      <c r="K59" s="17">
        <v>2602</v>
      </c>
      <c r="L59" s="17">
        <f t="shared" ref="L59:L71" si="8">K59/1000000</f>
        <v>2.6020000000000001E-3</v>
      </c>
      <c r="M59" s="17">
        <f t="shared" si="3"/>
        <v>2.9286E-2</v>
      </c>
      <c r="N59" s="17">
        <v>3.10608E-2</v>
      </c>
      <c r="O59" s="17">
        <f t="shared" si="4"/>
        <v>0.35221314763094724</v>
      </c>
    </row>
    <row r="60" spans="1:15" x14ac:dyDescent="0.7">
      <c r="A60" s="4"/>
      <c r="B60" s="4"/>
      <c r="C60" s="15">
        <v>27</v>
      </c>
      <c r="D60" s="31">
        <v>4.7549999999999999</v>
      </c>
      <c r="E60" s="17">
        <v>0</v>
      </c>
      <c r="F60" s="31">
        <v>4.7749993938767039</v>
      </c>
      <c r="G60" s="17">
        <f t="shared" si="0"/>
        <v>412559.94763094722</v>
      </c>
      <c r="H60" s="17">
        <f t="shared" si="1"/>
        <v>0.41255994763094722</v>
      </c>
      <c r="I60" s="17">
        <v>34225</v>
      </c>
      <c r="J60" s="32">
        <f t="shared" si="2"/>
        <v>3.4224999999999998E-2</v>
      </c>
      <c r="K60" s="17">
        <v>4702</v>
      </c>
      <c r="L60" s="17">
        <f t="shared" si="8"/>
        <v>4.7019999999999996E-3</v>
      </c>
      <c r="M60" s="17">
        <f t="shared" si="3"/>
        <v>3.8926999999999996E-2</v>
      </c>
      <c r="N60" s="17">
        <v>3.10608E-2</v>
      </c>
      <c r="O60" s="17">
        <f t="shared" si="4"/>
        <v>0.34257214763094723</v>
      </c>
    </row>
    <row r="61" spans="1:15" x14ac:dyDescent="0.7">
      <c r="A61" s="4"/>
      <c r="B61" s="4"/>
      <c r="C61" s="15">
        <v>28</v>
      </c>
      <c r="D61" s="31">
        <v>4.7750000000000004</v>
      </c>
      <c r="E61" s="17">
        <v>0</v>
      </c>
      <c r="F61" s="31">
        <v>4.7749993938767039</v>
      </c>
      <c r="G61" s="17">
        <f t="shared" si="0"/>
        <v>412559.94763094722</v>
      </c>
      <c r="H61" s="17">
        <f t="shared" si="1"/>
        <v>0.41255994763094722</v>
      </c>
      <c r="I61" s="17">
        <v>22570</v>
      </c>
      <c r="J61" s="32">
        <f t="shared" si="2"/>
        <v>2.257E-2</v>
      </c>
      <c r="K61" s="17">
        <v>1687</v>
      </c>
      <c r="L61" s="17">
        <f t="shared" si="8"/>
        <v>1.6869999999999999E-3</v>
      </c>
      <c r="M61" s="17">
        <f t="shared" si="3"/>
        <v>2.4257000000000001E-2</v>
      </c>
      <c r="N61" s="17">
        <v>3.62016E-2</v>
      </c>
      <c r="O61" s="17">
        <f t="shared" si="4"/>
        <v>0.35210134763094719</v>
      </c>
    </row>
    <row r="62" spans="1:15" s="10" customFormat="1" ht="25.2" thickBot="1" x14ac:dyDescent="0.75">
      <c r="A62" s="6"/>
      <c r="B62" s="6" t="s">
        <v>16</v>
      </c>
      <c r="C62" s="21">
        <v>29</v>
      </c>
      <c r="D62" s="22">
        <v>4.7750000000000004</v>
      </c>
      <c r="E62" s="23">
        <v>0</v>
      </c>
      <c r="F62" s="35">
        <v>4.7749993938767039</v>
      </c>
      <c r="G62" s="23">
        <f t="shared" si="0"/>
        <v>412559.94763094722</v>
      </c>
      <c r="H62" s="23">
        <f t="shared" si="1"/>
        <v>0.41255994763094722</v>
      </c>
      <c r="I62" s="23">
        <v>27933</v>
      </c>
      <c r="J62" s="36">
        <f t="shared" si="2"/>
        <v>2.7932999999999999E-2</v>
      </c>
      <c r="K62" s="23">
        <v>1922</v>
      </c>
      <c r="L62" s="23">
        <f t="shared" si="8"/>
        <v>1.9220000000000001E-3</v>
      </c>
      <c r="M62" s="23">
        <f t="shared" si="3"/>
        <v>2.9855E-2</v>
      </c>
      <c r="N62" s="23">
        <v>3.5999999999999997E-2</v>
      </c>
      <c r="O62" s="23">
        <f t="shared" si="4"/>
        <v>0.34670494763094722</v>
      </c>
    </row>
    <row r="63" spans="1:15" x14ac:dyDescent="0.7">
      <c r="A63" s="2"/>
      <c r="B63" s="2" t="s">
        <v>17</v>
      </c>
      <c r="C63" s="19">
        <v>1</v>
      </c>
      <c r="D63" s="20">
        <v>4.6840000000000002</v>
      </c>
      <c r="E63" s="24">
        <v>0</v>
      </c>
      <c r="F63" s="29">
        <v>4.6840362120903984</v>
      </c>
      <c r="G63" s="24">
        <f t="shared" si="0"/>
        <v>404700.72872461041</v>
      </c>
      <c r="H63" s="24">
        <f t="shared" si="1"/>
        <v>0.40470072872461044</v>
      </c>
      <c r="I63" s="24">
        <v>21566</v>
      </c>
      <c r="J63" s="30">
        <f t="shared" si="2"/>
        <v>2.1565999999999998E-2</v>
      </c>
      <c r="K63" s="24">
        <v>1573</v>
      </c>
      <c r="L63" s="24">
        <f t="shared" si="8"/>
        <v>1.573E-3</v>
      </c>
      <c r="M63" s="24">
        <f t="shared" si="3"/>
        <v>2.3139E-2</v>
      </c>
      <c r="N63" s="24">
        <v>3.62016E-2</v>
      </c>
      <c r="O63" s="24">
        <f t="shared" si="4"/>
        <v>0.34536012872461042</v>
      </c>
    </row>
    <row r="64" spans="1:15" x14ac:dyDescent="0.7">
      <c r="A64" s="4"/>
      <c r="B64" s="4"/>
      <c r="C64" s="15">
        <v>2</v>
      </c>
      <c r="D64" s="31">
        <v>4.6840000000000002</v>
      </c>
      <c r="E64" s="17">
        <v>0</v>
      </c>
      <c r="F64" s="31">
        <v>4.6840362120903984</v>
      </c>
      <c r="G64" s="17">
        <f t="shared" si="0"/>
        <v>404700.72872461041</v>
      </c>
      <c r="H64" s="17">
        <f t="shared" si="1"/>
        <v>0.40470072872461044</v>
      </c>
      <c r="I64" s="17">
        <v>20465</v>
      </c>
      <c r="J64" s="32">
        <f t="shared" si="2"/>
        <v>2.0465000000000001E-2</v>
      </c>
      <c r="K64" s="17">
        <v>166</v>
      </c>
      <c r="L64" s="17">
        <f t="shared" si="8"/>
        <v>1.66E-4</v>
      </c>
      <c r="M64" s="17">
        <f t="shared" si="3"/>
        <v>2.0631E-2</v>
      </c>
      <c r="N64" s="17">
        <v>3.62016E-2</v>
      </c>
      <c r="O64" s="17">
        <f t="shared" si="4"/>
        <v>0.34786812872461043</v>
      </c>
    </row>
    <row r="65" spans="1:15" x14ac:dyDescent="0.7">
      <c r="A65" s="4"/>
      <c r="B65" s="4"/>
      <c r="C65" s="15">
        <v>3</v>
      </c>
      <c r="D65" s="31">
        <v>4.5940000000000003</v>
      </c>
      <c r="E65" s="17">
        <v>0</v>
      </c>
      <c r="F65" s="31">
        <v>4.5940085997607705</v>
      </c>
      <c r="G65" s="17">
        <f t="shared" si="0"/>
        <v>396922.34301933058</v>
      </c>
      <c r="H65" s="17">
        <f t="shared" si="1"/>
        <v>0.3969223430193306</v>
      </c>
      <c r="I65" s="17">
        <v>22363</v>
      </c>
      <c r="J65" s="32">
        <f t="shared" si="2"/>
        <v>2.2363000000000001E-2</v>
      </c>
      <c r="K65" s="17">
        <v>6</v>
      </c>
      <c r="L65" s="17">
        <f t="shared" si="8"/>
        <v>6.0000000000000002E-6</v>
      </c>
      <c r="M65" s="17">
        <f t="shared" si="3"/>
        <v>2.2369E-2</v>
      </c>
      <c r="N65" s="17">
        <v>3.62016E-2</v>
      </c>
      <c r="O65" s="17">
        <f t="shared" si="4"/>
        <v>0.33835174301933063</v>
      </c>
    </row>
    <row r="66" spans="1:15" x14ac:dyDescent="0.7">
      <c r="A66" s="4"/>
      <c r="B66" s="4"/>
      <c r="C66" s="15">
        <v>4</v>
      </c>
      <c r="D66" s="31">
        <v>4.5940000000000003</v>
      </c>
      <c r="E66" s="17">
        <v>0</v>
      </c>
      <c r="F66" s="31">
        <v>4.5940085997607705</v>
      </c>
      <c r="G66" s="17">
        <f t="shared" si="0"/>
        <v>396922.34301933058</v>
      </c>
      <c r="H66" s="17">
        <f t="shared" si="1"/>
        <v>0.3969223430193306</v>
      </c>
      <c r="I66" s="17">
        <v>20255</v>
      </c>
      <c r="J66" s="32">
        <f t="shared" si="2"/>
        <v>2.0254999999999999E-2</v>
      </c>
      <c r="K66" s="17">
        <v>14</v>
      </c>
      <c r="L66" s="17">
        <f t="shared" si="8"/>
        <v>1.4E-5</v>
      </c>
      <c r="M66" s="17">
        <f t="shared" si="3"/>
        <v>2.0268999999999999E-2</v>
      </c>
      <c r="N66" s="17">
        <v>3.62016E-2</v>
      </c>
      <c r="O66" s="17">
        <f t="shared" si="4"/>
        <v>0.34045174301933062</v>
      </c>
    </row>
    <row r="67" spans="1:15" x14ac:dyDescent="0.7">
      <c r="A67" s="4"/>
      <c r="B67" s="4"/>
      <c r="C67" s="15">
        <v>5</v>
      </c>
      <c r="D67" s="31">
        <v>4.5940000000000003</v>
      </c>
      <c r="E67" s="17">
        <v>0</v>
      </c>
      <c r="F67" s="31">
        <v>4.5940085997607705</v>
      </c>
      <c r="G67" s="17">
        <f t="shared" ref="G67:G130" si="9">F67*86400</f>
        <v>396922.34301933058</v>
      </c>
      <c r="H67" s="17">
        <f t="shared" ref="H67:H102" si="10">G67/1000000</f>
        <v>0.3969223430193306</v>
      </c>
      <c r="I67" s="17">
        <v>22757</v>
      </c>
      <c r="J67" s="32">
        <f t="shared" ref="J67:J130" si="11">I67/1000000</f>
        <v>2.2756999999999999E-2</v>
      </c>
      <c r="K67" s="17">
        <v>100</v>
      </c>
      <c r="L67" s="17">
        <f t="shared" si="8"/>
        <v>1E-4</v>
      </c>
      <c r="M67" s="17">
        <f t="shared" ref="M67:M130" si="12">J67+L67</f>
        <v>2.2856999999999999E-2</v>
      </c>
      <c r="N67" s="17">
        <v>8.6400000000000001E-3</v>
      </c>
      <c r="O67" s="17">
        <f t="shared" si="4"/>
        <v>0.36542534301933061</v>
      </c>
    </row>
    <row r="68" spans="1:15" x14ac:dyDescent="0.7">
      <c r="A68" s="4"/>
      <c r="B68" s="4"/>
      <c r="C68" s="15">
        <v>6</v>
      </c>
      <c r="D68" s="31">
        <v>4.5049999999999999</v>
      </c>
      <c r="E68" s="17">
        <v>0</v>
      </c>
      <c r="F68" s="31">
        <v>4.5049137923991873</v>
      </c>
      <c r="G68" s="17">
        <f t="shared" si="9"/>
        <v>389224.55166328978</v>
      </c>
      <c r="H68" s="17">
        <f t="shared" si="10"/>
        <v>0.38922455166328979</v>
      </c>
      <c r="I68" s="17">
        <v>20322</v>
      </c>
      <c r="J68" s="32">
        <f t="shared" si="11"/>
        <v>2.0322E-2</v>
      </c>
      <c r="K68" s="17">
        <v>6</v>
      </c>
      <c r="L68" s="17">
        <f t="shared" si="8"/>
        <v>6.0000000000000002E-6</v>
      </c>
      <c r="M68" s="17">
        <f t="shared" si="12"/>
        <v>2.0327999999999999E-2</v>
      </c>
      <c r="N68" s="17">
        <v>8.6400000000000001E-3</v>
      </c>
      <c r="O68" s="17">
        <f t="shared" si="4"/>
        <v>0.36025655166328979</v>
      </c>
    </row>
    <row r="69" spans="1:15" x14ac:dyDescent="0.7">
      <c r="A69" s="4"/>
      <c r="B69" s="4"/>
      <c r="C69" s="15">
        <v>7</v>
      </c>
      <c r="D69" s="31">
        <v>4.4169999999999998</v>
      </c>
      <c r="E69" s="17">
        <v>0</v>
      </c>
      <c r="F69" s="31">
        <v>4.4167490318903457</v>
      </c>
      <c r="G69" s="17">
        <f t="shared" si="9"/>
        <v>381607.11635532585</v>
      </c>
      <c r="H69" s="17">
        <f t="shared" si="10"/>
        <v>0.38160711635532585</v>
      </c>
      <c r="I69" s="17">
        <v>18693</v>
      </c>
      <c r="J69" s="32">
        <f t="shared" si="11"/>
        <v>1.8693000000000001E-2</v>
      </c>
      <c r="K69" s="17">
        <v>14</v>
      </c>
      <c r="L69" s="17">
        <f t="shared" si="8"/>
        <v>1.4E-5</v>
      </c>
      <c r="M69" s="17">
        <f t="shared" si="12"/>
        <v>1.8707000000000001E-2</v>
      </c>
      <c r="N69" s="17">
        <v>8.6400000000000001E-3</v>
      </c>
      <c r="O69" s="17">
        <f t="shared" ref="O69:O132" si="13">H69-M69-N69</f>
        <v>0.35426011635532584</v>
      </c>
    </row>
    <row r="70" spans="1:15" x14ac:dyDescent="0.7">
      <c r="A70" s="4"/>
      <c r="B70" s="4"/>
      <c r="C70" s="15">
        <v>8</v>
      </c>
      <c r="D70" s="31">
        <v>4.4169999999999998</v>
      </c>
      <c r="E70" s="17">
        <v>0</v>
      </c>
      <c r="F70" s="31">
        <v>4.4167490318903457</v>
      </c>
      <c r="G70" s="17">
        <f t="shared" si="9"/>
        <v>381607.11635532585</v>
      </c>
      <c r="H70" s="17">
        <f t="shared" si="10"/>
        <v>0.38160711635532585</v>
      </c>
      <c r="I70" s="17">
        <v>20637</v>
      </c>
      <c r="J70" s="32">
        <f t="shared" si="11"/>
        <v>2.0636999999999999E-2</v>
      </c>
      <c r="K70" s="17">
        <v>34</v>
      </c>
      <c r="L70" s="17">
        <f t="shared" si="8"/>
        <v>3.4E-5</v>
      </c>
      <c r="M70" s="17">
        <f t="shared" si="12"/>
        <v>2.0670999999999998E-2</v>
      </c>
      <c r="N70" s="17">
        <v>8.6400000000000001E-3</v>
      </c>
      <c r="O70" s="17">
        <f t="shared" si="13"/>
        <v>0.35229611635532587</v>
      </c>
    </row>
    <row r="71" spans="1:15" x14ac:dyDescent="0.7">
      <c r="A71" s="4"/>
      <c r="B71" s="4"/>
      <c r="C71" s="15">
        <v>9</v>
      </c>
      <c r="D71" s="16">
        <v>4.4169999999999998</v>
      </c>
      <c r="E71" s="17">
        <v>0</v>
      </c>
      <c r="F71" s="31">
        <v>4.4167490318903457</v>
      </c>
      <c r="G71" s="17">
        <f t="shared" si="9"/>
        <v>381607.11635532585</v>
      </c>
      <c r="H71" s="17">
        <f t="shared" si="10"/>
        <v>0.38160711635532585</v>
      </c>
      <c r="I71" s="17">
        <v>19630</v>
      </c>
      <c r="J71" s="32">
        <f t="shared" si="11"/>
        <v>1.9630000000000002E-2</v>
      </c>
      <c r="K71" s="17">
        <v>20</v>
      </c>
      <c r="L71" s="17">
        <f t="shared" si="8"/>
        <v>2.0000000000000002E-5</v>
      </c>
      <c r="M71" s="17">
        <f t="shared" si="12"/>
        <v>1.9650000000000001E-2</v>
      </c>
      <c r="N71" s="17">
        <v>8.6400000000000001E-3</v>
      </c>
      <c r="O71" s="17">
        <f t="shared" si="13"/>
        <v>0.35331711635532587</v>
      </c>
    </row>
    <row r="72" spans="1:15" x14ac:dyDescent="0.7">
      <c r="A72" s="4"/>
      <c r="B72" s="4"/>
      <c r="C72" s="15">
        <v>10</v>
      </c>
      <c r="D72" s="16">
        <v>4.4169999999999998</v>
      </c>
      <c r="E72" s="17">
        <v>0</v>
      </c>
      <c r="F72" s="31">
        <v>4.4167490318903457</v>
      </c>
      <c r="G72" s="17">
        <f t="shared" si="9"/>
        <v>381607.11635532585</v>
      </c>
      <c r="H72" s="17">
        <f t="shared" si="10"/>
        <v>0.38160711635532585</v>
      </c>
      <c r="I72" s="34">
        <v>22866</v>
      </c>
      <c r="J72" s="32">
        <f t="shared" si="11"/>
        <v>2.2866000000000001E-2</v>
      </c>
      <c r="K72" s="17">
        <v>0</v>
      </c>
      <c r="L72" s="17">
        <v>0</v>
      </c>
      <c r="M72" s="17">
        <f t="shared" si="12"/>
        <v>2.2866000000000001E-2</v>
      </c>
      <c r="N72" s="17">
        <v>8.6400000000000001E-3</v>
      </c>
      <c r="O72" s="17">
        <f t="shared" si="13"/>
        <v>0.35010111635532587</v>
      </c>
    </row>
    <row r="73" spans="1:15" x14ac:dyDescent="0.7">
      <c r="A73" s="4"/>
      <c r="B73" s="4"/>
      <c r="C73" s="15">
        <v>11</v>
      </c>
      <c r="D73" s="16">
        <v>4.33</v>
      </c>
      <c r="E73" s="17">
        <v>0</v>
      </c>
      <c r="F73" s="31">
        <v>4.3295115668606501</v>
      </c>
      <c r="G73" s="17">
        <f t="shared" si="9"/>
        <v>374069.79937676014</v>
      </c>
      <c r="H73" s="17">
        <f t="shared" si="10"/>
        <v>0.37406979937676016</v>
      </c>
      <c r="I73" s="17">
        <v>21454</v>
      </c>
      <c r="J73" s="32">
        <f t="shared" si="11"/>
        <v>2.1454000000000001E-2</v>
      </c>
      <c r="K73" s="17">
        <v>0</v>
      </c>
      <c r="L73" s="17">
        <v>0</v>
      </c>
      <c r="M73" s="17">
        <f t="shared" si="12"/>
        <v>2.1454000000000001E-2</v>
      </c>
      <c r="N73" s="17">
        <v>8.6400000000000001E-3</v>
      </c>
      <c r="O73" s="17">
        <f t="shared" si="13"/>
        <v>0.34397579937676015</v>
      </c>
    </row>
    <row r="74" spans="1:15" x14ac:dyDescent="0.7">
      <c r="A74" s="4"/>
      <c r="B74" s="4"/>
      <c r="C74" s="15">
        <v>12</v>
      </c>
      <c r="D74" s="16">
        <v>4.33</v>
      </c>
      <c r="E74" s="17">
        <v>0</v>
      </c>
      <c r="F74" s="31">
        <v>4.3295115668606501</v>
      </c>
      <c r="G74" s="17">
        <f t="shared" si="9"/>
        <v>374069.79937676014</v>
      </c>
      <c r="H74" s="17">
        <f t="shared" si="10"/>
        <v>0.37406979937676016</v>
      </c>
      <c r="I74" s="17">
        <v>20785</v>
      </c>
      <c r="J74" s="32">
        <f t="shared" si="11"/>
        <v>2.0785000000000001E-2</v>
      </c>
      <c r="K74" s="17">
        <v>0</v>
      </c>
      <c r="L74" s="17">
        <v>0</v>
      </c>
      <c r="M74" s="17">
        <f t="shared" si="12"/>
        <v>2.0785000000000001E-2</v>
      </c>
      <c r="N74" s="17">
        <v>8.6400000000000001E-3</v>
      </c>
      <c r="O74" s="17">
        <f t="shared" si="13"/>
        <v>0.34464479937676018</v>
      </c>
    </row>
    <row r="75" spans="1:15" x14ac:dyDescent="0.7">
      <c r="A75" s="4"/>
      <c r="B75" s="4"/>
      <c r="C75" s="15">
        <v>13</v>
      </c>
      <c r="D75" s="31">
        <v>4.2430000000000003</v>
      </c>
      <c r="E75" s="17">
        <v>0</v>
      </c>
      <c r="F75" s="31">
        <v>4.1578075538110673</v>
      </c>
      <c r="G75" s="17">
        <f t="shared" si="9"/>
        <v>359234.57264927623</v>
      </c>
      <c r="H75" s="17">
        <f t="shared" si="10"/>
        <v>0.35923457264927622</v>
      </c>
      <c r="I75" s="17">
        <v>19262</v>
      </c>
      <c r="J75" s="32">
        <f t="shared" si="11"/>
        <v>1.9262000000000001E-2</v>
      </c>
      <c r="K75" s="17">
        <v>0</v>
      </c>
      <c r="L75" s="17">
        <v>0</v>
      </c>
      <c r="M75" s="17">
        <f t="shared" si="12"/>
        <v>1.9262000000000001E-2</v>
      </c>
      <c r="N75" s="17">
        <v>2.5919999999999999E-2</v>
      </c>
      <c r="O75" s="17">
        <f t="shared" si="13"/>
        <v>0.31405257264927622</v>
      </c>
    </row>
    <row r="76" spans="1:15" x14ac:dyDescent="0.7">
      <c r="A76" s="4"/>
      <c r="B76" s="4"/>
      <c r="C76" s="15">
        <v>14</v>
      </c>
      <c r="D76" s="31">
        <v>4.0730000000000004</v>
      </c>
      <c r="E76" s="17">
        <v>0</v>
      </c>
      <c r="F76" s="31">
        <v>4.073335540347693</v>
      </c>
      <c r="G76" s="17">
        <f t="shared" si="9"/>
        <v>351936.19068604067</v>
      </c>
      <c r="H76" s="17">
        <f t="shared" si="10"/>
        <v>0.35193619068604065</v>
      </c>
      <c r="I76" s="17">
        <v>20892</v>
      </c>
      <c r="J76" s="32">
        <f t="shared" si="11"/>
        <v>2.0892000000000001E-2</v>
      </c>
      <c r="K76" s="17">
        <v>0</v>
      </c>
      <c r="L76" s="17">
        <v>0</v>
      </c>
      <c r="M76" s="17">
        <f t="shared" si="12"/>
        <v>2.0892000000000001E-2</v>
      </c>
      <c r="N76" s="17">
        <v>2.5919999999999999E-2</v>
      </c>
      <c r="O76" s="17">
        <f t="shared" si="13"/>
        <v>0.30512419068604063</v>
      </c>
    </row>
    <row r="77" spans="1:15" x14ac:dyDescent="0.7">
      <c r="A77" s="4"/>
      <c r="B77" s="4"/>
      <c r="C77" s="15">
        <v>15</v>
      </c>
      <c r="D77" s="16">
        <v>4.0730000000000004</v>
      </c>
      <c r="E77" s="17">
        <v>0</v>
      </c>
      <c r="F77" s="31">
        <v>4.073335540347693</v>
      </c>
      <c r="G77" s="17">
        <f t="shared" si="9"/>
        <v>351936.19068604067</v>
      </c>
      <c r="H77" s="17">
        <f t="shared" si="10"/>
        <v>0.35193619068604065</v>
      </c>
      <c r="I77" s="17">
        <v>21380</v>
      </c>
      <c r="J77" s="32">
        <f t="shared" si="11"/>
        <v>2.138E-2</v>
      </c>
      <c r="K77" s="17">
        <v>0</v>
      </c>
      <c r="L77" s="17">
        <v>0</v>
      </c>
      <c r="M77" s="17">
        <f t="shared" si="12"/>
        <v>2.138E-2</v>
      </c>
      <c r="N77" s="17">
        <v>3.456E-2</v>
      </c>
      <c r="O77" s="17">
        <f t="shared" si="13"/>
        <v>0.29599619068604066</v>
      </c>
    </row>
    <row r="78" spans="1:15" x14ac:dyDescent="0.7">
      <c r="A78" s="4"/>
      <c r="B78" s="4"/>
      <c r="C78" s="15">
        <v>16</v>
      </c>
      <c r="D78" s="16">
        <v>4.0730000000000004</v>
      </c>
      <c r="E78" s="17">
        <v>0</v>
      </c>
      <c r="F78" s="31">
        <v>4.073335540347693</v>
      </c>
      <c r="G78" s="17">
        <f t="shared" si="9"/>
        <v>351936.19068604067</v>
      </c>
      <c r="H78" s="17">
        <f t="shared" si="10"/>
        <v>0.35193619068604065</v>
      </c>
      <c r="I78" s="17">
        <v>20362</v>
      </c>
      <c r="J78" s="32">
        <f t="shared" si="11"/>
        <v>2.0362000000000002E-2</v>
      </c>
      <c r="K78" s="17">
        <v>0</v>
      </c>
      <c r="L78" s="17">
        <v>0</v>
      </c>
      <c r="M78" s="17">
        <f t="shared" si="12"/>
        <v>2.0362000000000002E-2</v>
      </c>
      <c r="N78" s="17">
        <v>3.456E-2</v>
      </c>
      <c r="O78" s="17">
        <f t="shared" si="13"/>
        <v>0.29701419068604068</v>
      </c>
    </row>
    <row r="79" spans="1:15" x14ac:dyDescent="0.7">
      <c r="A79" s="4"/>
      <c r="B79" s="4"/>
      <c r="C79" s="15">
        <v>17</v>
      </c>
      <c r="D79" s="31">
        <v>4.0730000000000004</v>
      </c>
      <c r="E79" s="17">
        <v>0</v>
      </c>
      <c r="F79" s="31">
        <v>4.073335540347693</v>
      </c>
      <c r="G79" s="17">
        <f t="shared" si="9"/>
        <v>351936.19068604067</v>
      </c>
      <c r="H79" s="17">
        <f t="shared" si="10"/>
        <v>0.35193619068604065</v>
      </c>
      <c r="I79" s="17">
        <v>18150</v>
      </c>
      <c r="J79" s="32">
        <f t="shared" si="11"/>
        <v>1.8149999999999999E-2</v>
      </c>
      <c r="K79" s="17">
        <v>0</v>
      </c>
      <c r="L79" s="17">
        <v>0</v>
      </c>
      <c r="M79" s="17">
        <f t="shared" si="12"/>
        <v>1.8149999999999999E-2</v>
      </c>
      <c r="N79" s="17">
        <v>2.5919999999999999E-2</v>
      </c>
      <c r="O79" s="17">
        <f t="shared" si="13"/>
        <v>0.30786619068604065</v>
      </c>
    </row>
    <row r="80" spans="1:15" x14ac:dyDescent="0.7">
      <c r="A80" s="4"/>
      <c r="B80" s="4"/>
      <c r="C80" s="15">
        <v>18</v>
      </c>
      <c r="D80" s="31">
        <v>4.0730000000000004</v>
      </c>
      <c r="E80" s="17">
        <v>0</v>
      </c>
      <c r="F80" s="31">
        <v>4.073335540347693</v>
      </c>
      <c r="G80" s="17">
        <f t="shared" si="9"/>
        <v>351936.19068604067</v>
      </c>
      <c r="H80" s="17">
        <f t="shared" si="10"/>
        <v>0.35193619068604065</v>
      </c>
      <c r="I80" s="17">
        <v>18901</v>
      </c>
      <c r="J80" s="32">
        <f t="shared" si="11"/>
        <v>1.8901000000000001E-2</v>
      </c>
      <c r="K80" s="17">
        <v>3052</v>
      </c>
      <c r="L80" s="17">
        <f t="shared" ref="L80:L92" si="14">K80/1000000</f>
        <v>3.052E-3</v>
      </c>
      <c r="M80" s="17">
        <f t="shared" si="12"/>
        <v>2.1953E-2</v>
      </c>
      <c r="N80" s="17">
        <v>8.6400000000000001E-3</v>
      </c>
      <c r="O80" s="17">
        <f t="shared" si="13"/>
        <v>0.32134319068604067</v>
      </c>
    </row>
    <row r="81" spans="1:15" x14ac:dyDescent="0.7">
      <c r="A81" s="4"/>
      <c r="B81" s="4"/>
      <c r="C81" s="15">
        <v>19</v>
      </c>
      <c r="D81" s="31">
        <v>4.0730000000000004</v>
      </c>
      <c r="E81" s="17">
        <v>0</v>
      </c>
      <c r="F81" s="31">
        <v>4.3295115668606501</v>
      </c>
      <c r="G81" s="17">
        <f t="shared" si="9"/>
        <v>374069.79937676014</v>
      </c>
      <c r="H81" s="17">
        <f t="shared" si="10"/>
        <v>0.37406979937676016</v>
      </c>
      <c r="I81" s="17">
        <v>19024</v>
      </c>
      <c r="J81" s="32">
        <f t="shared" si="11"/>
        <v>1.9023999999999999E-2</v>
      </c>
      <c r="K81" s="17">
        <v>5090</v>
      </c>
      <c r="L81" s="17">
        <f t="shared" si="14"/>
        <v>5.0899999999999999E-3</v>
      </c>
      <c r="M81" s="17">
        <f t="shared" si="12"/>
        <v>2.4114E-2</v>
      </c>
      <c r="N81" s="17">
        <v>4.1342399999999994E-2</v>
      </c>
      <c r="O81" s="17">
        <f t="shared" si="13"/>
        <v>0.30861339937676013</v>
      </c>
    </row>
    <row r="82" spans="1:15" x14ac:dyDescent="0.7">
      <c r="A82" s="4"/>
      <c r="B82" s="4"/>
      <c r="C82" s="15">
        <v>20</v>
      </c>
      <c r="D82" s="16">
        <v>4.5049999999999999</v>
      </c>
      <c r="E82" s="16">
        <v>4.9000000000000004</v>
      </c>
      <c r="F82" s="31">
        <v>4.5049137923991873</v>
      </c>
      <c r="G82" s="17">
        <f t="shared" si="9"/>
        <v>389224.55166328978</v>
      </c>
      <c r="H82" s="17">
        <f t="shared" si="10"/>
        <v>0.38922455166328979</v>
      </c>
      <c r="I82" s="17">
        <v>15049</v>
      </c>
      <c r="J82" s="32">
        <f t="shared" si="11"/>
        <v>1.5049E-2</v>
      </c>
      <c r="K82" s="17">
        <v>3180</v>
      </c>
      <c r="L82" s="17">
        <f t="shared" si="14"/>
        <v>3.1800000000000001E-3</v>
      </c>
      <c r="M82" s="17">
        <f t="shared" si="12"/>
        <v>1.8228999999999999E-2</v>
      </c>
      <c r="N82" s="17">
        <v>4.1342400000000001E-2</v>
      </c>
      <c r="O82" s="17">
        <f t="shared" si="13"/>
        <v>0.32965315166328979</v>
      </c>
    </row>
    <row r="83" spans="1:15" x14ac:dyDescent="0.7">
      <c r="A83" s="4"/>
      <c r="B83" s="4"/>
      <c r="C83" s="15">
        <v>21</v>
      </c>
      <c r="D83" s="31">
        <v>4.5049999999999999</v>
      </c>
      <c r="E83" s="17">
        <v>0</v>
      </c>
      <c r="F83" s="31">
        <v>4.5049137923991873</v>
      </c>
      <c r="G83" s="17">
        <f t="shared" si="9"/>
        <v>389224.55166328978</v>
      </c>
      <c r="H83" s="17">
        <f t="shared" si="10"/>
        <v>0.38922455166328979</v>
      </c>
      <c r="I83" s="17">
        <v>17334</v>
      </c>
      <c r="J83" s="32">
        <f t="shared" si="11"/>
        <v>1.7333999999999999E-2</v>
      </c>
      <c r="K83" s="17">
        <v>4464</v>
      </c>
      <c r="L83" s="17">
        <f t="shared" si="14"/>
        <v>4.4640000000000001E-3</v>
      </c>
      <c r="M83" s="17">
        <f t="shared" si="12"/>
        <v>2.1797999999999998E-2</v>
      </c>
      <c r="N83" s="17">
        <v>2.5919999999999999E-2</v>
      </c>
      <c r="O83" s="17">
        <f t="shared" si="13"/>
        <v>0.3415065516632898</v>
      </c>
    </row>
    <row r="84" spans="1:15" x14ac:dyDescent="0.7">
      <c r="A84" s="4"/>
      <c r="B84" s="4"/>
      <c r="C84" s="15">
        <v>22</v>
      </c>
      <c r="D84" s="31">
        <v>4.5049999999999999</v>
      </c>
      <c r="E84" s="17">
        <v>0</v>
      </c>
      <c r="F84" s="31">
        <v>4.5049137923991873</v>
      </c>
      <c r="G84" s="17">
        <f t="shared" si="9"/>
        <v>389224.55166328978</v>
      </c>
      <c r="H84" s="17">
        <f t="shared" si="10"/>
        <v>0.38922455166328979</v>
      </c>
      <c r="I84" s="17">
        <v>17463</v>
      </c>
      <c r="J84" s="32">
        <f t="shared" si="11"/>
        <v>1.7462999999999999E-2</v>
      </c>
      <c r="K84" s="17">
        <v>4865</v>
      </c>
      <c r="L84" s="17">
        <f t="shared" si="14"/>
        <v>4.8650000000000004E-3</v>
      </c>
      <c r="M84" s="17">
        <f t="shared" si="12"/>
        <v>2.2328000000000001E-2</v>
      </c>
      <c r="N84" s="17">
        <v>2.5919999999999999E-2</v>
      </c>
      <c r="O84" s="17">
        <f t="shared" si="13"/>
        <v>0.34097655166328977</v>
      </c>
    </row>
    <row r="85" spans="1:15" x14ac:dyDescent="0.7">
      <c r="A85" s="4"/>
      <c r="B85" s="4"/>
      <c r="C85" s="15">
        <v>23</v>
      </c>
      <c r="D85" s="31">
        <v>4.5940000000000003</v>
      </c>
      <c r="E85" s="17">
        <v>0</v>
      </c>
      <c r="F85" s="31">
        <v>4.8669009156243979</v>
      </c>
      <c r="G85" s="17">
        <f t="shared" si="9"/>
        <v>420500.23910994799</v>
      </c>
      <c r="H85" s="17">
        <f t="shared" si="10"/>
        <v>0.42050023910994799</v>
      </c>
      <c r="I85" s="17">
        <v>18026</v>
      </c>
      <c r="J85" s="32">
        <f t="shared" si="11"/>
        <v>1.8026E-2</v>
      </c>
      <c r="K85" s="17">
        <v>4123</v>
      </c>
      <c r="L85" s="17">
        <f t="shared" si="14"/>
        <v>4.1229999999999999E-3</v>
      </c>
      <c r="M85" s="17">
        <f t="shared" si="12"/>
        <v>2.2149000000000002E-2</v>
      </c>
      <c r="N85" s="17">
        <v>2.5919999999999999E-2</v>
      </c>
      <c r="O85" s="17">
        <f t="shared" si="13"/>
        <v>0.37243123910994796</v>
      </c>
    </row>
    <row r="86" spans="1:15" x14ac:dyDescent="0.7">
      <c r="A86" s="4"/>
      <c r="B86" s="4"/>
      <c r="C86" s="15">
        <v>24</v>
      </c>
      <c r="D86" s="31">
        <v>5.1479999999999997</v>
      </c>
      <c r="E86" s="17">
        <v>0</v>
      </c>
      <c r="F86" s="31">
        <v>5.1482633088971355</v>
      </c>
      <c r="G86" s="17">
        <f t="shared" si="9"/>
        <v>444809.94988871249</v>
      </c>
      <c r="H86" s="17">
        <f t="shared" si="10"/>
        <v>0.44480994988871247</v>
      </c>
      <c r="I86" s="17">
        <v>17505</v>
      </c>
      <c r="J86" s="32">
        <f t="shared" si="11"/>
        <v>1.7505E-2</v>
      </c>
      <c r="K86" s="17">
        <v>444</v>
      </c>
      <c r="L86" s="17">
        <f t="shared" si="14"/>
        <v>4.44E-4</v>
      </c>
      <c r="M86" s="17">
        <f t="shared" si="12"/>
        <v>1.7949E-2</v>
      </c>
      <c r="N86" s="17">
        <v>2.5919999999999999E-2</v>
      </c>
      <c r="O86" s="17">
        <f t="shared" si="13"/>
        <v>0.40094094988871248</v>
      </c>
    </row>
    <row r="87" spans="1:15" x14ac:dyDescent="0.7">
      <c r="A87" s="4"/>
      <c r="B87" s="4"/>
      <c r="C87" s="15">
        <v>25</v>
      </c>
      <c r="D87" s="16">
        <v>5.1479999999999997</v>
      </c>
      <c r="E87" s="17">
        <v>0</v>
      </c>
      <c r="F87" s="31">
        <v>5.1482633088971355</v>
      </c>
      <c r="G87" s="17">
        <f t="shared" si="9"/>
        <v>444809.94988871249</v>
      </c>
      <c r="H87" s="17">
        <f t="shared" si="10"/>
        <v>0.44480994988871247</v>
      </c>
      <c r="I87" s="17">
        <v>18132</v>
      </c>
      <c r="J87" s="32">
        <f t="shared" si="11"/>
        <v>1.8131999999999999E-2</v>
      </c>
      <c r="K87" s="17">
        <v>0</v>
      </c>
      <c r="L87" s="17">
        <v>0</v>
      </c>
      <c r="M87" s="17">
        <f t="shared" si="12"/>
        <v>1.8131999999999999E-2</v>
      </c>
      <c r="N87" s="17">
        <v>2.5919999999999999E-2</v>
      </c>
      <c r="O87" s="17">
        <f t="shared" si="13"/>
        <v>0.40075794988871249</v>
      </c>
    </row>
    <row r="88" spans="1:15" x14ac:dyDescent="0.7">
      <c r="A88" s="4"/>
      <c r="B88" s="4"/>
      <c r="C88" s="15">
        <v>26</v>
      </c>
      <c r="D88" s="31">
        <v>5.0540000000000003</v>
      </c>
      <c r="E88" s="17">
        <v>0</v>
      </c>
      <c r="F88" s="31">
        <v>4.8669009156243979</v>
      </c>
      <c r="G88" s="17">
        <f t="shared" si="9"/>
        <v>420500.23910994799</v>
      </c>
      <c r="H88" s="17">
        <f t="shared" si="10"/>
        <v>0.42050023910994799</v>
      </c>
      <c r="I88" s="17">
        <v>18852</v>
      </c>
      <c r="J88" s="32">
        <f t="shared" si="11"/>
        <v>1.8852000000000001E-2</v>
      </c>
      <c r="K88" s="17">
        <v>3357</v>
      </c>
      <c r="L88" s="17">
        <f t="shared" si="14"/>
        <v>3.3570000000000002E-3</v>
      </c>
      <c r="M88" s="17">
        <f t="shared" si="12"/>
        <v>2.2209E-2</v>
      </c>
      <c r="N88" s="17">
        <v>2.5919999999999999E-2</v>
      </c>
      <c r="O88" s="17">
        <f t="shared" si="13"/>
        <v>0.37237123910994802</v>
      </c>
    </row>
    <row r="89" spans="1:15" x14ac:dyDescent="0.7">
      <c r="A89" s="4"/>
      <c r="B89" s="4"/>
      <c r="C89" s="15">
        <v>27</v>
      </c>
      <c r="D89" s="31">
        <v>4.6840000000000002</v>
      </c>
      <c r="E89" s="17">
        <v>0</v>
      </c>
      <c r="F89" s="31">
        <v>4.5049137923991873</v>
      </c>
      <c r="G89" s="17">
        <f t="shared" si="9"/>
        <v>389224.55166328978</v>
      </c>
      <c r="H89" s="17">
        <f t="shared" si="10"/>
        <v>0.38922455166328979</v>
      </c>
      <c r="I89" s="17">
        <v>16665</v>
      </c>
      <c r="J89" s="32">
        <f t="shared" si="11"/>
        <v>1.6664999999999999E-2</v>
      </c>
      <c r="K89" s="17">
        <v>4520</v>
      </c>
      <c r="L89" s="17">
        <f t="shared" si="14"/>
        <v>4.5199999999999997E-3</v>
      </c>
      <c r="M89" s="17">
        <f t="shared" si="12"/>
        <v>2.1184999999999999E-2</v>
      </c>
      <c r="N89" s="17">
        <v>2.5919999999999999E-2</v>
      </c>
      <c r="O89" s="17">
        <f t="shared" si="13"/>
        <v>0.34211955166328978</v>
      </c>
    </row>
    <row r="90" spans="1:15" x14ac:dyDescent="0.7">
      <c r="A90" s="4"/>
      <c r="B90" s="4"/>
      <c r="C90" s="15">
        <v>28</v>
      </c>
      <c r="D90" s="31">
        <v>4.2430000000000003</v>
      </c>
      <c r="E90" s="17">
        <v>0</v>
      </c>
      <c r="F90" s="31">
        <v>4.2431986530686832</v>
      </c>
      <c r="G90" s="17">
        <f t="shared" si="9"/>
        <v>366612.36362513423</v>
      </c>
      <c r="H90" s="17">
        <f t="shared" si="10"/>
        <v>0.36661236362513422</v>
      </c>
      <c r="I90" s="17">
        <v>15953</v>
      </c>
      <c r="J90" s="32">
        <f t="shared" si="11"/>
        <v>1.5952999999999998E-2</v>
      </c>
      <c r="K90" s="17">
        <v>4544</v>
      </c>
      <c r="L90" s="17">
        <f t="shared" si="14"/>
        <v>4.5440000000000003E-3</v>
      </c>
      <c r="M90" s="17">
        <f t="shared" si="12"/>
        <v>2.0496999999999998E-2</v>
      </c>
      <c r="N90" s="17">
        <v>2.5919999999999999E-2</v>
      </c>
      <c r="O90" s="17">
        <f t="shared" si="13"/>
        <v>0.32019536362513423</v>
      </c>
    </row>
    <row r="91" spans="1:15" x14ac:dyDescent="0.7">
      <c r="A91" s="4"/>
      <c r="B91" s="4"/>
      <c r="C91" s="15">
        <v>29</v>
      </c>
      <c r="D91" s="16">
        <v>4.1580000000000004</v>
      </c>
      <c r="E91" s="17">
        <v>0</v>
      </c>
      <c r="F91" s="31">
        <v>4.1578075538110673</v>
      </c>
      <c r="G91" s="17">
        <f t="shared" si="9"/>
        <v>359234.57264927623</v>
      </c>
      <c r="H91" s="17">
        <f t="shared" si="10"/>
        <v>0.35923457264927622</v>
      </c>
      <c r="I91" s="17">
        <v>30951</v>
      </c>
      <c r="J91" s="32">
        <f t="shared" si="11"/>
        <v>3.0950999999999999E-2</v>
      </c>
      <c r="K91" s="17">
        <v>1301</v>
      </c>
      <c r="L91" s="17">
        <f t="shared" si="14"/>
        <v>1.3010000000000001E-3</v>
      </c>
      <c r="M91" s="17">
        <f t="shared" si="12"/>
        <v>3.2252000000000003E-2</v>
      </c>
      <c r="N91" s="17">
        <v>1.728E-2</v>
      </c>
      <c r="O91" s="17">
        <f t="shared" si="13"/>
        <v>0.3097025726492762</v>
      </c>
    </row>
    <row r="92" spans="1:15" x14ac:dyDescent="0.7">
      <c r="A92" s="4"/>
      <c r="B92" s="4"/>
      <c r="C92" s="15">
        <v>30</v>
      </c>
      <c r="D92" s="16">
        <v>4.0730000000000004</v>
      </c>
      <c r="E92" s="17">
        <v>0</v>
      </c>
      <c r="F92" s="31">
        <v>4.073335540347693</v>
      </c>
      <c r="G92" s="17">
        <f t="shared" si="9"/>
        <v>351936.19068604067</v>
      </c>
      <c r="H92" s="17">
        <f t="shared" si="10"/>
        <v>0.35193619068604065</v>
      </c>
      <c r="I92" s="17">
        <v>34490</v>
      </c>
      <c r="J92" s="32">
        <f t="shared" si="11"/>
        <v>3.449E-2</v>
      </c>
      <c r="K92" s="17">
        <v>15</v>
      </c>
      <c r="L92" s="17">
        <f t="shared" si="14"/>
        <v>1.5E-5</v>
      </c>
      <c r="M92" s="17">
        <f t="shared" si="12"/>
        <v>3.4505000000000001E-2</v>
      </c>
      <c r="N92" s="17">
        <v>1.728E-2</v>
      </c>
      <c r="O92" s="17">
        <f t="shared" si="13"/>
        <v>0.30015119068604063</v>
      </c>
    </row>
    <row r="93" spans="1:15" s="10" customFormat="1" ht="25.2" thickBot="1" x14ac:dyDescent="0.75">
      <c r="A93" s="6"/>
      <c r="B93" s="6" t="s">
        <v>17</v>
      </c>
      <c r="C93" s="21">
        <v>31</v>
      </c>
      <c r="D93" s="22">
        <v>4.0730000000000004</v>
      </c>
      <c r="E93" s="23">
        <v>0</v>
      </c>
      <c r="F93" s="35">
        <v>4.073335540347693</v>
      </c>
      <c r="G93" s="23">
        <f t="shared" si="9"/>
        <v>351936.19068604067</v>
      </c>
      <c r="H93" s="23">
        <f t="shared" si="10"/>
        <v>0.35193619068604065</v>
      </c>
      <c r="I93" s="23">
        <v>17658</v>
      </c>
      <c r="J93" s="36">
        <f t="shared" si="11"/>
        <v>1.7658E-2</v>
      </c>
      <c r="K93" s="23">
        <v>0</v>
      </c>
      <c r="L93" s="23">
        <v>0</v>
      </c>
      <c r="M93" s="23">
        <f t="shared" si="12"/>
        <v>1.7658E-2</v>
      </c>
      <c r="N93" s="23">
        <v>1.728E-2</v>
      </c>
      <c r="O93" s="23">
        <f t="shared" si="13"/>
        <v>0.31699819068604063</v>
      </c>
    </row>
    <row r="94" spans="1:15" x14ac:dyDescent="0.7">
      <c r="A94" s="2"/>
      <c r="B94" s="2" t="s">
        <v>18</v>
      </c>
      <c r="C94" s="19">
        <v>1</v>
      </c>
      <c r="D94" s="29">
        <v>3.99</v>
      </c>
      <c r="E94" s="24">
        <v>0</v>
      </c>
      <c r="F94" s="29">
        <v>3.9897798923463621</v>
      </c>
      <c r="G94" s="24">
        <f t="shared" si="9"/>
        <v>344716.98269872571</v>
      </c>
      <c r="H94" s="24">
        <f t="shared" si="10"/>
        <v>0.34471698269872569</v>
      </c>
      <c r="I94" s="38">
        <v>15101</v>
      </c>
      <c r="J94" s="30">
        <f t="shared" si="11"/>
        <v>1.5101E-2</v>
      </c>
      <c r="K94" s="24">
        <v>0</v>
      </c>
      <c r="L94" s="24">
        <v>0</v>
      </c>
      <c r="M94" s="24">
        <f t="shared" si="12"/>
        <v>1.5101E-2</v>
      </c>
      <c r="N94" s="24">
        <v>5.4371520000000007E-2</v>
      </c>
      <c r="O94" s="24">
        <f t="shared" si="13"/>
        <v>0.27524446269872571</v>
      </c>
    </row>
    <row r="95" spans="1:15" x14ac:dyDescent="0.7">
      <c r="A95" s="4"/>
      <c r="B95" s="4"/>
      <c r="C95" s="15">
        <v>2</v>
      </c>
      <c r="D95" s="16">
        <v>3.99</v>
      </c>
      <c r="E95" s="17">
        <v>0</v>
      </c>
      <c r="F95" s="31">
        <v>3.9071378983507334</v>
      </c>
      <c r="G95" s="17">
        <f t="shared" si="9"/>
        <v>337576.71441750339</v>
      </c>
      <c r="H95" s="17">
        <f t="shared" si="10"/>
        <v>0.33757671441750337</v>
      </c>
      <c r="I95" s="33">
        <v>16434</v>
      </c>
      <c r="J95" s="32">
        <f t="shared" si="11"/>
        <v>1.6434000000000001E-2</v>
      </c>
      <c r="K95" s="17">
        <v>0</v>
      </c>
      <c r="L95" s="17">
        <v>0</v>
      </c>
      <c r="M95" s="17">
        <f t="shared" si="12"/>
        <v>1.6434000000000001E-2</v>
      </c>
      <c r="N95" s="17">
        <v>5.4371520000000007E-2</v>
      </c>
      <c r="O95" s="17">
        <f t="shared" si="13"/>
        <v>0.26677119441750335</v>
      </c>
    </row>
    <row r="96" spans="1:15" x14ac:dyDescent="0.7">
      <c r="A96" s="4"/>
      <c r="B96" s="4"/>
      <c r="C96" s="15">
        <v>3</v>
      </c>
      <c r="D96" s="39">
        <v>3.8250000000000002</v>
      </c>
      <c r="E96" s="17">
        <v>0</v>
      </c>
      <c r="F96" s="39">
        <v>3.9071378983507334</v>
      </c>
      <c r="G96" s="17">
        <f t="shared" si="9"/>
        <v>337576.71441750339</v>
      </c>
      <c r="H96" s="17">
        <f t="shared" si="10"/>
        <v>0.33757671441750337</v>
      </c>
      <c r="I96" s="33">
        <v>16619</v>
      </c>
      <c r="J96" s="32">
        <f t="shared" si="11"/>
        <v>1.6618999999999998E-2</v>
      </c>
      <c r="K96" s="17">
        <v>0</v>
      </c>
      <c r="L96" s="17">
        <v>0</v>
      </c>
      <c r="M96" s="17">
        <f t="shared" si="12"/>
        <v>1.6618999999999998E-2</v>
      </c>
      <c r="N96" s="17">
        <v>4.446576E-2</v>
      </c>
      <c r="O96" s="17">
        <f t="shared" si="13"/>
        <v>0.27649195441750335</v>
      </c>
    </row>
    <row r="97" spans="1:15" x14ac:dyDescent="0.7">
      <c r="A97" s="4"/>
      <c r="B97" s="4"/>
      <c r="C97" s="15">
        <v>4</v>
      </c>
      <c r="D97" s="16">
        <v>3.7450000000000001</v>
      </c>
      <c r="E97" s="17">
        <v>0</v>
      </c>
      <c r="F97" s="39">
        <v>3.7445840738701683</v>
      </c>
      <c r="G97" s="17">
        <f t="shared" si="9"/>
        <v>323532.06398238253</v>
      </c>
      <c r="H97" s="17">
        <f t="shared" si="10"/>
        <v>0.32353206398238255</v>
      </c>
      <c r="I97" s="33">
        <v>16152</v>
      </c>
      <c r="J97" s="32">
        <f t="shared" si="11"/>
        <v>1.6152E-2</v>
      </c>
      <c r="K97" s="17">
        <v>0</v>
      </c>
      <c r="L97" s="17">
        <v>0</v>
      </c>
      <c r="M97" s="17">
        <f t="shared" si="12"/>
        <v>1.6152E-2</v>
      </c>
      <c r="N97" s="17">
        <v>5.3105760000000002E-2</v>
      </c>
      <c r="O97" s="17">
        <f t="shared" si="13"/>
        <v>0.25427430398238254</v>
      </c>
    </row>
    <row r="98" spans="1:15" x14ac:dyDescent="0.7">
      <c r="A98" s="4"/>
      <c r="B98" s="4"/>
      <c r="C98" s="15">
        <v>5</v>
      </c>
      <c r="D98" s="16">
        <v>3.665</v>
      </c>
      <c r="E98" s="17">
        <v>0</v>
      </c>
      <c r="F98" s="39">
        <v>3.6646668693536397</v>
      </c>
      <c r="G98" s="17">
        <f t="shared" si="9"/>
        <v>316627.21751215449</v>
      </c>
      <c r="H98" s="17">
        <f t="shared" si="10"/>
        <v>0.3166272175121545</v>
      </c>
      <c r="I98" s="33">
        <v>16103</v>
      </c>
      <c r="J98" s="32">
        <f t="shared" si="11"/>
        <v>1.6102999999999999E-2</v>
      </c>
      <c r="K98" s="17">
        <v>0</v>
      </c>
      <c r="L98" s="17">
        <v>0</v>
      </c>
      <c r="M98" s="17">
        <f t="shared" si="12"/>
        <v>1.6102999999999999E-2</v>
      </c>
      <c r="N98" s="17">
        <v>6.1745760000000004E-2</v>
      </c>
      <c r="O98" s="17">
        <f t="shared" si="13"/>
        <v>0.23877845751215451</v>
      </c>
    </row>
    <row r="99" spans="1:15" x14ac:dyDescent="0.7">
      <c r="A99" s="4"/>
      <c r="B99" s="4"/>
      <c r="C99" s="15">
        <v>6</v>
      </c>
      <c r="D99" s="39">
        <v>3.5859999999999999</v>
      </c>
      <c r="E99" s="17">
        <v>0</v>
      </c>
      <c r="F99" s="39">
        <v>3.5856525718770369</v>
      </c>
      <c r="G99" s="17">
        <f t="shared" si="9"/>
        <v>309800.38221017597</v>
      </c>
      <c r="H99" s="17">
        <f t="shared" si="10"/>
        <v>0.30980038221017597</v>
      </c>
      <c r="I99" s="33">
        <v>16542</v>
      </c>
      <c r="J99" s="32">
        <f t="shared" si="11"/>
        <v>1.6542000000000001E-2</v>
      </c>
      <c r="K99" s="17">
        <v>0</v>
      </c>
      <c r="L99" s="17">
        <v>0</v>
      </c>
      <c r="M99" s="17">
        <f t="shared" si="12"/>
        <v>1.6542000000000001E-2</v>
      </c>
      <c r="N99" s="17">
        <v>6.1745760000000004E-2</v>
      </c>
      <c r="O99" s="17">
        <f t="shared" si="13"/>
        <v>0.23151262221017596</v>
      </c>
    </row>
    <row r="100" spans="1:15" x14ac:dyDescent="0.7">
      <c r="A100" s="4"/>
      <c r="B100" s="4"/>
      <c r="C100" s="15">
        <v>7</v>
      </c>
      <c r="D100" s="39">
        <v>3.508</v>
      </c>
      <c r="E100" s="17">
        <v>0</v>
      </c>
      <c r="F100" s="39">
        <v>3.5075385221620992</v>
      </c>
      <c r="G100" s="17">
        <f t="shared" si="9"/>
        <v>303051.32831480535</v>
      </c>
      <c r="H100" s="17">
        <f t="shared" si="10"/>
        <v>0.30305132831480536</v>
      </c>
      <c r="I100" s="33">
        <v>14421</v>
      </c>
      <c r="J100" s="32">
        <f t="shared" si="11"/>
        <v>1.4421E-2</v>
      </c>
      <c r="K100" s="17">
        <v>0</v>
      </c>
      <c r="L100" s="17">
        <v>0</v>
      </c>
      <c r="M100" s="17">
        <f t="shared" si="12"/>
        <v>1.4421E-2</v>
      </c>
      <c r="N100" s="17">
        <v>5.0225760000000001E-2</v>
      </c>
      <c r="O100" s="17">
        <f t="shared" si="13"/>
        <v>0.23840456831480533</v>
      </c>
    </row>
    <row r="101" spans="1:15" x14ac:dyDescent="0.7">
      <c r="A101" s="4"/>
      <c r="B101" s="4"/>
      <c r="C101" s="15">
        <v>8</v>
      </c>
      <c r="D101" s="39">
        <v>3.508</v>
      </c>
      <c r="E101" s="17">
        <v>0</v>
      </c>
      <c r="F101" s="39">
        <v>3.5075385221620992</v>
      </c>
      <c r="G101" s="17">
        <f t="shared" si="9"/>
        <v>303051.32831480535</v>
      </c>
      <c r="H101" s="17">
        <f t="shared" si="10"/>
        <v>0.30305132831480536</v>
      </c>
      <c r="I101" s="33">
        <v>15519</v>
      </c>
      <c r="J101" s="32">
        <f t="shared" si="11"/>
        <v>1.5519E-2</v>
      </c>
      <c r="K101" s="17">
        <v>1900</v>
      </c>
      <c r="L101" s="17">
        <f t="shared" ref="L101:L113" si="15">K101/1000000</f>
        <v>1.9E-3</v>
      </c>
      <c r="M101" s="17">
        <f t="shared" si="12"/>
        <v>1.7419E-2</v>
      </c>
      <c r="N101" s="17">
        <v>5.4747360000000002E-2</v>
      </c>
      <c r="O101" s="17">
        <f t="shared" si="13"/>
        <v>0.23088496831480534</v>
      </c>
    </row>
    <row r="102" spans="1:15" x14ac:dyDescent="0.7">
      <c r="A102" s="4"/>
      <c r="B102" s="4"/>
      <c r="C102" s="15">
        <v>9</v>
      </c>
      <c r="D102" s="31">
        <v>3.43</v>
      </c>
      <c r="E102" s="17">
        <v>0</v>
      </c>
      <c r="F102" s="31">
        <v>3.430322073111296</v>
      </c>
      <c r="G102" s="17">
        <f t="shared" si="9"/>
        <v>296379.82711681596</v>
      </c>
      <c r="H102" s="17">
        <f t="shared" si="10"/>
        <v>0.29637982711681593</v>
      </c>
      <c r="I102" s="33">
        <v>14713</v>
      </c>
      <c r="J102" s="32">
        <f t="shared" si="11"/>
        <v>1.4713E-2</v>
      </c>
      <c r="K102" s="17">
        <v>4948</v>
      </c>
      <c r="L102" s="17">
        <f t="shared" si="15"/>
        <v>4.9480000000000001E-3</v>
      </c>
      <c r="M102" s="17">
        <f t="shared" si="12"/>
        <v>1.9661000000000001E-2</v>
      </c>
      <c r="N102" s="17">
        <v>5.4747360000000002E-2</v>
      </c>
      <c r="O102" s="17">
        <f t="shared" si="13"/>
        <v>0.22197146711681595</v>
      </c>
    </row>
    <row r="103" spans="1:15" x14ac:dyDescent="0.7">
      <c r="A103" s="4"/>
      <c r="B103" s="4"/>
      <c r="C103" s="15">
        <v>10</v>
      </c>
      <c r="D103" s="31">
        <v>3.3540000000000001</v>
      </c>
      <c r="E103" s="17">
        <v>0</v>
      </c>
      <c r="F103" s="31">
        <v>3.3540005904539916</v>
      </c>
      <c r="G103" s="17">
        <f t="shared" si="9"/>
        <v>289785.65101522487</v>
      </c>
      <c r="H103" s="17">
        <f>G103/1000000</f>
        <v>0.28978565101522485</v>
      </c>
      <c r="I103" s="33">
        <v>20763</v>
      </c>
      <c r="J103" s="32">
        <f t="shared" si="11"/>
        <v>2.0763E-2</v>
      </c>
      <c r="K103" s="17">
        <v>19</v>
      </c>
      <c r="L103" s="17">
        <f t="shared" si="15"/>
        <v>1.9000000000000001E-5</v>
      </c>
      <c r="M103" s="17">
        <f t="shared" si="12"/>
        <v>2.0782000000000002E-2</v>
      </c>
      <c r="N103" s="17">
        <v>4.3619903999999994E-2</v>
      </c>
      <c r="O103" s="17">
        <f t="shared" si="13"/>
        <v>0.22538374701522484</v>
      </c>
    </row>
    <row r="104" spans="1:15" x14ac:dyDescent="0.7">
      <c r="A104" s="4"/>
      <c r="B104" s="4"/>
      <c r="C104" s="15">
        <v>11</v>
      </c>
      <c r="D104" s="31">
        <v>3.3540000000000001</v>
      </c>
      <c r="E104" s="17">
        <v>0</v>
      </c>
      <c r="F104" s="31">
        <v>3.3540005904539916</v>
      </c>
      <c r="G104" s="17">
        <f t="shared" si="9"/>
        <v>289785.65101522487</v>
      </c>
      <c r="H104" s="17">
        <f t="shared" ref="H104:H151" si="16">G104/1000000</f>
        <v>0.28978565101522485</v>
      </c>
      <c r="I104" s="33">
        <v>14769</v>
      </c>
      <c r="J104" s="32">
        <f t="shared" si="11"/>
        <v>1.4768999999999999E-2</v>
      </c>
      <c r="K104" s="17">
        <v>106</v>
      </c>
      <c r="L104" s="17">
        <f t="shared" si="15"/>
        <v>1.06E-4</v>
      </c>
      <c r="M104" s="17">
        <f t="shared" si="12"/>
        <v>1.4874999999999999E-2</v>
      </c>
      <c r="N104" s="17">
        <v>4.3619903999999994E-2</v>
      </c>
      <c r="O104" s="17">
        <f t="shared" si="13"/>
        <v>0.23129074701522484</v>
      </c>
    </row>
    <row r="105" spans="1:15" x14ac:dyDescent="0.7">
      <c r="A105" s="4"/>
      <c r="B105" s="4"/>
      <c r="C105" s="15">
        <v>12</v>
      </c>
      <c r="D105" s="31">
        <v>3.2789999999999999</v>
      </c>
      <c r="E105" s="17">
        <v>0</v>
      </c>
      <c r="F105" s="31">
        <v>3.2785714534294392</v>
      </c>
      <c r="G105" s="17">
        <f t="shared" si="9"/>
        <v>283268.57357630355</v>
      </c>
      <c r="H105" s="17">
        <f t="shared" si="16"/>
        <v>0.28326857357630353</v>
      </c>
      <c r="I105" s="33">
        <v>16670</v>
      </c>
      <c r="J105" s="32">
        <f t="shared" si="11"/>
        <v>1.6670000000000001E-2</v>
      </c>
      <c r="K105" s="17">
        <v>616</v>
      </c>
      <c r="L105" s="17">
        <f t="shared" si="15"/>
        <v>6.1600000000000001E-4</v>
      </c>
      <c r="M105" s="17">
        <f t="shared" si="12"/>
        <v>1.7285999999999999E-2</v>
      </c>
      <c r="N105" s="17">
        <v>3.3338304000000006E-2</v>
      </c>
      <c r="O105" s="17">
        <f t="shared" si="13"/>
        <v>0.23264426957630349</v>
      </c>
    </row>
    <row r="106" spans="1:15" x14ac:dyDescent="0.7">
      <c r="A106" s="4"/>
      <c r="B106" s="4"/>
      <c r="C106" s="15">
        <v>13</v>
      </c>
      <c r="D106" s="16">
        <v>3.2789999999999999</v>
      </c>
      <c r="E106" s="17">
        <v>0</v>
      </c>
      <c r="F106" s="31">
        <v>3.2785714534294392</v>
      </c>
      <c r="G106" s="17">
        <f t="shared" si="9"/>
        <v>283268.57357630355</v>
      </c>
      <c r="H106" s="17">
        <f t="shared" si="16"/>
        <v>0.28326857357630353</v>
      </c>
      <c r="I106" s="33">
        <v>18377</v>
      </c>
      <c r="J106" s="32">
        <f t="shared" si="11"/>
        <v>1.8377000000000001E-2</v>
      </c>
      <c r="K106" s="17">
        <v>958</v>
      </c>
      <c r="L106" s="17">
        <f t="shared" si="15"/>
        <v>9.5799999999999998E-4</v>
      </c>
      <c r="M106" s="17">
        <f t="shared" si="12"/>
        <v>1.9335000000000001E-2</v>
      </c>
      <c r="N106" s="17">
        <v>3.3338304000000006E-2</v>
      </c>
      <c r="O106" s="17">
        <f t="shared" si="13"/>
        <v>0.23059526957630352</v>
      </c>
    </row>
    <row r="107" spans="1:15" x14ac:dyDescent="0.7">
      <c r="A107" s="4"/>
      <c r="B107" s="4"/>
      <c r="C107" s="15">
        <v>14</v>
      </c>
      <c r="D107" s="31">
        <v>3.2789999999999999</v>
      </c>
      <c r="E107" s="17">
        <v>0</v>
      </c>
      <c r="F107" s="31">
        <v>3.2785714534294392</v>
      </c>
      <c r="G107" s="17">
        <f t="shared" si="9"/>
        <v>283268.57357630355</v>
      </c>
      <c r="H107" s="17">
        <f t="shared" si="16"/>
        <v>0.28326857357630353</v>
      </c>
      <c r="I107" s="33">
        <v>16165</v>
      </c>
      <c r="J107" s="32">
        <f t="shared" si="11"/>
        <v>1.6164999999999999E-2</v>
      </c>
      <c r="K107" s="17">
        <v>1444</v>
      </c>
      <c r="L107" s="17">
        <f t="shared" si="15"/>
        <v>1.444E-3</v>
      </c>
      <c r="M107" s="17">
        <f t="shared" si="12"/>
        <v>1.7609E-2</v>
      </c>
      <c r="N107" s="17">
        <v>3.3338304000000006E-2</v>
      </c>
      <c r="O107" s="17">
        <f t="shared" si="13"/>
        <v>0.23232126957630353</v>
      </c>
    </row>
    <row r="108" spans="1:15" x14ac:dyDescent="0.7">
      <c r="A108" s="4"/>
      <c r="B108" s="4"/>
      <c r="C108" s="15">
        <v>15</v>
      </c>
      <c r="D108" s="31">
        <v>3.2789999999999999</v>
      </c>
      <c r="E108" s="17">
        <v>0</v>
      </c>
      <c r="F108" s="31">
        <v>3.2785714534294392</v>
      </c>
      <c r="G108" s="17">
        <f t="shared" si="9"/>
        <v>283268.57357630355</v>
      </c>
      <c r="H108" s="17">
        <f t="shared" si="16"/>
        <v>0.28326857357630353</v>
      </c>
      <c r="I108" s="33">
        <v>15536</v>
      </c>
      <c r="J108" s="32">
        <f t="shared" si="11"/>
        <v>1.5535999999999999E-2</v>
      </c>
      <c r="K108" s="17">
        <v>858</v>
      </c>
      <c r="L108" s="17">
        <f t="shared" si="15"/>
        <v>8.5800000000000004E-4</v>
      </c>
      <c r="M108" s="17">
        <f t="shared" si="12"/>
        <v>1.6393999999999999E-2</v>
      </c>
      <c r="N108" s="17">
        <v>3.3338304000000006E-2</v>
      </c>
      <c r="O108" s="17">
        <f t="shared" si="13"/>
        <v>0.2335362695763035</v>
      </c>
    </row>
    <row r="109" spans="1:15" x14ac:dyDescent="0.7">
      <c r="A109" s="4"/>
      <c r="B109" s="4"/>
      <c r="C109" s="15">
        <v>16</v>
      </c>
      <c r="D109" s="16">
        <v>3.2789999999999999</v>
      </c>
      <c r="E109" s="17">
        <v>0</v>
      </c>
      <c r="F109" s="31">
        <v>3.2785714534294392</v>
      </c>
      <c r="G109" s="17">
        <f t="shared" si="9"/>
        <v>283268.57357630355</v>
      </c>
      <c r="H109" s="17">
        <f t="shared" si="16"/>
        <v>0.28326857357630353</v>
      </c>
      <c r="I109" s="33">
        <v>15196</v>
      </c>
      <c r="J109" s="32">
        <f t="shared" si="11"/>
        <v>1.5195999999999999E-2</v>
      </c>
      <c r="K109" s="17">
        <v>31</v>
      </c>
      <c r="L109" s="17">
        <f t="shared" si="15"/>
        <v>3.1000000000000001E-5</v>
      </c>
      <c r="M109" s="17">
        <f t="shared" si="12"/>
        <v>1.5226999999999999E-2</v>
      </c>
      <c r="N109" s="17">
        <v>3.3338304000000006E-2</v>
      </c>
      <c r="O109" s="17">
        <f t="shared" si="13"/>
        <v>0.23470326957630352</v>
      </c>
    </row>
    <row r="110" spans="1:15" x14ac:dyDescent="0.7">
      <c r="A110" s="4"/>
      <c r="B110" s="4"/>
      <c r="C110" s="15">
        <v>17</v>
      </c>
      <c r="D110" s="31">
        <v>3.2789999999999999</v>
      </c>
      <c r="E110" s="17">
        <v>0</v>
      </c>
      <c r="F110" s="31">
        <v>3.2785714534294392</v>
      </c>
      <c r="G110" s="17">
        <f t="shared" si="9"/>
        <v>283268.57357630355</v>
      </c>
      <c r="H110" s="17">
        <f t="shared" si="16"/>
        <v>0.28326857357630353</v>
      </c>
      <c r="I110" s="33">
        <v>15962</v>
      </c>
      <c r="J110" s="32">
        <f t="shared" si="11"/>
        <v>1.5962E-2</v>
      </c>
      <c r="K110" s="17">
        <v>92</v>
      </c>
      <c r="L110" s="17">
        <f t="shared" si="15"/>
        <v>9.2E-5</v>
      </c>
      <c r="M110" s="17">
        <f t="shared" si="12"/>
        <v>1.6053999999999999E-2</v>
      </c>
      <c r="N110" s="17">
        <v>3.3338304000000006E-2</v>
      </c>
      <c r="O110" s="17">
        <f t="shared" si="13"/>
        <v>0.2338762695763035</v>
      </c>
    </row>
    <row r="111" spans="1:15" x14ac:dyDescent="0.7">
      <c r="A111" s="4"/>
      <c r="B111" s="4"/>
      <c r="C111" s="15">
        <v>18</v>
      </c>
      <c r="D111" s="16">
        <v>3.2789999999999999</v>
      </c>
      <c r="E111" s="17">
        <v>0</v>
      </c>
      <c r="F111" s="31">
        <v>3.2785714534294392</v>
      </c>
      <c r="G111" s="17">
        <f t="shared" si="9"/>
        <v>283268.57357630355</v>
      </c>
      <c r="H111" s="17">
        <f t="shared" si="16"/>
        <v>0.28326857357630353</v>
      </c>
      <c r="I111" s="33">
        <v>15994</v>
      </c>
      <c r="J111" s="32">
        <f t="shared" si="11"/>
        <v>1.5994000000000001E-2</v>
      </c>
      <c r="K111" s="17">
        <v>148</v>
      </c>
      <c r="L111" s="17">
        <f t="shared" si="15"/>
        <v>1.4799999999999999E-4</v>
      </c>
      <c r="M111" s="17">
        <f t="shared" si="12"/>
        <v>1.6142E-2</v>
      </c>
      <c r="N111" s="17">
        <v>2.5919999999999999E-2</v>
      </c>
      <c r="O111" s="17">
        <f t="shared" si="13"/>
        <v>0.24120657357630354</v>
      </c>
    </row>
    <row r="112" spans="1:15" x14ac:dyDescent="0.7">
      <c r="A112" s="4"/>
      <c r="B112" s="4"/>
      <c r="C112" s="15">
        <v>19</v>
      </c>
      <c r="D112" s="31">
        <v>3.2789999999999999</v>
      </c>
      <c r="E112" s="17">
        <v>0</v>
      </c>
      <c r="F112" s="31">
        <v>3.2785714534294392</v>
      </c>
      <c r="G112" s="17">
        <f t="shared" si="9"/>
        <v>283268.57357630355</v>
      </c>
      <c r="H112" s="17">
        <f t="shared" si="16"/>
        <v>0.28326857357630353</v>
      </c>
      <c r="I112" s="33">
        <v>16218</v>
      </c>
      <c r="J112" s="32">
        <f t="shared" si="11"/>
        <v>1.6218E-2</v>
      </c>
      <c r="K112" s="17">
        <v>1816</v>
      </c>
      <c r="L112" s="17">
        <f t="shared" si="15"/>
        <v>1.8159999999999999E-3</v>
      </c>
      <c r="M112" s="17">
        <f t="shared" si="12"/>
        <v>1.8034000000000001E-2</v>
      </c>
      <c r="N112" s="17">
        <v>0</v>
      </c>
      <c r="O112" s="17">
        <f t="shared" si="13"/>
        <v>0.26523457357630353</v>
      </c>
    </row>
    <row r="113" spans="1:15" x14ac:dyDescent="0.7">
      <c r="A113" s="4"/>
      <c r="B113" s="4"/>
      <c r="C113" s="15">
        <v>20</v>
      </c>
      <c r="D113" s="31">
        <v>3.2040000000000002</v>
      </c>
      <c r="E113" s="17">
        <v>0</v>
      </c>
      <c r="F113" s="31">
        <v>3.2040320555017843</v>
      </c>
      <c r="G113" s="17">
        <f t="shared" si="9"/>
        <v>276828.36959535419</v>
      </c>
      <c r="H113" s="17">
        <f t="shared" si="16"/>
        <v>0.27682836959535417</v>
      </c>
      <c r="I113" s="33">
        <v>15885</v>
      </c>
      <c r="J113" s="32">
        <f t="shared" si="11"/>
        <v>1.5885E-2</v>
      </c>
      <c r="K113" s="17">
        <v>382</v>
      </c>
      <c r="L113" s="17">
        <f t="shared" si="15"/>
        <v>3.8200000000000002E-4</v>
      </c>
      <c r="M113" s="17">
        <f t="shared" si="12"/>
        <v>1.6267E-2</v>
      </c>
      <c r="N113" s="17">
        <v>0</v>
      </c>
      <c r="O113" s="17">
        <f t="shared" si="13"/>
        <v>0.2605613695953542</v>
      </c>
    </row>
    <row r="114" spans="1:15" x14ac:dyDescent="0.7">
      <c r="A114" s="4"/>
      <c r="B114" s="4"/>
      <c r="C114" s="15">
        <v>21</v>
      </c>
      <c r="D114" s="31">
        <v>3.2040000000000002</v>
      </c>
      <c r="E114" s="17">
        <v>0</v>
      </c>
      <c r="F114" s="31">
        <v>3.2040320555017843</v>
      </c>
      <c r="G114" s="17">
        <f t="shared" si="9"/>
        <v>276828.36959535419</v>
      </c>
      <c r="H114" s="17">
        <f t="shared" si="16"/>
        <v>0.27682836959535417</v>
      </c>
      <c r="I114" s="33">
        <v>15530</v>
      </c>
      <c r="J114" s="32">
        <f t="shared" si="11"/>
        <v>1.553E-2</v>
      </c>
      <c r="K114" s="17">
        <v>0</v>
      </c>
      <c r="L114" s="17">
        <v>0</v>
      </c>
      <c r="M114" s="17">
        <f t="shared" si="12"/>
        <v>1.553E-2</v>
      </c>
      <c r="N114" s="17">
        <v>0</v>
      </c>
      <c r="O114" s="17">
        <f t="shared" si="13"/>
        <v>0.26129836959535419</v>
      </c>
    </row>
    <row r="115" spans="1:15" x14ac:dyDescent="0.7">
      <c r="A115" s="4"/>
      <c r="B115" s="4"/>
      <c r="C115" s="15">
        <v>22</v>
      </c>
      <c r="D115" s="31">
        <v>3.2040000000000002</v>
      </c>
      <c r="E115" s="17">
        <v>0</v>
      </c>
      <c r="F115" s="31">
        <v>3.2040320555017843</v>
      </c>
      <c r="G115" s="17">
        <f t="shared" si="9"/>
        <v>276828.36959535419</v>
      </c>
      <c r="H115" s="17">
        <f t="shared" si="16"/>
        <v>0.27682836959535417</v>
      </c>
      <c r="I115" s="33">
        <v>15251</v>
      </c>
      <c r="J115" s="32">
        <f t="shared" si="11"/>
        <v>1.5251000000000001E-2</v>
      </c>
      <c r="K115" s="17">
        <v>0</v>
      </c>
      <c r="L115" s="17">
        <v>0</v>
      </c>
      <c r="M115" s="17">
        <f t="shared" si="12"/>
        <v>1.5251000000000001E-2</v>
      </c>
      <c r="N115" s="17">
        <v>0</v>
      </c>
      <c r="O115" s="17">
        <f t="shared" si="13"/>
        <v>0.26157736959535416</v>
      </c>
    </row>
    <row r="116" spans="1:15" x14ac:dyDescent="0.7">
      <c r="A116" s="4"/>
      <c r="B116" s="4"/>
      <c r="C116" s="15">
        <v>23</v>
      </c>
      <c r="D116" s="31">
        <v>3.2040000000000002</v>
      </c>
      <c r="E116" s="17">
        <v>0</v>
      </c>
      <c r="F116" s="31">
        <v>3.130379805111787</v>
      </c>
      <c r="G116" s="17">
        <f t="shared" si="9"/>
        <v>270464.81516165839</v>
      </c>
      <c r="H116" s="17">
        <f t="shared" si="16"/>
        <v>0.27046481516165838</v>
      </c>
      <c r="I116" s="33">
        <v>16477</v>
      </c>
      <c r="J116" s="32">
        <f t="shared" si="11"/>
        <v>1.6476999999999999E-2</v>
      </c>
      <c r="K116" s="17">
        <v>0</v>
      </c>
      <c r="L116" s="17">
        <v>0</v>
      </c>
      <c r="M116" s="17">
        <f t="shared" si="12"/>
        <v>1.6476999999999999E-2</v>
      </c>
      <c r="N116" s="17">
        <v>0</v>
      </c>
      <c r="O116" s="17">
        <f t="shared" si="13"/>
        <v>0.25398781516165836</v>
      </c>
    </row>
    <row r="117" spans="1:15" x14ac:dyDescent="0.7">
      <c r="A117" s="4"/>
      <c r="B117" s="4"/>
      <c r="C117" s="15">
        <v>24</v>
      </c>
      <c r="D117" s="31">
        <v>3.0579999999999998</v>
      </c>
      <c r="E117" s="17">
        <v>0</v>
      </c>
      <c r="F117" s="31">
        <v>3.0576121264665694</v>
      </c>
      <c r="G117" s="17">
        <f t="shared" si="9"/>
        <v>264177.68772671162</v>
      </c>
      <c r="H117" s="17">
        <f t="shared" si="16"/>
        <v>0.26417768772671163</v>
      </c>
      <c r="I117" s="33">
        <v>16092</v>
      </c>
      <c r="J117" s="32">
        <f t="shared" si="11"/>
        <v>1.6091999999999999E-2</v>
      </c>
      <c r="K117" s="17">
        <v>0</v>
      </c>
      <c r="L117" s="17">
        <v>0</v>
      </c>
      <c r="M117" s="17">
        <f t="shared" si="12"/>
        <v>1.6091999999999999E-2</v>
      </c>
      <c r="N117" s="17">
        <v>5.3105760000000002E-2</v>
      </c>
      <c r="O117" s="17">
        <f t="shared" si="13"/>
        <v>0.19497992772671163</v>
      </c>
    </row>
    <row r="118" spans="1:15" x14ac:dyDescent="0.7">
      <c r="A118" s="4"/>
      <c r="B118" s="4"/>
      <c r="C118" s="15">
        <v>25</v>
      </c>
      <c r="D118" s="31">
        <v>3.0579999999999998</v>
      </c>
      <c r="E118" s="17">
        <v>0</v>
      </c>
      <c r="F118" s="31">
        <v>3.0576121264665694</v>
      </c>
      <c r="G118" s="17">
        <f t="shared" si="9"/>
        <v>264177.68772671162</v>
      </c>
      <c r="H118" s="17">
        <f t="shared" si="16"/>
        <v>0.26417768772671163</v>
      </c>
      <c r="I118" s="33">
        <v>16590</v>
      </c>
      <c r="J118" s="32">
        <f t="shared" si="11"/>
        <v>1.6590000000000001E-2</v>
      </c>
      <c r="K118" s="17">
        <v>0</v>
      </c>
      <c r="L118" s="17">
        <v>0</v>
      </c>
      <c r="M118" s="17">
        <f t="shared" si="12"/>
        <v>1.6590000000000001E-2</v>
      </c>
      <c r="N118" s="17">
        <v>5.3105760000000002E-2</v>
      </c>
      <c r="O118" s="17">
        <f t="shared" si="13"/>
        <v>0.19448192772671163</v>
      </c>
    </row>
    <row r="119" spans="1:15" x14ac:dyDescent="0.7">
      <c r="A119" s="4"/>
      <c r="B119" s="4"/>
      <c r="C119" s="15">
        <v>26</v>
      </c>
      <c r="D119" s="31">
        <v>3.0579999999999998</v>
      </c>
      <c r="E119" s="17">
        <v>0</v>
      </c>
      <c r="F119" s="31">
        <v>3.0576121264665694</v>
      </c>
      <c r="G119" s="17">
        <f t="shared" si="9"/>
        <v>264177.68772671162</v>
      </c>
      <c r="H119" s="17">
        <f t="shared" si="16"/>
        <v>0.26417768772671163</v>
      </c>
      <c r="I119" s="33">
        <v>18001</v>
      </c>
      <c r="J119" s="32">
        <f t="shared" si="11"/>
        <v>1.8001E-2</v>
      </c>
      <c r="K119" s="17">
        <v>0</v>
      </c>
      <c r="L119" s="17">
        <v>0</v>
      </c>
      <c r="M119" s="17">
        <f t="shared" si="12"/>
        <v>1.8001E-2</v>
      </c>
      <c r="N119" s="17">
        <v>5.3105760000000002E-2</v>
      </c>
      <c r="O119" s="17">
        <f t="shared" si="13"/>
        <v>0.19307092772671164</v>
      </c>
    </row>
    <row r="120" spans="1:15" x14ac:dyDescent="0.7">
      <c r="A120" s="4"/>
      <c r="B120" s="4"/>
      <c r="C120" s="15">
        <v>27</v>
      </c>
      <c r="D120" s="31">
        <v>3.0579999999999998</v>
      </c>
      <c r="E120" s="17">
        <v>0</v>
      </c>
      <c r="F120" s="31">
        <v>3.0576121264665694</v>
      </c>
      <c r="G120" s="17">
        <f t="shared" si="9"/>
        <v>264177.68772671162</v>
      </c>
      <c r="H120" s="17">
        <f t="shared" si="16"/>
        <v>0.26417768772671163</v>
      </c>
      <c r="I120" s="33">
        <v>17723</v>
      </c>
      <c r="J120" s="32">
        <f t="shared" si="11"/>
        <v>1.7722999999999999E-2</v>
      </c>
      <c r="K120" s="17">
        <v>0</v>
      </c>
      <c r="L120" s="17">
        <v>0</v>
      </c>
      <c r="M120" s="17">
        <f t="shared" si="12"/>
        <v>1.7722999999999999E-2</v>
      </c>
      <c r="N120" s="17">
        <v>5.3105760000000002E-2</v>
      </c>
      <c r="O120" s="17">
        <f t="shared" si="13"/>
        <v>0.19334892772671164</v>
      </c>
    </row>
    <row r="121" spans="1:15" x14ac:dyDescent="0.7">
      <c r="A121" s="4"/>
      <c r="B121" s="4"/>
      <c r="C121" s="15">
        <v>28</v>
      </c>
      <c r="D121" s="31">
        <v>3.0579999999999998</v>
      </c>
      <c r="E121" s="17">
        <v>0</v>
      </c>
      <c r="F121" s="31">
        <v>3.0576121264665694</v>
      </c>
      <c r="G121" s="17">
        <f t="shared" si="9"/>
        <v>264177.68772671162</v>
      </c>
      <c r="H121" s="17">
        <f t="shared" si="16"/>
        <v>0.26417768772671163</v>
      </c>
      <c r="I121" s="33">
        <v>16721</v>
      </c>
      <c r="J121" s="32">
        <f t="shared" si="11"/>
        <v>1.6721E-2</v>
      </c>
      <c r="K121" s="17">
        <v>0</v>
      </c>
      <c r="L121" s="17">
        <v>0</v>
      </c>
      <c r="M121" s="17">
        <f t="shared" si="12"/>
        <v>1.6721E-2</v>
      </c>
      <c r="N121" s="17">
        <v>2.5919999999999999E-2</v>
      </c>
      <c r="O121" s="17">
        <f t="shared" si="13"/>
        <v>0.22153668772671165</v>
      </c>
    </row>
    <row r="122" spans="1:15" x14ac:dyDescent="0.7">
      <c r="A122" s="4"/>
      <c r="B122" s="4"/>
      <c r="C122" s="15">
        <v>29</v>
      </c>
      <c r="D122" s="31">
        <v>3.0579999999999998</v>
      </c>
      <c r="E122" s="17">
        <v>0</v>
      </c>
      <c r="F122" s="31">
        <v>3.0576121264665694</v>
      </c>
      <c r="G122" s="17">
        <f t="shared" si="9"/>
        <v>264177.68772671162</v>
      </c>
      <c r="H122" s="17">
        <f t="shared" si="16"/>
        <v>0.26417768772671163</v>
      </c>
      <c r="I122" s="33">
        <v>17152</v>
      </c>
      <c r="J122" s="32">
        <f t="shared" si="11"/>
        <v>1.7152000000000001E-2</v>
      </c>
      <c r="K122" s="17">
        <v>2676</v>
      </c>
      <c r="L122" s="17">
        <f t="shared" ref="L122:L148" si="17">K122/1000000</f>
        <v>2.676E-3</v>
      </c>
      <c r="M122" s="17">
        <f t="shared" si="12"/>
        <v>1.9828000000000002E-2</v>
      </c>
      <c r="N122" s="17">
        <v>3.62016E-2</v>
      </c>
      <c r="O122" s="17">
        <f t="shared" si="13"/>
        <v>0.20814808772671162</v>
      </c>
    </row>
    <row r="123" spans="1:15" s="10" customFormat="1" ht="25.2" thickBot="1" x14ac:dyDescent="0.75">
      <c r="A123" s="6"/>
      <c r="B123" s="6" t="s">
        <v>18</v>
      </c>
      <c r="C123" s="21">
        <v>30</v>
      </c>
      <c r="D123" s="22">
        <v>3.0579999999999998</v>
      </c>
      <c r="E123" s="23">
        <v>0</v>
      </c>
      <c r="F123" s="35">
        <v>3.0576121264665694</v>
      </c>
      <c r="G123" s="23">
        <f t="shared" si="9"/>
        <v>264177.68772671162</v>
      </c>
      <c r="H123" s="23">
        <f t="shared" si="16"/>
        <v>0.26417768772671163</v>
      </c>
      <c r="I123" s="37">
        <v>18755</v>
      </c>
      <c r="J123" s="36">
        <f t="shared" si="11"/>
        <v>1.8755000000000001E-2</v>
      </c>
      <c r="K123" s="23">
        <v>4643</v>
      </c>
      <c r="L123" s="23">
        <f t="shared" si="17"/>
        <v>4.6430000000000004E-3</v>
      </c>
      <c r="M123" s="23">
        <f t="shared" si="12"/>
        <v>2.3398000000000002E-2</v>
      </c>
      <c r="N123" s="23">
        <v>3.62016E-2</v>
      </c>
      <c r="O123" s="23">
        <f t="shared" si="13"/>
        <v>0.20457808772671163</v>
      </c>
    </row>
    <row r="124" spans="1:15" x14ac:dyDescent="0.7">
      <c r="A124" s="2"/>
      <c r="B124" s="2" t="s">
        <v>19</v>
      </c>
      <c r="C124" s="19">
        <v>1</v>
      </c>
      <c r="D124" s="20">
        <v>3.0579999999999998</v>
      </c>
      <c r="E124" s="24">
        <v>0</v>
      </c>
      <c r="F124" s="29">
        <v>3.0576121264665694</v>
      </c>
      <c r="G124" s="24">
        <f t="shared" si="9"/>
        <v>264177.68772671162</v>
      </c>
      <c r="H124" s="24">
        <f t="shared" si="16"/>
        <v>0.26417768772671163</v>
      </c>
      <c r="I124" s="24">
        <v>22425</v>
      </c>
      <c r="J124" s="30">
        <f t="shared" si="11"/>
        <v>2.2425E-2</v>
      </c>
      <c r="K124" s="24">
        <v>3502</v>
      </c>
      <c r="L124" s="24">
        <f t="shared" si="17"/>
        <v>3.5019999999999999E-3</v>
      </c>
      <c r="M124" s="24">
        <f t="shared" si="12"/>
        <v>2.5926999999999999E-2</v>
      </c>
      <c r="N124" s="24">
        <v>3.62016E-2</v>
      </c>
      <c r="O124" s="24">
        <f t="shared" si="13"/>
        <v>0.20204908772671162</v>
      </c>
    </row>
    <row r="125" spans="1:15" x14ac:dyDescent="0.7">
      <c r="A125" s="4"/>
      <c r="B125" s="4"/>
      <c r="C125" s="15">
        <v>2</v>
      </c>
      <c r="D125" s="16">
        <v>2.9860000000000002</v>
      </c>
      <c r="E125" s="17">
        <v>0</v>
      </c>
      <c r="F125" s="31">
        <v>2.9857264603721383</v>
      </c>
      <c r="G125" s="17">
        <f t="shared" si="9"/>
        <v>257966.76617615274</v>
      </c>
      <c r="H125" s="17">
        <f t="shared" si="16"/>
        <v>0.25796676617615272</v>
      </c>
      <c r="I125" s="17">
        <v>14288</v>
      </c>
      <c r="J125" s="32">
        <f t="shared" si="11"/>
        <v>1.4288E-2</v>
      </c>
      <c r="K125" s="17">
        <v>3470</v>
      </c>
      <c r="L125" s="17">
        <f t="shared" si="17"/>
        <v>3.47E-3</v>
      </c>
      <c r="M125" s="17">
        <f t="shared" si="12"/>
        <v>1.7757999999999999E-2</v>
      </c>
      <c r="N125" s="17">
        <v>3.62016E-2</v>
      </c>
      <c r="O125" s="17">
        <f t="shared" si="13"/>
        <v>0.20400716617615272</v>
      </c>
    </row>
    <row r="126" spans="1:15" x14ac:dyDescent="0.7">
      <c r="A126" s="4"/>
      <c r="B126" s="4"/>
      <c r="C126" s="15">
        <v>3</v>
      </c>
      <c r="D126" s="16">
        <v>2.9860000000000002</v>
      </c>
      <c r="E126" s="17">
        <v>0</v>
      </c>
      <c r="F126" s="31">
        <v>2.9857264603721383</v>
      </c>
      <c r="G126" s="17">
        <f t="shared" si="9"/>
        <v>257966.76617615274</v>
      </c>
      <c r="H126" s="17">
        <f t="shared" si="16"/>
        <v>0.25796676617615272</v>
      </c>
      <c r="I126" s="17">
        <v>18902</v>
      </c>
      <c r="J126" s="32">
        <f t="shared" si="11"/>
        <v>1.8901999999999999E-2</v>
      </c>
      <c r="K126" s="17">
        <v>21</v>
      </c>
      <c r="L126" s="17">
        <f t="shared" si="17"/>
        <v>2.0999999999999999E-5</v>
      </c>
      <c r="M126" s="17">
        <f t="shared" si="12"/>
        <v>1.8922999999999999E-2</v>
      </c>
      <c r="N126" s="17">
        <v>3.10608E-2</v>
      </c>
      <c r="O126" s="17">
        <f t="shared" si="13"/>
        <v>0.20798296617615272</v>
      </c>
    </row>
    <row r="127" spans="1:15" x14ac:dyDescent="0.7">
      <c r="A127" s="4"/>
      <c r="B127" s="4"/>
      <c r="C127" s="15">
        <v>4</v>
      </c>
      <c r="D127" s="16">
        <v>2.9860000000000002</v>
      </c>
      <c r="E127" s="17">
        <v>0</v>
      </c>
      <c r="F127" s="31">
        <v>2.9857264603721383</v>
      </c>
      <c r="G127" s="17">
        <f t="shared" si="9"/>
        <v>257966.76617615274</v>
      </c>
      <c r="H127" s="17">
        <f t="shared" si="16"/>
        <v>0.25796676617615272</v>
      </c>
      <c r="I127" s="17">
        <v>20255</v>
      </c>
      <c r="J127" s="32">
        <f t="shared" si="11"/>
        <v>2.0254999999999999E-2</v>
      </c>
      <c r="K127" s="17">
        <v>5537</v>
      </c>
      <c r="L127" s="17">
        <f t="shared" si="17"/>
        <v>5.5370000000000003E-3</v>
      </c>
      <c r="M127" s="17">
        <f t="shared" si="12"/>
        <v>2.5791999999999999E-2</v>
      </c>
      <c r="N127" s="17">
        <v>2.5919999999999999E-2</v>
      </c>
      <c r="O127" s="17">
        <f t="shared" si="13"/>
        <v>0.20625476617615271</v>
      </c>
    </row>
    <row r="128" spans="1:15" x14ac:dyDescent="0.7">
      <c r="A128" s="4"/>
      <c r="B128" s="4"/>
      <c r="C128" s="15">
        <v>5</v>
      </c>
      <c r="D128" s="16">
        <v>2.915</v>
      </c>
      <c r="E128" s="17">
        <v>0</v>
      </c>
      <c r="F128" s="31">
        <v>2.9857264603721383</v>
      </c>
      <c r="G128" s="17">
        <f t="shared" si="9"/>
        <v>257966.76617615274</v>
      </c>
      <c r="H128" s="17">
        <f t="shared" si="16"/>
        <v>0.25796676617615272</v>
      </c>
      <c r="I128" s="17">
        <v>12548</v>
      </c>
      <c r="J128" s="32">
        <f t="shared" si="11"/>
        <v>1.2548E-2</v>
      </c>
      <c r="K128" s="17">
        <v>2242</v>
      </c>
      <c r="L128" s="17">
        <f t="shared" si="17"/>
        <v>2.2420000000000001E-3</v>
      </c>
      <c r="M128" s="17">
        <f t="shared" si="12"/>
        <v>1.4790000000000001E-2</v>
      </c>
      <c r="N128" s="17">
        <v>2.5919999999999999E-2</v>
      </c>
      <c r="O128" s="17">
        <f t="shared" si="13"/>
        <v>0.21725676617615272</v>
      </c>
    </row>
    <row r="129" spans="1:15" x14ac:dyDescent="0.7">
      <c r="A129" s="4"/>
      <c r="B129" s="4"/>
      <c r="C129" s="15">
        <v>6</v>
      </c>
      <c r="D129" s="16">
        <v>3.0579999999999998</v>
      </c>
      <c r="E129" s="17">
        <v>4.9000000000000004</v>
      </c>
      <c r="F129" s="31">
        <v>3.0576121264665694</v>
      </c>
      <c r="G129" s="17">
        <f t="shared" si="9"/>
        <v>264177.68772671162</v>
      </c>
      <c r="H129" s="17">
        <f t="shared" si="16"/>
        <v>0.26417768772671163</v>
      </c>
      <c r="I129" s="17">
        <v>15579</v>
      </c>
      <c r="J129" s="32">
        <f t="shared" si="11"/>
        <v>1.5579000000000001E-2</v>
      </c>
      <c r="K129" s="17">
        <v>3862</v>
      </c>
      <c r="L129" s="17">
        <f t="shared" si="17"/>
        <v>3.862E-3</v>
      </c>
      <c r="M129" s="17">
        <f t="shared" si="12"/>
        <v>1.9441E-2</v>
      </c>
      <c r="N129" s="17">
        <v>2.5919999999999999E-2</v>
      </c>
      <c r="O129" s="17">
        <f t="shared" si="13"/>
        <v>0.21881668772671165</v>
      </c>
    </row>
    <row r="130" spans="1:15" x14ac:dyDescent="0.7">
      <c r="A130" s="4"/>
      <c r="B130" s="4"/>
      <c r="C130" s="15">
        <v>7</v>
      </c>
      <c r="D130" s="16">
        <v>3.0579999999999998</v>
      </c>
      <c r="E130" s="17">
        <v>0</v>
      </c>
      <c r="F130" s="31">
        <v>2.9857264603721383</v>
      </c>
      <c r="G130" s="17">
        <f t="shared" si="9"/>
        <v>257966.76617615274</v>
      </c>
      <c r="H130" s="17">
        <f t="shared" si="16"/>
        <v>0.25796676617615272</v>
      </c>
      <c r="I130" s="17">
        <v>15366</v>
      </c>
      <c r="J130" s="32">
        <f t="shared" si="11"/>
        <v>1.5365999999999999E-2</v>
      </c>
      <c r="K130" s="17">
        <v>5248</v>
      </c>
      <c r="L130" s="17">
        <f t="shared" si="17"/>
        <v>5.2480000000000001E-3</v>
      </c>
      <c r="M130" s="17">
        <f t="shared" si="12"/>
        <v>2.0614E-2</v>
      </c>
      <c r="N130" s="17">
        <v>2.5919999999999999E-2</v>
      </c>
      <c r="O130" s="17">
        <f t="shared" si="13"/>
        <v>0.21143276617615273</v>
      </c>
    </row>
    <row r="131" spans="1:15" x14ac:dyDescent="0.7">
      <c r="A131" s="4"/>
      <c r="B131" s="4"/>
      <c r="C131" s="15">
        <v>8</v>
      </c>
      <c r="D131" s="16">
        <v>2.915</v>
      </c>
      <c r="E131" s="17">
        <v>0</v>
      </c>
      <c r="F131" s="31">
        <v>3.2040320555017843</v>
      </c>
      <c r="G131" s="17">
        <f t="shared" ref="G131:G151" si="18">F131*86400</f>
        <v>276828.36959535419</v>
      </c>
      <c r="H131" s="17">
        <f t="shared" si="16"/>
        <v>0.27682836959535417</v>
      </c>
      <c r="I131" s="17">
        <v>13362</v>
      </c>
      <c r="J131" s="32">
        <f t="shared" ref="J131:J151" si="19">I131/1000000</f>
        <v>1.3362000000000001E-2</v>
      </c>
      <c r="K131" s="17">
        <v>5534</v>
      </c>
      <c r="L131" s="17">
        <f t="shared" si="17"/>
        <v>5.5339999999999999E-3</v>
      </c>
      <c r="M131" s="17">
        <f t="shared" ref="M131:M151" si="20">J131+L131</f>
        <v>1.8896E-2</v>
      </c>
      <c r="N131" s="34">
        <v>2.5919999999999999E-2</v>
      </c>
      <c r="O131" s="17">
        <f t="shared" si="13"/>
        <v>0.23201236959535415</v>
      </c>
    </row>
    <row r="132" spans="1:15" x14ac:dyDescent="0.7">
      <c r="A132" s="4"/>
      <c r="B132" s="4"/>
      <c r="C132" s="15">
        <v>9</v>
      </c>
      <c r="D132" s="16">
        <v>3.5859999999999999</v>
      </c>
      <c r="E132" s="17">
        <v>4.2</v>
      </c>
      <c r="F132" s="31">
        <v>4.5049137923991873</v>
      </c>
      <c r="G132" s="17">
        <f t="shared" si="18"/>
        <v>389224.55166328978</v>
      </c>
      <c r="H132" s="17">
        <f t="shared" si="16"/>
        <v>0.38922455166328979</v>
      </c>
      <c r="I132" s="17">
        <v>15270</v>
      </c>
      <c r="J132" s="32">
        <f t="shared" si="19"/>
        <v>1.5270000000000001E-2</v>
      </c>
      <c r="K132" s="17">
        <v>4136</v>
      </c>
      <c r="L132" s="17">
        <f t="shared" si="17"/>
        <v>4.1359999999999999E-3</v>
      </c>
      <c r="M132" s="17">
        <f t="shared" si="20"/>
        <v>1.9406E-2</v>
      </c>
      <c r="N132" s="17">
        <v>2.5919999999999999E-2</v>
      </c>
      <c r="O132" s="17">
        <f t="shared" si="13"/>
        <v>0.34389855166328981</v>
      </c>
    </row>
    <row r="133" spans="1:15" x14ac:dyDescent="0.7">
      <c r="A133" s="4"/>
      <c r="B133" s="4"/>
      <c r="C133" s="15">
        <v>10</v>
      </c>
      <c r="D133" s="16">
        <v>5.6360000000000001</v>
      </c>
      <c r="E133" s="16">
        <v>5.6</v>
      </c>
      <c r="F133" s="31">
        <v>5.6362275181014443</v>
      </c>
      <c r="G133" s="17">
        <f t="shared" si="18"/>
        <v>486970.0575639648</v>
      </c>
      <c r="H133" s="17">
        <f t="shared" si="16"/>
        <v>0.48697005756396478</v>
      </c>
      <c r="I133" s="17">
        <v>16140</v>
      </c>
      <c r="J133" s="32">
        <f t="shared" si="19"/>
        <v>1.6140000000000002E-2</v>
      </c>
      <c r="K133" s="17">
        <v>5031</v>
      </c>
      <c r="L133" s="17">
        <f t="shared" si="17"/>
        <v>5.0309999999999999E-3</v>
      </c>
      <c r="M133" s="17">
        <f t="shared" si="20"/>
        <v>2.1171000000000002E-2</v>
      </c>
      <c r="N133" s="17">
        <v>4.446576E-2</v>
      </c>
      <c r="O133" s="17">
        <f t="shared" ref="O133:O158" si="21">H133-M133-N133</f>
        <v>0.42133329756396476</v>
      </c>
    </row>
    <row r="134" spans="1:15" x14ac:dyDescent="0.7">
      <c r="A134" s="4"/>
      <c r="B134" s="4"/>
      <c r="C134" s="15">
        <v>11</v>
      </c>
      <c r="D134" s="16">
        <v>5.6360000000000001</v>
      </c>
      <c r="E134" s="16">
        <v>12.3</v>
      </c>
      <c r="F134" s="31">
        <v>6.2536110574605361</v>
      </c>
      <c r="G134" s="17">
        <f t="shared" si="18"/>
        <v>540311.99536459032</v>
      </c>
      <c r="H134" s="17">
        <f t="shared" si="16"/>
        <v>0.54031199536459029</v>
      </c>
      <c r="I134" s="17">
        <v>17187</v>
      </c>
      <c r="J134" s="32">
        <f t="shared" si="19"/>
        <v>1.7187000000000001E-2</v>
      </c>
      <c r="K134" s="17">
        <v>5318</v>
      </c>
      <c r="L134" s="17">
        <f t="shared" si="17"/>
        <v>5.3179999999999998E-3</v>
      </c>
      <c r="M134" s="17">
        <f t="shared" si="20"/>
        <v>2.2505000000000001E-2</v>
      </c>
      <c r="N134" s="17">
        <v>4.446576E-2</v>
      </c>
      <c r="O134" s="17">
        <f t="shared" si="21"/>
        <v>0.47334123536459027</v>
      </c>
    </row>
    <row r="135" spans="1:15" x14ac:dyDescent="0.7">
      <c r="A135" s="4"/>
      <c r="B135" s="4"/>
      <c r="C135" s="15">
        <v>12</v>
      </c>
      <c r="D135" s="16">
        <v>6.9059999999999997</v>
      </c>
      <c r="E135" s="16">
        <v>3</v>
      </c>
      <c r="F135" s="31">
        <v>7.4775920053990133</v>
      </c>
      <c r="G135" s="17">
        <f t="shared" si="18"/>
        <v>646063.94926647469</v>
      </c>
      <c r="H135" s="17">
        <f t="shared" si="16"/>
        <v>0.6460639492664747</v>
      </c>
      <c r="I135" s="17">
        <v>16951</v>
      </c>
      <c r="J135" s="32">
        <f t="shared" si="19"/>
        <v>1.6951000000000001E-2</v>
      </c>
      <c r="K135" s="17">
        <v>1681</v>
      </c>
      <c r="L135" s="17">
        <f t="shared" si="17"/>
        <v>1.681E-3</v>
      </c>
      <c r="M135" s="17">
        <f t="shared" si="20"/>
        <v>1.8631999999999999E-2</v>
      </c>
      <c r="N135" s="17">
        <v>2.5919999999999999E-2</v>
      </c>
      <c r="O135" s="17">
        <f t="shared" si="21"/>
        <v>0.60151194926647467</v>
      </c>
    </row>
    <row r="136" spans="1:15" x14ac:dyDescent="0.7">
      <c r="A136" s="4"/>
      <c r="B136" s="4"/>
      <c r="C136" s="15">
        <v>13</v>
      </c>
      <c r="D136" s="16">
        <v>7.4779999999999998</v>
      </c>
      <c r="E136" s="17">
        <v>0</v>
      </c>
      <c r="F136" s="31">
        <v>8.4444271012262249</v>
      </c>
      <c r="G136" s="17">
        <f t="shared" si="18"/>
        <v>729598.50154594588</v>
      </c>
      <c r="H136" s="17">
        <f t="shared" si="16"/>
        <v>0.72959850154594585</v>
      </c>
      <c r="I136" s="17">
        <v>19305</v>
      </c>
      <c r="J136" s="32">
        <f t="shared" si="19"/>
        <v>1.9304999999999999E-2</v>
      </c>
      <c r="K136" s="17">
        <v>0</v>
      </c>
      <c r="L136" s="17">
        <v>0</v>
      </c>
      <c r="M136" s="17">
        <f t="shared" si="20"/>
        <v>1.9304999999999999E-2</v>
      </c>
      <c r="N136" s="17">
        <v>4.446576E-2</v>
      </c>
      <c r="O136" s="17">
        <f t="shared" si="21"/>
        <v>0.66582774154594582</v>
      </c>
    </row>
    <row r="137" spans="1:15" x14ac:dyDescent="0.7">
      <c r="A137" s="4"/>
      <c r="B137" s="4"/>
      <c r="C137" s="15">
        <v>14</v>
      </c>
      <c r="D137" s="16">
        <v>8.4440000000000008</v>
      </c>
      <c r="E137" s="16">
        <v>2.7</v>
      </c>
      <c r="F137" s="31">
        <v>9.3446612095359303</v>
      </c>
      <c r="G137" s="17">
        <f t="shared" si="18"/>
        <v>807378.72850390442</v>
      </c>
      <c r="H137" s="17">
        <f t="shared" si="16"/>
        <v>0.80737872850390446</v>
      </c>
      <c r="I137" s="17">
        <v>15630</v>
      </c>
      <c r="J137" s="32">
        <f t="shared" si="19"/>
        <v>1.5630000000000002E-2</v>
      </c>
      <c r="K137" s="17">
        <v>4747</v>
      </c>
      <c r="L137" s="17">
        <f t="shared" si="17"/>
        <v>4.7470000000000004E-3</v>
      </c>
      <c r="M137" s="17">
        <f t="shared" si="20"/>
        <v>2.0377000000000003E-2</v>
      </c>
      <c r="N137" s="17">
        <v>4.446576E-2</v>
      </c>
      <c r="O137" s="17">
        <f t="shared" si="21"/>
        <v>0.74253596850390446</v>
      </c>
    </row>
    <row r="138" spans="1:15" x14ac:dyDescent="0.7">
      <c r="A138" s="4"/>
      <c r="B138" s="4"/>
      <c r="C138" s="15">
        <v>15</v>
      </c>
      <c r="D138" s="16">
        <v>8.1969999999999992</v>
      </c>
      <c r="E138" s="17">
        <v>0</v>
      </c>
      <c r="F138" s="31">
        <v>7.131798622461476</v>
      </c>
      <c r="G138" s="17">
        <f t="shared" si="18"/>
        <v>616187.40098067152</v>
      </c>
      <c r="H138" s="17">
        <f t="shared" si="16"/>
        <v>0.61618740098067148</v>
      </c>
      <c r="I138" s="17">
        <v>27379</v>
      </c>
      <c r="J138" s="32">
        <f t="shared" si="19"/>
        <v>2.7379000000000001E-2</v>
      </c>
      <c r="K138" s="17">
        <v>4336</v>
      </c>
      <c r="L138" s="17">
        <f t="shared" si="17"/>
        <v>4.3359999999999996E-3</v>
      </c>
      <c r="M138" s="17">
        <f t="shared" si="20"/>
        <v>3.1715E-2</v>
      </c>
      <c r="N138" s="17">
        <v>4.446576E-2</v>
      </c>
      <c r="O138" s="17">
        <f t="shared" si="21"/>
        <v>0.54000664098067142</v>
      </c>
    </row>
    <row r="139" spans="1:15" x14ac:dyDescent="0.7">
      <c r="A139" s="4"/>
      <c r="B139" s="4"/>
      <c r="C139" s="15">
        <v>16</v>
      </c>
      <c r="D139" s="16">
        <v>6.1479999999999997</v>
      </c>
      <c r="E139" s="17">
        <v>0</v>
      </c>
      <c r="F139" s="31">
        <v>6.4672187991234029</v>
      </c>
      <c r="G139" s="17">
        <f t="shared" si="18"/>
        <v>558767.70424426196</v>
      </c>
      <c r="H139" s="17">
        <f t="shared" si="16"/>
        <v>0.55876770424426192</v>
      </c>
      <c r="I139" s="17">
        <v>26973</v>
      </c>
      <c r="J139" s="32">
        <f t="shared" si="19"/>
        <v>2.6973E-2</v>
      </c>
      <c r="K139" s="17">
        <v>1756</v>
      </c>
      <c r="L139" s="17">
        <f t="shared" si="17"/>
        <v>1.756E-3</v>
      </c>
      <c r="M139" s="17">
        <f t="shared" si="20"/>
        <v>2.8729000000000001E-2</v>
      </c>
      <c r="N139" s="17">
        <v>0.17406576000000001</v>
      </c>
      <c r="O139" s="17">
        <f t="shared" si="21"/>
        <v>0.3559729442442619</v>
      </c>
    </row>
    <row r="140" spans="1:15" x14ac:dyDescent="0.7">
      <c r="A140" s="4"/>
      <c r="B140" s="4"/>
      <c r="C140" s="15">
        <v>17</v>
      </c>
      <c r="D140" s="16">
        <v>6.7949999999999999</v>
      </c>
      <c r="E140" s="17">
        <v>0</v>
      </c>
      <c r="F140" s="31">
        <v>6.3599233040911018</v>
      </c>
      <c r="G140" s="17">
        <f t="shared" si="18"/>
        <v>549497.37347347115</v>
      </c>
      <c r="H140" s="17">
        <f t="shared" si="16"/>
        <v>0.54949737347347116</v>
      </c>
      <c r="I140" s="17">
        <v>24821</v>
      </c>
      <c r="J140" s="32">
        <f t="shared" si="19"/>
        <v>2.4820999999999999E-2</v>
      </c>
      <c r="K140" s="17">
        <v>0</v>
      </c>
      <c r="L140" s="17">
        <v>0</v>
      </c>
      <c r="M140" s="17">
        <f t="shared" si="20"/>
        <v>2.4820999999999999E-2</v>
      </c>
      <c r="N140" s="17">
        <v>4.446576E-2</v>
      </c>
      <c r="O140" s="17">
        <f>H140-M140-N140</f>
        <v>0.48021061347347116</v>
      </c>
    </row>
    <row r="141" spans="1:15" x14ac:dyDescent="0.7">
      <c r="A141" s="4"/>
      <c r="B141" s="4"/>
      <c r="C141" s="15">
        <v>18</v>
      </c>
      <c r="D141" s="16">
        <v>5.8380000000000001</v>
      </c>
      <c r="E141" s="17">
        <v>0</v>
      </c>
      <c r="F141" s="31">
        <v>10.019255420058981</v>
      </c>
      <c r="G141" s="17">
        <f t="shared" si="18"/>
        <v>865663.66829309589</v>
      </c>
      <c r="H141" s="17">
        <f t="shared" si="16"/>
        <v>0.86566366829309593</v>
      </c>
      <c r="I141" s="17">
        <v>28151</v>
      </c>
      <c r="J141" s="32">
        <f t="shared" si="19"/>
        <v>2.8150999999999999E-2</v>
      </c>
      <c r="K141" s="17">
        <v>0</v>
      </c>
      <c r="L141" s="17">
        <v>0</v>
      </c>
      <c r="M141" s="17">
        <f t="shared" si="20"/>
        <v>2.8150999999999999E-2</v>
      </c>
      <c r="N141" s="17">
        <v>4.446576E-2</v>
      </c>
      <c r="O141" s="17">
        <f t="shared" si="21"/>
        <v>0.79304690829309588</v>
      </c>
    </row>
    <row r="142" spans="1:15" x14ac:dyDescent="0.7">
      <c r="A142" s="4"/>
      <c r="B142" s="4"/>
      <c r="C142" s="15">
        <v>19</v>
      </c>
      <c r="D142" s="16">
        <v>13.8</v>
      </c>
      <c r="E142" s="17">
        <v>0</v>
      </c>
      <c r="F142" s="31">
        <v>11.154309737246635</v>
      </c>
      <c r="G142" s="17">
        <f>F142*86400</f>
        <v>963732.36129810929</v>
      </c>
      <c r="H142" s="17">
        <f t="shared" si="16"/>
        <v>0.96373236129810924</v>
      </c>
      <c r="I142" s="17">
        <v>25967</v>
      </c>
      <c r="J142" s="32">
        <f t="shared" si="19"/>
        <v>2.5967E-2</v>
      </c>
      <c r="K142" s="17">
        <v>0</v>
      </c>
      <c r="L142" s="17">
        <v>0</v>
      </c>
      <c r="M142" s="17">
        <f t="shared" si="20"/>
        <v>2.5967E-2</v>
      </c>
      <c r="N142" s="17">
        <v>4.446576E-2</v>
      </c>
      <c r="O142" s="17">
        <f t="shared" si="21"/>
        <v>0.89329960129810926</v>
      </c>
    </row>
    <row r="143" spans="1:15" x14ac:dyDescent="0.7">
      <c r="A143" s="4"/>
      <c r="B143" s="4"/>
      <c r="C143" s="15">
        <v>20</v>
      </c>
      <c r="D143" s="16">
        <v>7.9530000000000003</v>
      </c>
      <c r="E143" s="17">
        <v>8.6999999999999993</v>
      </c>
      <c r="F143" s="31">
        <v>7.9528257119062902</v>
      </c>
      <c r="G143" s="17">
        <f t="shared" si="18"/>
        <v>687124.14150870347</v>
      </c>
      <c r="H143" s="17">
        <f t="shared" si="16"/>
        <v>0.68712414150870349</v>
      </c>
      <c r="I143" s="17">
        <v>21142</v>
      </c>
      <c r="J143" s="32">
        <f t="shared" si="19"/>
        <v>2.1142000000000001E-2</v>
      </c>
      <c r="K143" s="17">
        <v>3611</v>
      </c>
      <c r="L143" s="17">
        <f t="shared" si="17"/>
        <v>3.6110000000000001E-3</v>
      </c>
      <c r="M143" s="17">
        <f t="shared" si="20"/>
        <v>2.4753000000000001E-2</v>
      </c>
      <c r="N143" s="17">
        <v>4.446576E-2</v>
      </c>
      <c r="O143" s="17">
        <f t="shared" si="21"/>
        <v>0.61790538150870344</v>
      </c>
    </row>
    <row r="144" spans="1:15" x14ac:dyDescent="0.7">
      <c r="A144" s="4"/>
      <c r="B144" s="4"/>
      <c r="C144" s="15">
        <v>21</v>
      </c>
      <c r="D144" s="16">
        <v>7.9530000000000003</v>
      </c>
      <c r="E144" s="17">
        <v>0</v>
      </c>
      <c r="F144" s="31">
        <v>3.5856525718770369</v>
      </c>
      <c r="G144" s="17">
        <f t="shared" si="18"/>
        <v>309800.38221017597</v>
      </c>
      <c r="H144" s="17">
        <f t="shared" si="16"/>
        <v>0.30980038221017597</v>
      </c>
      <c r="I144" s="17">
        <v>16500</v>
      </c>
      <c r="J144" s="32">
        <f t="shared" si="19"/>
        <v>1.6500000000000001E-2</v>
      </c>
      <c r="K144" s="17">
        <v>4594</v>
      </c>
      <c r="L144" s="17">
        <f t="shared" si="17"/>
        <v>4.594E-3</v>
      </c>
      <c r="M144" s="17">
        <f t="shared" si="20"/>
        <v>2.1094000000000002E-2</v>
      </c>
      <c r="N144" s="17">
        <v>4.446576E-2</v>
      </c>
      <c r="O144" s="17">
        <f t="shared" si="21"/>
        <v>0.24424062221017598</v>
      </c>
    </row>
    <row r="145" spans="1:15" x14ac:dyDescent="0.7">
      <c r="A145" s="4"/>
      <c r="B145" s="4"/>
      <c r="C145" s="15">
        <v>22</v>
      </c>
      <c r="D145" s="16">
        <v>11.2</v>
      </c>
      <c r="E145" s="17">
        <v>19.100000000000001</v>
      </c>
      <c r="F145" s="17">
        <v>0</v>
      </c>
      <c r="G145" s="17">
        <v>0</v>
      </c>
      <c r="H145" s="17">
        <v>0</v>
      </c>
      <c r="I145" s="17">
        <v>22579</v>
      </c>
      <c r="J145" s="32">
        <f t="shared" si="19"/>
        <v>2.2578999999999998E-2</v>
      </c>
      <c r="K145" s="17">
        <v>4667</v>
      </c>
      <c r="L145" s="17">
        <f t="shared" si="17"/>
        <v>4.6670000000000001E-3</v>
      </c>
      <c r="M145" s="17">
        <f t="shared" si="20"/>
        <v>2.7245999999999999E-2</v>
      </c>
      <c r="N145" s="17">
        <v>4.446576E-2</v>
      </c>
      <c r="O145" s="17">
        <f>H145-M145-N145</f>
        <v>-7.1711759999999999E-2</v>
      </c>
    </row>
    <row r="146" spans="1:15" x14ac:dyDescent="0.7">
      <c r="A146" s="4"/>
      <c r="B146" s="4"/>
      <c r="C146" s="15">
        <v>23</v>
      </c>
      <c r="D146" s="16">
        <v>13.675000000000001</v>
      </c>
      <c r="E146" s="17">
        <v>0</v>
      </c>
      <c r="F146" s="17">
        <v>0</v>
      </c>
      <c r="G146" s="17">
        <v>0</v>
      </c>
      <c r="H146" s="17">
        <v>0</v>
      </c>
      <c r="I146" s="17">
        <v>41698</v>
      </c>
      <c r="J146" s="32">
        <f t="shared" si="19"/>
        <v>4.1697999999999999E-2</v>
      </c>
      <c r="K146" s="17">
        <v>4013</v>
      </c>
      <c r="L146" s="17">
        <f t="shared" si="17"/>
        <v>4.0130000000000001E-3</v>
      </c>
      <c r="M146" s="17">
        <f t="shared" si="20"/>
        <v>4.5711000000000002E-2</v>
      </c>
      <c r="N146" s="17">
        <v>2.0045E-2</v>
      </c>
      <c r="O146" s="17">
        <f t="shared" si="21"/>
        <v>-6.5756000000000009E-2</v>
      </c>
    </row>
    <row r="147" spans="1:15" x14ac:dyDescent="0.7">
      <c r="A147" s="4"/>
      <c r="B147" s="4"/>
      <c r="C147" s="15">
        <v>24</v>
      </c>
      <c r="D147" s="16">
        <v>10.17</v>
      </c>
      <c r="E147" s="17">
        <v>6.7</v>
      </c>
      <c r="F147" s="17">
        <v>0</v>
      </c>
      <c r="G147" s="17">
        <v>0</v>
      </c>
      <c r="H147" s="17">
        <v>0</v>
      </c>
      <c r="I147" s="17">
        <v>34944</v>
      </c>
      <c r="J147" s="32">
        <f t="shared" si="19"/>
        <v>3.4944000000000003E-2</v>
      </c>
      <c r="K147" s="17">
        <v>4526</v>
      </c>
      <c r="L147" s="17">
        <f t="shared" si="17"/>
        <v>4.5259999999999996E-3</v>
      </c>
      <c r="M147" s="17">
        <f t="shared" si="20"/>
        <v>3.9470000000000005E-2</v>
      </c>
      <c r="N147" s="17">
        <v>2.0045E-2</v>
      </c>
      <c r="O147" s="17">
        <f>H147-M147-N147</f>
        <v>-5.9515000000000005E-2</v>
      </c>
    </row>
    <row r="148" spans="1:15" x14ac:dyDescent="0.7">
      <c r="A148" s="4"/>
      <c r="B148" s="4"/>
      <c r="C148" s="15">
        <v>25</v>
      </c>
      <c r="D148" s="16">
        <v>16.652999999999999</v>
      </c>
      <c r="E148" s="17">
        <v>27.2</v>
      </c>
      <c r="F148" s="17">
        <v>0</v>
      </c>
      <c r="G148" s="17">
        <v>0</v>
      </c>
      <c r="H148" s="17">
        <v>0</v>
      </c>
      <c r="I148" s="17">
        <v>15972</v>
      </c>
      <c r="J148" s="32">
        <f t="shared" si="19"/>
        <v>1.5972E-2</v>
      </c>
      <c r="K148" s="17">
        <v>1539</v>
      </c>
      <c r="L148" s="17">
        <f t="shared" si="17"/>
        <v>1.539E-3</v>
      </c>
      <c r="M148" s="17">
        <f t="shared" si="20"/>
        <v>1.7510999999999999E-2</v>
      </c>
      <c r="N148" s="17">
        <v>2.0045E-2</v>
      </c>
      <c r="O148" s="17">
        <f t="shared" si="21"/>
        <v>-3.7555999999999999E-2</v>
      </c>
    </row>
    <row r="149" spans="1:15" x14ac:dyDescent="0.7">
      <c r="A149" s="4"/>
      <c r="B149" s="4"/>
      <c r="C149" s="15">
        <v>26</v>
      </c>
      <c r="D149" s="16">
        <v>15.542999999999999</v>
      </c>
      <c r="E149" s="17">
        <v>3.1</v>
      </c>
      <c r="F149" s="17">
        <v>0</v>
      </c>
      <c r="G149" s="17">
        <v>0</v>
      </c>
      <c r="H149" s="17">
        <v>0</v>
      </c>
      <c r="I149" s="17">
        <v>15840</v>
      </c>
      <c r="J149" s="32">
        <f t="shared" si="19"/>
        <v>1.584E-2</v>
      </c>
      <c r="K149" s="40">
        <v>0</v>
      </c>
      <c r="L149" s="40">
        <v>0</v>
      </c>
      <c r="M149" s="17">
        <f t="shared" si="20"/>
        <v>1.584E-2</v>
      </c>
      <c r="N149" s="17">
        <v>2.0045E-2</v>
      </c>
      <c r="O149" s="17">
        <f t="shared" si="21"/>
        <v>-3.5885E-2</v>
      </c>
    </row>
    <row r="150" spans="1:15" x14ac:dyDescent="0.7">
      <c r="A150" s="4"/>
      <c r="B150" s="4"/>
      <c r="C150" s="15">
        <v>27</v>
      </c>
      <c r="D150" s="16">
        <v>5.8380000000000001</v>
      </c>
      <c r="E150" s="17">
        <v>1.5</v>
      </c>
      <c r="F150" s="31">
        <v>9.4774602640462078</v>
      </c>
      <c r="G150" s="17">
        <f t="shared" si="18"/>
        <v>818852.56681359233</v>
      </c>
      <c r="H150" s="17">
        <f t="shared" si="16"/>
        <v>0.81885256681359231</v>
      </c>
      <c r="I150" s="17">
        <v>13162</v>
      </c>
      <c r="J150" s="32">
        <f t="shared" si="19"/>
        <v>1.3162E-2</v>
      </c>
      <c r="K150" s="40">
        <v>0</v>
      </c>
      <c r="L150" s="40">
        <v>0</v>
      </c>
      <c r="M150" s="17">
        <f t="shared" si="20"/>
        <v>1.3162E-2</v>
      </c>
      <c r="N150" s="17">
        <v>2.0045E-2</v>
      </c>
      <c r="O150" s="17">
        <f t="shared" si="21"/>
        <v>0.78564556681359232</v>
      </c>
    </row>
    <row r="151" spans="1:15" x14ac:dyDescent="0.7">
      <c r="A151" s="4"/>
      <c r="B151" s="4"/>
      <c r="C151" s="15">
        <v>28</v>
      </c>
      <c r="D151" s="16">
        <v>10.721</v>
      </c>
      <c r="E151" s="16">
        <v>0.6</v>
      </c>
      <c r="F151" s="31">
        <v>5.4381710090094169</v>
      </c>
      <c r="G151" s="17">
        <f t="shared" si="18"/>
        <v>469857.97517841362</v>
      </c>
      <c r="H151" s="17">
        <f t="shared" si="16"/>
        <v>0.4698579751784136</v>
      </c>
      <c r="I151" s="17">
        <v>16334</v>
      </c>
      <c r="J151" s="32">
        <f t="shared" si="19"/>
        <v>1.6334000000000001E-2</v>
      </c>
      <c r="K151" s="40">
        <v>0</v>
      </c>
      <c r="L151" s="40">
        <v>0</v>
      </c>
      <c r="M151" s="17">
        <f t="shared" si="20"/>
        <v>1.6334000000000001E-2</v>
      </c>
      <c r="N151" s="17">
        <v>2.5919999999999999E-2</v>
      </c>
      <c r="O151" s="17">
        <f t="shared" si="21"/>
        <v>0.42760397517841359</v>
      </c>
    </row>
    <row r="152" spans="1:15" x14ac:dyDescent="0.7">
      <c r="A152" s="4"/>
      <c r="B152" s="4"/>
      <c r="C152" s="15">
        <v>29</v>
      </c>
      <c r="D152" s="16">
        <v>10.396000000000001</v>
      </c>
      <c r="E152" s="17">
        <v>0</v>
      </c>
      <c r="F152" s="17">
        <v>0</v>
      </c>
      <c r="G152" s="17">
        <v>0</v>
      </c>
      <c r="H152" s="17">
        <v>0</v>
      </c>
      <c r="I152" s="17">
        <v>14109</v>
      </c>
      <c r="J152" s="32">
        <f>I152/1000000</f>
        <v>1.4109E-2</v>
      </c>
      <c r="K152" s="40">
        <v>0</v>
      </c>
      <c r="L152" s="40">
        <v>0</v>
      </c>
      <c r="M152" s="17">
        <f>J152+L152</f>
        <v>1.4109E-2</v>
      </c>
      <c r="N152" s="17">
        <v>2.5919999999999999E-2</v>
      </c>
      <c r="O152" s="17">
        <f t="shared" si="21"/>
        <v>-4.0028999999999995E-2</v>
      </c>
    </row>
    <row r="153" spans="1:15" x14ac:dyDescent="0.7">
      <c r="A153" s="4"/>
      <c r="B153" s="4"/>
      <c r="C153" s="15">
        <v>30</v>
      </c>
      <c r="D153" s="16">
        <v>9.3789999999999996</v>
      </c>
      <c r="E153" s="17">
        <v>0</v>
      </c>
      <c r="F153" s="17">
        <v>0</v>
      </c>
      <c r="G153" s="17">
        <v>0</v>
      </c>
      <c r="H153" s="17">
        <v>0</v>
      </c>
      <c r="I153" s="17">
        <v>18497</v>
      </c>
      <c r="J153" s="32">
        <f>I153/1000000</f>
        <v>1.8497E-2</v>
      </c>
      <c r="K153" s="40">
        <v>0</v>
      </c>
      <c r="L153" s="40">
        <v>0</v>
      </c>
      <c r="M153" s="17">
        <f>J153+L153</f>
        <v>1.8497E-2</v>
      </c>
      <c r="N153" s="17">
        <v>2.0045E-2</v>
      </c>
      <c r="O153" s="17">
        <f>H153-M153-N153</f>
        <v>-3.8542E-2</v>
      </c>
    </row>
    <row r="154" spans="1:15" s="10" customFormat="1" ht="25.2" thickBot="1" x14ac:dyDescent="0.75">
      <c r="A154" s="6"/>
      <c r="B154" s="6" t="s">
        <v>19</v>
      </c>
      <c r="C154" s="21">
        <v>31</v>
      </c>
      <c r="D154" s="22">
        <v>8.1029999999999998</v>
      </c>
      <c r="E154" s="23">
        <v>0</v>
      </c>
      <c r="F154" s="23">
        <v>0</v>
      </c>
      <c r="G154" s="23">
        <v>0</v>
      </c>
      <c r="H154" s="23">
        <v>0</v>
      </c>
      <c r="I154" s="23">
        <v>17073</v>
      </c>
      <c r="J154" s="36">
        <f>I154/1000000</f>
        <v>1.7073000000000001E-2</v>
      </c>
      <c r="K154" s="41">
        <v>0</v>
      </c>
      <c r="L154" s="41">
        <v>0</v>
      </c>
      <c r="M154" s="23">
        <f>J154+L154</f>
        <v>1.7073000000000001E-2</v>
      </c>
      <c r="N154" s="23">
        <v>2.0045E-2</v>
      </c>
      <c r="O154" s="23">
        <f t="shared" si="21"/>
        <v>-3.7117999999999998E-2</v>
      </c>
    </row>
    <row r="155" spans="1:15" x14ac:dyDescent="0.7">
      <c r="A155" s="2"/>
      <c r="B155" s="2" t="s">
        <v>20</v>
      </c>
      <c r="C155" s="19">
        <v>1</v>
      </c>
      <c r="D155" s="20">
        <v>7.048</v>
      </c>
      <c r="E155" s="20">
        <v>3.7</v>
      </c>
      <c r="F155" s="24">
        <v>0</v>
      </c>
      <c r="G155" s="24">
        <v>0</v>
      </c>
      <c r="H155" s="24">
        <v>0</v>
      </c>
      <c r="I155" s="24">
        <v>16721</v>
      </c>
      <c r="J155" s="30">
        <f t="shared" ref="J155:J160" si="22">I155/1000000</f>
        <v>1.6721E-2</v>
      </c>
      <c r="K155" s="42">
        <v>0</v>
      </c>
      <c r="L155" s="42">
        <v>0</v>
      </c>
      <c r="M155" s="24">
        <f t="shared" ref="M155:M158" si="23">J155+L155</f>
        <v>1.6721E-2</v>
      </c>
      <c r="N155" s="24">
        <v>2.0044800000000002E-2</v>
      </c>
      <c r="O155" s="24">
        <f t="shared" si="21"/>
        <v>-3.6765800000000001E-2</v>
      </c>
    </row>
    <row r="156" spans="1:15" x14ac:dyDescent="0.7">
      <c r="A156" s="4"/>
      <c r="B156" s="4"/>
      <c r="C156" s="15">
        <v>2</v>
      </c>
      <c r="D156" s="16">
        <v>13.532</v>
      </c>
      <c r="E156" s="16">
        <v>18.7</v>
      </c>
      <c r="F156" s="17">
        <v>0</v>
      </c>
      <c r="G156" s="17">
        <v>0</v>
      </c>
      <c r="H156" s="17">
        <v>0</v>
      </c>
      <c r="I156" s="17">
        <v>15110</v>
      </c>
      <c r="J156" s="32">
        <f t="shared" si="22"/>
        <v>1.511E-2</v>
      </c>
      <c r="K156" s="40">
        <v>0</v>
      </c>
      <c r="L156" s="40">
        <v>0</v>
      </c>
      <c r="M156" s="17">
        <f t="shared" si="23"/>
        <v>1.511E-2</v>
      </c>
      <c r="N156" s="17">
        <v>2.0044800000000002E-2</v>
      </c>
      <c r="O156" s="17">
        <f t="shared" si="21"/>
        <v>-3.51548E-2</v>
      </c>
    </row>
    <row r="157" spans="1:15" x14ac:dyDescent="0.7">
      <c r="A157" s="4"/>
      <c r="B157" s="4"/>
      <c r="C157" s="15">
        <v>3</v>
      </c>
      <c r="D157" s="16">
        <v>11.528</v>
      </c>
      <c r="E157" s="16">
        <v>9.4</v>
      </c>
      <c r="F157" s="17">
        <v>0</v>
      </c>
      <c r="G157" s="17">
        <v>0</v>
      </c>
      <c r="H157" s="17">
        <v>0</v>
      </c>
      <c r="I157" s="17">
        <v>19152</v>
      </c>
      <c r="J157" s="32">
        <f t="shared" si="22"/>
        <v>1.9151999999999999E-2</v>
      </c>
      <c r="K157" s="40">
        <v>0</v>
      </c>
      <c r="L157" s="40">
        <v>0</v>
      </c>
      <c r="M157" s="17">
        <f t="shared" si="23"/>
        <v>1.9151999999999999E-2</v>
      </c>
      <c r="N157" s="17">
        <v>2.0044800000000002E-2</v>
      </c>
      <c r="O157" s="17">
        <f t="shared" si="21"/>
        <v>-3.9196800000000004E-2</v>
      </c>
    </row>
    <row r="158" spans="1:15" x14ac:dyDescent="0.7">
      <c r="A158" s="4"/>
      <c r="B158" s="4"/>
      <c r="C158" s="15">
        <v>4</v>
      </c>
      <c r="D158" s="16">
        <v>9.31</v>
      </c>
      <c r="E158" s="17">
        <v>5.6</v>
      </c>
      <c r="F158" s="17">
        <v>0</v>
      </c>
      <c r="G158" s="17">
        <v>0</v>
      </c>
      <c r="H158" s="17">
        <v>0</v>
      </c>
      <c r="I158" s="17">
        <v>16304</v>
      </c>
      <c r="J158" s="32">
        <f t="shared" si="22"/>
        <v>1.6303999999999999E-2</v>
      </c>
      <c r="K158" s="40">
        <v>0</v>
      </c>
      <c r="L158" s="40">
        <v>0</v>
      </c>
      <c r="M158" s="17">
        <f t="shared" si="23"/>
        <v>1.6303999999999999E-2</v>
      </c>
      <c r="N158" s="17">
        <v>2.0044800000000002E-2</v>
      </c>
      <c r="O158" s="17">
        <f t="shared" si="21"/>
        <v>-3.6348800000000001E-2</v>
      </c>
    </row>
    <row r="159" spans="1:15" x14ac:dyDescent="0.7">
      <c r="A159" s="4"/>
      <c r="B159" s="4"/>
      <c r="C159" s="15">
        <v>5</v>
      </c>
      <c r="D159" s="16">
        <v>10.805999999999999</v>
      </c>
      <c r="E159" s="17">
        <v>0</v>
      </c>
      <c r="F159" s="17">
        <v>0</v>
      </c>
      <c r="G159" s="17">
        <v>0</v>
      </c>
      <c r="H159" s="17">
        <v>0</v>
      </c>
      <c r="I159" s="17">
        <v>13427</v>
      </c>
      <c r="J159" s="32">
        <f t="shared" si="22"/>
        <v>1.3427E-2</v>
      </c>
      <c r="K159" s="40">
        <v>0</v>
      </c>
      <c r="L159" s="40">
        <v>0</v>
      </c>
      <c r="M159" s="40">
        <v>0</v>
      </c>
      <c r="N159" s="17">
        <v>2.0044800000000002E-2</v>
      </c>
      <c r="O159" s="17">
        <v>0</v>
      </c>
    </row>
    <row r="160" spans="1:15" x14ac:dyDescent="0.7">
      <c r="A160" s="4"/>
      <c r="B160" s="4"/>
      <c r="C160" s="15">
        <v>6</v>
      </c>
      <c r="D160" s="16">
        <v>8.5280000000000005</v>
      </c>
      <c r="E160" s="17">
        <v>2.7</v>
      </c>
      <c r="F160" s="17">
        <v>0</v>
      </c>
      <c r="G160" s="17">
        <v>0</v>
      </c>
      <c r="H160" s="17">
        <v>0</v>
      </c>
      <c r="I160" s="17">
        <v>15181</v>
      </c>
      <c r="J160" s="32">
        <f t="shared" si="22"/>
        <v>1.5181E-2</v>
      </c>
      <c r="K160" s="40">
        <v>0</v>
      </c>
      <c r="L160" s="40">
        <v>0</v>
      </c>
      <c r="M160" s="40">
        <v>0</v>
      </c>
      <c r="N160" s="17">
        <v>2.0044800000000002E-2</v>
      </c>
      <c r="O160" s="17">
        <v>0</v>
      </c>
    </row>
    <row r="161" spans="1:15" x14ac:dyDescent="0.7">
      <c r="A161" s="4"/>
      <c r="B161" s="4"/>
      <c r="C161" s="15">
        <v>7</v>
      </c>
      <c r="D161" s="16">
        <v>16.751000000000001</v>
      </c>
      <c r="E161" s="17">
        <v>2.4</v>
      </c>
      <c r="F161" s="17">
        <v>0</v>
      </c>
      <c r="G161" s="17">
        <v>0</v>
      </c>
      <c r="H161" s="17">
        <v>0</v>
      </c>
      <c r="I161" s="17">
        <v>14557</v>
      </c>
      <c r="J161" s="32">
        <f>I161/1000000</f>
        <v>1.4557E-2</v>
      </c>
      <c r="K161" s="40">
        <v>0</v>
      </c>
      <c r="L161" s="40">
        <v>0</v>
      </c>
      <c r="M161" s="40">
        <v>0</v>
      </c>
      <c r="N161" s="17">
        <v>2.0044800000000002E-2</v>
      </c>
      <c r="O161" s="17">
        <v>0</v>
      </c>
    </row>
    <row r="162" spans="1:15" x14ac:dyDescent="0.7">
      <c r="A162" s="4"/>
      <c r="B162" s="4"/>
      <c r="C162" s="15">
        <v>8</v>
      </c>
      <c r="D162" s="16">
        <v>15.715</v>
      </c>
      <c r="E162" s="17">
        <v>16.2</v>
      </c>
      <c r="F162" s="17">
        <v>0</v>
      </c>
      <c r="G162" s="17">
        <v>0</v>
      </c>
      <c r="H162" s="17">
        <v>0</v>
      </c>
      <c r="I162" s="17">
        <v>16116</v>
      </c>
      <c r="J162" s="32">
        <f t="shared" ref="J162:J225" si="24">I162/1000000</f>
        <v>1.6115999999999998E-2</v>
      </c>
      <c r="K162" s="40">
        <v>0</v>
      </c>
      <c r="L162" s="40">
        <v>0</v>
      </c>
      <c r="M162" s="40">
        <v>0</v>
      </c>
      <c r="N162" s="17">
        <v>2.0044800000000002E-2</v>
      </c>
      <c r="O162" s="17">
        <v>0</v>
      </c>
    </row>
    <row r="163" spans="1:15" x14ac:dyDescent="0.7">
      <c r="A163" s="4"/>
      <c r="B163" s="4"/>
      <c r="C163" s="15">
        <v>9</v>
      </c>
      <c r="D163" s="16">
        <v>13.742000000000001</v>
      </c>
      <c r="E163" s="17">
        <v>2.2999999999999998</v>
      </c>
      <c r="F163" s="17">
        <v>0</v>
      </c>
      <c r="G163" s="17">
        <v>0</v>
      </c>
      <c r="H163" s="17">
        <v>0</v>
      </c>
      <c r="I163" s="33">
        <v>17270</v>
      </c>
      <c r="J163" s="32">
        <f t="shared" si="24"/>
        <v>1.7270000000000001E-2</v>
      </c>
      <c r="K163" s="40">
        <v>0</v>
      </c>
      <c r="L163" s="40">
        <v>0</v>
      </c>
      <c r="M163" s="40">
        <v>0</v>
      </c>
      <c r="N163" s="17">
        <v>2.0044800000000002E-2</v>
      </c>
      <c r="O163" s="17">
        <v>0</v>
      </c>
    </row>
    <row r="164" spans="1:15" x14ac:dyDescent="0.7">
      <c r="A164" s="4"/>
      <c r="B164" s="4"/>
      <c r="C164" s="15">
        <v>10</v>
      </c>
      <c r="D164" s="16">
        <v>9.4689999999999994</v>
      </c>
      <c r="E164" s="17">
        <v>0</v>
      </c>
      <c r="F164" s="17">
        <v>0</v>
      </c>
      <c r="G164" s="17">
        <v>0</v>
      </c>
      <c r="H164" s="17">
        <v>0</v>
      </c>
      <c r="I164" s="33">
        <v>15437</v>
      </c>
      <c r="J164" s="32">
        <f t="shared" si="24"/>
        <v>1.5436999999999999E-2</v>
      </c>
      <c r="K164" s="40">
        <v>0</v>
      </c>
      <c r="L164" s="40">
        <v>0</v>
      </c>
      <c r="M164" s="40">
        <v>0</v>
      </c>
      <c r="N164" s="17">
        <v>2.0044800000000002E-2</v>
      </c>
      <c r="O164" s="17">
        <v>0</v>
      </c>
    </row>
    <row r="165" spans="1:15" x14ac:dyDescent="0.7">
      <c r="A165" s="4"/>
      <c r="B165" s="4"/>
      <c r="C165" s="15">
        <v>11</v>
      </c>
      <c r="D165" s="16">
        <v>14.565</v>
      </c>
      <c r="E165" s="17">
        <v>5.6</v>
      </c>
      <c r="F165" s="17">
        <v>0</v>
      </c>
      <c r="G165" s="17">
        <v>0</v>
      </c>
      <c r="H165" s="17">
        <v>0</v>
      </c>
      <c r="I165" s="33">
        <v>15052</v>
      </c>
      <c r="J165" s="32">
        <f t="shared" si="24"/>
        <v>1.5051999999999999E-2</v>
      </c>
      <c r="K165" s="40">
        <v>0</v>
      </c>
      <c r="L165" s="40">
        <v>0</v>
      </c>
      <c r="M165" s="40">
        <v>0</v>
      </c>
      <c r="N165" s="17">
        <v>2.0044800000000002E-2</v>
      </c>
      <c r="O165" s="17">
        <v>0</v>
      </c>
    </row>
    <row r="166" spans="1:15" x14ac:dyDescent="0.7">
      <c r="A166" s="4"/>
      <c r="B166" s="4"/>
      <c r="C166" s="15">
        <v>12</v>
      </c>
      <c r="D166" s="16">
        <v>19.786999999999999</v>
      </c>
      <c r="E166" s="17">
        <v>19.7</v>
      </c>
      <c r="F166" s="17">
        <v>0</v>
      </c>
      <c r="G166" s="17">
        <v>0</v>
      </c>
      <c r="H166" s="17">
        <v>0</v>
      </c>
      <c r="I166" s="33">
        <v>17946</v>
      </c>
      <c r="J166" s="32">
        <f t="shared" si="24"/>
        <v>1.7946E-2</v>
      </c>
      <c r="K166" s="40">
        <v>0</v>
      </c>
      <c r="L166" s="40">
        <v>0</v>
      </c>
      <c r="M166" s="40">
        <v>0</v>
      </c>
      <c r="N166" s="17">
        <v>2.0044800000000002E-2</v>
      </c>
      <c r="O166" s="17">
        <v>0</v>
      </c>
    </row>
    <row r="167" spans="1:15" x14ac:dyDescent="0.7">
      <c r="A167" s="4"/>
      <c r="B167" s="4"/>
      <c r="C167" s="15">
        <v>13</v>
      </c>
      <c r="D167" s="16">
        <v>19.213000000000001</v>
      </c>
      <c r="E167" s="17">
        <v>7.7</v>
      </c>
      <c r="F167" s="17">
        <v>0</v>
      </c>
      <c r="G167" s="17">
        <v>0</v>
      </c>
      <c r="H167" s="17">
        <v>0</v>
      </c>
      <c r="I167" s="33">
        <v>22441</v>
      </c>
      <c r="J167" s="32">
        <f t="shared" si="24"/>
        <v>2.2440999999999999E-2</v>
      </c>
      <c r="K167" s="40">
        <v>0</v>
      </c>
      <c r="L167" s="40">
        <v>0</v>
      </c>
      <c r="M167" s="40">
        <v>0</v>
      </c>
      <c r="N167" s="17">
        <v>2.0044800000000002E-2</v>
      </c>
      <c r="O167" s="17">
        <v>0</v>
      </c>
    </row>
    <row r="168" spans="1:15" x14ac:dyDescent="0.7">
      <c r="A168" s="4"/>
      <c r="B168" s="4"/>
      <c r="C168" s="15">
        <v>14</v>
      </c>
      <c r="D168" s="16">
        <v>16.338999999999999</v>
      </c>
      <c r="E168" s="17">
        <v>0</v>
      </c>
      <c r="F168" s="17">
        <v>0</v>
      </c>
      <c r="G168" s="17">
        <v>0</v>
      </c>
      <c r="H168" s="17">
        <v>0</v>
      </c>
      <c r="I168" s="33">
        <v>19758</v>
      </c>
      <c r="J168" s="32">
        <f t="shared" si="24"/>
        <v>1.9758000000000001E-2</v>
      </c>
      <c r="K168" s="40">
        <v>0</v>
      </c>
      <c r="L168" s="40">
        <v>0</v>
      </c>
      <c r="M168" s="40">
        <v>0</v>
      </c>
      <c r="N168" s="17">
        <v>2.0044800000000002E-2</v>
      </c>
      <c r="O168" s="17">
        <v>0</v>
      </c>
    </row>
    <row r="169" spans="1:15" x14ac:dyDescent="0.7">
      <c r="A169" s="4"/>
      <c r="B169" s="4"/>
      <c r="C169" s="15">
        <v>15</v>
      </c>
      <c r="D169" s="16">
        <v>15.116</v>
      </c>
      <c r="E169" s="17">
        <v>1</v>
      </c>
      <c r="F169" s="17">
        <v>0</v>
      </c>
      <c r="G169" s="17">
        <v>0</v>
      </c>
      <c r="H169" s="17">
        <v>0</v>
      </c>
      <c r="I169" s="33">
        <v>14567</v>
      </c>
      <c r="J169" s="32">
        <f t="shared" si="24"/>
        <v>1.4567E-2</v>
      </c>
      <c r="K169" s="40">
        <v>0</v>
      </c>
      <c r="L169" s="40">
        <v>0</v>
      </c>
      <c r="M169" s="40">
        <v>0</v>
      </c>
      <c r="N169" s="17">
        <v>2.0045E-2</v>
      </c>
      <c r="O169" s="17">
        <v>0</v>
      </c>
    </row>
    <row r="170" spans="1:15" x14ac:dyDescent="0.7">
      <c r="A170" s="4"/>
      <c r="B170" s="4"/>
      <c r="C170" s="15">
        <v>16</v>
      </c>
      <c r="D170" s="16">
        <v>17.309000000000001</v>
      </c>
      <c r="E170" s="17">
        <v>0</v>
      </c>
      <c r="F170" s="17">
        <v>0</v>
      </c>
      <c r="G170" s="17">
        <v>0</v>
      </c>
      <c r="H170" s="17">
        <v>0</v>
      </c>
      <c r="I170" s="17">
        <v>14752</v>
      </c>
      <c r="J170" s="32">
        <f t="shared" si="24"/>
        <v>1.4751999999999999E-2</v>
      </c>
      <c r="K170" s="40">
        <v>0</v>
      </c>
      <c r="L170" s="40">
        <v>0</v>
      </c>
      <c r="M170" s="40">
        <v>0</v>
      </c>
      <c r="N170" s="17">
        <v>2.0045E-2</v>
      </c>
      <c r="O170" s="17">
        <v>0</v>
      </c>
    </row>
    <row r="171" spans="1:15" x14ac:dyDescent="0.7">
      <c r="A171" s="4"/>
      <c r="B171" s="4"/>
      <c r="C171" s="15">
        <v>17</v>
      </c>
      <c r="D171" s="16">
        <v>12.773999999999999</v>
      </c>
      <c r="E171" s="17">
        <v>0</v>
      </c>
      <c r="F171" s="17">
        <v>0</v>
      </c>
      <c r="G171" s="17">
        <v>0</v>
      </c>
      <c r="H171" s="17">
        <v>0</v>
      </c>
      <c r="I171" s="17">
        <v>14995</v>
      </c>
      <c r="J171" s="32">
        <f t="shared" si="24"/>
        <v>1.4995E-2</v>
      </c>
      <c r="K171" s="40">
        <v>0</v>
      </c>
      <c r="L171" s="40">
        <v>0</v>
      </c>
      <c r="M171" s="40">
        <v>0</v>
      </c>
      <c r="N171" s="17">
        <v>2.0045E-2</v>
      </c>
      <c r="O171" s="17">
        <v>0</v>
      </c>
    </row>
    <row r="172" spans="1:15" x14ac:dyDescent="0.7">
      <c r="A172" s="4"/>
      <c r="B172" s="4"/>
      <c r="C172" s="15">
        <v>18</v>
      </c>
      <c r="D172" s="16">
        <v>10.186999999999999</v>
      </c>
      <c r="E172" s="17">
        <v>1</v>
      </c>
      <c r="F172" s="17">
        <v>0</v>
      </c>
      <c r="G172" s="17">
        <v>0</v>
      </c>
      <c r="H172" s="17">
        <v>0</v>
      </c>
      <c r="I172" s="17">
        <v>22758</v>
      </c>
      <c r="J172" s="32">
        <f t="shared" si="24"/>
        <v>2.2758E-2</v>
      </c>
      <c r="K172" s="40">
        <v>0</v>
      </c>
      <c r="L172" s="40">
        <v>0</v>
      </c>
      <c r="M172" s="40">
        <v>0</v>
      </c>
      <c r="N172" s="17">
        <v>2.0045E-2</v>
      </c>
      <c r="O172" s="17">
        <v>0</v>
      </c>
    </row>
    <row r="173" spans="1:15" x14ac:dyDescent="0.7">
      <c r="A173" s="4"/>
      <c r="B173" s="4"/>
      <c r="C173" s="15">
        <v>19</v>
      </c>
      <c r="D173" s="16">
        <v>12.964</v>
      </c>
      <c r="E173" s="17">
        <v>6.7</v>
      </c>
      <c r="F173" s="17">
        <v>0</v>
      </c>
      <c r="G173" s="17">
        <v>0</v>
      </c>
      <c r="H173" s="17">
        <v>0</v>
      </c>
      <c r="I173" s="17">
        <v>37884</v>
      </c>
      <c r="J173" s="32">
        <f t="shared" si="24"/>
        <v>3.7884000000000001E-2</v>
      </c>
      <c r="K173" s="40">
        <v>0</v>
      </c>
      <c r="L173" s="40">
        <v>0</v>
      </c>
      <c r="M173" s="40">
        <v>0</v>
      </c>
      <c r="N173" s="17">
        <v>2.0045E-2</v>
      </c>
      <c r="O173" s="17">
        <v>0</v>
      </c>
    </row>
    <row r="174" spans="1:15" x14ac:dyDescent="0.7">
      <c r="A174" s="4"/>
      <c r="B174" s="4"/>
      <c r="C174" s="15">
        <v>20</v>
      </c>
      <c r="D174" s="16">
        <v>9.8010000000000002</v>
      </c>
      <c r="E174" s="17">
        <v>0</v>
      </c>
      <c r="F174" s="17">
        <v>0</v>
      </c>
      <c r="G174" s="17">
        <v>0</v>
      </c>
      <c r="H174" s="17">
        <v>0</v>
      </c>
      <c r="I174" s="34">
        <v>35398</v>
      </c>
      <c r="J174" s="32">
        <f t="shared" si="24"/>
        <v>3.5397999999999999E-2</v>
      </c>
      <c r="K174" s="40">
        <v>0</v>
      </c>
      <c r="L174" s="40">
        <v>0</v>
      </c>
      <c r="M174" s="40">
        <v>0</v>
      </c>
      <c r="N174" s="17">
        <v>2.0045E-2</v>
      </c>
      <c r="O174" s="17">
        <v>0</v>
      </c>
    </row>
    <row r="175" spans="1:15" x14ac:dyDescent="0.7">
      <c r="A175" s="4"/>
      <c r="B175" s="4"/>
      <c r="C175" s="15">
        <v>21</v>
      </c>
      <c r="D175" s="16">
        <v>9.8010000000000002</v>
      </c>
      <c r="E175" s="17">
        <v>14.2</v>
      </c>
      <c r="F175" s="17">
        <v>0</v>
      </c>
      <c r="G175" s="17">
        <v>0</v>
      </c>
      <c r="H175" s="17">
        <v>0</v>
      </c>
      <c r="I175" s="33">
        <v>42350</v>
      </c>
      <c r="J175" s="43">
        <f t="shared" si="24"/>
        <v>4.2349999999999999E-2</v>
      </c>
      <c r="K175" s="40">
        <v>0</v>
      </c>
      <c r="L175" s="40">
        <v>0</v>
      </c>
      <c r="M175" s="40">
        <v>0</v>
      </c>
      <c r="N175" s="33">
        <v>2.0045E-2</v>
      </c>
      <c r="O175" s="17">
        <v>0</v>
      </c>
    </row>
    <row r="176" spans="1:15" x14ac:dyDescent="0.7">
      <c r="A176" s="4"/>
      <c r="B176" s="4"/>
      <c r="C176" s="15">
        <v>22</v>
      </c>
      <c r="D176" s="16">
        <v>14.195</v>
      </c>
      <c r="E176" s="17">
        <v>0</v>
      </c>
      <c r="F176" s="17">
        <v>0</v>
      </c>
      <c r="G176" s="17">
        <v>0</v>
      </c>
      <c r="H176" s="17">
        <v>0</v>
      </c>
      <c r="I176" s="33">
        <v>38676</v>
      </c>
      <c r="J176" s="43">
        <f t="shared" si="24"/>
        <v>3.8676000000000002E-2</v>
      </c>
      <c r="K176" s="40">
        <v>0</v>
      </c>
      <c r="L176" s="40">
        <v>0</v>
      </c>
      <c r="M176" s="40">
        <v>0</v>
      </c>
      <c r="N176" s="33">
        <v>2.0045E-2</v>
      </c>
      <c r="O176" s="17">
        <v>0</v>
      </c>
    </row>
    <row r="177" spans="1:15" x14ac:dyDescent="0.7">
      <c r="A177" s="4"/>
      <c r="B177" s="4"/>
      <c r="C177" s="15">
        <v>23</v>
      </c>
      <c r="D177" s="16">
        <v>5.0940000000000003</v>
      </c>
      <c r="E177" s="17">
        <v>0</v>
      </c>
      <c r="F177" s="44">
        <v>9.3446612095359303</v>
      </c>
      <c r="G177" s="33">
        <f t="shared" ref="G177:G231" si="25">F177*86400</f>
        <v>807378.72850390442</v>
      </c>
      <c r="H177" s="33">
        <f t="shared" ref="H177:H239" si="26">G177/1000000</f>
        <v>0.80737872850390446</v>
      </c>
      <c r="I177" s="33">
        <v>36720</v>
      </c>
      <c r="J177" s="43">
        <f t="shared" si="24"/>
        <v>3.6720000000000003E-2</v>
      </c>
      <c r="K177" s="40">
        <v>0</v>
      </c>
      <c r="L177" s="40">
        <v>0</v>
      </c>
      <c r="M177" s="33">
        <f>J177+L177</f>
        <v>3.6720000000000003E-2</v>
      </c>
      <c r="N177" s="33">
        <v>2.0045E-2</v>
      </c>
      <c r="O177" s="45">
        <f>H177-M177-N177</f>
        <v>0.75061372850390451</v>
      </c>
    </row>
    <row r="178" spans="1:15" x14ac:dyDescent="0.7">
      <c r="A178" s="4"/>
      <c r="B178" s="4"/>
      <c r="C178" s="15">
        <v>24</v>
      </c>
      <c r="D178" s="16">
        <v>15.984</v>
      </c>
      <c r="E178" s="17">
        <v>2.7</v>
      </c>
      <c r="F178" s="44">
        <v>15.864756699319166</v>
      </c>
      <c r="G178" s="33">
        <f t="shared" si="25"/>
        <v>1370714.9788211759</v>
      </c>
      <c r="H178" s="33">
        <f t="shared" si="26"/>
        <v>1.3707149788211759</v>
      </c>
      <c r="I178" s="33">
        <v>45059</v>
      </c>
      <c r="J178" s="43">
        <f t="shared" si="24"/>
        <v>4.5059000000000002E-2</v>
      </c>
      <c r="K178" s="40">
        <v>0</v>
      </c>
      <c r="L178" s="40">
        <v>0</v>
      </c>
      <c r="M178" s="33">
        <f t="shared" ref="M178:M241" si="27">J178+L178</f>
        <v>4.5059000000000002E-2</v>
      </c>
      <c r="N178" s="33">
        <v>2.0045E-2</v>
      </c>
      <c r="O178" s="45">
        <f t="shared" ref="O178:O241" si="28">H178-M178-N178</f>
        <v>1.3056109788211758</v>
      </c>
    </row>
    <row r="179" spans="1:15" x14ac:dyDescent="0.7">
      <c r="A179" s="4"/>
      <c r="B179" s="4"/>
      <c r="C179" s="15">
        <v>25</v>
      </c>
      <c r="D179" s="16">
        <v>39.156999999999996</v>
      </c>
      <c r="E179" s="17">
        <v>28.7</v>
      </c>
      <c r="F179" s="44">
        <v>12.514779534935174</v>
      </c>
      <c r="G179" s="33">
        <f t="shared" si="25"/>
        <v>1081276.9518183991</v>
      </c>
      <c r="H179" s="33">
        <f t="shared" si="26"/>
        <v>1.0812769518183991</v>
      </c>
      <c r="I179" s="33">
        <v>33535</v>
      </c>
      <c r="J179" s="43">
        <f t="shared" si="24"/>
        <v>3.3535000000000002E-2</v>
      </c>
      <c r="K179" s="40">
        <v>0</v>
      </c>
      <c r="L179" s="40">
        <v>0</v>
      </c>
      <c r="M179" s="33">
        <f t="shared" si="27"/>
        <v>3.3535000000000002E-2</v>
      </c>
      <c r="N179" s="33">
        <v>0.21496299999999999</v>
      </c>
      <c r="O179" s="45">
        <f t="shared" si="28"/>
        <v>0.832778951818399</v>
      </c>
    </row>
    <row r="180" spans="1:15" x14ac:dyDescent="0.7">
      <c r="A180" s="4"/>
      <c r="B180" s="4"/>
      <c r="C180" s="15">
        <v>26</v>
      </c>
      <c r="D180" s="16">
        <v>21.065000000000001</v>
      </c>
      <c r="E180" s="17">
        <v>6.3</v>
      </c>
      <c r="F180" s="44">
        <v>15.864756699319166</v>
      </c>
      <c r="G180" s="33">
        <f t="shared" si="25"/>
        <v>1370714.9788211759</v>
      </c>
      <c r="H180" s="33">
        <f t="shared" si="26"/>
        <v>1.3707149788211759</v>
      </c>
      <c r="I180" s="33">
        <v>42816</v>
      </c>
      <c r="J180" s="43">
        <f t="shared" si="24"/>
        <v>4.2816E-2</v>
      </c>
      <c r="K180" s="40">
        <v>0</v>
      </c>
      <c r="L180" s="40">
        <v>0</v>
      </c>
      <c r="M180" s="33">
        <f t="shared" si="27"/>
        <v>4.2816E-2</v>
      </c>
      <c r="N180" s="33">
        <v>0.16390060000000001</v>
      </c>
      <c r="O180" s="45">
        <f t="shared" si="28"/>
        <v>1.1639983788211758</v>
      </c>
    </row>
    <row r="181" spans="1:15" x14ac:dyDescent="0.7">
      <c r="A181" s="4"/>
      <c r="B181" s="4"/>
      <c r="C181" s="15">
        <v>27</v>
      </c>
      <c r="D181" s="16">
        <v>54.548999999999999</v>
      </c>
      <c r="E181" s="17">
        <v>16.399999999999999</v>
      </c>
      <c r="F181" s="44">
        <v>12.514779534935174</v>
      </c>
      <c r="G181" s="33">
        <f t="shared" si="25"/>
        <v>1081276.9518183991</v>
      </c>
      <c r="H181" s="33">
        <f t="shared" si="26"/>
        <v>1.0812769518183991</v>
      </c>
      <c r="I181" s="33">
        <v>37984</v>
      </c>
      <c r="J181" s="43">
        <f t="shared" si="24"/>
        <v>3.7983999999999997E-2</v>
      </c>
      <c r="K181" s="40">
        <v>0</v>
      </c>
      <c r="L181" s="40">
        <v>0</v>
      </c>
      <c r="M181" s="33">
        <f t="shared" si="27"/>
        <v>3.7983999999999997E-2</v>
      </c>
      <c r="N181" s="33">
        <v>0.16390060000000001</v>
      </c>
      <c r="O181" s="45">
        <f t="shared" si="28"/>
        <v>0.87939235181839903</v>
      </c>
    </row>
    <row r="182" spans="1:15" x14ac:dyDescent="0.7">
      <c r="A182" s="4"/>
      <c r="B182" s="4"/>
      <c r="C182" s="15">
        <v>28</v>
      </c>
      <c r="D182" s="16">
        <v>77.525000000000006</v>
      </c>
      <c r="E182" s="17">
        <v>16.899999999999999</v>
      </c>
      <c r="F182" s="44">
        <v>12.514779534935174</v>
      </c>
      <c r="G182" s="33">
        <f t="shared" si="25"/>
        <v>1081276.9518183991</v>
      </c>
      <c r="H182" s="33">
        <f t="shared" si="26"/>
        <v>1.0812769518183991</v>
      </c>
      <c r="I182" s="33">
        <v>36340</v>
      </c>
      <c r="J182" s="43">
        <f t="shared" si="24"/>
        <v>3.6339999999999997E-2</v>
      </c>
      <c r="K182" s="40">
        <v>0</v>
      </c>
      <c r="L182" s="40">
        <v>0</v>
      </c>
      <c r="M182" s="33">
        <f t="shared" si="27"/>
        <v>3.6339999999999997E-2</v>
      </c>
      <c r="N182" s="33">
        <v>0.16390060000000001</v>
      </c>
      <c r="O182" s="45">
        <f t="shared" si="28"/>
        <v>0.88103635181839901</v>
      </c>
    </row>
    <row r="183" spans="1:15" x14ac:dyDescent="0.7">
      <c r="A183" s="4"/>
      <c r="B183" s="4"/>
      <c r="C183" s="15">
        <v>29</v>
      </c>
      <c r="D183" s="16">
        <v>36.698</v>
      </c>
      <c r="E183" s="17">
        <v>9.3000000000000007</v>
      </c>
      <c r="F183" s="44">
        <v>12.514779534935174</v>
      </c>
      <c r="G183" s="33">
        <f t="shared" si="25"/>
        <v>1081276.9518183991</v>
      </c>
      <c r="H183" s="33">
        <f t="shared" si="26"/>
        <v>1.0812769518183991</v>
      </c>
      <c r="I183" s="33">
        <v>24771</v>
      </c>
      <c r="J183" s="43">
        <f t="shared" si="24"/>
        <v>2.4771000000000001E-2</v>
      </c>
      <c r="K183" s="40">
        <v>0</v>
      </c>
      <c r="L183" s="40">
        <v>0</v>
      </c>
      <c r="M183" s="33">
        <f t="shared" si="27"/>
        <v>2.4771000000000001E-2</v>
      </c>
      <c r="N183" s="33">
        <v>0.16390060000000001</v>
      </c>
      <c r="O183" s="45">
        <f t="shared" si="28"/>
        <v>0.89260535181839895</v>
      </c>
    </row>
    <row r="184" spans="1:15" s="10" customFormat="1" ht="25.2" thickBot="1" x14ac:dyDescent="0.75">
      <c r="A184" s="6"/>
      <c r="B184" s="6" t="s">
        <v>20</v>
      </c>
      <c r="C184" s="21">
        <v>30</v>
      </c>
      <c r="D184" s="22">
        <v>16.489000000000001</v>
      </c>
      <c r="E184" s="23">
        <v>1.1000000000000001</v>
      </c>
      <c r="F184" s="46">
        <v>12.514779534935174</v>
      </c>
      <c r="G184" s="37">
        <f t="shared" si="25"/>
        <v>1081276.9518183991</v>
      </c>
      <c r="H184" s="37">
        <f t="shared" si="26"/>
        <v>1.0812769518183991</v>
      </c>
      <c r="I184" s="37">
        <v>43546</v>
      </c>
      <c r="J184" s="47">
        <f t="shared" si="24"/>
        <v>4.3546000000000001E-2</v>
      </c>
      <c r="K184" s="41">
        <v>0</v>
      </c>
      <c r="L184" s="41">
        <v>0</v>
      </c>
      <c r="M184" s="37">
        <f t="shared" si="27"/>
        <v>4.3546000000000001E-2</v>
      </c>
      <c r="N184" s="37">
        <v>0.16390060000000001</v>
      </c>
      <c r="O184" s="48">
        <f t="shared" si="28"/>
        <v>0.87383035181839896</v>
      </c>
    </row>
    <row r="185" spans="1:15" x14ac:dyDescent="0.7">
      <c r="A185" s="2"/>
      <c r="B185" s="2" t="s">
        <v>21</v>
      </c>
      <c r="C185" s="19">
        <v>1</v>
      </c>
      <c r="D185" s="20">
        <v>12.515000000000001</v>
      </c>
      <c r="E185" s="24">
        <v>0</v>
      </c>
      <c r="F185" s="49">
        <v>13.635332584685882</v>
      </c>
      <c r="G185" s="38">
        <f>F185*86400</f>
        <v>1178092.7353168603</v>
      </c>
      <c r="H185" s="38">
        <f t="shared" si="26"/>
        <v>1.1780927353168602</v>
      </c>
      <c r="I185" s="38">
        <v>34693</v>
      </c>
      <c r="J185" s="50">
        <f t="shared" si="24"/>
        <v>3.4693000000000002E-2</v>
      </c>
      <c r="K185" s="42">
        <v>0</v>
      </c>
      <c r="L185" s="42">
        <v>0</v>
      </c>
      <c r="M185" s="38">
        <f t="shared" si="27"/>
        <v>3.4693000000000002E-2</v>
      </c>
      <c r="N185" s="38">
        <v>3.4300799999999999E-2</v>
      </c>
      <c r="O185" s="51">
        <f t="shared" si="28"/>
        <v>1.1090989353168601</v>
      </c>
    </row>
    <row r="186" spans="1:15" x14ac:dyDescent="0.7">
      <c r="A186" s="4"/>
      <c r="B186" s="4"/>
      <c r="C186" s="15">
        <v>2</v>
      </c>
      <c r="D186" s="16">
        <v>11.598000000000001</v>
      </c>
      <c r="E186" s="17">
        <v>0</v>
      </c>
      <c r="F186" s="40">
        <v>12.671487082132368</v>
      </c>
      <c r="G186" s="33">
        <f>F186*86400</f>
        <v>1094816.4838962366</v>
      </c>
      <c r="H186" s="33">
        <f t="shared" si="26"/>
        <v>1.0948164838962366</v>
      </c>
      <c r="I186" s="33">
        <v>41874</v>
      </c>
      <c r="J186" s="43">
        <f t="shared" si="24"/>
        <v>4.1874000000000001E-2</v>
      </c>
      <c r="K186" s="40">
        <v>0</v>
      </c>
      <c r="L186" s="40">
        <v>0</v>
      </c>
      <c r="M186" s="33">
        <f t="shared" si="27"/>
        <v>4.1874000000000001E-2</v>
      </c>
      <c r="N186" s="33">
        <v>3.4300799999999992E-2</v>
      </c>
      <c r="O186" s="45">
        <f t="shared" si="28"/>
        <v>1.0186416838962367</v>
      </c>
    </row>
    <row r="187" spans="1:15" x14ac:dyDescent="0.7">
      <c r="A187" s="4"/>
      <c r="B187" s="4"/>
      <c r="C187" s="15">
        <v>3</v>
      </c>
      <c r="D187" s="16">
        <v>10.577999999999999</v>
      </c>
      <c r="E187" s="17">
        <v>6.7</v>
      </c>
      <c r="F187" s="40">
        <v>11.008639062249811</v>
      </c>
      <c r="G187" s="33">
        <f t="shared" si="25"/>
        <v>951146.41497838369</v>
      </c>
      <c r="H187" s="33">
        <f t="shared" si="26"/>
        <v>0.9511464149783837</v>
      </c>
      <c r="I187" s="33">
        <v>42181</v>
      </c>
      <c r="J187" s="43">
        <f t="shared" si="24"/>
        <v>4.2181000000000003E-2</v>
      </c>
      <c r="K187" s="40">
        <v>0</v>
      </c>
      <c r="L187" s="40">
        <v>0</v>
      </c>
      <c r="M187" s="33">
        <f t="shared" si="27"/>
        <v>4.2181000000000003E-2</v>
      </c>
      <c r="N187" s="33">
        <v>3.4300799999999992E-2</v>
      </c>
      <c r="O187" s="45">
        <f t="shared" si="28"/>
        <v>0.87466461497838366</v>
      </c>
    </row>
    <row r="188" spans="1:15" x14ac:dyDescent="0.7">
      <c r="A188" s="4"/>
      <c r="B188" s="4"/>
      <c r="C188" s="15">
        <v>4</v>
      </c>
      <c r="D188" s="16">
        <v>11.301</v>
      </c>
      <c r="E188" s="17">
        <v>4.7</v>
      </c>
      <c r="F188" s="40">
        <v>14.640072003983962</v>
      </c>
      <c r="G188" s="33">
        <f t="shared" si="25"/>
        <v>1264902.2211442143</v>
      </c>
      <c r="H188" s="33">
        <f t="shared" si="26"/>
        <v>1.2649022211442142</v>
      </c>
      <c r="I188" s="33">
        <v>42948</v>
      </c>
      <c r="J188" s="43">
        <f t="shared" si="24"/>
        <v>4.2948E-2</v>
      </c>
      <c r="K188" s="40">
        <v>0</v>
      </c>
      <c r="L188" s="40">
        <v>0</v>
      </c>
      <c r="M188" s="33">
        <f t="shared" si="27"/>
        <v>4.2948E-2</v>
      </c>
      <c r="N188" s="40">
        <v>0</v>
      </c>
      <c r="O188" s="45">
        <f t="shared" si="28"/>
        <v>1.2219542211442143</v>
      </c>
    </row>
    <row r="189" spans="1:15" x14ac:dyDescent="0.7">
      <c r="A189" s="4"/>
      <c r="B189" s="4"/>
      <c r="C189" s="15">
        <v>5</v>
      </c>
      <c r="D189" s="16">
        <v>20.455000000000002</v>
      </c>
      <c r="E189" s="17">
        <v>60.8</v>
      </c>
      <c r="F189" s="40">
        <v>18.292261399055743</v>
      </c>
      <c r="G189" s="33">
        <f t="shared" si="25"/>
        <v>1580451.3848784161</v>
      </c>
      <c r="H189" s="33">
        <f t="shared" si="26"/>
        <v>1.5804513848784161</v>
      </c>
      <c r="I189" s="33">
        <v>42422</v>
      </c>
      <c r="J189" s="43">
        <f t="shared" si="24"/>
        <v>4.2422000000000001E-2</v>
      </c>
      <c r="K189" s="40">
        <v>0</v>
      </c>
      <c r="L189" s="40">
        <v>0</v>
      </c>
      <c r="M189" s="33">
        <f t="shared" si="27"/>
        <v>4.2422000000000001E-2</v>
      </c>
      <c r="N189" s="40">
        <v>0</v>
      </c>
      <c r="O189" s="45">
        <f t="shared" si="28"/>
        <v>1.5380293848784161</v>
      </c>
    </row>
    <row r="190" spans="1:15" x14ac:dyDescent="0.7">
      <c r="A190" s="4"/>
      <c r="B190" s="4"/>
      <c r="C190" s="15">
        <v>6</v>
      </c>
      <c r="D190" s="16">
        <v>23.140999999999998</v>
      </c>
      <c r="E190" s="17">
        <v>0</v>
      </c>
      <c r="F190" s="40">
        <v>17.334777352412267</v>
      </c>
      <c r="G190" s="33">
        <f t="shared" si="25"/>
        <v>1497724.7632484199</v>
      </c>
      <c r="H190" s="33">
        <f t="shared" si="26"/>
        <v>1.4977247632484199</v>
      </c>
      <c r="I190" s="33">
        <v>40454</v>
      </c>
      <c r="J190" s="43">
        <f t="shared" si="24"/>
        <v>4.0453999999999997E-2</v>
      </c>
      <c r="K190" s="33">
        <v>3247</v>
      </c>
      <c r="L190" s="33">
        <f t="shared" ref="L190:L217" si="29">K190/1000000</f>
        <v>3.2469999999999999E-3</v>
      </c>
      <c r="M190" s="33">
        <f t="shared" si="27"/>
        <v>4.3700999999999997E-2</v>
      </c>
      <c r="N190" s="40">
        <v>0</v>
      </c>
      <c r="O190" s="45">
        <f t="shared" si="28"/>
        <v>1.4540237632484199</v>
      </c>
    </row>
    <row r="191" spans="1:15" x14ac:dyDescent="0.7">
      <c r="A191" s="4"/>
      <c r="B191" s="4"/>
      <c r="C191" s="15">
        <v>7</v>
      </c>
      <c r="D191" s="16">
        <v>16.044</v>
      </c>
      <c r="E191" s="17">
        <v>0</v>
      </c>
      <c r="F191" s="40">
        <v>16.04437789872684</v>
      </c>
      <c r="G191" s="33">
        <f t="shared" si="25"/>
        <v>1386234.250449999</v>
      </c>
      <c r="H191" s="33">
        <f t="shared" si="26"/>
        <v>1.3862342504499989</v>
      </c>
      <c r="I191" s="33">
        <v>40535</v>
      </c>
      <c r="J191" s="43">
        <f t="shared" si="24"/>
        <v>4.0535000000000002E-2</v>
      </c>
      <c r="K191" s="33">
        <v>2159</v>
      </c>
      <c r="L191" s="33">
        <f t="shared" si="29"/>
        <v>2.1589999999999999E-3</v>
      </c>
      <c r="M191" s="33">
        <f t="shared" si="27"/>
        <v>4.2694000000000003E-2</v>
      </c>
      <c r="N191" s="40">
        <v>0</v>
      </c>
      <c r="O191" s="45">
        <f t="shared" si="28"/>
        <v>1.3435402504499989</v>
      </c>
    </row>
    <row r="192" spans="1:15" x14ac:dyDescent="0.7">
      <c r="A192" s="4"/>
      <c r="B192" s="4"/>
      <c r="C192" s="15">
        <v>8</v>
      </c>
      <c r="D192" s="16">
        <v>16.044</v>
      </c>
      <c r="E192" s="17">
        <v>0</v>
      </c>
      <c r="F192" s="40">
        <v>16.774639040720185</v>
      </c>
      <c r="G192" s="33">
        <f t="shared" si="25"/>
        <v>1449328.813118224</v>
      </c>
      <c r="H192" s="33">
        <f t="shared" si="26"/>
        <v>1.449328813118224</v>
      </c>
      <c r="I192" s="33">
        <v>44463</v>
      </c>
      <c r="J192" s="43">
        <f t="shared" si="24"/>
        <v>4.4463000000000003E-2</v>
      </c>
      <c r="K192" s="33">
        <v>3242</v>
      </c>
      <c r="L192" s="33">
        <f t="shared" si="29"/>
        <v>3.2420000000000001E-3</v>
      </c>
      <c r="M192" s="33">
        <f t="shared" si="27"/>
        <v>4.7705000000000004E-2</v>
      </c>
      <c r="N192" s="33">
        <v>1.0281599999999998E-2</v>
      </c>
      <c r="O192" s="45">
        <f t="shared" si="28"/>
        <v>1.391342213118224</v>
      </c>
    </row>
    <row r="193" spans="1:15" x14ac:dyDescent="0.7">
      <c r="A193" s="4"/>
      <c r="B193" s="4"/>
      <c r="C193" s="15">
        <v>9</v>
      </c>
      <c r="D193" s="16">
        <v>20.25</v>
      </c>
      <c r="E193" s="17">
        <v>0</v>
      </c>
      <c r="F193" s="40">
        <v>17.523874811276666</v>
      </c>
      <c r="G193" s="33">
        <f t="shared" si="25"/>
        <v>1514062.7836943041</v>
      </c>
      <c r="H193" s="33">
        <f t="shared" si="26"/>
        <v>1.5140627836943041</v>
      </c>
      <c r="I193" s="33">
        <v>44883</v>
      </c>
      <c r="J193" s="43">
        <f t="shared" si="24"/>
        <v>4.4882999999999999E-2</v>
      </c>
      <c r="K193" s="33">
        <v>8561</v>
      </c>
      <c r="L193" s="33">
        <f t="shared" si="29"/>
        <v>8.5609999999999992E-3</v>
      </c>
      <c r="M193" s="33">
        <f t="shared" si="27"/>
        <v>5.3443999999999998E-2</v>
      </c>
      <c r="N193" s="33">
        <v>4.3718399999999998E-2</v>
      </c>
      <c r="O193" s="45">
        <f t="shared" si="28"/>
        <v>1.4169003836943042</v>
      </c>
    </row>
    <row r="194" spans="1:15" x14ac:dyDescent="0.7">
      <c r="A194" s="4"/>
      <c r="B194" s="4"/>
      <c r="C194" s="15">
        <v>10</v>
      </c>
      <c r="D194" s="16">
        <v>17.940000000000001</v>
      </c>
      <c r="E194" s="16">
        <v>3.1</v>
      </c>
      <c r="F194" s="40">
        <v>15.332914646414286</v>
      </c>
      <c r="G194" s="33">
        <f t="shared" si="25"/>
        <v>1324763.8254501943</v>
      </c>
      <c r="H194" s="33">
        <f t="shared" si="26"/>
        <v>1.3247638254501943</v>
      </c>
      <c r="I194" s="33">
        <v>40253</v>
      </c>
      <c r="J194" s="43">
        <f t="shared" si="24"/>
        <v>4.0252999999999997E-2</v>
      </c>
      <c r="K194" s="33">
        <v>6573</v>
      </c>
      <c r="L194" s="33">
        <f t="shared" si="29"/>
        <v>6.5729999999999998E-3</v>
      </c>
      <c r="M194" s="33">
        <f t="shared" si="27"/>
        <v>4.6826E-2</v>
      </c>
      <c r="N194" s="33">
        <v>4.3718399999999998E-2</v>
      </c>
      <c r="O194" s="45">
        <f t="shared" si="28"/>
        <v>1.2342194254501944</v>
      </c>
    </row>
    <row r="195" spans="1:15" x14ac:dyDescent="0.7">
      <c r="A195" s="4"/>
      <c r="B195" s="4"/>
      <c r="C195" s="15">
        <v>11</v>
      </c>
      <c r="D195" s="16">
        <v>13.31</v>
      </c>
      <c r="E195" s="17">
        <v>1</v>
      </c>
      <c r="F195" s="40">
        <v>12.514779534935174</v>
      </c>
      <c r="G195" s="33">
        <f t="shared" si="25"/>
        <v>1081276.9518183991</v>
      </c>
      <c r="H195" s="33">
        <f t="shared" si="26"/>
        <v>1.0812769518183991</v>
      </c>
      <c r="I195" s="33">
        <v>43240</v>
      </c>
      <c r="J195" s="43">
        <f t="shared" si="24"/>
        <v>4.3240000000000001E-2</v>
      </c>
      <c r="K195" s="33">
        <v>7967</v>
      </c>
      <c r="L195" s="33">
        <f t="shared" si="29"/>
        <v>7.9670000000000001E-3</v>
      </c>
      <c r="M195" s="33">
        <f t="shared" si="27"/>
        <v>5.1207000000000003E-2</v>
      </c>
      <c r="N195" s="33">
        <v>4.3718399999999998E-2</v>
      </c>
      <c r="O195" s="45">
        <f t="shared" si="28"/>
        <v>0.98635155181839906</v>
      </c>
    </row>
    <row r="196" spans="1:15" x14ac:dyDescent="0.7">
      <c r="A196" s="4"/>
      <c r="B196" s="4"/>
      <c r="C196" s="15">
        <v>12</v>
      </c>
      <c r="D196" s="16">
        <v>11.598000000000001</v>
      </c>
      <c r="E196" s="17">
        <v>12.7</v>
      </c>
      <c r="F196" s="40">
        <v>11.89908468766032</v>
      </c>
      <c r="G196" s="33">
        <f t="shared" si="25"/>
        <v>1028080.9170138517</v>
      </c>
      <c r="H196" s="33">
        <f t="shared" si="26"/>
        <v>1.0280809170138516</v>
      </c>
      <c r="I196" s="33">
        <v>40674</v>
      </c>
      <c r="J196" s="43">
        <f t="shared" si="24"/>
        <v>4.0674000000000002E-2</v>
      </c>
      <c r="K196" s="33">
        <v>7905</v>
      </c>
      <c r="L196" s="33">
        <f t="shared" si="29"/>
        <v>7.9050000000000006E-3</v>
      </c>
      <c r="M196" s="33">
        <f t="shared" si="27"/>
        <v>4.8579000000000004E-2</v>
      </c>
      <c r="N196" s="33">
        <v>4.3718399999999998E-2</v>
      </c>
      <c r="O196" s="45">
        <f t="shared" si="28"/>
        <v>0.93578351701385154</v>
      </c>
    </row>
    <row r="197" spans="1:15" x14ac:dyDescent="0.7">
      <c r="A197" s="4"/>
      <c r="B197" s="4"/>
      <c r="C197" s="15">
        <v>13</v>
      </c>
      <c r="D197" s="16">
        <v>12.051</v>
      </c>
      <c r="E197" s="17">
        <v>0</v>
      </c>
      <c r="F197" s="40">
        <v>11.448926944224542</v>
      </c>
      <c r="G197" s="33">
        <f t="shared" si="25"/>
        <v>989187.2879810005</v>
      </c>
      <c r="H197" s="33">
        <f t="shared" si="26"/>
        <v>0.98918728798100053</v>
      </c>
      <c r="I197" s="33">
        <v>35278</v>
      </c>
      <c r="J197" s="43">
        <f t="shared" si="24"/>
        <v>3.5277999999999997E-2</v>
      </c>
      <c r="K197" s="33">
        <v>7864</v>
      </c>
      <c r="L197" s="33">
        <f t="shared" si="29"/>
        <v>7.8639999999999995E-3</v>
      </c>
      <c r="M197" s="33">
        <f t="shared" si="27"/>
        <v>4.3142E-2</v>
      </c>
      <c r="N197" s="33">
        <v>4.3718399999999998E-2</v>
      </c>
      <c r="O197" s="45">
        <f t="shared" si="28"/>
        <v>0.90232688798100047</v>
      </c>
    </row>
    <row r="198" spans="1:15" x14ac:dyDescent="0.7">
      <c r="A198" s="4"/>
      <c r="B198" s="4"/>
      <c r="C198" s="15">
        <v>14</v>
      </c>
      <c r="D198" s="16">
        <v>10.864000000000001</v>
      </c>
      <c r="E198" s="17">
        <v>0</v>
      </c>
      <c r="F198" s="40">
        <v>10.720559457461457</v>
      </c>
      <c r="G198" s="33">
        <f t="shared" si="25"/>
        <v>926256.33712466992</v>
      </c>
      <c r="H198" s="33">
        <f t="shared" si="26"/>
        <v>0.92625633712466993</v>
      </c>
      <c r="I198" s="33">
        <v>12298</v>
      </c>
      <c r="J198" s="43">
        <f t="shared" si="24"/>
        <v>1.2298E-2</v>
      </c>
      <c r="K198" s="33">
        <v>7934</v>
      </c>
      <c r="L198" s="33">
        <f t="shared" si="29"/>
        <v>7.9340000000000001E-3</v>
      </c>
      <c r="M198" s="33">
        <f t="shared" si="27"/>
        <v>2.0232E-2</v>
      </c>
      <c r="N198" s="33">
        <v>4.3718399999999998E-2</v>
      </c>
      <c r="O198" s="45">
        <f t="shared" si="28"/>
        <v>0.86230593712466985</v>
      </c>
    </row>
    <row r="199" spans="1:15" x14ac:dyDescent="0.7">
      <c r="A199" s="4"/>
      <c r="B199" s="4"/>
      <c r="C199" s="15">
        <v>15</v>
      </c>
      <c r="D199" s="16">
        <v>10.577999999999999</v>
      </c>
      <c r="E199" s="17">
        <v>9.4</v>
      </c>
      <c r="F199" s="40">
        <v>11.747930758869515</v>
      </c>
      <c r="G199" s="33">
        <f t="shared" si="25"/>
        <v>1015021.2175663261</v>
      </c>
      <c r="H199" s="33">
        <f t="shared" si="26"/>
        <v>1.0150212175663262</v>
      </c>
      <c r="I199" s="33">
        <v>32743</v>
      </c>
      <c r="J199" s="43">
        <f t="shared" si="24"/>
        <v>3.2743000000000001E-2</v>
      </c>
      <c r="K199" s="33">
        <v>9484</v>
      </c>
      <c r="L199" s="33">
        <f t="shared" si="29"/>
        <v>9.4839999999999994E-3</v>
      </c>
      <c r="M199" s="33">
        <f t="shared" si="27"/>
        <v>4.2227000000000001E-2</v>
      </c>
      <c r="N199" s="33">
        <v>4.3718399999999998E-2</v>
      </c>
      <c r="O199" s="45">
        <f t="shared" si="28"/>
        <v>0.92907581756632618</v>
      </c>
    </row>
    <row r="200" spans="1:15" x14ac:dyDescent="0.7">
      <c r="A200" s="4"/>
      <c r="B200" s="4"/>
      <c r="C200" s="15">
        <v>16</v>
      </c>
      <c r="D200" s="16">
        <v>12.051</v>
      </c>
      <c r="E200" s="17">
        <v>0</v>
      </c>
      <c r="F200" s="40">
        <v>12.204710661384016</v>
      </c>
      <c r="G200" s="33">
        <f t="shared" si="25"/>
        <v>1054487.0011435789</v>
      </c>
      <c r="H200" s="33">
        <f t="shared" si="26"/>
        <v>1.054487001143579</v>
      </c>
      <c r="I200" s="33">
        <v>31472</v>
      </c>
      <c r="J200" s="43">
        <f t="shared" si="24"/>
        <v>3.1472E-2</v>
      </c>
      <c r="K200" s="33">
        <v>10053</v>
      </c>
      <c r="L200" s="33">
        <f t="shared" si="29"/>
        <v>1.0052999999999999E-2</v>
      </c>
      <c r="M200" s="33">
        <f t="shared" si="27"/>
        <v>4.1524999999999999E-2</v>
      </c>
      <c r="N200" s="33">
        <v>4.3718399999999998E-2</v>
      </c>
      <c r="O200" s="45">
        <f t="shared" si="28"/>
        <v>0.96924360114357888</v>
      </c>
    </row>
    <row r="201" spans="1:15" x14ac:dyDescent="0.7">
      <c r="A201" s="4"/>
      <c r="B201" s="4"/>
      <c r="C201" s="15">
        <v>17</v>
      </c>
      <c r="D201" s="16">
        <v>12.359</v>
      </c>
      <c r="E201" s="17">
        <v>25.1</v>
      </c>
      <c r="F201" s="40">
        <v>14.640072003983962</v>
      </c>
      <c r="G201" s="33">
        <f t="shared" si="25"/>
        <v>1264902.2211442143</v>
      </c>
      <c r="H201" s="33">
        <f t="shared" si="26"/>
        <v>1.2649022211442142</v>
      </c>
      <c r="I201" s="33">
        <v>30562</v>
      </c>
      <c r="J201" s="43">
        <f t="shared" si="24"/>
        <v>3.0561999999999999E-2</v>
      </c>
      <c r="K201" s="33">
        <v>8166</v>
      </c>
      <c r="L201" s="33">
        <f t="shared" si="29"/>
        <v>8.1659999999999996E-3</v>
      </c>
      <c r="M201" s="33">
        <f t="shared" si="27"/>
        <v>3.8727999999999999E-2</v>
      </c>
      <c r="N201" s="33">
        <v>4.3718399999999998E-2</v>
      </c>
      <c r="O201" s="45">
        <f t="shared" si="28"/>
        <v>1.1824558211442142</v>
      </c>
    </row>
    <row r="202" spans="1:15" x14ac:dyDescent="0.7">
      <c r="A202" s="4"/>
      <c r="B202" s="4"/>
      <c r="C202" s="15">
        <v>18</v>
      </c>
      <c r="D202" s="16">
        <v>85.548000000000002</v>
      </c>
      <c r="E202" s="17">
        <v>4.0999999999999996</v>
      </c>
      <c r="F202" s="40">
        <v>16.774639040720185</v>
      </c>
      <c r="G202" s="33">
        <f t="shared" si="25"/>
        <v>1449328.813118224</v>
      </c>
      <c r="H202" s="33">
        <f t="shared" si="26"/>
        <v>1.449328813118224</v>
      </c>
      <c r="I202" s="33">
        <v>31449</v>
      </c>
      <c r="J202" s="43">
        <f t="shared" si="24"/>
        <v>3.1448999999999998E-2</v>
      </c>
      <c r="K202" s="33">
        <v>7862</v>
      </c>
      <c r="L202" s="33">
        <f t="shared" si="29"/>
        <v>7.8619999999999992E-3</v>
      </c>
      <c r="M202" s="33">
        <f t="shared" si="27"/>
        <v>3.9310999999999999E-2</v>
      </c>
      <c r="N202" s="33">
        <v>4.3718399999999998E-2</v>
      </c>
      <c r="O202" s="45">
        <f t="shared" si="28"/>
        <v>1.366299413118224</v>
      </c>
    </row>
    <row r="203" spans="1:15" x14ac:dyDescent="0.7">
      <c r="A203" s="4"/>
      <c r="B203" s="4"/>
      <c r="C203" s="15">
        <v>19</v>
      </c>
      <c r="D203" s="16">
        <v>36.334000000000003</v>
      </c>
      <c r="E203" s="17">
        <v>7.7</v>
      </c>
      <c r="F203" s="40">
        <v>15.332914646414286</v>
      </c>
      <c r="G203" s="33">
        <f t="shared" si="25"/>
        <v>1324763.8254501943</v>
      </c>
      <c r="H203" s="33">
        <f t="shared" si="26"/>
        <v>1.3247638254501943</v>
      </c>
      <c r="I203" s="33">
        <v>38196</v>
      </c>
      <c r="J203" s="43">
        <f t="shared" si="24"/>
        <v>3.8196000000000001E-2</v>
      </c>
      <c r="K203" s="33">
        <v>9621</v>
      </c>
      <c r="L203" s="33">
        <f t="shared" si="29"/>
        <v>9.6209999999999993E-3</v>
      </c>
      <c r="M203" s="33">
        <f t="shared" si="27"/>
        <v>4.7816999999999998E-2</v>
      </c>
      <c r="N203" s="33">
        <v>4.3718399999999998E-2</v>
      </c>
      <c r="O203" s="45">
        <f t="shared" si="28"/>
        <v>1.2332284254501944</v>
      </c>
    </row>
    <row r="204" spans="1:15" x14ac:dyDescent="0.7">
      <c r="A204" s="4"/>
      <c r="B204" s="4"/>
      <c r="C204" s="15">
        <v>20</v>
      </c>
      <c r="D204" s="16">
        <v>20.93</v>
      </c>
      <c r="E204" s="17">
        <v>0</v>
      </c>
      <c r="F204" s="40">
        <v>14.469749988094032</v>
      </c>
      <c r="G204" s="33">
        <f t="shared" si="25"/>
        <v>1250186.3989713243</v>
      </c>
      <c r="H204" s="33">
        <f t="shared" si="26"/>
        <v>1.2501863989713242</v>
      </c>
      <c r="I204" s="33">
        <v>32326</v>
      </c>
      <c r="J204" s="43">
        <f t="shared" si="24"/>
        <v>3.2326000000000001E-2</v>
      </c>
      <c r="K204" s="33">
        <v>9639</v>
      </c>
      <c r="L204" s="33">
        <f t="shared" si="29"/>
        <v>9.639E-3</v>
      </c>
      <c r="M204" s="33">
        <f t="shared" si="27"/>
        <v>4.1965000000000002E-2</v>
      </c>
      <c r="N204" s="33">
        <v>4.3718399999999998E-2</v>
      </c>
      <c r="O204" s="45">
        <f t="shared" si="28"/>
        <v>1.1645029989713243</v>
      </c>
    </row>
    <row r="205" spans="1:15" x14ac:dyDescent="0.7">
      <c r="A205" s="4"/>
      <c r="B205" s="4"/>
      <c r="C205" s="15">
        <v>21</v>
      </c>
      <c r="D205" s="16">
        <v>16.295999999999999</v>
      </c>
      <c r="E205" s="17">
        <v>7.1</v>
      </c>
      <c r="F205" s="40">
        <v>14.132552853542029</v>
      </c>
      <c r="G205" s="33">
        <f t="shared" si="25"/>
        <v>1221052.5665460313</v>
      </c>
      <c r="H205" s="33">
        <f t="shared" si="26"/>
        <v>1.2210525665460312</v>
      </c>
      <c r="I205" s="33">
        <v>26901</v>
      </c>
      <c r="J205" s="43">
        <f t="shared" si="24"/>
        <v>2.6901000000000001E-2</v>
      </c>
      <c r="K205" s="33">
        <v>6729</v>
      </c>
      <c r="L205" s="33">
        <f t="shared" si="29"/>
        <v>6.7289999999999997E-3</v>
      </c>
      <c r="M205" s="33">
        <f t="shared" si="27"/>
        <v>3.363E-2</v>
      </c>
      <c r="N205" s="33">
        <v>4.3718399999999998E-2</v>
      </c>
      <c r="O205" s="45">
        <f t="shared" si="28"/>
        <v>1.1437041665460312</v>
      </c>
    </row>
    <row r="206" spans="1:15" x14ac:dyDescent="0.7">
      <c r="A206" s="4"/>
      <c r="B206" s="4"/>
      <c r="C206" s="15">
        <v>22</v>
      </c>
      <c r="D206" s="16">
        <v>14.132999999999999</v>
      </c>
      <c r="E206" s="17">
        <v>0</v>
      </c>
      <c r="F206" s="40">
        <v>15.157965240352954</v>
      </c>
      <c r="G206" s="33">
        <f t="shared" si="25"/>
        <v>1309648.1967664952</v>
      </c>
      <c r="H206" s="33">
        <f t="shared" si="26"/>
        <v>1.3096481967664952</v>
      </c>
      <c r="I206" s="33">
        <v>11167</v>
      </c>
      <c r="J206" s="43">
        <f t="shared" si="24"/>
        <v>1.1167E-2</v>
      </c>
      <c r="K206" s="40">
        <v>0</v>
      </c>
      <c r="L206" s="40">
        <v>0</v>
      </c>
      <c r="M206" s="33">
        <f t="shared" si="27"/>
        <v>1.1167E-2</v>
      </c>
      <c r="N206" s="33">
        <v>4.3718399999999998E-2</v>
      </c>
      <c r="O206" s="45">
        <f t="shared" si="28"/>
        <v>1.2547627967664954</v>
      </c>
    </row>
    <row r="207" spans="1:15" x14ac:dyDescent="0.7">
      <c r="A207" s="4"/>
      <c r="B207" s="4"/>
      <c r="C207" s="15">
        <v>23</v>
      </c>
      <c r="D207" s="16">
        <v>17.689</v>
      </c>
      <c r="E207" s="17">
        <v>35.6</v>
      </c>
      <c r="F207" s="40">
        <v>16.04437789872684</v>
      </c>
      <c r="G207" s="33">
        <f t="shared" si="25"/>
        <v>1386234.250449999</v>
      </c>
      <c r="H207" s="33">
        <f t="shared" si="26"/>
        <v>1.3862342504499989</v>
      </c>
      <c r="I207" s="33">
        <v>31259</v>
      </c>
      <c r="J207" s="43">
        <f t="shared" si="24"/>
        <v>3.1259000000000002E-2</v>
      </c>
      <c r="K207" s="40">
        <v>0</v>
      </c>
      <c r="L207" s="40">
        <v>0</v>
      </c>
      <c r="M207" s="33">
        <f t="shared" si="27"/>
        <v>3.1259000000000002E-2</v>
      </c>
      <c r="N207" s="33">
        <v>4.3718399999999998E-2</v>
      </c>
      <c r="O207" s="45">
        <f t="shared" si="28"/>
        <v>1.3112568504499991</v>
      </c>
    </row>
    <row r="208" spans="1:15" x14ac:dyDescent="0.7">
      <c r="A208" s="4"/>
      <c r="B208" s="4"/>
      <c r="C208" s="15">
        <v>24</v>
      </c>
      <c r="D208" s="16">
        <v>16.044</v>
      </c>
      <c r="E208" s="17">
        <v>1</v>
      </c>
      <c r="F208" s="40">
        <v>15.686307603793193</v>
      </c>
      <c r="G208" s="33">
        <f t="shared" si="25"/>
        <v>1355296.9769677317</v>
      </c>
      <c r="H208" s="33">
        <f t="shared" si="26"/>
        <v>1.3552969769677317</v>
      </c>
      <c r="I208" s="33">
        <v>32580</v>
      </c>
      <c r="J208" s="43">
        <f t="shared" si="24"/>
        <v>3.2579999999999998E-2</v>
      </c>
      <c r="K208" s="40">
        <v>0</v>
      </c>
      <c r="L208" s="40">
        <v>0</v>
      </c>
      <c r="M208" s="33">
        <f t="shared" si="27"/>
        <v>3.2579999999999998E-2</v>
      </c>
      <c r="N208" s="33">
        <v>3.9744000000000002E-2</v>
      </c>
      <c r="O208" s="45">
        <f t="shared" si="28"/>
        <v>1.2829729769677316</v>
      </c>
    </row>
    <row r="209" spans="1:15" x14ac:dyDescent="0.7">
      <c r="A209" s="4"/>
      <c r="B209" s="4"/>
      <c r="C209" s="15">
        <v>25</v>
      </c>
      <c r="D209" s="16">
        <v>15.157999999999999</v>
      </c>
      <c r="E209" s="17">
        <v>4.5999999999999996</v>
      </c>
      <c r="F209" s="40">
        <v>14.984176849782912</v>
      </c>
      <c r="G209" s="33">
        <f t="shared" si="25"/>
        <v>1294632.8798212437</v>
      </c>
      <c r="H209" s="33">
        <f t="shared" si="26"/>
        <v>1.2946328798212436</v>
      </c>
      <c r="I209" s="33">
        <v>31987</v>
      </c>
      <c r="J209" s="43">
        <f t="shared" si="24"/>
        <v>3.1987000000000002E-2</v>
      </c>
      <c r="K209" s="40">
        <v>0</v>
      </c>
      <c r="L209" s="40">
        <v>0</v>
      </c>
      <c r="M209" s="33">
        <f t="shared" si="27"/>
        <v>3.1987000000000002E-2</v>
      </c>
      <c r="N209" s="33">
        <v>3.9744000000000002E-2</v>
      </c>
      <c r="O209" s="45">
        <f t="shared" si="28"/>
        <v>1.2229018798212437</v>
      </c>
    </row>
    <row r="210" spans="1:15" x14ac:dyDescent="0.7">
      <c r="A210" s="4"/>
      <c r="B210" s="4"/>
      <c r="C210" s="15">
        <v>26</v>
      </c>
      <c r="D210" s="16">
        <v>14.64</v>
      </c>
      <c r="E210" s="17">
        <v>0</v>
      </c>
      <c r="F210" s="40">
        <v>15.157965240352954</v>
      </c>
      <c r="G210" s="33">
        <f t="shared" si="25"/>
        <v>1309648.1967664952</v>
      </c>
      <c r="H210" s="33">
        <f t="shared" si="26"/>
        <v>1.3096481967664952</v>
      </c>
      <c r="I210" s="33">
        <v>33011</v>
      </c>
      <c r="J210" s="43">
        <f t="shared" si="24"/>
        <v>3.3010999999999999E-2</v>
      </c>
      <c r="K210" s="33">
        <v>4797</v>
      </c>
      <c r="L210" s="33">
        <f t="shared" si="29"/>
        <v>4.797E-3</v>
      </c>
      <c r="M210" s="33">
        <f t="shared" si="27"/>
        <v>3.7808000000000001E-2</v>
      </c>
      <c r="N210" s="33">
        <v>3.9744000000000002E-2</v>
      </c>
      <c r="O210" s="45">
        <f t="shared" si="28"/>
        <v>1.2320961967664952</v>
      </c>
    </row>
    <row r="211" spans="1:15" x14ac:dyDescent="0.7">
      <c r="A211" s="4"/>
      <c r="B211" s="4"/>
      <c r="C211" s="15">
        <v>27</v>
      </c>
      <c r="D211" s="16">
        <v>16.274000000000001</v>
      </c>
      <c r="E211" s="17">
        <v>0.08</v>
      </c>
      <c r="F211" s="40">
        <v>15.332914646414286</v>
      </c>
      <c r="G211" s="33">
        <f t="shared" si="25"/>
        <v>1324763.8254501943</v>
      </c>
      <c r="H211" s="33">
        <f t="shared" si="26"/>
        <v>1.3247638254501943</v>
      </c>
      <c r="I211" s="33">
        <v>32015</v>
      </c>
      <c r="J211" s="43">
        <f t="shared" si="24"/>
        <v>3.2015000000000002E-2</v>
      </c>
      <c r="K211" s="33">
        <v>5087</v>
      </c>
      <c r="L211" s="33">
        <f t="shared" si="29"/>
        <v>5.0870000000000004E-3</v>
      </c>
      <c r="M211" s="33">
        <f t="shared" si="27"/>
        <v>3.7102000000000003E-2</v>
      </c>
      <c r="N211" s="33">
        <v>3.9744000000000002E-2</v>
      </c>
      <c r="O211" s="45">
        <f t="shared" si="28"/>
        <v>1.2479178254501944</v>
      </c>
    </row>
    <row r="212" spans="1:15" x14ac:dyDescent="0.7">
      <c r="A212" s="4"/>
      <c r="B212" s="4"/>
      <c r="C212" s="15">
        <v>28</v>
      </c>
      <c r="D212" s="16">
        <v>15.157999999999999</v>
      </c>
      <c r="E212" s="17" t="s">
        <v>27</v>
      </c>
      <c r="F212" s="40">
        <v>15.509027843179188</v>
      </c>
      <c r="G212" s="33">
        <f t="shared" si="25"/>
        <v>1339980.0056506819</v>
      </c>
      <c r="H212" s="33">
        <f t="shared" si="26"/>
        <v>1.3399800056506819</v>
      </c>
      <c r="I212" s="33">
        <v>30847</v>
      </c>
      <c r="J212" s="43">
        <f t="shared" si="24"/>
        <v>3.0846999999999999E-2</v>
      </c>
      <c r="K212" s="33">
        <v>5116</v>
      </c>
      <c r="L212" s="33">
        <f t="shared" si="29"/>
        <v>5.1159999999999999E-3</v>
      </c>
      <c r="M212" s="33">
        <f t="shared" si="27"/>
        <v>3.5963000000000002E-2</v>
      </c>
      <c r="N212" s="33">
        <v>3.9744000000000002E-2</v>
      </c>
      <c r="O212" s="45">
        <f t="shared" si="28"/>
        <v>1.2642730056506819</v>
      </c>
    </row>
    <row r="213" spans="1:15" x14ac:dyDescent="0.7">
      <c r="A213" s="4"/>
      <c r="B213" s="4"/>
      <c r="C213" s="15">
        <v>29</v>
      </c>
      <c r="D213" s="16">
        <v>15.865</v>
      </c>
      <c r="E213" s="17">
        <v>1</v>
      </c>
      <c r="F213" s="40">
        <v>15.864756699319166</v>
      </c>
      <c r="G213" s="33">
        <f t="shared" si="25"/>
        <v>1370714.9788211759</v>
      </c>
      <c r="H213" s="33">
        <f t="shared" si="26"/>
        <v>1.3707149788211759</v>
      </c>
      <c r="I213" s="33">
        <v>32470</v>
      </c>
      <c r="J213" s="43">
        <f t="shared" si="24"/>
        <v>3.2469999999999999E-2</v>
      </c>
      <c r="K213" s="33">
        <v>5149</v>
      </c>
      <c r="L213" s="33">
        <f t="shared" si="29"/>
        <v>5.1489999999999999E-3</v>
      </c>
      <c r="M213" s="33">
        <f t="shared" si="27"/>
        <v>3.7619E-2</v>
      </c>
      <c r="N213" s="33">
        <v>3.9744000000000002E-2</v>
      </c>
      <c r="O213" s="45">
        <f t="shared" si="28"/>
        <v>1.2933519788211758</v>
      </c>
    </row>
    <row r="214" spans="1:15" x14ac:dyDescent="0.7">
      <c r="A214" s="4"/>
      <c r="B214" s="4"/>
      <c r="C214" s="15">
        <v>30</v>
      </c>
      <c r="D214" s="16">
        <v>16.63</v>
      </c>
      <c r="E214" s="17" t="s">
        <v>27</v>
      </c>
      <c r="F214" s="40">
        <v>16.590301778318342</v>
      </c>
      <c r="G214" s="33">
        <f t="shared" si="25"/>
        <v>1433402.0736467047</v>
      </c>
      <c r="H214" s="33">
        <f t="shared" si="26"/>
        <v>1.4334020736467046</v>
      </c>
      <c r="I214" s="33">
        <v>31721</v>
      </c>
      <c r="J214" s="43">
        <f t="shared" si="24"/>
        <v>3.1720999999999999E-2</v>
      </c>
      <c r="K214" s="33">
        <v>5060</v>
      </c>
      <c r="L214" s="33">
        <f t="shared" si="29"/>
        <v>5.0600000000000003E-3</v>
      </c>
      <c r="M214" s="33">
        <f t="shared" si="27"/>
        <v>3.6781000000000001E-2</v>
      </c>
      <c r="N214" s="33">
        <v>3.9744000000000002E-2</v>
      </c>
      <c r="O214" s="45">
        <f t="shared" si="28"/>
        <v>1.3568770736467046</v>
      </c>
    </row>
    <row r="215" spans="1:15" s="10" customFormat="1" ht="25.2" thickBot="1" x14ac:dyDescent="0.75">
      <c r="A215" s="6"/>
      <c r="B215" s="6" t="s">
        <v>21</v>
      </c>
      <c r="C215" s="21">
        <v>31</v>
      </c>
      <c r="D215" s="22">
        <v>29.335999999999999</v>
      </c>
      <c r="E215" s="23">
        <v>53.7</v>
      </c>
      <c r="F215" s="41">
        <v>11.448926944224542</v>
      </c>
      <c r="G215" s="37">
        <f t="shared" si="25"/>
        <v>989187.2879810005</v>
      </c>
      <c r="H215" s="37">
        <f t="shared" si="26"/>
        <v>0.98918728798100053</v>
      </c>
      <c r="I215" s="37">
        <v>31917</v>
      </c>
      <c r="J215" s="47">
        <f t="shared" si="24"/>
        <v>3.1917000000000001E-2</v>
      </c>
      <c r="K215" s="37">
        <v>5068</v>
      </c>
      <c r="L215" s="37">
        <f t="shared" si="29"/>
        <v>5.0679999999999996E-3</v>
      </c>
      <c r="M215" s="37">
        <f t="shared" si="27"/>
        <v>3.6985000000000004E-2</v>
      </c>
      <c r="N215" s="37">
        <v>3.9744000000000002E-2</v>
      </c>
      <c r="O215" s="48">
        <f t="shared" si="28"/>
        <v>0.91245828798100048</v>
      </c>
    </row>
    <row r="216" spans="1:15" x14ac:dyDescent="0.7">
      <c r="A216" s="2"/>
      <c r="B216" s="2" t="s">
        <v>22</v>
      </c>
      <c r="C216" s="19">
        <v>1</v>
      </c>
      <c r="D216" s="20">
        <v>76.474999999999994</v>
      </c>
      <c r="E216" s="24">
        <v>33.700000000000003</v>
      </c>
      <c r="F216" s="42">
        <v>8.0741844846701127</v>
      </c>
      <c r="G216" s="38">
        <f t="shared" si="25"/>
        <v>697609.53947549779</v>
      </c>
      <c r="H216" s="38">
        <f t="shared" si="26"/>
        <v>0.69760953947549775</v>
      </c>
      <c r="I216" s="38">
        <v>30984</v>
      </c>
      <c r="J216" s="50">
        <f t="shared" si="24"/>
        <v>3.0984000000000001E-2</v>
      </c>
      <c r="K216" s="38">
        <v>5102</v>
      </c>
      <c r="L216" s="38">
        <f t="shared" si="29"/>
        <v>5.1019999999999998E-3</v>
      </c>
      <c r="M216" s="38">
        <f t="shared" si="27"/>
        <v>3.6086E-2</v>
      </c>
      <c r="N216" s="38">
        <v>4.3718399999999998E-2</v>
      </c>
      <c r="O216" s="51">
        <f t="shared" si="28"/>
        <v>0.61780513947549776</v>
      </c>
    </row>
    <row r="217" spans="1:15" x14ac:dyDescent="0.7">
      <c r="A217" s="4"/>
      <c r="B217" s="4"/>
      <c r="C217" s="15">
        <v>2</v>
      </c>
      <c r="D217" s="16">
        <v>113.384</v>
      </c>
      <c r="E217" s="17">
        <v>22.6</v>
      </c>
      <c r="F217" s="40">
        <v>8.0741844846701127</v>
      </c>
      <c r="G217" s="33">
        <f t="shared" si="25"/>
        <v>697609.53947549779</v>
      </c>
      <c r="H217" s="33">
        <f t="shared" si="26"/>
        <v>0.69760953947549775</v>
      </c>
      <c r="I217" s="33">
        <v>31271</v>
      </c>
      <c r="J217" s="43">
        <f t="shared" si="24"/>
        <v>3.1271E-2</v>
      </c>
      <c r="K217" s="33">
        <v>5308</v>
      </c>
      <c r="L217" s="33">
        <f t="shared" si="29"/>
        <v>5.3080000000000002E-3</v>
      </c>
      <c r="M217" s="33">
        <f t="shared" si="27"/>
        <v>3.6579E-2</v>
      </c>
      <c r="N217" s="33">
        <v>4.3718399999999998E-2</v>
      </c>
      <c r="O217" s="45">
        <f t="shared" si="28"/>
        <v>0.61731213947549768</v>
      </c>
    </row>
    <row r="218" spans="1:15" x14ac:dyDescent="0.7">
      <c r="A218" s="4"/>
      <c r="B218" s="4"/>
      <c r="C218" s="15">
        <v>3</v>
      </c>
      <c r="D218" s="16">
        <v>104.027</v>
      </c>
      <c r="E218" s="17">
        <v>17.2</v>
      </c>
      <c r="F218" s="40">
        <v>8.0741844846701127</v>
      </c>
      <c r="G218" s="33">
        <f t="shared" si="25"/>
        <v>697609.53947549779</v>
      </c>
      <c r="H218" s="33">
        <f t="shared" si="26"/>
        <v>0.69760953947549775</v>
      </c>
      <c r="I218" s="33">
        <v>32374</v>
      </c>
      <c r="J218" s="43">
        <f t="shared" si="24"/>
        <v>3.2374E-2</v>
      </c>
      <c r="K218" s="33">
        <v>5071</v>
      </c>
      <c r="L218" s="33">
        <f>K218/1000000</f>
        <v>5.071E-3</v>
      </c>
      <c r="M218" s="33">
        <f t="shared" si="27"/>
        <v>3.7444999999999999E-2</v>
      </c>
      <c r="N218" s="33">
        <v>4.3718399999999998E-2</v>
      </c>
      <c r="O218" s="45">
        <f t="shared" si="28"/>
        <v>0.61644613947549776</v>
      </c>
    </row>
    <row r="219" spans="1:15" x14ac:dyDescent="0.7">
      <c r="A219" s="4"/>
      <c r="B219" s="4"/>
      <c r="C219" s="15">
        <v>4</v>
      </c>
      <c r="D219" s="16">
        <v>81.668999999999997</v>
      </c>
      <c r="E219" s="17">
        <v>1.7</v>
      </c>
      <c r="F219" s="40">
        <v>8.0741844846701127</v>
      </c>
      <c r="G219" s="33">
        <f t="shared" si="25"/>
        <v>697609.53947549779</v>
      </c>
      <c r="H219" s="33">
        <f t="shared" si="26"/>
        <v>0.69760953947549775</v>
      </c>
      <c r="I219" s="33">
        <v>15509</v>
      </c>
      <c r="J219" s="43">
        <f t="shared" si="24"/>
        <v>1.5509E-2</v>
      </c>
      <c r="K219" s="33">
        <v>4271</v>
      </c>
      <c r="L219" s="33">
        <f t="shared" ref="L219:L227" si="30">K219/1000000</f>
        <v>4.2709999999999996E-3</v>
      </c>
      <c r="M219" s="33">
        <f t="shared" si="27"/>
        <v>1.9779999999999999E-2</v>
      </c>
      <c r="N219" s="33">
        <v>4.3718399999999998E-2</v>
      </c>
      <c r="O219" s="45">
        <f t="shared" si="28"/>
        <v>0.63411113947549769</v>
      </c>
    </row>
    <row r="220" spans="1:15" x14ac:dyDescent="0.7">
      <c r="A220" s="4"/>
      <c r="B220" s="4"/>
      <c r="C220" s="15">
        <v>5</v>
      </c>
      <c r="D220" s="16">
        <v>60.107999999999997</v>
      </c>
      <c r="E220" s="17">
        <v>1</v>
      </c>
      <c r="F220" s="40">
        <v>8.0741844846701127</v>
      </c>
      <c r="G220" s="33">
        <f t="shared" si="25"/>
        <v>697609.53947549779</v>
      </c>
      <c r="H220" s="33">
        <f t="shared" si="26"/>
        <v>0.69760953947549775</v>
      </c>
      <c r="I220" s="33">
        <v>30613</v>
      </c>
      <c r="J220" s="43">
        <f t="shared" si="24"/>
        <v>3.0613000000000001E-2</v>
      </c>
      <c r="K220" s="33">
        <v>4422</v>
      </c>
      <c r="L220" s="33">
        <f t="shared" si="30"/>
        <v>4.4219999999999997E-3</v>
      </c>
      <c r="M220" s="33">
        <f t="shared" si="27"/>
        <v>3.5035000000000004E-2</v>
      </c>
      <c r="N220" s="33">
        <v>4.3718399999999998E-2</v>
      </c>
      <c r="O220" s="45">
        <f t="shared" si="28"/>
        <v>0.61885613947549767</v>
      </c>
    </row>
    <row r="221" spans="1:15" x14ac:dyDescent="0.7">
      <c r="A221" s="4"/>
      <c r="B221" s="4"/>
      <c r="C221" s="15">
        <v>6</v>
      </c>
      <c r="D221" s="16">
        <v>52.501999999999995</v>
      </c>
      <c r="E221" s="17">
        <v>16.7</v>
      </c>
      <c r="F221" s="40">
        <v>8.0741844846701127</v>
      </c>
      <c r="G221" s="33">
        <f t="shared" si="25"/>
        <v>697609.53947549779</v>
      </c>
      <c r="H221" s="33">
        <f t="shared" si="26"/>
        <v>0.69760953947549775</v>
      </c>
      <c r="I221" s="33">
        <v>32256</v>
      </c>
      <c r="J221" s="43">
        <f t="shared" si="24"/>
        <v>3.2256E-2</v>
      </c>
      <c r="K221" s="33">
        <v>3921</v>
      </c>
      <c r="L221" s="33">
        <f t="shared" si="30"/>
        <v>3.921E-3</v>
      </c>
      <c r="M221" s="33">
        <f t="shared" si="27"/>
        <v>3.6177000000000001E-2</v>
      </c>
      <c r="N221" s="33">
        <v>3.9744000000000002E-2</v>
      </c>
      <c r="O221" s="45">
        <f t="shared" si="28"/>
        <v>0.62168853947549774</v>
      </c>
    </row>
    <row r="222" spans="1:15" x14ac:dyDescent="0.7">
      <c r="A222" s="4"/>
      <c r="B222" s="4"/>
      <c r="C222" s="15">
        <v>7</v>
      </c>
      <c r="D222" s="16">
        <v>60.107999999999997</v>
      </c>
      <c r="E222" s="17">
        <v>13.1</v>
      </c>
      <c r="F222" s="40">
        <v>8.0741844846701127</v>
      </c>
      <c r="G222" s="33">
        <f t="shared" si="25"/>
        <v>697609.53947549779</v>
      </c>
      <c r="H222" s="33">
        <f t="shared" si="26"/>
        <v>0.69760953947549775</v>
      </c>
      <c r="I222" s="33">
        <v>33642</v>
      </c>
      <c r="J222" s="43">
        <f t="shared" si="24"/>
        <v>3.3641999999999998E-2</v>
      </c>
      <c r="K222" s="33">
        <v>3407</v>
      </c>
      <c r="L222" s="33">
        <f t="shared" si="30"/>
        <v>3.4069999999999999E-3</v>
      </c>
      <c r="M222" s="33">
        <f t="shared" si="27"/>
        <v>3.7048999999999999E-2</v>
      </c>
      <c r="N222" s="33">
        <v>3.9744000000000002E-2</v>
      </c>
      <c r="O222" s="45">
        <f t="shared" si="28"/>
        <v>0.62081653947549775</v>
      </c>
    </row>
    <row r="223" spans="1:15" x14ac:dyDescent="0.7">
      <c r="A223" s="4"/>
      <c r="B223" s="4"/>
      <c r="C223" s="15">
        <v>8</v>
      </c>
      <c r="D223" s="16">
        <v>76.474999999999994</v>
      </c>
      <c r="E223" s="17">
        <v>29.7</v>
      </c>
      <c r="F223" s="40">
        <v>8.0741844846701127</v>
      </c>
      <c r="G223" s="33">
        <f t="shared" si="25"/>
        <v>697609.53947549779</v>
      </c>
      <c r="H223" s="33">
        <f t="shared" si="26"/>
        <v>0.69760953947549775</v>
      </c>
      <c r="I223" s="33">
        <v>32130</v>
      </c>
      <c r="J223" s="43">
        <f t="shared" si="24"/>
        <v>3.2129999999999999E-2</v>
      </c>
      <c r="K223" s="33">
        <v>3840</v>
      </c>
      <c r="L223" s="33">
        <f t="shared" si="30"/>
        <v>3.8400000000000001E-3</v>
      </c>
      <c r="M223" s="33">
        <f t="shared" si="27"/>
        <v>3.5970000000000002E-2</v>
      </c>
      <c r="N223" s="33">
        <v>3.9744000000000002E-2</v>
      </c>
      <c r="O223" s="45">
        <f t="shared" si="28"/>
        <v>0.62189553947549769</v>
      </c>
    </row>
    <row r="224" spans="1:15" x14ac:dyDescent="0.7">
      <c r="A224" s="4"/>
      <c r="B224" s="4"/>
      <c r="C224" s="15">
        <v>9</v>
      </c>
      <c r="D224" s="16">
        <v>51.028999999999996</v>
      </c>
      <c r="E224" s="17">
        <v>0</v>
      </c>
      <c r="F224" s="40">
        <v>8.0741844846701127</v>
      </c>
      <c r="G224" s="33">
        <f t="shared" si="25"/>
        <v>697609.53947549779</v>
      </c>
      <c r="H224" s="33">
        <f t="shared" si="26"/>
        <v>0.69760953947549775</v>
      </c>
      <c r="I224" s="33">
        <v>33851</v>
      </c>
      <c r="J224" s="43">
        <f t="shared" si="24"/>
        <v>3.3850999999999999E-2</v>
      </c>
      <c r="K224" s="33">
        <v>3770</v>
      </c>
      <c r="L224" s="33">
        <f t="shared" si="30"/>
        <v>3.7699999999999999E-3</v>
      </c>
      <c r="M224" s="33">
        <f t="shared" si="27"/>
        <v>3.7621000000000002E-2</v>
      </c>
      <c r="N224" s="33">
        <v>3.9744000000000002E-2</v>
      </c>
      <c r="O224" s="45">
        <f t="shared" si="28"/>
        <v>0.62024453947549774</v>
      </c>
    </row>
    <row r="225" spans="1:15" x14ac:dyDescent="0.7">
      <c r="A225" s="4"/>
      <c r="B225" s="4"/>
      <c r="C225" s="15">
        <v>10</v>
      </c>
      <c r="D225" s="16">
        <v>32.256999999999998</v>
      </c>
      <c r="E225" s="17">
        <v>0</v>
      </c>
      <c r="F225" s="40">
        <v>8.0741844846701127</v>
      </c>
      <c r="G225" s="33">
        <f t="shared" si="25"/>
        <v>697609.53947549779</v>
      </c>
      <c r="H225" s="33">
        <f t="shared" si="26"/>
        <v>0.69760953947549775</v>
      </c>
      <c r="I225" s="33">
        <v>31921</v>
      </c>
      <c r="J225" s="43">
        <f t="shared" si="24"/>
        <v>3.1920999999999998E-2</v>
      </c>
      <c r="K225" s="33">
        <v>4663</v>
      </c>
      <c r="L225" s="33">
        <f t="shared" si="30"/>
        <v>4.6629999999999996E-3</v>
      </c>
      <c r="M225" s="33">
        <f t="shared" si="27"/>
        <v>3.6583999999999998E-2</v>
      </c>
      <c r="N225" s="33">
        <v>3.9744000000000002E-2</v>
      </c>
      <c r="O225" s="45">
        <f t="shared" si="28"/>
        <v>0.6212815394754978</v>
      </c>
    </row>
    <row r="226" spans="1:15" x14ac:dyDescent="0.7">
      <c r="A226" s="4"/>
      <c r="B226" s="4"/>
      <c r="C226" s="15">
        <v>11</v>
      </c>
      <c r="D226" s="16">
        <v>26.470999999999997</v>
      </c>
      <c r="E226" s="17">
        <v>0</v>
      </c>
      <c r="F226" s="40">
        <v>8.0741844846701127</v>
      </c>
      <c r="G226" s="33">
        <f t="shared" si="25"/>
        <v>697609.53947549779</v>
      </c>
      <c r="H226" s="33">
        <f t="shared" si="26"/>
        <v>0.69760953947549775</v>
      </c>
      <c r="I226" s="33">
        <v>31677</v>
      </c>
      <c r="J226" s="43">
        <f t="shared" ref="J226:J289" si="31">I226/1000000</f>
        <v>3.1676999999999997E-2</v>
      </c>
      <c r="K226" s="33">
        <v>4657</v>
      </c>
      <c r="L226" s="33">
        <f t="shared" si="30"/>
        <v>4.6569999999999997E-3</v>
      </c>
      <c r="M226" s="33">
        <f t="shared" si="27"/>
        <v>3.6333999999999998E-2</v>
      </c>
      <c r="N226" s="33">
        <v>3.9744000000000002E-2</v>
      </c>
      <c r="O226" s="45">
        <f t="shared" si="28"/>
        <v>0.62153153947549777</v>
      </c>
    </row>
    <row r="227" spans="1:15" x14ac:dyDescent="0.7">
      <c r="A227" s="4"/>
      <c r="B227" s="4"/>
      <c r="C227" s="15">
        <v>12</v>
      </c>
      <c r="D227" s="16">
        <v>21.238</v>
      </c>
      <c r="E227" s="17">
        <v>0</v>
      </c>
      <c r="F227" s="40">
        <v>8.0741844846701127</v>
      </c>
      <c r="G227" s="33">
        <f t="shared" si="25"/>
        <v>697609.53947549779</v>
      </c>
      <c r="H227" s="33">
        <f t="shared" si="26"/>
        <v>0.69760953947549775</v>
      </c>
      <c r="I227" s="33">
        <v>31090</v>
      </c>
      <c r="J227" s="43">
        <f t="shared" si="31"/>
        <v>3.109E-2</v>
      </c>
      <c r="K227" s="33">
        <v>4697</v>
      </c>
      <c r="L227" s="33">
        <f t="shared" si="30"/>
        <v>4.6969999999999998E-3</v>
      </c>
      <c r="M227" s="33">
        <f t="shared" si="27"/>
        <v>3.5786999999999999E-2</v>
      </c>
      <c r="N227" s="33">
        <v>3.9744000000000002E-2</v>
      </c>
      <c r="O227" s="45">
        <f t="shared" si="28"/>
        <v>0.62207853947549774</v>
      </c>
    </row>
    <row r="228" spans="1:15" x14ac:dyDescent="0.7">
      <c r="A228" s="4"/>
      <c r="B228" s="4"/>
      <c r="C228" s="15">
        <v>13</v>
      </c>
      <c r="D228" s="16">
        <v>26.470999999999997</v>
      </c>
      <c r="E228" s="17">
        <v>0.6</v>
      </c>
      <c r="F228" s="40">
        <v>10.864056576920595</v>
      </c>
      <c r="G228" s="33">
        <f t="shared" si="25"/>
        <v>938654.48824593937</v>
      </c>
      <c r="H228" s="33">
        <f t="shared" si="26"/>
        <v>0.93865448824593933</v>
      </c>
      <c r="I228" s="33">
        <v>31196</v>
      </c>
      <c r="J228" s="43">
        <f t="shared" si="31"/>
        <v>3.1196000000000002E-2</v>
      </c>
      <c r="K228" s="40">
        <v>0</v>
      </c>
      <c r="L228" s="40">
        <v>0</v>
      </c>
      <c r="M228" s="33">
        <f t="shared" si="27"/>
        <v>3.1196000000000002E-2</v>
      </c>
      <c r="N228" s="33">
        <v>3.9744000000000002E-2</v>
      </c>
      <c r="O228" s="45">
        <f t="shared" si="28"/>
        <v>0.86771448824593933</v>
      </c>
    </row>
    <row r="229" spans="1:15" x14ac:dyDescent="0.7">
      <c r="A229" s="4"/>
      <c r="B229" s="4"/>
      <c r="C229" s="15">
        <v>14</v>
      </c>
      <c r="D229" s="16">
        <v>29.32</v>
      </c>
      <c r="E229" s="17">
        <v>49.7</v>
      </c>
      <c r="F229" s="40">
        <v>14.132552853542029</v>
      </c>
      <c r="G229" s="33">
        <f t="shared" si="25"/>
        <v>1221052.5665460313</v>
      </c>
      <c r="H229" s="33">
        <f t="shared" si="26"/>
        <v>1.2210525665460312</v>
      </c>
      <c r="I229" s="33">
        <v>32102</v>
      </c>
      <c r="J229" s="43">
        <f t="shared" si="31"/>
        <v>3.2101999999999999E-2</v>
      </c>
      <c r="K229" s="40">
        <v>0</v>
      </c>
      <c r="L229" s="40">
        <v>0</v>
      </c>
      <c r="M229" s="33">
        <f t="shared" si="27"/>
        <v>3.2101999999999999E-2</v>
      </c>
      <c r="N229" s="33">
        <v>4.4063999999999999E-2</v>
      </c>
      <c r="O229" s="45">
        <f t="shared" si="28"/>
        <v>1.144886566546031</v>
      </c>
    </row>
    <row r="230" spans="1:15" x14ac:dyDescent="0.7">
      <c r="A230" s="4"/>
      <c r="B230" s="4"/>
      <c r="C230" s="15">
        <v>15</v>
      </c>
      <c r="D230" s="16">
        <v>38.316000000000003</v>
      </c>
      <c r="E230" s="17">
        <v>20.6</v>
      </c>
      <c r="F230" s="40">
        <v>14.132552853542029</v>
      </c>
      <c r="G230" s="33">
        <f t="shared" si="25"/>
        <v>1221052.5665460313</v>
      </c>
      <c r="H230" s="33">
        <f t="shared" si="26"/>
        <v>1.2210525665460312</v>
      </c>
      <c r="I230" s="33">
        <v>31137</v>
      </c>
      <c r="J230" s="43">
        <f t="shared" si="31"/>
        <v>3.1137000000000001E-2</v>
      </c>
      <c r="K230" s="40">
        <v>0</v>
      </c>
      <c r="L230" s="40">
        <v>0</v>
      </c>
      <c r="M230" s="33">
        <f t="shared" si="27"/>
        <v>3.1137000000000001E-2</v>
      </c>
      <c r="N230" s="33">
        <v>4.4063999999999999E-2</v>
      </c>
      <c r="O230" s="45">
        <f t="shared" si="28"/>
        <v>1.1458515665460312</v>
      </c>
    </row>
    <row r="231" spans="1:15" x14ac:dyDescent="0.7">
      <c r="A231" s="4"/>
      <c r="B231" s="4"/>
      <c r="C231" s="15">
        <v>16</v>
      </c>
      <c r="D231" s="16">
        <v>91.259999999999991</v>
      </c>
      <c r="E231" s="17">
        <v>6.6</v>
      </c>
      <c r="F231" s="40">
        <v>14.132552853542029</v>
      </c>
      <c r="G231" s="33">
        <f t="shared" si="25"/>
        <v>1221052.5665460313</v>
      </c>
      <c r="H231" s="33">
        <f t="shared" si="26"/>
        <v>1.2210525665460312</v>
      </c>
      <c r="I231" s="33">
        <v>31790</v>
      </c>
      <c r="J231" s="43">
        <f t="shared" si="31"/>
        <v>3.1789999999999999E-2</v>
      </c>
      <c r="K231" s="40">
        <v>0</v>
      </c>
      <c r="L231" s="40">
        <v>0</v>
      </c>
      <c r="M231" s="33">
        <f t="shared" si="27"/>
        <v>3.1789999999999999E-2</v>
      </c>
      <c r="N231" s="33">
        <v>4.4063999999999999E-2</v>
      </c>
      <c r="O231" s="45">
        <f t="shared" si="28"/>
        <v>1.1451985665460311</v>
      </c>
    </row>
    <row r="232" spans="1:15" x14ac:dyDescent="0.7">
      <c r="A232" s="4"/>
      <c r="B232" s="4"/>
      <c r="C232" s="15">
        <v>17</v>
      </c>
      <c r="D232" s="16">
        <v>205.18700000000001</v>
      </c>
      <c r="E232" s="17">
        <v>2.1</v>
      </c>
      <c r="F232" s="40">
        <v>14.132552853542029</v>
      </c>
      <c r="G232" s="33">
        <f>F232*86400</f>
        <v>1221052.5665460313</v>
      </c>
      <c r="H232" s="33">
        <f t="shared" si="26"/>
        <v>1.2210525665460312</v>
      </c>
      <c r="I232" s="33">
        <v>33259</v>
      </c>
      <c r="J232" s="43">
        <f t="shared" si="31"/>
        <v>3.3258999999999997E-2</v>
      </c>
      <c r="K232" s="40">
        <v>0</v>
      </c>
      <c r="L232" s="40">
        <v>0</v>
      </c>
      <c r="M232" s="33">
        <f t="shared" si="27"/>
        <v>3.3258999999999997E-2</v>
      </c>
      <c r="N232" s="33">
        <v>4.4063999999999999E-2</v>
      </c>
      <c r="O232" s="45">
        <f t="shared" si="28"/>
        <v>1.1437295665460312</v>
      </c>
    </row>
    <row r="233" spans="1:15" x14ac:dyDescent="0.7">
      <c r="A233" s="4"/>
      <c r="B233" s="4"/>
      <c r="C233" s="15">
        <v>18</v>
      </c>
      <c r="D233" s="16">
        <v>102.182</v>
      </c>
      <c r="E233" s="17">
        <v>4.3</v>
      </c>
      <c r="F233" s="40">
        <v>14.132552853542029</v>
      </c>
      <c r="G233" s="33">
        <f t="shared" ref="G233:G269" si="32">F233*86400</f>
        <v>1221052.5665460313</v>
      </c>
      <c r="H233" s="33">
        <f t="shared" si="26"/>
        <v>1.2210525665460312</v>
      </c>
      <c r="I233" s="33">
        <v>40350</v>
      </c>
      <c r="J233" s="43">
        <f t="shared" si="31"/>
        <v>4.0349999999999997E-2</v>
      </c>
      <c r="K233" s="40">
        <v>0</v>
      </c>
      <c r="L233" s="40">
        <v>0</v>
      </c>
      <c r="M233" s="33">
        <f t="shared" si="27"/>
        <v>4.0349999999999997E-2</v>
      </c>
      <c r="N233" s="33">
        <v>4.4063999999999999E-2</v>
      </c>
      <c r="O233" s="45">
        <f t="shared" si="28"/>
        <v>1.136638566546031</v>
      </c>
    </row>
    <row r="234" spans="1:15" x14ac:dyDescent="0.7">
      <c r="A234" s="4"/>
      <c r="B234" s="4"/>
      <c r="C234" s="15">
        <v>19</v>
      </c>
      <c r="D234" s="16">
        <v>66.167000000000002</v>
      </c>
      <c r="E234" s="17">
        <v>0.6</v>
      </c>
      <c r="F234" s="40">
        <v>14.132552853542029</v>
      </c>
      <c r="G234" s="33">
        <f t="shared" si="32"/>
        <v>1221052.5665460313</v>
      </c>
      <c r="H234" s="33">
        <f t="shared" si="26"/>
        <v>1.2210525665460312</v>
      </c>
      <c r="I234" s="33">
        <v>31811</v>
      </c>
      <c r="J234" s="43">
        <f t="shared" si="31"/>
        <v>3.1810999999999999E-2</v>
      </c>
      <c r="K234" s="40">
        <v>0</v>
      </c>
      <c r="L234" s="40">
        <v>0</v>
      </c>
      <c r="M234" s="33">
        <f t="shared" si="27"/>
        <v>3.1810999999999999E-2</v>
      </c>
      <c r="N234" s="33">
        <v>4.4063999999999999E-2</v>
      </c>
      <c r="O234" s="45">
        <f t="shared" si="28"/>
        <v>1.1451775665460311</v>
      </c>
    </row>
    <row r="235" spans="1:15" x14ac:dyDescent="0.7">
      <c r="A235" s="4"/>
      <c r="B235" s="4"/>
      <c r="C235" s="15">
        <v>20</v>
      </c>
      <c r="D235" s="16">
        <v>69.320999999999998</v>
      </c>
      <c r="E235" s="17">
        <v>9.1</v>
      </c>
      <c r="F235" s="40">
        <v>14.132552853542029</v>
      </c>
      <c r="G235" s="33">
        <f>F235*86400</f>
        <v>1221052.5665460313</v>
      </c>
      <c r="H235" s="33">
        <f t="shared" si="26"/>
        <v>1.2210525665460312</v>
      </c>
      <c r="I235" s="33">
        <v>30371</v>
      </c>
      <c r="J235" s="43">
        <f t="shared" si="31"/>
        <v>3.0370999999999999E-2</v>
      </c>
      <c r="K235" s="40">
        <v>0</v>
      </c>
      <c r="L235" s="40">
        <v>0</v>
      </c>
      <c r="M235" s="33">
        <f t="shared" si="27"/>
        <v>3.0370999999999999E-2</v>
      </c>
      <c r="N235" s="33">
        <v>4.4063999999999999E-2</v>
      </c>
      <c r="O235" s="45">
        <f t="shared" si="28"/>
        <v>1.1466175665460312</v>
      </c>
    </row>
    <row r="236" spans="1:15" x14ac:dyDescent="0.7">
      <c r="A236" s="4"/>
      <c r="B236" s="4"/>
      <c r="C236" s="15">
        <v>21</v>
      </c>
      <c r="D236" s="16">
        <v>69.207999999999998</v>
      </c>
      <c r="E236" s="17">
        <v>21.7</v>
      </c>
      <c r="F236" s="40">
        <v>12.05134371749662</v>
      </c>
      <c r="G236" s="33">
        <f t="shared" si="32"/>
        <v>1041236.0971917079</v>
      </c>
      <c r="H236" s="33">
        <f t="shared" si="26"/>
        <v>1.0412360971917078</v>
      </c>
      <c r="I236" s="33">
        <v>34778</v>
      </c>
      <c r="J236" s="43">
        <f t="shared" si="31"/>
        <v>3.4778000000000003E-2</v>
      </c>
      <c r="K236" s="40">
        <v>0</v>
      </c>
      <c r="L236" s="40">
        <v>0</v>
      </c>
      <c r="M236" s="33">
        <f t="shared" si="27"/>
        <v>3.4778000000000003E-2</v>
      </c>
      <c r="N236" s="33">
        <v>4.4063999999999999E-2</v>
      </c>
      <c r="O236" s="45">
        <f t="shared" si="28"/>
        <v>0.96239409719170788</v>
      </c>
    </row>
    <row r="237" spans="1:15" x14ac:dyDescent="0.7">
      <c r="A237" s="4"/>
      <c r="B237" s="4"/>
      <c r="C237" s="15">
        <v>22</v>
      </c>
      <c r="D237" s="16">
        <v>57.642000000000003</v>
      </c>
      <c r="E237" s="17">
        <v>34.1</v>
      </c>
      <c r="F237" s="40">
        <v>10.019255420058981</v>
      </c>
      <c r="G237" s="33">
        <f t="shared" si="32"/>
        <v>865663.66829309589</v>
      </c>
      <c r="H237" s="33">
        <f t="shared" si="26"/>
        <v>0.86566366829309593</v>
      </c>
      <c r="I237" s="33">
        <v>38729</v>
      </c>
      <c r="J237" s="43">
        <f t="shared" si="31"/>
        <v>3.8729E-2</v>
      </c>
      <c r="K237" s="40">
        <v>0</v>
      </c>
      <c r="L237" s="40">
        <v>0</v>
      </c>
      <c r="M237" s="33">
        <f t="shared" si="27"/>
        <v>3.8729E-2</v>
      </c>
      <c r="N237" s="33">
        <v>4.4063999999999999E-2</v>
      </c>
      <c r="O237" s="45">
        <f t="shared" si="28"/>
        <v>0.78287066829309593</v>
      </c>
    </row>
    <row r="238" spans="1:15" x14ac:dyDescent="0.7">
      <c r="A238" s="4"/>
      <c r="B238" s="4"/>
      <c r="C238" s="15">
        <v>23</v>
      </c>
      <c r="D238" s="16">
        <v>111.45400000000001</v>
      </c>
      <c r="E238" s="17">
        <v>17.2</v>
      </c>
      <c r="F238" s="40">
        <v>10.019255420058981</v>
      </c>
      <c r="G238" s="33">
        <f t="shared" si="32"/>
        <v>865663.66829309589</v>
      </c>
      <c r="H238" s="33">
        <f t="shared" si="26"/>
        <v>0.86566366829309593</v>
      </c>
      <c r="I238" s="33">
        <v>31705</v>
      </c>
      <c r="J238" s="43">
        <f t="shared" si="31"/>
        <v>3.1704999999999997E-2</v>
      </c>
      <c r="K238" s="40">
        <v>0</v>
      </c>
      <c r="L238" s="40">
        <v>0</v>
      </c>
      <c r="M238" s="33">
        <f t="shared" si="27"/>
        <v>3.1704999999999997E-2</v>
      </c>
      <c r="N238" s="33">
        <v>4.4063999999999999E-2</v>
      </c>
      <c r="O238" s="45">
        <f t="shared" si="28"/>
        <v>0.78989466829309596</v>
      </c>
    </row>
    <row r="239" spans="1:15" x14ac:dyDescent="0.7">
      <c r="A239" s="4"/>
      <c r="B239" s="4"/>
      <c r="C239" s="15">
        <v>24</v>
      </c>
      <c r="D239" s="16">
        <v>107.57</v>
      </c>
      <c r="E239" s="17">
        <v>6.1</v>
      </c>
      <c r="F239" s="40">
        <v>10.019255420058981</v>
      </c>
      <c r="G239" s="33">
        <f t="shared" si="32"/>
        <v>865663.66829309589</v>
      </c>
      <c r="H239" s="33">
        <f t="shared" si="26"/>
        <v>0.86566366829309593</v>
      </c>
      <c r="I239" s="33">
        <v>33969</v>
      </c>
      <c r="J239" s="43">
        <f t="shared" si="31"/>
        <v>3.3968999999999999E-2</v>
      </c>
      <c r="K239" s="40">
        <v>0</v>
      </c>
      <c r="L239" s="40">
        <v>0</v>
      </c>
      <c r="M239" s="33">
        <f t="shared" si="27"/>
        <v>3.3968999999999999E-2</v>
      </c>
      <c r="N239" s="33">
        <v>4.4063999999999999E-2</v>
      </c>
      <c r="O239" s="45">
        <f t="shared" si="28"/>
        <v>0.78763066829309591</v>
      </c>
    </row>
    <row r="240" spans="1:15" x14ac:dyDescent="0.7">
      <c r="A240" s="4"/>
      <c r="B240" s="4"/>
      <c r="C240" s="15">
        <v>25</v>
      </c>
      <c r="D240" s="16">
        <v>87.185000000000002</v>
      </c>
      <c r="E240" s="17">
        <v>20.6</v>
      </c>
      <c r="F240" s="40">
        <v>10.019255420058981</v>
      </c>
      <c r="G240" s="33">
        <f t="shared" si="32"/>
        <v>865663.66829309589</v>
      </c>
      <c r="H240" s="33">
        <f t="shared" ref="H240:H269" si="33">G240/1000000</f>
        <v>0.86566366829309593</v>
      </c>
      <c r="I240" s="33">
        <v>34431</v>
      </c>
      <c r="J240" s="43">
        <f t="shared" si="31"/>
        <v>3.4431000000000003E-2</v>
      </c>
      <c r="K240" s="40">
        <v>0</v>
      </c>
      <c r="L240" s="40">
        <v>0</v>
      </c>
      <c r="M240" s="33">
        <f t="shared" si="27"/>
        <v>3.4431000000000003E-2</v>
      </c>
      <c r="N240" s="33">
        <v>4.4063999999999999E-2</v>
      </c>
      <c r="O240" s="45">
        <f t="shared" si="28"/>
        <v>0.78716866829309595</v>
      </c>
    </row>
    <row r="241" spans="1:15" x14ac:dyDescent="0.7">
      <c r="A241" s="4"/>
      <c r="B241" s="4"/>
      <c r="C241" s="15">
        <v>26</v>
      </c>
      <c r="D241" s="16">
        <v>115.36799999999999</v>
      </c>
      <c r="E241" s="17">
        <v>38.1</v>
      </c>
      <c r="F241" s="40">
        <v>10.019255420058981</v>
      </c>
      <c r="G241" s="33">
        <f t="shared" si="32"/>
        <v>865663.66829309589</v>
      </c>
      <c r="H241" s="33">
        <f t="shared" si="33"/>
        <v>0.86566366829309593</v>
      </c>
      <c r="I241" s="33">
        <v>34575</v>
      </c>
      <c r="J241" s="43">
        <f t="shared" si="31"/>
        <v>3.4575000000000002E-2</v>
      </c>
      <c r="K241" s="40">
        <v>0</v>
      </c>
      <c r="L241" s="40">
        <v>0</v>
      </c>
      <c r="M241" s="33">
        <f t="shared" si="27"/>
        <v>3.4575000000000002E-2</v>
      </c>
      <c r="N241" s="33">
        <v>4.4063999999999999E-2</v>
      </c>
      <c r="O241" s="45">
        <f t="shared" si="28"/>
        <v>0.78702466829309592</v>
      </c>
    </row>
    <row r="242" spans="1:15" x14ac:dyDescent="0.7">
      <c r="A242" s="4"/>
      <c r="B242" s="4"/>
      <c r="C242" s="15">
        <v>27</v>
      </c>
      <c r="D242" s="16">
        <v>78.459000000000003</v>
      </c>
      <c r="E242" s="17">
        <v>12.1</v>
      </c>
      <c r="F242" s="40">
        <v>10.019255420058981</v>
      </c>
      <c r="G242" s="33">
        <f t="shared" si="32"/>
        <v>865663.66829309589</v>
      </c>
      <c r="H242" s="33">
        <f t="shared" si="33"/>
        <v>0.86566366829309593</v>
      </c>
      <c r="I242" s="33">
        <v>33689</v>
      </c>
      <c r="J242" s="43">
        <f t="shared" si="31"/>
        <v>3.3688999999999997E-2</v>
      </c>
      <c r="K242" s="33">
        <v>5996</v>
      </c>
      <c r="L242" s="33">
        <f t="shared" ref="L242:L265" si="34">K242/1000000</f>
        <v>5.9959999999999996E-3</v>
      </c>
      <c r="M242" s="33">
        <f t="shared" ref="M242:M269" si="35">J242+L242</f>
        <v>3.9684999999999998E-2</v>
      </c>
      <c r="N242" s="33">
        <v>0.37609920000000002</v>
      </c>
      <c r="O242" s="45">
        <f t="shared" ref="O242:O269" si="36">H242-M242-N242</f>
        <v>0.44987946829309594</v>
      </c>
    </row>
    <row r="243" spans="1:15" x14ac:dyDescent="0.7">
      <c r="A243" s="4"/>
      <c r="B243" s="4"/>
      <c r="C243" s="15">
        <v>28</v>
      </c>
      <c r="D243" s="16">
        <v>109.501</v>
      </c>
      <c r="E243" s="17">
        <v>21.2</v>
      </c>
      <c r="F243" s="40">
        <v>10.019255420058981</v>
      </c>
      <c r="G243" s="33">
        <f t="shared" si="32"/>
        <v>865663.66829309589</v>
      </c>
      <c r="H243" s="33">
        <f t="shared" si="33"/>
        <v>0.86566366829309593</v>
      </c>
      <c r="I243" s="33">
        <v>31615</v>
      </c>
      <c r="J243" s="43">
        <f t="shared" si="31"/>
        <v>3.1614999999999997E-2</v>
      </c>
      <c r="K243" s="33">
        <v>10174</v>
      </c>
      <c r="L243" s="33">
        <f t="shared" si="34"/>
        <v>1.0174000000000001E-2</v>
      </c>
      <c r="M243" s="33">
        <f t="shared" si="35"/>
        <v>4.1789E-2</v>
      </c>
      <c r="N243" s="33">
        <v>1.9699199999999997E-2</v>
      </c>
      <c r="O243" s="45">
        <f t="shared" si="36"/>
        <v>0.80417546829309594</v>
      </c>
    </row>
    <row r="244" spans="1:15" x14ac:dyDescent="0.7">
      <c r="A244" s="4"/>
      <c r="B244" s="4"/>
      <c r="C244" s="15">
        <v>29</v>
      </c>
      <c r="D244" s="16">
        <v>107.57</v>
      </c>
      <c r="E244" s="17">
        <v>7.1</v>
      </c>
      <c r="F244" s="40">
        <v>7.2460562032113538</v>
      </c>
      <c r="G244" s="33">
        <f t="shared" si="32"/>
        <v>626059.25595746096</v>
      </c>
      <c r="H244" s="33">
        <f t="shared" si="33"/>
        <v>0.62605925595746093</v>
      </c>
      <c r="I244" s="33">
        <v>31630</v>
      </c>
      <c r="J244" s="43">
        <f t="shared" si="31"/>
        <v>3.1629999999999998E-2</v>
      </c>
      <c r="K244" s="33">
        <v>9536</v>
      </c>
      <c r="L244" s="33">
        <f t="shared" si="34"/>
        <v>9.5359999999999993E-3</v>
      </c>
      <c r="M244" s="33">
        <f t="shared" si="35"/>
        <v>4.1165999999999994E-2</v>
      </c>
      <c r="N244" s="33">
        <v>7.8796799999999986E-2</v>
      </c>
      <c r="O244" s="45">
        <f t="shared" si="36"/>
        <v>0.50609645595746089</v>
      </c>
    </row>
    <row r="245" spans="1:15" x14ac:dyDescent="0.7">
      <c r="A245" s="4"/>
      <c r="B245" s="4"/>
      <c r="C245" s="15">
        <v>30</v>
      </c>
      <c r="D245" s="16">
        <v>93.688000000000002</v>
      </c>
      <c r="E245" s="17">
        <v>5.6</v>
      </c>
      <c r="F245" s="40">
        <v>6.0439249952314915</v>
      </c>
      <c r="G245" s="33">
        <f t="shared" si="32"/>
        <v>522195.11958800087</v>
      </c>
      <c r="H245" s="33">
        <f t="shared" si="33"/>
        <v>0.52219511958800091</v>
      </c>
      <c r="I245" s="33">
        <v>28416</v>
      </c>
      <c r="J245" s="43">
        <f t="shared" si="31"/>
        <v>2.8416E-2</v>
      </c>
      <c r="K245" s="33">
        <v>4595</v>
      </c>
      <c r="L245" s="33">
        <f t="shared" si="34"/>
        <v>4.5950000000000001E-3</v>
      </c>
      <c r="M245" s="33">
        <f t="shared" si="35"/>
        <v>3.3010999999999999E-2</v>
      </c>
      <c r="N245" s="33">
        <v>0.18869759999999999</v>
      </c>
      <c r="O245" s="45">
        <f t="shared" si="36"/>
        <v>0.30048651958800088</v>
      </c>
    </row>
    <row r="246" spans="1:15" s="10" customFormat="1" ht="25.2" thickBot="1" x14ac:dyDescent="0.75">
      <c r="A246" s="6"/>
      <c r="B246" s="6" t="s">
        <v>22</v>
      </c>
      <c r="C246" s="21">
        <v>31</v>
      </c>
      <c r="D246" s="22">
        <v>76.652999999999992</v>
      </c>
      <c r="E246" s="23">
        <v>0</v>
      </c>
      <c r="F246" s="41">
        <v>3.0576121264665694</v>
      </c>
      <c r="G246" s="37">
        <f t="shared" si="32"/>
        <v>264177.68772671162</v>
      </c>
      <c r="H246" s="37">
        <f t="shared" si="33"/>
        <v>0.26417768772671163</v>
      </c>
      <c r="I246" s="37">
        <v>12927</v>
      </c>
      <c r="J246" s="47">
        <f t="shared" si="31"/>
        <v>1.2926999999999999E-2</v>
      </c>
      <c r="K246" s="37">
        <v>3776</v>
      </c>
      <c r="L246" s="37">
        <f t="shared" si="34"/>
        <v>3.7759999999999998E-3</v>
      </c>
      <c r="M246" s="37">
        <f t="shared" si="35"/>
        <v>1.6702999999999999E-2</v>
      </c>
      <c r="N246" s="37">
        <v>0.12959999999999999</v>
      </c>
      <c r="O246" s="48">
        <f t="shared" si="36"/>
        <v>0.11787468772671164</v>
      </c>
    </row>
    <row r="247" spans="1:15" x14ac:dyDescent="0.7">
      <c r="A247" s="2"/>
      <c r="B247" s="2" t="s">
        <v>23</v>
      </c>
      <c r="C247" s="19">
        <v>1</v>
      </c>
      <c r="D247" s="20">
        <v>118.39400000000001</v>
      </c>
      <c r="E247" s="24">
        <v>59.5</v>
      </c>
      <c r="F247" s="42">
        <v>3.0576121264665694</v>
      </c>
      <c r="G247" s="38">
        <f t="shared" si="32"/>
        <v>264177.68772671162</v>
      </c>
      <c r="H247" s="38">
        <f t="shared" si="33"/>
        <v>0.26417768772671163</v>
      </c>
      <c r="I247" s="38">
        <v>29922</v>
      </c>
      <c r="J247" s="50">
        <f t="shared" si="31"/>
        <v>2.9922000000000001E-2</v>
      </c>
      <c r="K247" s="38">
        <v>4540</v>
      </c>
      <c r="L247" s="38">
        <f t="shared" si="34"/>
        <v>4.5399999999999998E-3</v>
      </c>
      <c r="M247" s="38">
        <f t="shared" si="35"/>
        <v>3.4462E-2</v>
      </c>
      <c r="N247" s="38">
        <v>0.1147392</v>
      </c>
      <c r="O247" s="51">
        <f t="shared" si="36"/>
        <v>0.11497648772671164</v>
      </c>
    </row>
    <row r="248" spans="1:15" x14ac:dyDescent="0.7">
      <c r="A248" s="4"/>
      <c r="B248" s="4"/>
      <c r="C248" s="15">
        <v>2</v>
      </c>
      <c r="D248" s="16">
        <v>96.746000000000009</v>
      </c>
      <c r="E248" s="17">
        <v>0</v>
      </c>
      <c r="F248" s="40">
        <v>3.0576121264665694</v>
      </c>
      <c r="G248" s="33">
        <f t="shared" si="32"/>
        <v>264177.68772671162</v>
      </c>
      <c r="H248" s="33">
        <f t="shared" si="33"/>
        <v>0.26417768772671163</v>
      </c>
      <c r="I248" s="33">
        <v>27566</v>
      </c>
      <c r="J248" s="43">
        <f t="shared" si="31"/>
        <v>2.7566E-2</v>
      </c>
      <c r="K248" s="33">
        <v>4401</v>
      </c>
      <c r="L248" s="33">
        <f t="shared" si="34"/>
        <v>4.4010000000000004E-3</v>
      </c>
      <c r="M248" s="33">
        <f t="shared" si="35"/>
        <v>3.1967000000000002E-2</v>
      </c>
      <c r="N248" s="33">
        <v>7.1539199999999997E-2</v>
      </c>
      <c r="O248" s="45">
        <f t="shared" si="36"/>
        <v>0.16067148772671164</v>
      </c>
    </row>
    <row r="249" spans="1:15" x14ac:dyDescent="0.7">
      <c r="A249" s="4"/>
      <c r="B249" s="4"/>
      <c r="C249" s="15">
        <v>3</v>
      </c>
      <c r="D249" s="16">
        <v>61.46</v>
      </c>
      <c r="E249" s="17">
        <v>0.5</v>
      </c>
      <c r="F249" s="40">
        <v>3.0576121264665694</v>
      </c>
      <c r="G249" s="33">
        <f t="shared" si="32"/>
        <v>264177.68772671162</v>
      </c>
      <c r="H249" s="33">
        <f t="shared" si="33"/>
        <v>0.26417768772671163</v>
      </c>
      <c r="I249" s="33">
        <v>20182</v>
      </c>
      <c r="J249" s="43">
        <f t="shared" si="31"/>
        <v>2.0181999999999999E-2</v>
      </c>
      <c r="K249" s="33">
        <v>4524</v>
      </c>
      <c r="L249" s="33">
        <f t="shared" si="34"/>
        <v>4.5240000000000002E-3</v>
      </c>
      <c r="M249" s="33">
        <f t="shared" si="35"/>
        <v>2.4705999999999999E-2</v>
      </c>
      <c r="N249" s="33">
        <v>2.4019199999999997E-2</v>
      </c>
      <c r="O249" s="45">
        <f t="shared" si="36"/>
        <v>0.21545248772671163</v>
      </c>
    </row>
    <row r="250" spans="1:15" x14ac:dyDescent="0.7">
      <c r="A250" s="4"/>
      <c r="B250" s="4"/>
      <c r="C250" s="15">
        <v>4</v>
      </c>
      <c r="D250" s="16">
        <v>55.091999999999999</v>
      </c>
      <c r="E250" s="17">
        <v>0</v>
      </c>
      <c r="F250" s="40">
        <v>5.6362275181014443</v>
      </c>
      <c r="G250" s="33">
        <f t="shared" si="32"/>
        <v>486970.0575639648</v>
      </c>
      <c r="H250" s="33">
        <f t="shared" si="33"/>
        <v>0.48697005756396478</v>
      </c>
      <c r="I250" s="33">
        <v>15164</v>
      </c>
      <c r="J250" s="43">
        <f t="shared" si="31"/>
        <v>1.5164E-2</v>
      </c>
      <c r="K250" s="33">
        <v>4295</v>
      </c>
      <c r="L250" s="33">
        <f t="shared" si="34"/>
        <v>4.2950000000000002E-3</v>
      </c>
      <c r="M250" s="33">
        <f t="shared" si="35"/>
        <v>1.9459000000000001E-2</v>
      </c>
      <c r="N250" s="33">
        <v>2.4019199999999997E-2</v>
      </c>
      <c r="O250" s="45">
        <f t="shared" si="36"/>
        <v>0.44349185756396475</v>
      </c>
    </row>
    <row r="251" spans="1:15" x14ac:dyDescent="0.7">
      <c r="A251" s="4"/>
      <c r="B251" s="4"/>
      <c r="C251" s="15">
        <v>5</v>
      </c>
      <c r="D251" s="16">
        <v>49.142000000000003</v>
      </c>
      <c r="E251" s="17">
        <v>0</v>
      </c>
      <c r="F251" s="40">
        <v>9.082222929295023</v>
      </c>
      <c r="G251" s="33">
        <f t="shared" si="32"/>
        <v>784704.06109108997</v>
      </c>
      <c r="H251" s="33">
        <f t="shared" si="33"/>
        <v>0.78470406109108992</v>
      </c>
      <c r="I251" s="33">
        <v>11312</v>
      </c>
      <c r="J251" s="43">
        <f t="shared" si="31"/>
        <v>1.1311999999999999E-2</v>
      </c>
      <c r="K251" s="33">
        <v>4417</v>
      </c>
      <c r="L251" s="33">
        <f t="shared" si="34"/>
        <v>4.4169999999999999E-3</v>
      </c>
      <c r="M251" s="33">
        <f t="shared" si="35"/>
        <v>1.5729E-2</v>
      </c>
      <c r="N251" s="33">
        <v>2.4019199999999997E-2</v>
      </c>
      <c r="O251" s="45">
        <f t="shared" si="36"/>
        <v>0.74495586109108991</v>
      </c>
    </row>
    <row r="252" spans="1:15" x14ac:dyDescent="0.7">
      <c r="A252" s="4"/>
      <c r="B252" s="4"/>
      <c r="C252" s="15">
        <v>6</v>
      </c>
      <c r="D252" s="16">
        <v>53.51</v>
      </c>
      <c r="E252" s="17">
        <v>0</v>
      </c>
      <c r="F252" s="40">
        <v>9.082222929295023</v>
      </c>
      <c r="G252" s="33">
        <f t="shared" si="32"/>
        <v>784704.06109108997</v>
      </c>
      <c r="H252" s="33">
        <f t="shared" si="33"/>
        <v>0.78470406109108992</v>
      </c>
      <c r="I252" s="33">
        <v>17023</v>
      </c>
      <c r="J252" s="43">
        <f t="shared" si="31"/>
        <v>1.7023E-2</v>
      </c>
      <c r="K252" s="33">
        <v>4347</v>
      </c>
      <c r="L252" s="33">
        <f t="shared" si="34"/>
        <v>4.3470000000000002E-3</v>
      </c>
      <c r="M252" s="33">
        <f t="shared" si="35"/>
        <v>2.137E-2</v>
      </c>
      <c r="N252" s="33">
        <v>2.4019199999999997E-2</v>
      </c>
      <c r="O252" s="45">
        <f t="shared" si="36"/>
        <v>0.7393148610910899</v>
      </c>
    </row>
    <row r="253" spans="1:15" x14ac:dyDescent="0.7">
      <c r="A253" s="4"/>
      <c r="B253" s="4"/>
      <c r="C253" s="15">
        <v>7</v>
      </c>
      <c r="D253" s="16">
        <v>52.036999999999999</v>
      </c>
      <c r="E253" s="17">
        <v>0</v>
      </c>
      <c r="F253" s="40">
        <v>9.082222929295023</v>
      </c>
      <c r="G253" s="33">
        <f t="shared" si="32"/>
        <v>784704.06109108997</v>
      </c>
      <c r="H253" s="33">
        <f t="shared" si="33"/>
        <v>0.78470406109108992</v>
      </c>
      <c r="I253" s="33">
        <v>23322</v>
      </c>
      <c r="J253" s="43">
        <f t="shared" si="31"/>
        <v>2.3321999999999999E-2</v>
      </c>
      <c r="K253" s="33">
        <v>9733</v>
      </c>
      <c r="L253" s="33">
        <f t="shared" si="34"/>
        <v>9.7330000000000003E-3</v>
      </c>
      <c r="M253" s="33">
        <f t="shared" si="35"/>
        <v>3.3055000000000001E-2</v>
      </c>
      <c r="N253" s="33">
        <v>2.4019199999999997E-2</v>
      </c>
      <c r="O253" s="45">
        <f t="shared" si="36"/>
        <v>0.72762986109108996</v>
      </c>
    </row>
    <row r="254" spans="1:15" x14ac:dyDescent="0.7">
      <c r="A254" s="4"/>
      <c r="B254" s="4"/>
      <c r="C254" s="15">
        <v>8</v>
      </c>
      <c r="D254" s="16">
        <v>38.260000000000005</v>
      </c>
      <c r="E254" s="17">
        <v>0</v>
      </c>
      <c r="F254" s="40">
        <v>9.082222929295023</v>
      </c>
      <c r="G254" s="33">
        <f t="shared" si="32"/>
        <v>784704.06109108997</v>
      </c>
      <c r="H254" s="33">
        <f t="shared" si="33"/>
        <v>0.78470406109108992</v>
      </c>
      <c r="I254" s="33">
        <v>24319</v>
      </c>
      <c r="J254" s="43">
        <f t="shared" si="31"/>
        <v>2.4319E-2</v>
      </c>
      <c r="K254" s="40">
        <v>0</v>
      </c>
      <c r="L254" s="40">
        <v>0</v>
      </c>
      <c r="M254" s="33">
        <f t="shared" si="35"/>
        <v>2.4319E-2</v>
      </c>
      <c r="N254" s="33">
        <v>2.4019199999999997E-2</v>
      </c>
      <c r="O254" s="45">
        <f t="shared" si="36"/>
        <v>0.73636586109108992</v>
      </c>
    </row>
    <row r="255" spans="1:15" x14ac:dyDescent="0.7">
      <c r="A255" s="4"/>
      <c r="B255" s="4"/>
      <c r="C255" s="15">
        <v>9</v>
      </c>
      <c r="D255" s="16">
        <v>33.265000000000001</v>
      </c>
      <c r="E255" s="17">
        <v>0</v>
      </c>
      <c r="F255" s="40">
        <v>9.082222929295023</v>
      </c>
      <c r="G255" s="33">
        <f t="shared" si="32"/>
        <v>784704.06109108997</v>
      </c>
      <c r="H255" s="33">
        <f t="shared" si="33"/>
        <v>0.78470406109108992</v>
      </c>
      <c r="I255" s="33">
        <v>36684</v>
      </c>
      <c r="J255" s="43">
        <f t="shared" si="31"/>
        <v>3.6684000000000001E-2</v>
      </c>
      <c r="K255" s="33">
        <v>1313</v>
      </c>
      <c r="L255" s="33">
        <f t="shared" si="34"/>
        <v>1.3129999999999999E-3</v>
      </c>
      <c r="M255" s="33">
        <f t="shared" si="35"/>
        <v>3.7997000000000003E-2</v>
      </c>
      <c r="N255" s="33">
        <v>4.3200000000000001E-3</v>
      </c>
      <c r="O255" s="45">
        <f t="shared" si="36"/>
        <v>0.74238706109108998</v>
      </c>
    </row>
    <row r="256" spans="1:15" x14ac:dyDescent="0.7">
      <c r="A256" s="4"/>
      <c r="B256" s="4"/>
      <c r="C256" s="15">
        <v>10</v>
      </c>
      <c r="D256" s="16">
        <v>38.260000000000005</v>
      </c>
      <c r="E256" s="17">
        <v>25.7</v>
      </c>
      <c r="F256" s="40">
        <v>6.9062899047542397</v>
      </c>
      <c r="G256" s="33">
        <f t="shared" si="32"/>
        <v>596703.44777076633</v>
      </c>
      <c r="H256" s="33">
        <f t="shared" si="33"/>
        <v>0.59670344777076634</v>
      </c>
      <c r="I256" s="33">
        <v>30746</v>
      </c>
      <c r="J256" s="43">
        <f t="shared" si="31"/>
        <v>3.0745999999999999E-2</v>
      </c>
      <c r="K256" s="33">
        <v>4430</v>
      </c>
      <c r="L256" s="33">
        <f t="shared" si="34"/>
        <v>4.4299999999999999E-3</v>
      </c>
      <c r="M256" s="33">
        <f t="shared" si="35"/>
        <v>3.5175999999999999E-2</v>
      </c>
      <c r="N256" s="33">
        <v>4.752E-2</v>
      </c>
      <c r="O256" s="45">
        <f t="shared" si="36"/>
        <v>0.51400744777076635</v>
      </c>
    </row>
    <row r="257" spans="1:15" x14ac:dyDescent="0.7">
      <c r="A257" s="4"/>
      <c r="B257" s="4"/>
      <c r="C257" s="15">
        <v>11</v>
      </c>
      <c r="D257" s="16">
        <v>110.364</v>
      </c>
      <c r="E257" s="17">
        <v>37.799999999999997</v>
      </c>
      <c r="F257" s="40">
        <v>5.0535300890814083</v>
      </c>
      <c r="G257" s="33">
        <f t="shared" si="32"/>
        <v>436624.99969663366</v>
      </c>
      <c r="H257" s="33">
        <f t="shared" si="33"/>
        <v>0.43662499969663365</v>
      </c>
      <c r="I257" s="33">
        <v>12506</v>
      </c>
      <c r="J257" s="43">
        <f t="shared" si="31"/>
        <v>1.2506E-2</v>
      </c>
      <c r="K257" s="33">
        <v>3680</v>
      </c>
      <c r="L257" s="33">
        <f t="shared" si="34"/>
        <v>3.6800000000000001E-3</v>
      </c>
      <c r="M257" s="33">
        <f t="shared" si="35"/>
        <v>1.6185999999999999E-2</v>
      </c>
      <c r="N257" s="33">
        <v>4.3200000000000001E-3</v>
      </c>
      <c r="O257" s="45">
        <f t="shared" si="36"/>
        <v>0.41611899969663368</v>
      </c>
    </row>
    <row r="258" spans="1:15" x14ac:dyDescent="0.7">
      <c r="A258" s="4"/>
      <c r="B258" s="4"/>
      <c r="C258" s="15">
        <v>12</v>
      </c>
      <c r="D258" s="16">
        <v>130.715</v>
      </c>
      <c r="E258" s="17">
        <v>11.7</v>
      </c>
      <c r="F258" s="40">
        <v>5.0535300890814083</v>
      </c>
      <c r="G258" s="33">
        <f t="shared" si="32"/>
        <v>436624.99969663366</v>
      </c>
      <c r="H258" s="33">
        <f t="shared" si="33"/>
        <v>0.43662499969663365</v>
      </c>
      <c r="I258" s="33">
        <v>9288</v>
      </c>
      <c r="J258" s="43">
        <f t="shared" si="31"/>
        <v>9.2879999999999994E-3</v>
      </c>
      <c r="K258" s="33">
        <v>2802</v>
      </c>
      <c r="L258" s="33">
        <f t="shared" si="34"/>
        <v>2.8019999999999998E-3</v>
      </c>
      <c r="M258" s="33">
        <f t="shared" si="35"/>
        <v>1.209E-2</v>
      </c>
      <c r="N258" s="33">
        <v>4.3200000000000001E-3</v>
      </c>
      <c r="O258" s="45">
        <f t="shared" si="36"/>
        <v>0.42021499969663367</v>
      </c>
    </row>
    <row r="259" spans="1:15" x14ac:dyDescent="0.7">
      <c r="A259" s="4"/>
      <c r="B259" s="4"/>
      <c r="C259" s="15">
        <v>13</v>
      </c>
      <c r="D259" s="16">
        <v>104.497</v>
      </c>
      <c r="E259" s="17">
        <v>3.6</v>
      </c>
      <c r="F259" s="40">
        <v>5.0535300890814083</v>
      </c>
      <c r="G259" s="33">
        <f t="shared" si="32"/>
        <v>436624.99969663366</v>
      </c>
      <c r="H259" s="33">
        <f t="shared" si="33"/>
        <v>0.43662499969663365</v>
      </c>
      <c r="I259" s="33">
        <v>18352</v>
      </c>
      <c r="J259" s="43">
        <f t="shared" si="31"/>
        <v>1.8352E-2</v>
      </c>
      <c r="K259" s="33">
        <v>3008</v>
      </c>
      <c r="L259" s="33">
        <f t="shared" si="34"/>
        <v>3.0079999999999998E-3</v>
      </c>
      <c r="M259" s="33">
        <f t="shared" si="35"/>
        <v>2.1360000000000001E-2</v>
      </c>
      <c r="N259" s="33">
        <v>4.3200000000000001E-3</v>
      </c>
      <c r="O259" s="45">
        <f t="shared" si="36"/>
        <v>0.41094499969663367</v>
      </c>
    </row>
    <row r="260" spans="1:15" x14ac:dyDescent="0.7">
      <c r="A260" s="4"/>
      <c r="B260" s="4"/>
      <c r="C260" s="15">
        <v>14</v>
      </c>
      <c r="D260" s="16">
        <v>76.903999999999996</v>
      </c>
      <c r="E260" s="17">
        <v>1.4</v>
      </c>
      <c r="F260" s="40">
        <v>5.0535300890814083</v>
      </c>
      <c r="G260" s="33">
        <f t="shared" si="32"/>
        <v>436624.99969663366</v>
      </c>
      <c r="H260" s="33">
        <f t="shared" si="33"/>
        <v>0.43662499969663365</v>
      </c>
      <c r="I260" s="33">
        <v>20085</v>
      </c>
      <c r="J260" s="43">
        <f t="shared" si="31"/>
        <v>2.0084999999999999E-2</v>
      </c>
      <c r="K260" s="33">
        <v>2994</v>
      </c>
      <c r="L260" s="33">
        <f t="shared" si="34"/>
        <v>2.9940000000000001E-3</v>
      </c>
      <c r="M260" s="33">
        <f t="shared" si="35"/>
        <v>2.3078999999999999E-2</v>
      </c>
      <c r="N260" s="33">
        <v>4.3200000000000001E-3</v>
      </c>
      <c r="O260" s="45">
        <f t="shared" si="36"/>
        <v>0.40922599969663365</v>
      </c>
    </row>
    <row r="261" spans="1:15" x14ac:dyDescent="0.7">
      <c r="A261" s="4"/>
      <c r="B261" s="4"/>
      <c r="C261" s="15">
        <v>15</v>
      </c>
      <c r="D261" s="16">
        <v>60.242000000000004</v>
      </c>
      <c r="E261" s="17">
        <v>4.2</v>
      </c>
      <c r="F261" s="40">
        <v>5.0535300890814083</v>
      </c>
      <c r="G261" s="33">
        <f t="shared" si="32"/>
        <v>436624.99969663366</v>
      </c>
      <c r="H261" s="33">
        <f t="shared" si="33"/>
        <v>0.43662499969663365</v>
      </c>
      <c r="I261" s="33">
        <v>10363</v>
      </c>
      <c r="J261" s="43">
        <f t="shared" si="31"/>
        <v>1.0363000000000001E-2</v>
      </c>
      <c r="K261" s="33">
        <v>2792</v>
      </c>
      <c r="L261" s="33">
        <f t="shared" si="34"/>
        <v>2.7920000000000002E-3</v>
      </c>
      <c r="M261" s="33">
        <f t="shared" si="35"/>
        <v>1.3155E-2</v>
      </c>
      <c r="N261" s="33">
        <v>4.3200000000000001E-3</v>
      </c>
      <c r="O261" s="45">
        <f t="shared" si="36"/>
        <v>0.41914999969663369</v>
      </c>
    </row>
    <row r="262" spans="1:15" x14ac:dyDescent="0.7">
      <c r="A262" s="4"/>
      <c r="B262" s="4"/>
      <c r="C262" s="15">
        <v>16</v>
      </c>
      <c r="D262" s="16">
        <v>57.088000000000001</v>
      </c>
      <c r="E262" s="17">
        <v>1.4</v>
      </c>
      <c r="F262" s="40">
        <v>8.5699062112609141</v>
      </c>
      <c r="G262" s="33">
        <f t="shared" si="32"/>
        <v>740439.89665294299</v>
      </c>
      <c r="H262" s="33">
        <f t="shared" si="33"/>
        <v>0.74043989665294296</v>
      </c>
      <c r="I262" s="33">
        <v>11671</v>
      </c>
      <c r="J262" s="43">
        <f t="shared" si="31"/>
        <v>1.1671000000000001E-2</v>
      </c>
      <c r="K262" s="33">
        <v>2672</v>
      </c>
      <c r="L262" s="33">
        <f t="shared" si="34"/>
        <v>2.6719999999999999E-3</v>
      </c>
      <c r="M262" s="33">
        <f t="shared" si="35"/>
        <v>1.4343000000000002E-2</v>
      </c>
      <c r="N262" s="33">
        <v>4.3200000000000001E-3</v>
      </c>
      <c r="O262" s="45">
        <f t="shared" si="36"/>
        <v>0.72177689665294298</v>
      </c>
    </row>
    <row r="263" spans="1:15" x14ac:dyDescent="0.7">
      <c r="A263" s="4"/>
      <c r="B263" s="4"/>
      <c r="C263" s="15">
        <v>17</v>
      </c>
      <c r="D263" s="16">
        <v>44.938000000000002</v>
      </c>
      <c r="E263" s="17">
        <v>7.8</v>
      </c>
      <c r="F263" s="40">
        <v>13.148335833745115</v>
      </c>
      <c r="G263" s="33">
        <f t="shared" si="32"/>
        <v>1136016.2160355779</v>
      </c>
      <c r="H263" s="33">
        <f t="shared" si="33"/>
        <v>1.136016216035578</v>
      </c>
      <c r="I263" s="33">
        <v>10795</v>
      </c>
      <c r="J263" s="43">
        <f t="shared" si="31"/>
        <v>1.0795000000000001E-2</v>
      </c>
      <c r="K263" s="33">
        <v>3876</v>
      </c>
      <c r="L263" s="33">
        <f t="shared" si="34"/>
        <v>3.8760000000000001E-3</v>
      </c>
      <c r="M263" s="33">
        <f t="shared" si="35"/>
        <v>1.4671E-2</v>
      </c>
      <c r="N263" s="33">
        <v>4.3200000000000001E-3</v>
      </c>
      <c r="O263" s="45">
        <f t="shared" si="36"/>
        <v>1.1170252160355778</v>
      </c>
    </row>
    <row r="264" spans="1:15" x14ac:dyDescent="0.7">
      <c r="A264" s="4"/>
      <c r="B264" s="4"/>
      <c r="C264" s="15">
        <v>18</v>
      </c>
      <c r="D264" s="16">
        <v>42.326000000000001</v>
      </c>
      <c r="E264" s="17">
        <v>6.4</v>
      </c>
      <c r="F264" s="40">
        <v>12.05134371749662</v>
      </c>
      <c r="G264" s="33">
        <f t="shared" si="32"/>
        <v>1041236.0971917079</v>
      </c>
      <c r="H264" s="33">
        <f t="shared" si="33"/>
        <v>1.0412360971917078</v>
      </c>
      <c r="I264" s="33">
        <v>9177</v>
      </c>
      <c r="J264" s="43">
        <f t="shared" si="31"/>
        <v>9.1769999999999994E-3</v>
      </c>
      <c r="K264" s="33">
        <v>4173</v>
      </c>
      <c r="L264" s="33">
        <f t="shared" si="34"/>
        <v>4.1729999999999996E-3</v>
      </c>
      <c r="M264" s="33">
        <f t="shared" si="35"/>
        <v>1.3349999999999999E-2</v>
      </c>
      <c r="N264" s="33">
        <v>4.3200000000000001E-3</v>
      </c>
      <c r="O264" s="45">
        <f t="shared" si="36"/>
        <v>1.0235660971917078</v>
      </c>
    </row>
    <row r="265" spans="1:15" x14ac:dyDescent="0.7">
      <c r="A265" s="4"/>
      <c r="B265" s="4"/>
      <c r="C265" s="15">
        <v>19</v>
      </c>
      <c r="D265" s="16">
        <v>38.908999999999999</v>
      </c>
      <c r="E265" s="17">
        <v>0</v>
      </c>
      <c r="F265" s="40">
        <v>7.7131742650470452</v>
      </c>
      <c r="G265" s="33">
        <f t="shared" si="32"/>
        <v>666418.25650006474</v>
      </c>
      <c r="H265" s="33">
        <f t="shared" si="33"/>
        <v>0.6664182565000647</v>
      </c>
      <c r="I265" s="33">
        <v>9903</v>
      </c>
      <c r="J265" s="43">
        <f t="shared" si="31"/>
        <v>9.9030000000000003E-3</v>
      </c>
      <c r="K265" s="33">
        <v>4110</v>
      </c>
      <c r="L265" s="33">
        <f t="shared" si="34"/>
        <v>4.1099999999999999E-3</v>
      </c>
      <c r="M265" s="33">
        <f t="shared" si="35"/>
        <v>1.4013000000000001E-2</v>
      </c>
      <c r="N265" s="33">
        <v>0.26351999999999998</v>
      </c>
      <c r="O265" s="45">
        <f t="shared" si="36"/>
        <v>0.38888525650006467</v>
      </c>
    </row>
    <row r="266" spans="1:15" x14ac:dyDescent="0.7">
      <c r="A266" s="4"/>
      <c r="B266" s="4"/>
      <c r="C266" s="15">
        <v>20</v>
      </c>
      <c r="D266" s="16">
        <v>38.178000000000004</v>
      </c>
      <c r="E266" s="17">
        <v>3.1</v>
      </c>
      <c r="F266" s="40">
        <v>5.0535300890814083</v>
      </c>
      <c r="G266" s="33">
        <f t="shared" si="32"/>
        <v>436624.99969663366</v>
      </c>
      <c r="H266" s="33">
        <f t="shared" si="33"/>
        <v>0.43662499969663365</v>
      </c>
      <c r="I266" s="33">
        <v>14299</v>
      </c>
      <c r="J266" s="43">
        <f t="shared" si="31"/>
        <v>1.4298999999999999E-2</v>
      </c>
      <c r="K266" s="33">
        <v>0</v>
      </c>
      <c r="L266" s="33">
        <v>0</v>
      </c>
      <c r="M266" s="33">
        <f t="shared" si="35"/>
        <v>1.4298999999999999E-2</v>
      </c>
      <c r="N266" s="33">
        <v>0.22031999999999999</v>
      </c>
      <c r="O266" s="45">
        <f t="shared" si="36"/>
        <v>0.20200599969663366</v>
      </c>
    </row>
    <row r="267" spans="1:15" x14ac:dyDescent="0.7">
      <c r="A267" s="4"/>
      <c r="B267" s="4"/>
      <c r="C267" s="15">
        <v>21</v>
      </c>
      <c r="D267" s="16">
        <v>39.529000000000003</v>
      </c>
      <c r="E267" s="17">
        <v>40.200000000000003</v>
      </c>
      <c r="F267" s="40">
        <v>5.0535300890814083</v>
      </c>
      <c r="G267" s="33">
        <f t="shared" si="32"/>
        <v>436624.99969663366</v>
      </c>
      <c r="H267" s="33">
        <f t="shared" si="33"/>
        <v>0.43662499969663365</v>
      </c>
      <c r="I267" s="33">
        <v>15637</v>
      </c>
      <c r="J267" s="43">
        <f t="shared" si="31"/>
        <v>1.5637000000000002E-2</v>
      </c>
      <c r="K267" s="33">
        <v>0</v>
      </c>
      <c r="L267" s="33">
        <v>0</v>
      </c>
      <c r="M267" s="33">
        <f t="shared" si="35"/>
        <v>1.5637000000000002E-2</v>
      </c>
      <c r="N267" s="33">
        <v>0.1512</v>
      </c>
      <c r="O267" s="45">
        <f t="shared" si="36"/>
        <v>0.26978799969663364</v>
      </c>
    </row>
    <row r="268" spans="1:15" x14ac:dyDescent="0.7">
      <c r="A268" s="4"/>
      <c r="B268" s="4"/>
      <c r="C268" s="15">
        <v>22</v>
      </c>
      <c r="D268" s="16">
        <v>89.409000000000006</v>
      </c>
      <c r="E268" s="17">
        <v>38.1</v>
      </c>
      <c r="F268" s="40">
        <v>5.0535300890814083</v>
      </c>
      <c r="G268" s="33">
        <f t="shared" si="32"/>
        <v>436624.99969663366</v>
      </c>
      <c r="H268" s="33">
        <f t="shared" si="33"/>
        <v>0.43662499969663365</v>
      </c>
      <c r="I268" s="33">
        <v>13221</v>
      </c>
      <c r="J268" s="43">
        <f t="shared" si="31"/>
        <v>1.3221E-2</v>
      </c>
      <c r="K268" s="33">
        <v>0</v>
      </c>
      <c r="L268" s="33">
        <v>0</v>
      </c>
      <c r="M268" s="33">
        <f t="shared" si="35"/>
        <v>1.3221E-2</v>
      </c>
      <c r="N268" s="33">
        <v>0.17712</v>
      </c>
      <c r="O268" s="45">
        <f t="shared" si="36"/>
        <v>0.24628399969663367</v>
      </c>
    </row>
    <row r="269" spans="1:15" x14ac:dyDescent="0.7">
      <c r="A269" s="4"/>
      <c r="B269" s="4"/>
      <c r="C269" s="15">
        <v>23</v>
      </c>
      <c r="D269" s="16">
        <v>73.454999999999998</v>
      </c>
      <c r="E269" s="17">
        <v>16.399999999999999</v>
      </c>
      <c r="F269" s="40">
        <v>3.9897798923463621</v>
      </c>
      <c r="G269" s="33">
        <f t="shared" si="32"/>
        <v>344716.98269872571</v>
      </c>
      <c r="H269" s="33">
        <f t="shared" si="33"/>
        <v>0.34471698269872569</v>
      </c>
      <c r="I269" s="33">
        <v>12506</v>
      </c>
      <c r="J269" s="43">
        <f t="shared" si="31"/>
        <v>1.2506E-2</v>
      </c>
      <c r="K269" s="33">
        <v>0</v>
      </c>
      <c r="L269" s="33">
        <v>0</v>
      </c>
      <c r="M269" s="33">
        <f t="shared" si="35"/>
        <v>1.2506E-2</v>
      </c>
      <c r="N269" s="33">
        <v>0.17712</v>
      </c>
      <c r="O269" s="45">
        <f t="shared" si="36"/>
        <v>0.15509098269872568</v>
      </c>
    </row>
    <row r="270" spans="1:15" x14ac:dyDescent="0.7">
      <c r="A270" s="4"/>
      <c r="B270" s="4"/>
      <c r="C270" s="15">
        <v>24</v>
      </c>
      <c r="D270" s="16">
        <v>115.336</v>
      </c>
      <c r="E270" s="17">
        <v>36.700000000000003</v>
      </c>
      <c r="F270" s="40">
        <v>0</v>
      </c>
      <c r="G270" s="40">
        <v>0</v>
      </c>
      <c r="H270" s="40">
        <v>0</v>
      </c>
      <c r="I270" s="33">
        <v>31493</v>
      </c>
      <c r="J270" s="43">
        <f t="shared" si="31"/>
        <v>3.1493E-2</v>
      </c>
      <c r="K270" s="33">
        <v>0</v>
      </c>
      <c r="L270" s="33">
        <v>0</v>
      </c>
      <c r="M270" s="33">
        <v>0</v>
      </c>
      <c r="N270" s="33">
        <v>0.29453759999999996</v>
      </c>
      <c r="O270" s="45">
        <v>0</v>
      </c>
    </row>
    <row r="271" spans="1:15" x14ac:dyDescent="0.7">
      <c r="A271" s="4"/>
      <c r="B271" s="4"/>
      <c r="C271" s="15">
        <v>25</v>
      </c>
      <c r="D271" s="16">
        <v>249.04</v>
      </c>
      <c r="E271" s="17">
        <v>78.099999999999994</v>
      </c>
      <c r="F271" s="40">
        <v>0</v>
      </c>
      <c r="G271" s="40">
        <v>0</v>
      </c>
      <c r="H271" s="40">
        <v>0</v>
      </c>
      <c r="I271" s="33">
        <v>27973</v>
      </c>
      <c r="J271" s="43">
        <f t="shared" si="31"/>
        <v>2.7973000000000001E-2</v>
      </c>
      <c r="K271" s="33">
        <v>0</v>
      </c>
      <c r="L271" s="33">
        <v>0</v>
      </c>
      <c r="M271" s="33">
        <v>0</v>
      </c>
      <c r="N271" s="33">
        <v>0.31181759999999997</v>
      </c>
      <c r="O271" s="45">
        <v>0</v>
      </c>
    </row>
    <row r="272" spans="1:15" x14ac:dyDescent="0.7">
      <c r="A272" s="4"/>
      <c r="B272" s="4"/>
      <c r="C272" s="15">
        <v>26</v>
      </c>
      <c r="D272" s="16">
        <v>179.14</v>
      </c>
      <c r="E272" s="17">
        <v>7.2</v>
      </c>
      <c r="F272" s="40">
        <v>0</v>
      </c>
      <c r="G272" s="40">
        <v>0</v>
      </c>
      <c r="H272" s="40">
        <v>0</v>
      </c>
      <c r="I272" s="33">
        <v>33530</v>
      </c>
      <c r="J272" s="43">
        <f t="shared" si="31"/>
        <v>3.3529999999999997E-2</v>
      </c>
      <c r="K272" s="33">
        <v>0</v>
      </c>
      <c r="L272" s="33">
        <v>0</v>
      </c>
      <c r="M272" s="33">
        <v>0</v>
      </c>
      <c r="N272" s="33">
        <v>0.31181759999999997</v>
      </c>
      <c r="O272" s="45">
        <v>0</v>
      </c>
    </row>
    <row r="273" spans="1:15" x14ac:dyDescent="0.7">
      <c r="A273" s="4"/>
      <c r="B273" s="4"/>
      <c r="C273" s="15">
        <v>27</v>
      </c>
      <c r="D273" s="16">
        <v>165.185</v>
      </c>
      <c r="E273" s="17">
        <v>6.4</v>
      </c>
      <c r="F273" s="40">
        <v>0</v>
      </c>
      <c r="G273" s="40">
        <v>0</v>
      </c>
      <c r="H273" s="40">
        <v>0</v>
      </c>
      <c r="I273" s="33">
        <v>14430</v>
      </c>
      <c r="J273" s="43">
        <f t="shared" si="31"/>
        <v>1.443E-2</v>
      </c>
      <c r="K273" s="33">
        <v>0</v>
      </c>
      <c r="L273" s="33">
        <v>0</v>
      </c>
      <c r="M273" s="33">
        <v>0</v>
      </c>
      <c r="N273" s="33">
        <v>1.1577599999999999</v>
      </c>
      <c r="O273" s="45">
        <v>0</v>
      </c>
    </row>
    <row r="274" spans="1:15" x14ac:dyDescent="0.7">
      <c r="A274" s="4"/>
      <c r="B274" s="4"/>
      <c r="C274" s="15">
        <v>28</v>
      </c>
      <c r="D274" s="16">
        <v>119.43</v>
      </c>
      <c r="E274" s="17">
        <v>42.1</v>
      </c>
      <c r="F274" s="40">
        <v>0</v>
      </c>
      <c r="G274" s="40">
        <v>0</v>
      </c>
      <c r="H274" s="40">
        <v>0</v>
      </c>
      <c r="I274" s="33">
        <v>13025</v>
      </c>
      <c r="J274" s="43">
        <f t="shared" si="31"/>
        <v>1.3025E-2</v>
      </c>
      <c r="K274" s="33">
        <v>0</v>
      </c>
      <c r="L274" s="33">
        <v>0</v>
      </c>
      <c r="M274" s="33">
        <v>0</v>
      </c>
      <c r="N274" s="33">
        <v>0.22031999999999999</v>
      </c>
      <c r="O274" s="45">
        <v>0</v>
      </c>
    </row>
    <row r="275" spans="1:15" x14ac:dyDescent="0.7">
      <c r="A275" s="4"/>
      <c r="B275" s="4"/>
      <c r="C275" s="15">
        <v>29</v>
      </c>
      <c r="D275" s="16">
        <v>107.23099999999999</v>
      </c>
      <c r="E275" s="17">
        <v>0</v>
      </c>
      <c r="F275" s="40">
        <v>0</v>
      </c>
      <c r="G275" s="40">
        <v>0</v>
      </c>
      <c r="H275" s="40">
        <v>0</v>
      </c>
      <c r="I275" s="33">
        <v>15471</v>
      </c>
      <c r="J275" s="43">
        <f t="shared" si="31"/>
        <v>1.5471E-2</v>
      </c>
      <c r="K275" s="33">
        <v>0</v>
      </c>
      <c r="L275" s="33">
        <v>0</v>
      </c>
      <c r="M275" s="33">
        <v>0</v>
      </c>
      <c r="N275" s="33">
        <v>0.22031999999999999</v>
      </c>
      <c r="O275" s="45">
        <v>0</v>
      </c>
    </row>
    <row r="276" spans="1:15" s="10" customFormat="1" ht="25.2" thickBot="1" x14ac:dyDescent="0.75">
      <c r="A276" s="6"/>
      <c r="B276" s="6" t="s">
        <v>23</v>
      </c>
      <c r="C276" s="21">
        <v>30</v>
      </c>
      <c r="D276" s="22">
        <v>95.593000000000004</v>
      </c>
      <c r="E276" s="23">
        <v>1.5</v>
      </c>
      <c r="F276" s="41">
        <v>0</v>
      </c>
      <c r="G276" s="41">
        <v>0</v>
      </c>
      <c r="H276" s="41">
        <v>0</v>
      </c>
      <c r="I276" s="37">
        <v>11128</v>
      </c>
      <c r="J276" s="47">
        <f t="shared" si="31"/>
        <v>1.1128000000000001E-2</v>
      </c>
      <c r="K276" s="37">
        <v>0</v>
      </c>
      <c r="L276" s="37">
        <v>0</v>
      </c>
      <c r="M276" s="37">
        <v>0</v>
      </c>
      <c r="N276" s="37">
        <v>0.22031999999999999</v>
      </c>
      <c r="O276" s="48">
        <v>0</v>
      </c>
    </row>
    <row r="277" spans="1:15" x14ac:dyDescent="0.7">
      <c r="A277" s="2"/>
      <c r="B277" s="2" t="s">
        <v>24</v>
      </c>
      <c r="C277" s="19">
        <v>1</v>
      </c>
      <c r="D277" s="20">
        <v>82.528000000000006</v>
      </c>
      <c r="E277" s="24">
        <v>19.2</v>
      </c>
      <c r="F277" s="42">
        <v>0</v>
      </c>
      <c r="G277" s="42">
        <v>0</v>
      </c>
      <c r="H277" s="42">
        <v>0</v>
      </c>
      <c r="I277" s="38">
        <v>14470</v>
      </c>
      <c r="J277" s="50">
        <f t="shared" si="31"/>
        <v>1.447E-2</v>
      </c>
      <c r="K277" s="38">
        <v>0</v>
      </c>
      <c r="L277" s="38">
        <v>0</v>
      </c>
      <c r="M277" s="38">
        <v>0</v>
      </c>
      <c r="N277" s="38">
        <v>0.22031999999999999</v>
      </c>
      <c r="O277" s="51">
        <v>0</v>
      </c>
    </row>
    <row r="278" spans="1:15" x14ac:dyDescent="0.7">
      <c r="A278" s="4"/>
      <c r="B278" s="4"/>
      <c r="C278" s="15">
        <v>2</v>
      </c>
      <c r="D278" s="16">
        <v>97.512</v>
      </c>
      <c r="E278" s="17">
        <v>45.7</v>
      </c>
      <c r="F278" s="40">
        <v>0</v>
      </c>
      <c r="G278" s="40">
        <v>0</v>
      </c>
      <c r="H278" s="40">
        <v>0</v>
      </c>
      <c r="I278" s="33">
        <v>14344</v>
      </c>
      <c r="J278" s="43">
        <f t="shared" si="31"/>
        <v>1.4344000000000001E-2</v>
      </c>
      <c r="K278" s="33">
        <v>0</v>
      </c>
      <c r="L278" s="33">
        <v>0</v>
      </c>
      <c r="M278" s="33">
        <v>0</v>
      </c>
      <c r="N278" s="33">
        <v>0.22031999999999999</v>
      </c>
      <c r="O278" s="45">
        <v>0</v>
      </c>
    </row>
    <row r="279" spans="1:15" x14ac:dyDescent="0.7">
      <c r="A279" s="4"/>
      <c r="B279" s="4"/>
      <c r="C279" s="15">
        <v>3</v>
      </c>
      <c r="D279" s="16">
        <v>256.97300000000001</v>
      </c>
      <c r="E279" s="17">
        <v>28.9</v>
      </c>
      <c r="F279" s="40">
        <v>0</v>
      </c>
      <c r="G279" s="40">
        <v>0</v>
      </c>
      <c r="H279" s="40">
        <v>0</v>
      </c>
      <c r="I279" s="33">
        <v>13918</v>
      </c>
      <c r="J279" s="43">
        <f t="shared" si="31"/>
        <v>1.3918E-2</v>
      </c>
      <c r="K279" s="33">
        <v>0</v>
      </c>
      <c r="L279" s="33">
        <v>0</v>
      </c>
      <c r="M279" s="33">
        <v>0</v>
      </c>
      <c r="N279" s="33">
        <v>0.22031999999999999</v>
      </c>
      <c r="O279" s="45">
        <v>0</v>
      </c>
    </row>
    <row r="280" spans="1:15" x14ac:dyDescent="0.7">
      <c r="A280" s="4"/>
      <c r="B280" s="4"/>
      <c r="C280" s="15">
        <v>4</v>
      </c>
      <c r="D280" s="16">
        <v>447.88400000000001</v>
      </c>
      <c r="E280" s="17">
        <v>40.700000000000003</v>
      </c>
      <c r="F280" s="40">
        <v>0</v>
      </c>
      <c r="G280" s="40">
        <v>0</v>
      </c>
      <c r="H280" s="40">
        <v>0</v>
      </c>
      <c r="I280" s="33">
        <v>26783</v>
      </c>
      <c r="J280" s="43">
        <f t="shared" si="31"/>
        <v>2.6783000000000001E-2</v>
      </c>
      <c r="K280" s="33">
        <v>0</v>
      </c>
      <c r="L280" s="33">
        <v>0</v>
      </c>
      <c r="M280" s="33">
        <v>0</v>
      </c>
      <c r="N280" s="33">
        <v>0.22031999999999999</v>
      </c>
      <c r="O280" s="45">
        <v>0</v>
      </c>
    </row>
    <row r="281" spans="1:15" x14ac:dyDescent="0.7">
      <c r="A281" s="4"/>
      <c r="B281" s="4"/>
      <c r="C281" s="15">
        <v>5</v>
      </c>
      <c r="D281" s="16">
        <v>261.08</v>
      </c>
      <c r="E281" s="17">
        <v>10.7</v>
      </c>
      <c r="F281" s="40">
        <v>0</v>
      </c>
      <c r="G281" s="40">
        <v>0</v>
      </c>
      <c r="H281" s="40">
        <v>0</v>
      </c>
      <c r="I281" s="33">
        <v>31557</v>
      </c>
      <c r="J281" s="43">
        <f t="shared" si="31"/>
        <v>3.1557000000000002E-2</v>
      </c>
      <c r="K281" s="33">
        <v>0</v>
      </c>
      <c r="L281" s="33">
        <v>0</v>
      </c>
      <c r="M281" s="33">
        <v>0</v>
      </c>
      <c r="N281" s="33">
        <v>0.41143679999999999</v>
      </c>
      <c r="O281" s="45">
        <v>0</v>
      </c>
    </row>
    <row r="282" spans="1:15" x14ac:dyDescent="0.7">
      <c r="A282" s="4"/>
      <c r="B282" s="4"/>
      <c r="C282" s="15">
        <v>6</v>
      </c>
      <c r="D282" s="16">
        <v>165.09100000000001</v>
      </c>
      <c r="E282" s="17">
        <v>0</v>
      </c>
      <c r="F282" s="40">
        <v>0</v>
      </c>
      <c r="G282" s="40">
        <v>0</v>
      </c>
      <c r="H282" s="40">
        <v>0</v>
      </c>
      <c r="I282" s="33">
        <v>37468</v>
      </c>
      <c r="J282" s="43">
        <f t="shared" si="31"/>
        <v>3.7468000000000001E-2</v>
      </c>
      <c r="K282" s="33">
        <v>0</v>
      </c>
      <c r="L282" s="33">
        <v>0</v>
      </c>
      <c r="M282" s="33">
        <v>0</v>
      </c>
      <c r="N282" s="33">
        <v>0.1968192</v>
      </c>
      <c r="O282" s="45">
        <v>0</v>
      </c>
    </row>
    <row r="283" spans="1:15" x14ac:dyDescent="0.7">
      <c r="A283" s="4"/>
      <c r="B283" s="4"/>
      <c r="C283" s="15">
        <v>7</v>
      </c>
      <c r="D283" s="16">
        <v>136.15700000000001</v>
      </c>
      <c r="E283" s="17">
        <v>0</v>
      </c>
      <c r="F283" s="40">
        <v>0</v>
      </c>
      <c r="G283" s="40">
        <v>0</v>
      </c>
      <c r="H283" s="40">
        <v>0</v>
      </c>
      <c r="I283" s="33">
        <v>32352</v>
      </c>
      <c r="J283" s="43">
        <f t="shared" si="31"/>
        <v>3.2351999999999999E-2</v>
      </c>
      <c r="K283" s="33">
        <v>0</v>
      </c>
      <c r="L283" s="33">
        <v>0</v>
      </c>
      <c r="M283" s="33">
        <v>0</v>
      </c>
      <c r="N283" s="33">
        <v>0.24001919999999999</v>
      </c>
      <c r="O283" s="45">
        <v>0</v>
      </c>
    </row>
    <row r="284" spans="1:15" x14ac:dyDescent="0.7">
      <c r="A284" s="4"/>
      <c r="B284" s="4"/>
      <c r="C284" s="15">
        <v>8</v>
      </c>
      <c r="D284" s="16">
        <v>117.693</v>
      </c>
      <c r="E284" s="17">
        <v>0</v>
      </c>
      <c r="F284" s="40">
        <v>0</v>
      </c>
      <c r="G284" s="40">
        <v>0</v>
      </c>
      <c r="H284" s="40">
        <v>0</v>
      </c>
      <c r="I284" s="33">
        <v>21513</v>
      </c>
      <c r="J284" s="43">
        <f t="shared" si="31"/>
        <v>2.1513000000000001E-2</v>
      </c>
      <c r="K284" s="33">
        <v>0</v>
      </c>
      <c r="L284" s="33">
        <v>0</v>
      </c>
      <c r="M284" s="33">
        <v>0</v>
      </c>
      <c r="N284" s="33">
        <v>6.7219199999999993E-2</v>
      </c>
      <c r="O284" s="45">
        <v>0</v>
      </c>
    </row>
    <row r="285" spans="1:15" x14ac:dyDescent="0.7">
      <c r="A285" s="4"/>
      <c r="B285" s="4"/>
      <c r="C285" s="15">
        <v>9</v>
      </c>
      <c r="D285" s="16">
        <v>91.22</v>
      </c>
      <c r="E285" s="17">
        <v>0</v>
      </c>
      <c r="F285" s="44">
        <v>2.9857264603721383</v>
      </c>
      <c r="G285" s="33">
        <f t="shared" ref="G285:G337" si="37">F285*86400</f>
        <v>257966.76617615274</v>
      </c>
      <c r="H285" s="33">
        <f t="shared" ref="H285:H287" si="38">G285/1000000</f>
        <v>0.25796676617615272</v>
      </c>
      <c r="I285" s="33">
        <v>22116</v>
      </c>
      <c r="J285" s="43">
        <f t="shared" si="31"/>
        <v>2.2116E-2</v>
      </c>
      <c r="K285" s="33">
        <v>0</v>
      </c>
      <c r="L285" s="33">
        <v>0</v>
      </c>
      <c r="M285" s="45">
        <f>J285+L285</f>
        <v>2.2116E-2</v>
      </c>
      <c r="N285" s="33">
        <v>4.0521599999999998E-2</v>
      </c>
      <c r="O285" s="45">
        <f>H285-M285-N285</f>
        <v>0.19532916617615273</v>
      </c>
    </row>
    <row r="286" spans="1:15" x14ac:dyDescent="0.7">
      <c r="A286" s="4"/>
      <c r="B286" s="4"/>
      <c r="C286" s="15">
        <v>10</v>
      </c>
      <c r="D286" s="16">
        <v>77.492999999999995</v>
      </c>
      <c r="E286" s="17">
        <v>0</v>
      </c>
      <c r="F286" s="44">
        <v>4.073335540347693</v>
      </c>
      <c r="G286" s="33">
        <f t="shared" si="37"/>
        <v>351936.19068604067</v>
      </c>
      <c r="H286" s="33">
        <f t="shared" si="38"/>
        <v>0.35193619068604065</v>
      </c>
      <c r="I286" s="33">
        <v>13523</v>
      </c>
      <c r="J286" s="43">
        <f t="shared" si="31"/>
        <v>1.3523E-2</v>
      </c>
      <c r="K286" s="33">
        <v>0</v>
      </c>
      <c r="L286" s="33">
        <v>0</v>
      </c>
      <c r="M286" s="45">
        <f t="shared" ref="M286:M342" si="39">J286+L286</f>
        <v>1.3523E-2</v>
      </c>
      <c r="N286" s="33">
        <v>5.7801600000000002E-2</v>
      </c>
      <c r="O286" s="45">
        <f t="shared" ref="O286:O350" si="40">H286-M286-N286</f>
        <v>0.28061159068604064</v>
      </c>
    </row>
    <row r="287" spans="1:15" x14ac:dyDescent="0.7">
      <c r="A287" s="4"/>
      <c r="B287" s="4"/>
      <c r="C287" s="15">
        <v>11</v>
      </c>
      <c r="D287" s="16">
        <v>70.34</v>
      </c>
      <c r="E287" s="17">
        <v>0</v>
      </c>
      <c r="F287" s="40">
        <v>4.073335540347693</v>
      </c>
      <c r="G287" s="33">
        <f t="shared" si="37"/>
        <v>351936.19068604067</v>
      </c>
      <c r="H287" s="33">
        <f t="shared" si="38"/>
        <v>0.35193619068604065</v>
      </c>
      <c r="I287" s="33">
        <v>14071</v>
      </c>
      <c r="J287" s="43">
        <f t="shared" si="31"/>
        <v>1.4071E-2</v>
      </c>
      <c r="K287" s="33">
        <v>0</v>
      </c>
      <c r="L287" s="33">
        <v>0</v>
      </c>
      <c r="M287" s="45">
        <f t="shared" si="39"/>
        <v>1.4071E-2</v>
      </c>
      <c r="N287" s="33">
        <v>5.7801600000000002E-2</v>
      </c>
      <c r="O287" s="45">
        <f t="shared" si="40"/>
        <v>0.28006359068604064</v>
      </c>
    </row>
    <row r="288" spans="1:15" x14ac:dyDescent="0.7">
      <c r="A288" s="4"/>
      <c r="B288" s="4"/>
      <c r="C288" s="15">
        <v>12</v>
      </c>
      <c r="D288" s="16">
        <v>67.537000000000006</v>
      </c>
      <c r="E288" s="17">
        <v>0</v>
      </c>
      <c r="F288" s="40">
        <v>4.073335540347693</v>
      </c>
      <c r="G288" s="33">
        <f t="shared" si="37"/>
        <v>351936.19068604067</v>
      </c>
      <c r="H288" s="33">
        <f>G288/1000000</f>
        <v>0.35193619068604065</v>
      </c>
      <c r="I288" s="33">
        <v>12940</v>
      </c>
      <c r="J288" s="43">
        <f t="shared" si="31"/>
        <v>1.294E-2</v>
      </c>
      <c r="K288" s="33">
        <v>0</v>
      </c>
      <c r="L288" s="33">
        <v>0</v>
      </c>
      <c r="M288" s="45">
        <f t="shared" si="39"/>
        <v>1.294E-2</v>
      </c>
      <c r="N288" s="33">
        <v>8.3721600000000007E-2</v>
      </c>
      <c r="O288" s="45">
        <f t="shared" si="40"/>
        <v>0.25527459068604064</v>
      </c>
    </row>
    <row r="289" spans="1:15" x14ac:dyDescent="0.7">
      <c r="A289" s="4"/>
      <c r="B289" s="4"/>
      <c r="C289" s="15">
        <v>13</v>
      </c>
      <c r="D289" s="16">
        <v>58.361999999999995</v>
      </c>
      <c r="E289" s="17">
        <v>0</v>
      </c>
      <c r="F289" s="40">
        <v>4.073335540347693</v>
      </c>
      <c r="G289" s="33">
        <f t="shared" si="37"/>
        <v>351936.19068604067</v>
      </c>
      <c r="H289" s="33">
        <f t="shared" ref="H289:H337" si="41">G289/1000000</f>
        <v>0.35193619068604065</v>
      </c>
      <c r="I289" s="33">
        <v>14675</v>
      </c>
      <c r="J289" s="43">
        <f t="shared" si="31"/>
        <v>1.4675000000000001E-2</v>
      </c>
      <c r="K289" s="33">
        <v>0</v>
      </c>
      <c r="L289" s="33">
        <v>0</v>
      </c>
      <c r="M289" s="45">
        <f t="shared" si="39"/>
        <v>1.4675000000000001E-2</v>
      </c>
      <c r="N289" s="33">
        <v>8.3721600000000007E-2</v>
      </c>
      <c r="O289" s="45">
        <f t="shared" si="40"/>
        <v>0.25353959068604065</v>
      </c>
    </row>
    <row r="290" spans="1:15" x14ac:dyDescent="0.7">
      <c r="A290" s="4"/>
      <c r="B290" s="4"/>
      <c r="C290" s="15">
        <v>14</v>
      </c>
      <c r="D290" s="16">
        <v>51.167000000000002</v>
      </c>
      <c r="E290" s="17">
        <v>0</v>
      </c>
      <c r="F290" s="40">
        <v>4.073335540347693</v>
      </c>
      <c r="G290" s="33">
        <f t="shared" si="37"/>
        <v>351936.19068604067</v>
      </c>
      <c r="H290" s="33">
        <f t="shared" si="41"/>
        <v>0.35193619068604065</v>
      </c>
      <c r="I290" s="33">
        <v>14934</v>
      </c>
      <c r="J290" s="43">
        <f t="shared" ref="J290:J337" si="42">I290/1000000</f>
        <v>1.4933999999999999E-2</v>
      </c>
      <c r="K290" s="33">
        <v>0</v>
      </c>
      <c r="L290" s="33">
        <v>0</v>
      </c>
      <c r="M290" s="45">
        <f t="shared" si="39"/>
        <v>1.4933999999999999E-2</v>
      </c>
      <c r="N290" s="33">
        <v>8.3721600000000007E-2</v>
      </c>
      <c r="O290" s="45">
        <f t="shared" si="40"/>
        <v>0.25328059068604064</v>
      </c>
    </row>
    <row r="291" spans="1:15" x14ac:dyDescent="0.7">
      <c r="A291" s="4"/>
      <c r="B291" s="4"/>
      <c r="C291" s="15">
        <v>15</v>
      </c>
      <c r="D291" s="16">
        <v>53.994</v>
      </c>
      <c r="E291" s="17">
        <v>0</v>
      </c>
      <c r="F291" s="40">
        <v>7.4775920053990133</v>
      </c>
      <c r="G291" s="33">
        <f t="shared" si="37"/>
        <v>646063.94926647469</v>
      </c>
      <c r="H291" s="33">
        <f t="shared" si="41"/>
        <v>0.6460639492664747</v>
      </c>
      <c r="I291" s="33">
        <v>13201</v>
      </c>
      <c r="J291" s="43">
        <f t="shared" si="42"/>
        <v>1.3200999999999999E-2</v>
      </c>
      <c r="K291" s="33">
        <v>0</v>
      </c>
      <c r="L291" s="33">
        <v>0</v>
      </c>
      <c r="M291" s="45">
        <f t="shared" si="39"/>
        <v>1.3200999999999999E-2</v>
      </c>
      <c r="N291" s="33">
        <v>8.3721600000000007E-2</v>
      </c>
      <c r="O291" s="45">
        <f t="shared" si="40"/>
        <v>0.54914134926647473</v>
      </c>
    </row>
    <row r="292" spans="1:15" x14ac:dyDescent="0.7">
      <c r="A292" s="4"/>
      <c r="B292" s="4"/>
      <c r="C292" s="15">
        <v>16</v>
      </c>
      <c r="D292" s="16">
        <v>59.019999999999996</v>
      </c>
      <c r="E292" s="17">
        <v>14.6</v>
      </c>
      <c r="F292" s="40">
        <v>12.05134371749662</v>
      </c>
      <c r="G292" s="33">
        <f t="shared" si="37"/>
        <v>1041236.0971917079</v>
      </c>
      <c r="H292" s="33">
        <f t="shared" si="41"/>
        <v>1.0412360971917078</v>
      </c>
      <c r="I292" s="33">
        <v>13881</v>
      </c>
      <c r="J292" s="43">
        <f t="shared" si="42"/>
        <v>1.3880999999999999E-2</v>
      </c>
      <c r="K292" s="33">
        <v>0</v>
      </c>
      <c r="L292" s="33">
        <v>0</v>
      </c>
      <c r="M292" s="45">
        <f t="shared" si="39"/>
        <v>1.3880999999999999E-2</v>
      </c>
      <c r="N292" s="33">
        <v>4.0521599999999998E-2</v>
      </c>
      <c r="O292" s="45">
        <f t="shared" si="40"/>
        <v>0.98683349719170776</v>
      </c>
    </row>
    <row r="293" spans="1:15" x14ac:dyDescent="0.7">
      <c r="A293" s="4"/>
      <c r="B293" s="4"/>
      <c r="C293" s="15">
        <v>17</v>
      </c>
      <c r="D293" s="16">
        <v>53.576999999999998</v>
      </c>
      <c r="E293" s="17">
        <v>9.6999999999999993</v>
      </c>
      <c r="F293" s="40">
        <v>12.05134371749662</v>
      </c>
      <c r="G293" s="33">
        <f t="shared" si="37"/>
        <v>1041236.0971917079</v>
      </c>
      <c r="H293" s="33">
        <f t="shared" si="41"/>
        <v>1.0412360971917078</v>
      </c>
      <c r="I293" s="33">
        <v>13435</v>
      </c>
      <c r="J293" s="43">
        <f t="shared" si="42"/>
        <v>1.3435000000000001E-2</v>
      </c>
      <c r="K293" s="33">
        <v>0</v>
      </c>
      <c r="L293" s="33">
        <v>0</v>
      </c>
      <c r="M293" s="45">
        <f t="shared" si="39"/>
        <v>1.3435000000000001E-2</v>
      </c>
      <c r="N293" s="33">
        <v>0.13305599999999998</v>
      </c>
      <c r="O293" s="45">
        <f t="shared" si="40"/>
        <v>0.89474509719170781</v>
      </c>
    </row>
    <row r="294" spans="1:15" x14ac:dyDescent="0.7">
      <c r="A294" s="4"/>
      <c r="B294" s="4"/>
      <c r="C294" s="15">
        <v>18</v>
      </c>
      <c r="D294" s="16">
        <v>49.668999999999997</v>
      </c>
      <c r="E294" s="17">
        <v>1.1000000000000001</v>
      </c>
      <c r="F294" s="44">
        <v>12.05134371749662</v>
      </c>
      <c r="G294" s="33">
        <f t="shared" si="37"/>
        <v>1041236.0971917079</v>
      </c>
      <c r="H294" s="33">
        <f t="shared" si="41"/>
        <v>1.0412360971917078</v>
      </c>
      <c r="I294" s="33">
        <v>12787</v>
      </c>
      <c r="J294" s="43">
        <f t="shared" si="42"/>
        <v>1.2787E-2</v>
      </c>
      <c r="K294" s="33">
        <v>0</v>
      </c>
      <c r="L294" s="33">
        <v>0</v>
      </c>
      <c r="M294" s="45">
        <f t="shared" si="39"/>
        <v>1.2787E-2</v>
      </c>
      <c r="N294" s="33">
        <v>5.5123199999999997E-2</v>
      </c>
      <c r="O294" s="45">
        <f t="shared" si="40"/>
        <v>0.9733258971917077</v>
      </c>
    </row>
    <row r="295" spans="1:15" x14ac:dyDescent="0.7">
      <c r="A295" s="4"/>
      <c r="B295" s="4"/>
      <c r="C295" s="15">
        <v>19</v>
      </c>
      <c r="D295" s="16">
        <v>62.532000000000004</v>
      </c>
      <c r="E295" s="17">
        <v>0</v>
      </c>
      <c r="F295" s="40">
        <v>12.05134371749662</v>
      </c>
      <c r="G295" s="33">
        <f t="shared" si="37"/>
        <v>1041236.0971917079</v>
      </c>
      <c r="H295" s="33">
        <f t="shared" si="41"/>
        <v>1.0412360971917078</v>
      </c>
      <c r="I295" s="33">
        <v>15185</v>
      </c>
      <c r="J295" s="43">
        <f t="shared" si="42"/>
        <v>1.5185000000000001E-2</v>
      </c>
      <c r="K295" s="33">
        <v>0</v>
      </c>
      <c r="L295" s="33">
        <v>0</v>
      </c>
      <c r="M295" s="45">
        <f t="shared" si="39"/>
        <v>1.5185000000000001E-2</v>
      </c>
      <c r="N295" s="33">
        <v>2.9203199999999999E-2</v>
      </c>
      <c r="O295" s="45">
        <f t="shared" si="40"/>
        <v>0.99684789719170785</v>
      </c>
    </row>
    <row r="296" spans="1:15" x14ac:dyDescent="0.7">
      <c r="A296" s="4"/>
      <c r="B296" s="4"/>
      <c r="C296" s="15">
        <v>20</v>
      </c>
      <c r="D296" s="16">
        <v>57.968000000000004</v>
      </c>
      <c r="E296" s="17">
        <v>13.4</v>
      </c>
      <c r="F296" s="40">
        <v>12.05134371749662</v>
      </c>
      <c r="G296" s="33">
        <f t="shared" si="37"/>
        <v>1041236.0971917079</v>
      </c>
      <c r="H296" s="33">
        <f t="shared" si="41"/>
        <v>1.0412360971917078</v>
      </c>
      <c r="I296" s="33">
        <v>14935</v>
      </c>
      <c r="J296" s="43">
        <f t="shared" si="42"/>
        <v>1.4935E-2</v>
      </c>
      <c r="K296" s="33">
        <v>0</v>
      </c>
      <c r="L296" s="33">
        <v>0</v>
      </c>
      <c r="M296" s="45">
        <f t="shared" si="39"/>
        <v>1.4935E-2</v>
      </c>
      <c r="N296" s="33">
        <v>2.9203199999999999E-2</v>
      </c>
      <c r="O296" s="45">
        <f t="shared" si="40"/>
        <v>0.99709789719170794</v>
      </c>
    </row>
    <row r="297" spans="1:15" x14ac:dyDescent="0.7">
      <c r="A297" s="4"/>
      <c r="B297" s="4"/>
      <c r="C297" s="15">
        <v>21</v>
      </c>
      <c r="D297" s="16">
        <v>59.472999999999999</v>
      </c>
      <c r="E297" s="17">
        <v>3.7</v>
      </c>
      <c r="F297" s="40">
        <v>12.05134371749662</v>
      </c>
      <c r="G297" s="33">
        <f t="shared" si="37"/>
        <v>1041236.0971917079</v>
      </c>
      <c r="H297" s="33">
        <f t="shared" si="41"/>
        <v>1.0412360971917078</v>
      </c>
      <c r="I297" s="33">
        <v>13532</v>
      </c>
      <c r="J297" s="43">
        <f t="shared" si="42"/>
        <v>1.3532000000000001E-2</v>
      </c>
      <c r="K297" s="33">
        <v>0</v>
      </c>
      <c r="L297" s="33">
        <v>0</v>
      </c>
      <c r="M297" s="45">
        <f t="shared" si="39"/>
        <v>1.3532000000000001E-2</v>
      </c>
      <c r="N297" s="33">
        <v>2.9203199999999999E-2</v>
      </c>
      <c r="O297" s="45">
        <f t="shared" si="40"/>
        <v>0.99850089719170776</v>
      </c>
    </row>
    <row r="298" spans="1:15" x14ac:dyDescent="0.7">
      <c r="A298" s="4"/>
      <c r="B298" s="4"/>
      <c r="C298" s="15">
        <v>22</v>
      </c>
      <c r="D298" s="16">
        <v>59.472999999999999</v>
      </c>
      <c r="E298" s="17">
        <v>14.6</v>
      </c>
      <c r="F298" s="40">
        <v>12.05134371749662</v>
      </c>
      <c r="G298" s="33">
        <f t="shared" si="37"/>
        <v>1041236.0971917079</v>
      </c>
      <c r="H298" s="33">
        <f t="shared" si="41"/>
        <v>1.0412360971917078</v>
      </c>
      <c r="I298" s="33">
        <v>13225</v>
      </c>
      <c r="J298" s="43">
        <f t="shared" si="42"/>
        <v>1.3225000000000001E-2</v>
      </c>
      <c r="K298" s="33">
        <v>0</v>
      </c>
      <c r="L298" s="33">
        <v>0</v>
      </c>
      <c r="M298" s="45">
        <f t="shared" si="39"/>
        <v>1.3225000000000001E-2</v>
      </c>
      <c r="N298" s="33">
        <v>2.9203199999999999E-2</v>
      </c>
      <c r="O298" s="45">
        <f t="shared" si="40"/>
        <v>0.99880789719170782</v>
      </c>
    </row>
    <row r="299" spans="1:15" x14ac:dyDescent="0.7">
      <c r="A299" s="4"/>
      <c r="B299" s="4"/>
      <c r="C299" s="15">
        <v>23</v>
      </c>
      <c r="D299" s="16">
        <v>55.006</v>
      </c>
      <c r="E299" s="17">
        <v>2.6</v>
      </c>
      <c r="F299" s="40">
        <v>12.05134371749662</v>
      </c>
      <c r="G299" s="33">
        <f t="shared" si="37"/>
        <v>1041236.0971917079</v>
      </c>
      <c r="H299" s="33">
        <f t="shared" si="41"/>
        <v>1.0412360971917078</v>
      </c>
      <c r="I299" s="33">
        <v>14552</v>
      </c>
      <c r="J299" s="43">
        <f t="shared" si="42"/>
        <v>1.4552000000000001E-2</v>
      </c>
      <c r="K299" s="33">
        <v>0</v>
      </c>
      <c r="L299" s="33">
        <v>0</v>
      </c>
      <c r="M299" s="45">
        <f t="shared" si="39"/>
        <v>1.4552000000000001E-2</v>
      </c>
      <c r="N299" s="33">
        <v>2.9203199999999999E-2</v>
      </c>
      <c r="O299" s="45">
        <f t="shared" si="40"/>
        <v>0.99748089719170796</v>
      </c>
    </row>
    <row r="300" spans="1:15" x14ac:dyDescent="0.7">
      <c r="A300" s="4"/>
      <c r="B300" s="4"/>
      <c r="C300" s="15">
        <v>24</v>
      </c>
      <c r="D300" s="16">
        <v>52.111000000000004</v>
      </c>
      <c r="E300" s="17">
        <v>13.2</v>
      </c>
      <c r="F300" s="40">
        <v>12.05134371749662</v>
      </c>
      <c r="G300" s="33">
        <f t="shared" si="37"/>
        <v>1041236.0971917079</v>
      </c>
      <c r="H300" s="33">
        <f t="shared" si="41"/>
        <v>1.0412360971917078</v>
      </c>
      <c r="I300" s="33">
        <v>15543</v>
      </c>
      <c r="J300" s="43">
        <f t="shared" si="42"/>
        <v>1.5543E-2</v>
      </c>
      <c r="K300" s="33">
        <v>0</v>
      </c>
      <c r="L300" s="33">
        <v>0</v>
      </c>
      <c r="M300" s="45">
        <f t="shared" si="39"/>
        <v>1.5543E-2</v>
      </c>
      <c r="N300" s="33">
        <v>2.9203199999999999E-2</v>
      </c>
      <c r="O300" s="45">
        <f t="shared" si="40"/>
        <v>0.99648989719170777</v>
      </c>
    </row>
    <row r="301" spans="1:15" x14ac:dyDescent="0.7">
      <c r="A301" s="4"/>
      <c r="B301" s="4"/>
      <c r="C301" s="15">
        <v>25</v>
      </c>
      <c r="D301" s="16">
        <v>49.283999999999999</v>
      </c>
      <c r="E301" s="17">
        <v>0</v>
      </c>
      <c r="F301" s="40">
        <v>12.05134371749662</v>
      </c>
      <c r="G301" s="33">
        <f t="shared" si="37"/>
        <v>1041236.0971917079</v>
      </c>
      <c r="H301" s="33">
        <f t="shared" si="41"/>
        <v>1.0412360971917078</v>
      </c>
      <c r="I301" s="33">
        <v>13385</v>
      </c>
      <c r="J301" s="43">
        <f t="shared" si="42"/>
        <v>1.3384999999999999E-2</v>
      </c>
      <c r="K301" s="33">
        <v>0</v>
      </c>
      <c r="L301" s="33">
        <v>0</v>
      </c>
      <c r="M301" s="45">
        <f t="shared" si="39"/>
        <v>1.3384999999999999E-2</v>
      </c>
      <c r="N301" s="33">
        <v>2.9203199999999999E-2</v>
      </c>
      <c r="O301" s="45">
        <f t="shared" si="40"/>
        <v>0.99864789719170788</v>
      </c>
    </row>
    <row r="302" spans="1:15" x14ac:dyDescent="0.7">
      <c r="A302" s="4"/>
      <c r="B302" s="4"/>
      <c r="C302" s="15">
        <v>26</v>
      </c>
      <c r="D302" s="16">
        <v>45.175000000000004</v>
      </c>
      <c r="E302" s="17">
        <v>0</v>
      </c>
      <c r="F302" s="40">
        <v>12.05134371749662</v>
      </c>
      <c r="G302" s="33">
        <f>F302*86400</f>
        <v>1041236.0971917079</v>
      </c>
      <c r="H302" s="33">
        <f t="shared" si="41"/>
        <v>1.0412360971917078</v>
      </c>
      <c r="I302" s="33">
        <v>15082</v>
      </c>
      <c r="J302" s="43">
        <f t="shared" si="42"/>
        <v>1.5082E-2</v>
      </c>
      <c r="K302" s="33">
        <v>0</v>
      </c>
      <c r="L302" s="33">
        <v>0</v>
      </c>
      <c r="M302" s="45">
        <f t="shared" si="39"/>
        <v>1.5082E-2</v>
      </c>
      <c r="N302" s="33">
        <v>5.5123199999999997E-2</v>
      </c>
      <c r="O302" s="45">
        <f t="shared" si="40"/>
        <v>0.97103089719170776</v>
      </c>
    </row>
    <row r="303" spans="1:15" x14ac:dyDescent="0.7">
      <c r="A303" s="4"/>
      <c r="B303" s="4"/>
      <c r="C303" s="15">
        <v>27</v>
      </c>
      <c r="D303" s="16">
        <v>41.228999999999999</v>
      </c>
      <c r="E303" s="17">
        <v>0</v>
      </c>
      <c r="F303" s="40">
        <v>12.05134371749662</v>
      </c>
      <c r="G303" s="33">
        <f t="shared" si="37"/>
        <v>1041236.0971917079</v>
      </c>
      <c r="H303" s="33">
        <f t="shared" si="41"/>
        <v>1.0412360971917078</v>
      </c>
      <c r="I303" s="33">
        <v>14091</v>
      </c>
      <c r="J303" s="43">
        <f t="shared" si="42"/>
        <v>1.4090999999999999E-2</v>
      </c>
      <c r="K303" s="33">
        <v>0</v>
      </c>
      <c r="L303" s="33">
        <v>0</v>
      </c>
      <c r="M303" s="45">
        <f t="shared" si="39"/>
        <v>1.4090999999999999E-2</v>
      </c>
      <c r="N303" s="33">
        <v>5.5123199999999997E-2</v>
      </c>
      <c r="O303" s="45">
        <f t="shared" si="40"/>
        <v>0.97202189719170773</v>
      </c>
    </row>
    <row r="304" spans="1:15" x14ac:dyDescent="0.7">
      <c r="A304" s="4"/>
      <c r="B304" s="4"/>
      <c r="C304" s="15">
        <v>28</v>
      </c>
      <c r="D304" s="16">
        <v>41.228999999999999</v>
      </c>
      <c r="E304" s="17">
        <v>0</v>
      </c>
      <c r="F304" s="40">
        <v>12.05134371749662</v>
      </c>
      <c r="G304" s="33">
        <f t="shared" si="37"/>
        <v>1041236.0971917079</v>
      </c>
      <c r="H304" s="33">
        <f t="shared" si="41"/>
        <v>1.0412360971917078</v>
      </c>
      <c r="I304" s="33">
        <v>15845</v>
      </c>
      <c r="J304" s="43">
        <f t="shared" si="42"/>
        <v>1.5845000000000001E-2</v>
      </c>
      <c r="K304" s="33">
        <v>0</v>
      </c>
      <c r="L304" s="33">
        <v>0</v>
      </c>
      <c r="M304" s="45">
        <f t="shared" si="39"/>
        <v>1.5845000000000001E-2</v>
      </c>
      <c r="N304" s="33">
        <v>5.5123199999999997E-2</v>
      </c>
      <c r="O304" s="45">
        <f t="shared" si="40"/>
        <v>0.9702678971917077</v>
      </c>
    </row>
    <row r="305" spans="1:15" x14ac:dyDescent="0.7">
      <c r="A305" s="9"/>
      <c r="B305" s="9"/>
      <c r="C305" s="27">
        <v>29</v>
      </c>
      <c r="D305" s="28">
        <v>36.234000000000002</v>
      </c>
      <c r="E305" s="52">
        <v>0</v>
      </c>
      <c r="F305" s="53">
        <v>12.05134371749662</v>
      </c>
      <c r="G305" s="54">
        <f t="shared" si="37"/>
        <v>1041236.0971917079</v>
      </c>
      <c r="H305" s="54">
        <f t="shared" si="41"/>
        <v>1.0412360971917078</v>
      </c>
      <c r="I305" s="54">
        <v>15019</v>
      </c>
      <c r="J305" s="55">
        <f t="shared" si="42"/>
        <v>1.5018999999999999E-2</v>
      </c>
      <c r="K305" s="54">
        <v>5548</v>
      </c>
      <c r="L305" s="54">
        <f t="shared" ref="L305:L325" si="43">K305/1000000</f>
        <v>5.548E-3</v>
      </c>
      <c r="M305" s="56">
        <f t="shared" si="39"/>
        <v>2.0566999999999998E-2</v>
      </c>
      <c r="N305" s="54">
        <v>5.5123199999999997E-2</v>
      </c>
      <c r="O305" s="56">
        <f t="shared" si="40"/>
        <v>0.9655458971917078</v>
      </c>
    </row>
    <row r="306" spans="1:15" x14ac:dyDescent="0.7">
      <c r="A306" s="4"/>
      <c r="B306" s="4"/>
      <c r="C306" s="15">
        <v>30</v>
      </c>
      <c r="D306" s="16">
        <v>36.234000000000002</v>
      </c>
      <c r="E306" s="17">
        <v>0</v>
      </c>
      <c r="F306" s="40">
        <v>12.05134371749662</v>
      </c>
      <c r="G306" s="33">
        <f t="shared" si="37"/>
        <v>1041236.0971917079</v>
      </c>
      <c r="H306" s="33">
        <f t="shared" si="41"/>
        <v>1.0412360971917078</v>
      </c>
      <c r="I306" s="33">
        <v>14687</v>
      </c>
      <c r="J306" s="43">
        <f t="shared" si="42"/>
        <v>1.4687E-2</v>
      </c>
      <c r="K306" s="33">
        <v>8208</v>
      </c>
      <c r="L306" s="33">
        <f t="shared" si="43"/>
        <v>8.208E-3</v>
      </c>
      <c r="M306" s="45">
        <f t="shared" si="39"/>
        <v>2.2894999999999999E-2</v>
      </c>
      <c r="N306" s="33">
        <v>5.5123199999999997E-2</v>
      </c>
      <c r="O306" s="45">
        <f t="shared" si="40"/>
        <v>0.96321789719170792</v>
      </c>
    </row>
    <row r="307" spans="1:15" s="10" customFormat="1" ht="25.2" thickBot="1" x14ac:dyDescent="0.75">
      <c r="A307" s="6"/>
      <c r="B307" s="6" t="s">
        <v>24</v>
      </c>
      <c r="C307" s="21">
        <v>31</v>
      </c>
      <c r="D307" s="22">
        <v>33.856999999999999</v>
      </c>
      <c r="E307" s="23">
        <v>0</v>
      </c>
      <c r="F307" s="41">
        <v>12.05134371749662</v>
      </c>
      <c r="G307" s="37">
        <f t="shared" si="37"/>
        <v>1041236.0971917079</v>
      </c>
      <c r="H307" s="37">
        <f t="shared" si="41"/>
        <v>1.0412360971917078</v>
      </c>
      <c r="I307" s="37">
        <v>16929</v>
      </c>
      <c r="J307" s="47">
        <f t="shared" si="42"/>
        <v>1.6929E-2</v>
      </c>
      <c r="K307" s="37">
        <v>7381</v>
      </c>
      <c r="L307" s="37">
        <f t="shared" si="43"/>
        <v>7.3810000000000004E-3</v>
      </c>
      <c r="M307" s="48">
        <f t="shared" si="39"/>
        <v>2.4309999999999998E-2</v>
      </c>
      <c r="N307" s="37">
        <v>5.5123199999999997E-2</v>
      </c>
      <c r="O307" s="48">
        <f t="shared" si="40"/>
        <v>0.96180289719170775</v>
      </c>
    </row>
    <row r="308" spans="1:15" s="14" customFormat="1" x14ac:dyDescent="0.7">
      <c r="A308" s="13"/>
      <c r="B308" s="13" t="s">
        <v>25</v>
      </c>
      <c r="C308" s="25">
        <v>1</v>
      </c>
      <c r="D308" s="26">
        <v>32.698999999999998</v>
      </c>
      <c r="E308" s="24">
        <v>0</v>
      </c>
      <c r="F308" s="42">
        <v>9.3446612095359303</v>
      </c>
      <c r="G308" s="38">
        <f t="shared" si="37"/>
        <v>807378.72850390442</v>
      </c>
      <c r="H308" s="38">
        <f t="shared" si="41"/>
        <v>0.80737872850390446</v>
      </c>
      <c r="I308" s="38">
        <v>19564</v>
      </c>
      <c r="J308" s="50">
        <f t="shared" si="42"/>
        <v>1.9564000000000002E-2</v>
      </c>
      <c r="K308" s="38">
        <v>7298</v>
      </c>
      <c r="L308" s="38">
        <f t="shared" si="43"/>
        <v>7.2979999999999998E-3</v>
      </c>
      <c r="M308" s="51">
        <f t="shared" si="39"/>
        <v>2.6862E-2</v>
      </c>
      <c r="N308" s="38">
        <v>5.5123199999999997E-2</v>
      </c>
      <c r="O308" s="51">
        <f t="shared" si="40"/>
        <v>0.72539352850390437</v>
      </c>
    </row>
    <row r="309" spans="1:15" x14ac:dyDescent="0.7">
      <c r="A309" s="2"/>
      <c r="B309" s="2"/>
      <c r="C309" s="19">
        <v>2</v>
      </c>
      <c r="D309" s="20">
        <v>30.003</v>
      </c>
      <c r="E309" s="24">
        <v>0</v>
      </c>
      <c r="F309" s="42">
        <v>7.0185441358427614</v>
      </c>
      <c r="G309" s="38">
        <f t="shared" si="37"/>
        <v>606402.21333681454</v>
      </c>
      <c r="H309" s="38">
        <f t="shared" si="41"/>
        <v>0.60640221333681454</v>
      </c>
      <c r="I309" s="38">
        <v>19017</v>
      </c>
      <c r="J309" s="50">
        <f t="shared" si="42"/>
        <v>1.9016999999999999E-2</v>
      </c>
      <c r="K309" s="38">
        <v>7441</v>
      </c>
      <c r="L309" s="38">
        <f t="shared" si="43"/>
        <v>7.4409999999999997E-3</v>
      </c>
      <c r="M309" s="51">
        <f t="shared" si="39"/>
        <v>2.6457999999999999E-2</v>
      </c>
      <c r="N309" s="38">
        <v>5.5123199999999997E-2</v>
      </c>
      <c r="O309" s="51">
        <f t="shared" si="40"/>
        <v>0.52482101333681452</v>
      </c>
    </row>
    <row r="310" spans="1:15" x14ac:dyDescent="0.7">
      <c r="A310" s="4"/>
      <c r="B310" s="4"/>
      <c r="C310" s="15">
        <v>3</v>
      </c>
      <c r="D310" s="16">
        <v>32.421999999999997</v>
      </c>
      <c r="E310" s="17">
        <v>8.1999999999999993</v>
      </c>
      <c r="F310" s="40">
        <v>7.0185441358427614</v>
      </c>
      <c r="G310" s="33">
        <f t="shared" si="37"/>
        <v>606402.21333681454</v>
      </c>
      <c r="H310" s="33">
        <f t="shared" si="41"/>
        <v>0.60640221333681454</v>
      </c>
      <c r="I310" s="33">
        <v>19224</v>
      </c>
      <c r="J310" s="43">
        <f t="shared" si="42"/>
        <v>1.9224000000000002E-2</v>
      </c>
      <c r="K310" s="33">
        <v>6008</v>
      </c>
      <c r="L310" s="33">
        <f t="shared" si="43"/>
        <v>6.0080000000000003E-3</v>
      </c>
      <c r="M310" s="45">
        <f t="shared" si="39"/>
        <v>2.5232000000000001E-2</v>
      </c>
      <c r="N310" s="33">
        <v>5.5123199999999997E-2</v>
      </c>
      <c r="O310" s="45">
        <f t="shared" si="40"/>
        <v>0.52604701333681447</v>
      </c>
    </row>
    <row r="311" spans="1:15" x14ac:dyDescent="0.7">
      <c r="A311" s="4"/>
      <c r="B311" s="4"/>
      <c r="C311" s="15">
        <v>4</v>
      </c>
      <c r="D311" s="16">
        <v>30.003</v>
      </c>
      <c r="E311" s="17">
        <v>0</v>
      </c>
      <c r="F311" s="40">
        <v>7.0185441358427614</v>
      </c>
      <c r="G311" s="33">
        <f t="shared" si="37"/>
        <v>606402.21333681454</v>
      </c>
      <c r="H311" s="33">
        <f t="shared" si="41"/>
        <v>0.60640221333681454</v>
      </c>
      <c r="I311" s="33">
        <v>16398</v>
      </c>
      <c r="J311" s="43">
        <f t="shared" si="42"/>
        <v>1.6397999999999999E-2</v>
      </c>
      <c r="K311" s="33">
        <v>4766</v>
      </c>
      <c r="L311" s="33">
        <f t="shared" si="43"/>
        <v>4.7660000000000003E-3</v>
      </c>
      <c r="M311" s="45">
        <f t="shared" si="39"/>
        <v>2.1163999999999999E-2</v>
      </c>
      <c r="N311" s="33">
        <v>0.14152320000000002</v>
      </c>
      <c r="O311" s="45">
        <f t="shared" si="40"/>
        <v>0.44371501333681457</v>
      </c>
    </row>
    <row r="312" spans="1:15" x14ac:dyDescent="0.7">
      <c r="A312" s="4"/>
      <c r="B312" s="4"/>
      <c r="C312" s="15">
        <v>5</v>
      </c>
      <c r="D312" s="16">
        <v>30.003</v>
      </c>
      <c r="E312" s="17">
        <v>0</v>
      </c>
      <c r="F312" s="40">
        <v>7.0185441358427614</v>
      </c>
      <c r="G312" s="33">
        <f t="shared" si="37"/>
        <v>606402.21333681454</v>
      </c>
      <c r="H312" s="33">
        <f t="shared" si="41"/>
        <v>0.60640221333681454</v>
      </c>
      <c r="I312" s="33">
        <v>13789</v>
      </c>
      <c r="J312" s="43">
        <f t="shared" si="42"/>
        <v>1.3788999999999999E-2</v>
      </c>
      <c r="K312" s="33">
        <v>4691</v>
      </c>
      <c r="L312" s="33">
        <f t="shared" si="43"/>
        <v>4.6909999999999999E-3</v>
      </c>
      <c r="M312" s="45">
        <f t="shared" si="39"/>
        <v>1.848E-2</v>
      </c>
      <c r="N312" s="33">
        <v>0.22792320000000002</v>
      </c>
      <c r="O312" s="45">
        <f t="shared" si="40"/>
        <v>0.3599990133368145</v>
      </c>
    </row>
    <row r="313" spans="1:15" x14ac:dyDescent="0.7">
      <c r="A313" s="4"/>
      <c r="B313" s="4"/>
      <c r="C313" s="15">
        <v>6</v>
      </c>
      <c r="D313" s="16">
        <v>31.201999999999998</v>
      </c>
      <c r="E313" s="17">
        <v>17.3</v>
      </c>
      <c r="F313" s="40">
        <v>7.0185441358427614</v>
      </c>
      <c r="G313" s="33">
        <f t="shared" si="37"/>
        <v>606402.21333681454</v>
      </c>
      <c r="H313" s="33">
        <f t="shared" si="41"/>
        <v>0.60640221333681454</v>
      </c>
      <c r="I313" s="33">
        <v>15590</v>
      </c>
      <c r="J313" s="43">
        <f t="shared" si="42"/>
        <v>1.559E-2</v>
      </c>
      <c r="K313" s="33">
        <v>4724</v>
      </c>
      <c r="L313" s="33">
        <f t="shared" si="43"/>
        <v>4.7239999999999999E-3</v>
      </c>
      <c r="M313" s="45">
        <f t="shared" si="39"/>
        <v>2.0313999999999999E-2</v>
      </c>
      <c r="N313" s="33">
        <v>0.31700159999999999</v>
      </c>
      <c r="O313" s="45">
        <f t="shared" si="40"/>
        <v>0.26908661333681461</v>
      </c>
    </row>
    <row r="314" spans="1:15" x14ac:dyDescent="0.7">
      <c r="A314" s="4"/>
      <c r="B314" s="4"/>
      <c r="C314" s="15">
        <v>7</v>
      </c>
      <c r="D314" s="16">
        <v>49.973999999999997</v>
      </c>
      <c r="E314" s="17">
        <v>11.2</v>
      </c>
      <c r="F314" s="40">
        <v>7.0185441358427614</v>
      </c>
      <c r="G314" s="33">
        <f t="shared" si="37"/>
        <v>606402.21333681454</v>
      </c>
      <c r="H314" s="33">
        <f t="shared" si="41"/>
        <v>0.60640221333681454</v>
      </c>
      <c r="I314" s="33">
        <v>12042</v>
      </c>
      <c r="J314" s="43">
        <f t="shared" si="42"/>
        <v>1.2042000000000001E-2</v>
      </c>
      <c r="K314" s="33">
        <v>4551</v>
      </c>
      <c r="L314" s="33">
        <f t="shared" si="43"/>
        <v>4.5510000000000004E-3</v>
      </c>
      <c r="M314" s="45">
        <f t="shared" si="39"/>
        <v>1.6593E-2</v>
      </c>
      <c r="N314" s="33">
        <v>0.29972159999999998</v>
      </c>
      <c r="O314" s="45">
        <f t="shared" si="40"/>
        <v>0.2900876133368146</v>
      </c>
    </row>
    <row r="315" spans="1:15" x14ac:dyDescent="0.7">
      <c r="A315" s="4"/>
      <c r="B315" s="4"/>
      <c r="C315" s="15">
        <v>8</v>
      </c>
      <c r="D315" s="16">
        <v>160.86700000000002</v>
      </c>
      <c r="E315" s="17">
        <v>34.700000000000003</v>
      </c>
      <c r="F315" s="40">
        <v>7.0185441358427614</v>
      </c>
      <c r="G315" s="33">
        <f t="shared" si="37"/>
        <v>606402.21333681454</v>
      </c>
      <c r="H315" s="33">
        <f t="shared" si="41"/>
        <v>0.60640221333681454</v>
      </c>
      <c r="I315" s="33">
        <v>19324</v>
      </c>
      <c r="J315" s="43">
        <f t="shared" si="42"/>
        <v>1.9324000000000001E-2</v>
      </c>
      <c r="K315" s="33">
        <v>4596</v>
      </c>
      <c r="L315" s="33">
        <f t="shared" si="43"/>
        <v>4.5960000000000003E-3</v>
      </c>
      <c r="M315" s="45">
        <f t="shared" si="39"/>
        <v>2.392E-2</v>
      </c>
      <c r="N315" s="33">
        <v>0.29972159999999998</v>
      </c>
      <c r="O315" s="45">
        <f t="shared" si="40"/>
        <v>0.28276061333681451</v>
      </c>
    </row>
    <row r="316" spans="1:15" x14ac:dyDescent="0.7">
      <c r="A316" s="4"/>
      <c r="B316" s="4"/>
      <c r="C316" s="15">
        <v>9</v>
      </c>
      <c r="D316" s="16">
        <v>91.374000000000009</v>
      </c>
      <c r="E316" s="17">
        <v>1.4</v>
      </c>
      <c r="F316" s="40">
        <v>7.0185441358427614</v>
      </c>
      <c r="G316" s="33">
        <f t="shared" si="37"/>
        <v>606402.21333681454</v>
      </c>
      <c r="H316" s="33">
        <f t="shared" si="41"/>
        <v>0.60640221333681454</v>
      </c>
      <c r="I316" s="33">
        <v>21365</v>
      </c>
      <c r="J316" s="43">
        <f t="shared" si="42"/>
        <v>2.1364999999999999E-2</v>
      </c>
      <c r="K316" s="33">
        <v>4670</v>
      </c>
      <c r="L316" s="33">
        <f t="shared" si="43"/>
        <v>4.6699999999999997E-3</v>
      </c>
      <c r="M316" s="45">
        <f t="shared" si="39"/>
        <v>2.6034999999999999E-2</v>
      </c>
      <c r="N316" s="33">
        <v>0.30836159999999996</v>
      </c>
      <c r="O316" s="45">
        <f t="shared" si="40"/>
        <v>0.27200561333681456</v>
      </c>
    </row>
    <row r="317" spans="1:15" x14ac:dyDescent="0.7">
      <c r="A317" s="4"/>
      <c r="B317" s="4"/>
      <c r="C317" s="15">
        <v>10</v>
      </c>
      <c r="D317" s="16">
        <v>60.622</v>
      </c>
      <c r="E317" s="17">
        <v>0</v>
      </c>
      <c r="F317" s="40">
        <v>7.0185441358427614</v>
      </c>
      <c r="G317" s="33">
        <f t="shared" si="37"/>
        <v>606402.21333681454</v>
      </c>
      <c r="H317" s="33">
        <f t="shared" si="41"/>
        <v>0.60640221333681454</v>
      </c>
      <c r="I317" s="33">
        <v>15226</v>
      </c>
      <c r="J317" s="43">
        <f t="shared" si="42"/>
        <v>1.5226E-2</v>
      </c>
      <c r="K317" s="33">
        <v>4409</v>
      </c>
      <c r="L317" s="33">
        <f t="shared" si="43"/>
        <v>4.4089999999999997E-3</v>
      </c>
      <c r="M317" s="45">
        <f t="shared" si="39"/>
        <v>1.9635E-2</v>
      </c>
      <c r="N317" s="33">
        <v>0.36884159999999999</v>
      </c>
      <c r="O317" s="45">
        <f t="shared" si="40"/>
        <v>0.21792561333681459</v>
      </c>
    </row>
    <row r="318" spans="1:15" x14ac:dyDescent="0.7">
      <c r="A318" s="4"/>
      <c r="B318" s="4"/>
      <c r="C318" s="15">
        <v>11</v>
      </c>
      <c r="D318" s="16">
        <v>49.973999999999997</v>
      </c>
      <c r="E318" s="17">
        <v>0</v>
      </c>
      <c r="F318" s="40">
        <v>7.0185441358427614</v>
      </c>
      <c r="G318" s="33">
        <f t="shared" si="37"/>
        <v>606402.21333681454</v>
      </c>
      <c r="H318" s="33">
        <f t="shared" si="41"/>
        <v>0.60640221333681454</v>
      </c>
      <c r="I318" s="33">
        <v>16613</v>
      </c>
      <c r="J318" s="43">
        <f t="shared" si="42"/>
        <v>1.6612999999999999E-2</v>
      </c>
      <c r="K318" s="33">
        <v>4956</v>
      </c>
      <c r="L318" s="33">
        <f t="shared" si="43"/>
        <v>4.9560000000000003E-3</v>
      </c>
      <c r="M318" s="45">
        <f t="shared" si="39"/>
        <v>2.1568999999999998E-2</v>
      </c>
      <c r="N318" s="33">
        <v>0.36884159999999999</v>
      </c>
      <c r="O318" s="45">
        <f t="shared" si="40"/>
        <v>0.2159916133368146</v>
      </c>
    </row>
    <row r="319" spans="1:15" x14ac:dyDescent="0.7">
      <c r="A319" s="4"/>
      <c r="B319" s="4"/>
      <c r="C319" s="15">
        <v>12</v>
      </c>
      <c r="D319" s="16">
        <v>44.251999999999995</v>
      </c>
      <c r="E319" s="17">
        <v>0</v>
      </c>
      <c r="F319" s="40">
        <v>7.0185441358427614</v>
      </c>
      <c r="G319" s="33">
        <f t="shared" si="37"/>
        <v>606402.21333681454</v>
      </c>
      <c r="H319" s="33">
        <f t="shared" si="41"/>
        <v>0.60640221333681454</v>
      </c>
      <c r="I319" s="33">
        <v>17901</v>
      </c>
      <c r="J319" s="43">
        <f t="shared" si="42"/>
        <v>1.7901E-2</v>
      </c>
      <c r="K319" s="33">
        <v>4608</v>
      </c>
      <c r="L319" s="33">
        <f t="shared" si="43"/>
        <v>4.6080000000000001E-3</v>
      </c>
      <c r="M319" s="45">
        <f t="shared" si="39"/>
        <v>2.2509000000000001E-2</v>
      </c>
      <c r="N319" s="33">
        <v>0.36884159999999999</v>
      </c>
      <c r="O319" s="45">
        <f t="shared" si="40"/>
        <v>0.21505161333681455</v>
      </c>
    </row>
    <row r="320" spans="1:15" x14ac:dyDescent="0.7">
      <c r="A320" s="4"/>
      <c r="B320" s="4"/>
      <c r="C320" s="15">
        <v>13</v>
      </c>
      <c r="D320" s="16">
        <v>40.143000000000001</v>
      </c>
      <c r="E320" s="17">
        <v>0</v>
      </c>
      <c r="F320" s="40">
        <v>7.0185441358427614</v>
      </c>
      <c r="G320" s="33">
        <f t="shared" si="37"/>
        <v>606402.21333681454</v>
      </c>
      <c r="H320" s="33">
        <f t="shared" si="41"/>
        <v>0.60640221333681454</v>
      </c>
      <c r="I320" s="33">
        <v>15762</v>
      </c>
      <c r="J320" s="43">
        <f t="shared" si="42"/>
        <v>1.5762000000000002E-2</v>
      </c>
      <c r="K320" s="33">
        <v>3816</v>
      </c>
      <c r="L320" s="33">
        <f t="shared" si="43"/>
        <v>3.8159999999999999E-3</v>
      </c>
      <c r="M320" s="45">
        <f t="shared" si="39"/>
        <v>1.9578000000000002E-2</v>
      </c>
      <c r="N320" s="33">
        <v>0.36020159999999996</v>
      </c>
      <c r="O320" s="45">
        <f t="shared" si="40"/>
        <v>0.2266226133368146</v>
      </c>
    </row>
    <row r="321" spans="1:15" x14ac:dyDescent="0.7">
      <c r="A321" s="4"/>
      <c r="B321" s="4"/>
      <c r="C321" s="15">
        <v>14</v>
      </c>
      <c r="D321" s="16">
        <v>37.494</v>
      </c>
      <c r="E321" s="17">
        <v>0</v>
      </c>
      <c r="F321" s="40">
        <v>7.0185441358427614</v>
      </c>
      <c r="G321" s="33">
        <f t="shared" si="37"/>
        <v>606402.21333681454</v>
      </c>
      <c r="H321" s="33">
        <f t="shared" si="41"/>
        <v>0.60640221333681454</v>
      </c>
      <c r="I321" s="33">
        <v>19510</v>
      </c>
      <c r="J321" s="43">
        <f t="shared" si="42"/>
        <v>1.951E-2</v>
      </c>
      <c r="K321" s="33">
        <v>3608</v>
      </c>
      <c r="L321" s="33">
        <f t="shared" si="43"/>
        <v>3.6080000000000001E-3</v>
      </c>
      <c r="M321" s="45">
        <f t="shared" si="39"/>
        <v>2.3118E-2</v>
      </c>
      <c r="N321" s="33">
        <v>0.36020159999999996</v>
      </c>
      <c r="O321" s="45">
        <f t="shared" si="40"/>
        <v>0.22308261333681462</v>
      </c>
    </row>
    <row r="322" spans="1:15" x14ac:dyDescent="0.7">
      <c r="A322" s="4"/>
      <c r="B322" s="4"/>
      <c r="C322" s="15">
        <v>15</v>
      </c>
      <c r="D322" s="16">
        <v>34.918999999999997</v>
      </c>
      <c r="E322" s="17">
        <v>0</v>
      </c>
      <c r="F322" s="40">
        <v>7.0185441358427614</v>
      </c>
      <c r="G322" s="33">
        <f t="shared" si="37"/>
        <v>606402.21333681454</v>
      </c>
      <c r="H322" s="33">
        <f t="shared" si="41"/>
        <v>0.60640221333681454</v>
      </c>
      <c r="I322" s="33">
        <v>18062</v>
      </c>
      <c r="J322" s="43">
        <f t="shared" si="42"/>
        <v>1.8062000000000002E-2</v>
      </c>
      <c r="K322" s="33">
        <v>3713</v>
      </c>
      <c r="L322" s="33">
        <f t="shared" si="43"/>
        <v>3.7130000000000002E-3</v>
      </c>
      <c r="M322" s="45">
        <f t="shared" si="39"/>
        <v>2.1775000000000003E-2</v>
      </c>
      <c r="N322" s="33">
        <v>0.36020159999999996</v>
      </c>
      <c r="O322" s="45">
        <f t="shared" si="40"/>
        <v>0.2244256133368146</v>
      </c>
    </row>
    <row r="323" spans="1:15" x14ac:dyDescent="0.7">
      <c r="A323" s="4"/>
      <c r="B323" s="4"/>
      <c r="C323" s="15">
        <v>16</v>
      </c>
      <c r="D323" s="16">
        <v>31.201999999999998</v>
      </c>
      <c r="E323" s="17">
        <v>0</v>
      </c>
      <c r="F323" s="40">
        <v>7.0185441358427614</v>
      </c>
      <c r="G323" s="33">
        <f t="shared" si="37"/>
        <v>606402.21333681454</v>
      </c>
      <c r="H323" s="33">
        <f t="shared" si="41"/>
        <v>0.60640221333681454</v>
      </c>
      <c r="I323" s="33">
        <v>19243</v>
      </c>
      <c r="J323" s="43">
        <f t="shared" si="42"/>
        <v>1.9243E-2</v>
      </c>
      <c r="K323" s="33">
        <v>3786</v>
      </c>
      <c r="L323" s="33">
        <f t="shared" si="43"/>
        <v>3.7859999999999999E-3</v>
      </c>
      <c r="M323" s="45">
        <f t="shared" si="39"/>
        <v>2.3029000000000001E-2</v>
      </c>
      <c r="N323" s="33">
        <v>0.36020159999999996</v>
      </c>
      <c r="O323" s="45">
        <f t="shared" si="40"/>
        <v>0.22317161333681462</v>
      </c>
    </row>
    <row r="324" spans="1:15" x14ac:dyDescent="0.7">
      <c r="A324" s="4"/>
      <c r="B324" s="4"/>
      <c r="C324" s="15">
        <v>17</v>
      </c>
      <c r="D324" s="16">
        <v>30.003</v>
      </c>
      <c r="E324" s="17">
        <v>0</v>
      </c>
      <c r="F324" s="40">
        <v>7.0185441358427614</v>
      </c>
      <c r="G324" s="33">
        <f t="shared" si="37"/>
        <v>606402.21333681454</v>
      </c>
      <c r="H324" s="33">
        <f t="shared" si="41"/>
        <v>0.60640221333681454</v>
      </c>
      <c r="I324" s="33">
        <v>18038</v>
      </c>
      <c r="J324" s="43">
        <f t="shared" si="42"/>
        <v>1.8037999999999998E-2</v>
      </c>
      <c r="K324" s="33">
        <v>4544</v>
      </c>
      <c r="L324" s="33">
        <f t="shared" si="43"/>
        <v>4.5440000000000003E-3</v>
      </c>
      <c r="M324" s="45">
        <f t="shared" si="39"/>
        <v>2.2581999999999998E-2</v>
      </c>
      <c r="N324" s="33">
        <v>0.29972159999999998</v>
      </c>
      <c r="O324" s="45">
        <f t="shared" si="40"/>
        <v>0.28409861333681458</v>
      </c>
    </row>
    <row r="325" spans="1:15" x14ac:dyDescent="0.7">
      <c r="A325" s="4"/>
      <c r="B325" s="4"/>
      <c r="C325" s="15">
        <v>18</v>
      </c>
      <c r="D325" s="16">
        <v>28.825000000000003</v>
      </c>
      <c r="E325" s="17">
        <v>0</v>
      </c>
      <c r="F325" s="40">
        <v>7.0185441358427614</v>
      </c>
      <c r="G325" s="33">
        <f t="shared" si="37"/>
        <v>606402.21333681454</v>
      </c>
      <c r="H325" s="33">
        <f t="shared" si="41"/>
        <v>0.60640221333681454</v>
      </c>
      <c r="I325" s="33">
        <v>18079</v>
      </c>
      <c r="J325" s="43">
        <f t="shared" si="42"/>
        <v>1.8079000000000001E-2</v>
      </c>
      <c r="K325" s="33">
        <v>5454</v>
      </c>
      <c r="L325" s="33">
        <f t="shared" si="43"/>
        <v>5.4539999999999996E-3</v>
      </c>
      <c r="M325" s="45">
        <f t="shared" si="39"/>
        <v>2.3533000000000002E-2</v>
      </c>
      <c r="N325" s="33">
        <v>0.29972159999999998</v>
      </c>
      <c r="O325" s="45">
        <f t="shared" si="40"/>
        <v>0.28314761333681454</v>
      </c>
    </row>
    <row r="326" spans="1:15" x14ac:dyDescent="0.7">
      <c r="A326" s="4"/>
      <c r="B326" s="4"/>
      <c r="C326" s="15">
        <v>19</v>
      </c>
      <c r="D326" s="16">
        <v>28.825000000000003</v>
      </c>
      <c r="E326" s="17">
        <v>0</v>
      </c>
      <c r="F326" s="40">
        <v>7.0185441358427614</v>
      </c>
      <c r="G326" s="33">
        <f t="shared" si="37"/>
        <v>606402.21333681454</v>
      </c>
      <c r="H326" s="33">
        <f t="shared" si="41"/>
        <v>0.60640221333681454</v>
      </c>
      <c r="I326" s="33">
        <v>16847</v>
      </c>
      <c r="J326" s="43">
        <f t="shared" si="42"/>
        <v>1.6847000000000001E-2</v>
      </c>
      <c r="K326" s="33">
        <v>0</v>
      </c>
      <c r="L326" s="33">
        <v>0</v>
      </c>
      <c r="M326" s="45">
        <f t="shared" si="39"/>
        <v>1.6847000000000001E-2</v>
      </c>
      <c r="N326" s="33">
        <v>0.25652160000000002</v>
      </c>
      <c r="O326" s="45">
        <f t="shared" si="40"/>
        <v>0.33303361333681447</v>
      </c>
    </row>
    <row r="327" spans="1:15" x14ac:dyDescent="0.7">
      <c r="A327" s="4"/>
      <c r="B327" s="4"/>
      <c r="C327" s="15">
        <v>20</v>
      </c>
      <c r="D327" s="16">
        <v>28.825000000000003</v>
      </c>
      <c r="E327" s="17">
        <v>0</v>
      </c>
      <c r="F327" s="40">
        <v>7.0185441358427614</v>
      </c>
      <c r="G327" s="33">
        <f t="shared" si="37"/>
        <v>606402.21333681454</v>
      </c>
      <c r="H327" s="33">
        <f t="shared" si="41"/>
        <v>0.60640221333681454</v>
      </c>
      <c r="I327" s="33">
        <v>23908</v>
      </c>
      <c r="J327" s="43">
        <f t="shared" si="42"/>
        <v>2.3907999999999999E-2</v>
      </c>
      <c r="K327" s="33">
        <v>0</v>
      </c>
      <c r="L327" s="33">
        <v>0</v>
      </c>
      <c r="M327" s="45">
        <f t="shared" si="39"/>
        <v>2.3907999999999999E-2</v>
      </c>
      <c r="N327" s="33">
        <v>0.25652160000000002</v>
      </c>
      <c r="O327" s="45">
        <f t="shared" si="40"/>
        <v>0.32597261333681449</v>
      </c>
    </row>
    <row r="328" spans="1:15" x14ac:dyDescent="0.7">
      <c r="A328" s="4"/>
      <c r="B328" s="4"/>
      <c r="C328" s="15">
        <v>21</v>
      </c>
      <c r="D328" s="16">
        <v>28.825000000000003</v>
      </c>
      <c r="E328" s="17">
        <v>0</v>
      </c>
      <c r="F328" s="40">
        <v>5.4381710090094169</v>
      </c>
      <c r="G328" s="33">
        <f t="shared" si="37"/>
        <v>469857.97517841362</v>
      </c>
      <c r="H328" s="33">
        <f t="shared" si="41"/>
        <v>0.4698579751784136</v>
      </c>
      <c r="I328" s="33">
        <v>15962</v>
      </c>
      <c r="J328" s="43">
        <f t="shared" si="42"/>
        <v>1.5962E-2</v>
      </c>
      <c r="K328" s="33">
        <v>0</v>
      </c>
      <c r="L328" s="33">
        <v>0</v>
      </c>
      <c r="M328" s="45">
        <f t="shared" si="39"/>
        <v>1.5962E-2</v>
      </c>
      <c r="N328" s="33">
        <v>0.2133216</v>
      </c>
      <c r="O328" s="45">
        <f t="shared" si="40"/>
        <v>0.24057437517841362</v>
      </c>
    </row>
    <row r="329" spans="1:15" x14ac:dyDescent="0.7">
      <c r="A329" s="4"/>
      <c r="B329" s="4"/>
      <c r="C329" s="15">
        <v>22</v>
      </c>
      <c r="D329" s="16">
        <v>30.715</v>
      </c>
      <c r="E329" s="17">
        <v>0</v>
      </c>
      <c r="F329" s="40">
        <v>4.073335540347693</v>
      </c>
      <c r="G329" s="33">
        <f t="shared" si="37"/>
        <v>351936.19068604067</v>
      </c>
      <c r="H329" s="33">
        <f t="shared" si="41"/>
        <v>0.35193619068604065</v>
      </c>
      <c r="I329" s="33">
        <v>16771</v>
      </c>
      <c r="J329" s="43">
        <f t="shared" si="42"/>
        <v>1.6771000000000001E-2</v>
      </c>
      <c r="K329" s="33">
        <v>0</v>
      </c>
      <c r="L329" s="33">
        <v>0</v>
      </c>
      <c r="M329" s="45">
        <f t="shared" si="39"/>
        <v>1.6771000000000001E-2</v>
      </c>
      <c r="N329" s="33">
        <v>0.2133216</v>
      </c>
      <c r="O329" s="45">
        <f t="shared" si="40"/>
        <v>0.12184359068604067</v>
      </c>
    </row>
    <row r="330" spans="1:15" x14ac:dyDescent="0.7">
      <c r="A330" s="4"/>
      <c r="B330" s="4"/>
      <c r="C330" s="15">
        <v>23</v>
      </c>
      <c r="D330" s="16">
        <v>29.475999999999999</v>
      </c>
      <c r="E330" s="17">
        <v>0</v>
      </c>
      <c r="F330" s="40">
        <v>4.073335540347693</v>
      </c>
      <c r="G330" s="33">
        <f t="shared" si="37"/>
        <v>351936.19068604067</v>
      </c>
      <c r="H330" s="33">
        <f t="shared" si="41"/>
        <v>0.35193619068604065</v>
      </c>
      <c r="I330" s="33">
        <v>14911</v>
      </c>
      <c r="J330" s="43">
        <f t="shared" si="42"/>
        <v>1.4911000000000001E-2</v>
      </c>
      <c r="K330" s="33">
        <v>0</v>
      </c>
      <c r="L330" s="33">
        <v>0</v>
      </c>
      <c r="M330" s="45">
        <f t="shared" si="39"/>
        <v>1.4911000000000001E-2</v>
      </c>
      <c r="N330" s="33">
        <v>0.29972159999999998</v>
      </c>
      <c r="O330" s="45">
        <f t="shared" si="40"/>
        <v>3.7303590686040666E-2</v>
      </c>
    </row>
    <row r="331" spans="1:15" x14ac:dyDescent="0.7">
      <c r="A331" s="4"/>
      <c r="B331" s="4"/>
      <c r="C331" s="15">
        <v>24</v>
      </c>
      <c r="D331" s="16">
        <v>29.475999999999999</v>
      </c>
      <c r="E331" s="17">
        <v>0</v>
      </c>
      <c r="F331" s="40">
        <v>4.073335540347693</v>
      </c>
      <c r="G331" s="33">
        <f t="shared" si="37"/>
        <v>351936.19068604067</v>
      </c>
      <c r="H331" s="33">
        <f t="shared" si="41"/>
        <v>0.35193619068604065</v>
      </c>
      <c r="I331" s="33">
        <v>15787</v>
      </c>
      <c r="J331" s="43">
        <f t="shared" si="42"/>
        <v>1.5786999999999999E-2</v>
      </c>
      <c r="K331" s="33">
        <v>4581</v>
      </c>
      <c r="L331" s="33">
        <f t="shared" ref="L331:L332" si="44">K331/1000000</f>
        <v>4.581E-3</v>
      </c>
      <c r="M331" s="45">
        <f t="shared" si="39"/>
        <v>2.0367999999999997E-2</v>
      </c>
      <c r="N331" s="33">
        <v>5.3481599999999997E-2</v>
      </c>
      <c r="O331" s="45">
        <f t="shared" si="40"/>
        <v>0.27808659068604064</v>
      </c>
    </row>
    <row r="332" spans="1:15" x14ac:dyDescent="0.7">
      <c r="A332" s="4"/>
      <c r="B332" s="4"/>
      <c r="C332" s="15">
        <v>25</v>
      </c>
      <c r="D332" s="16">
        <v>29.475999999999999</v>
      </c>
      <c r="E332" s="17">
        <v>0</v>
      </c>
      <c r="F332" s="40">
        <v>4.073335540347693</v>
      </c>
      <c r="G332" s="33">
        <f t="shared" si="37"/>
        <v>351936.19068604067</v>
      </c>
      <c r="H332" s="33">
        <f t="shared" si="41"/>
        <v>0.35193619068604065</v>
      </c>
      <c r="I332" s="33">
        <v>16450</v>
      </c>
      <c r="J332" s="43">
        <f t="shared" si="42"/>
        <v>1.6449999999999999E-2</v>
      </c>
      <c r="K332" s="33">
        <v>3470</v>
      </c>
      <c r="L332" s="33">
        <f t="shared" si="44"/>
        <v>3.47E-3</v>
      </c>
      <c r="M332" s="45">
        <f t="shared" si="39"/>
        <v>1.992E-2</v>
      </c>
      <c r="N332" s="33">
        <v>5.3481599999999997E-2</v>
      </c>
      <c r="O332" s="45">
        <f t="shared" si="40"/>
        <v>0.27853459068604064</v>
      </c>
    </row>
    <row r="333" spans="1:15" x14ac:dyDescent="0.7">
      <c r="A333" s="4"/>
      <c r="B333" s="4"/>
      <c r="C333" s="15">
        <v>26</v>
      </c>
      <c r="D333" s="16">
        <v>28.256</v>
      </c>
      <c r="E333" s="17">
        <v>0</v>
      </c>
      <c r="F333" s="40">
        <v>4.073335540347693</v>
      </c>
      <c r="G333" s="33">
        <f t="shared" si="37"/>
        <v>351936.19068604067</v>
      </c>
      <c r="H333" s="33">
        <f t="shared" si="41"/>
        <v>0.35193619068604065</v>
      </c>
      <c r="I333" s="33">
        <v>16005</v>
      </c>
      <c r="J333" s="43">
        <f t="shared" si="42"/>
        <v>1.6004999999999998E-2</v>
      </c>
      <c r="K333" s="33">
        <v>0</v>
      </c>
      <c r="L333" s="33">
        <v>0</v>
      </c>
      <c r="M333" s="45">
        <f t="shared" si="39"/>
        <v>1.6004999999999998E-2</v>
      </c>
      <c r="N333" s="33">
        <v>5.3481599999999997E-2</v>
      </c>
      <c r="O333" s="45">
        <f t="shared" si="40"/>
        <v>0.28244959068604064</v>
      </c>
    </row>
    <row r="334" spans="1:15" x14ac:dyDescent="0.7">
      <c r="A334" s="4"/>
      <c r="B334" s="4"/>
      <c r="C334" s="15">
        <v>27</v>
      </c>
      <c r="D334" s="16">
        <v>28.256</v>
      </c>
      <c r="E334" s="17">
        <v>0</v>
      </c>
      <c r="F334" s="40">
        <v>4.073335540347693</v>
      </c>
      <c r="G334" s="33">
        <f t="shared" si="37"/>
        <v>351936.19068604067</v>
      </c>
      <c r="H334" s="33">
        <f t="shared" si="41"/>
        <v>0.35193619068604065</v>
      </c>
      <c r="I334" s="33">
        <v>14868</v>
      </c>
      <c r="J334" s="43">
        <f t="shared" si="42"/>
        <v>1.4867999999999999E-2</v>
      </c>
      <c r="K334" s="33">
        <v>0</v>
      </c>
      <c r="L334" s="33">
        <v>0</v>
      </c>
      <c r="M334" s="45">
        <f t="shared" si="39"/>
        <v>1.4867999999999999E-2</v>
      </c>
      <c r="N334" s="33">
        <v>5.3481599999999997E-2</v>
      </c>
      <c r="O334" s="45">
        <f t="shared" si="40"/>
        <v>0.28358659068604064</v>
      </c>
    </row>
    <row r="335" spans="1:15" x14ac:dyDescent="0.7">
      <c r="A335" s="4"/>
      <c r="B335" s="4"/>
      <c r="C335" s="15">
        <v>28</v>
      </c>
      <c r="D335" s="16">
        <v>28.256</v>
      </c>
      <c r="E335" s="17">
        <v>0</v>
      </c>
      <c r="F335" s="40">
        <v>4.073335540347693</v>
      </c>
      <c r="G335" s="33">
        <f t="shared" si="37"/>
        <v>351936.19068604067</v>
      </c>
      <c r="H335" s="33">
        <f t="shared" si="41"/>
        <v>0.35193619068604065</v>
      </c>
      <c r="I335" s="33">
        <v>14659</v>
      </c>
      <c r="J335" s="43">
        <f t="shared" si="42"/>
        <v>1.4659E-2</v>
      </c>
      <c r="K335" s="33">
        <v>0</v>
      </c>
      <c r="L335" s="33">
        <v>0</v>
      </c>
      <c r="M335" s="45">
        <f t="shared" si="39"/>
        <v>1.4659E-2</v>
      </c>
      <c r="N335" s="33">
        <v>5.3481599999999997E-2</v>
      </c>
      <c r="O335" s="45">
        <f t="shared" si="40"/>
        <v>0.28379559068604066</v>
      </c>
    </row>
    <row r="336" spans="1:15" x14ac:dyDescent="0.7">
      <c r="A336" s="9"/>
      <c r="B336" s="4"/>
      <c r="C336" s="15">
        <v>29</v>
      </c>
      <c r="D336" s="16">
        <v>28.256</v>
      </c>
      <c r="E336" s="17">
        <v>0</v>
      </c>
      <c r="F336" s="40">
        <v>4.073335540347693</v>
      </c>
      <c r="G336" s="33">
        <f t="shared" si="37"/>
        <v>351936.19068604067</v>
      </c>
      <c r="H336" s="33">
        <f t="shared" si="41"/>
        <v>0.35193619068604065</v>
      </c>
      <c r="I336" s="33">
        <v>15478</v>
      </c>
      <c r="J336" s="43">
        <f t="shared" si="42"/>
        <v>1.5478E-2</v>
      </c>
      <c r="K336" s="33">
        <v>0</v>
      </c>
      <c r="L336" s="33">
        <v>0</v>
      </c>
      <c r="M336" s="45">
        <f t="shared" si="39"/>
        <v>1.5478E-2</v>
      </c>
      <c r="N336" s="33">
        <v>5.3481599999999997E-2</v>
      </c>
      <c r="O336" s="45">
        <f t="shared" si="40"/>
        <v>0.28297659068604064</v>
      </c>
    </row>
    <row r="337" spans="1:15" s="10" customFormat="1" ht="25.2" thickBot="1" x14ac:dyDescent="0.75">
      <c r="A337" s="6"/>
      <c r="B337" s="7" t="s">
        <v>25</v>
      </c>
      <c r="C337" s="21">
        <v>30</v>
      </c>
      <c r="D337" s="22">
        <v>27.057000000000002</v>
      </c>
      <c r="E337" s="23">
        <v>0</v>
      </c>
      <c r="F337" s="41">
        <v>10.296552035662856</v>
      </c>
      <c r="G337" s="37">
        <f t="shared" si="37"/>
        <v>889622.09588127071</v>
      </c>
      <c r="H337" s="37">
        <f t="shared" si="41"/>
        <v>0.88962209588127072</v>
      </c>
      <c r="I337" s="37">
        <v>15504</v>
      </c>
      <c r="J337" s="47">
        <f t="shared" si="42"/>
        <v>1.5504E-2</v>
      </c>
      <c r="K337" s="37">
        <v>0</v>
      </c>
      <c r="L337" s="37">
        <v>0</v>
      </c>
      <c r="M337" s="48">
        <f t="shared" si="39"/>
        <v>1.5504E-2</v>
      </c>
      <c r="N337" s="37">
        <v>4.3200000000000002E-2</v>
      </c>
      <c r="O337" s="48">
        <f t="shared" si="40"/>
        <v>0.83091809588127075</v>
      </c>
    </row>
    <row r="338" spans="1:15" x14ac:dyDescent="0.7">
      <c r="A338" s="3"/>
      <c r="B338" s="2" t="s">
        <v>26</v>
      </c>
      <c r="C338" s="19">
        <v>1</v>
      </c>
      <c r="D338" s="20">
        <v>24.952999999999999</v>
      </c>
      <c r="E338" s="24">
        <v>0</v>
      </c>
      <c r="F338" s="49">
        <v>19.584</v>
      </c>
      <c r="G338" s="38">
        <v>1692057.5999999999</v>
      </c>
      <c r="H338" s="38">
        <v>1.6920575999999998</v>
      </c>
      <c r="I338" s="38">
        <v>44287</v>
      </c>
      <c r="J338" s="50">
        <v>4.4287E-2</v>
      </c>
      <c r="K338" s="38">
        <v>0</v>
      </c>
      <c r="L338" s="38">
        <v>0</v>
      </c>
      <c r="M338" s="51">
        <f t="shared" si="39"/>
        <v>4.4287E-2</v>
      </c>
      <c r="N338" s="38">
        <v>3.024E-2</v>
      </c>
      <c r="O338" s="51">
        <f t="shared" si="40"/>
        <v>1.6175305999999998</v>
      </c>
    </row>
    <row r="339" spans="1:15" x14ac:dyDescent="0.7">
      <c r="A339" s="5"/>
      <c r="B339" s="4"/>
      <c r="C339" s="15">
        <v>2</v>
      </c>
      <c r="D339" s="16">
        <v>20.760999999999999</v>
      </c>
      <c r="E339" s="17">
        <v>0</v>
      </c>
      <c r="F339" s="44">
        <v>15.686</v>
      </c>
      <c r="G339" s="33">
        <v>1355270.4</v>
      </c>
      <c r="H339" s="33">
        <v>1.3552704</v>
      </c>
      <c r="I339" s="33">
        <v>46757</v>
      </c>
      <c r="J339" s="43">
        <v>4.6757E-2</v>
      </c>
      <c r="K339" s="33">
        <v>4193</v>
      </c>
      <c r="L339" s="33">
        <v>4.1929999999999997E-3</v>
      </c>
      <c r="M339" s="45">
        <f t="shared" si="39"/>
        <v>5.0950000000000002E-2</v>
      </c>
      <c r="N339" s="33">
        <v>3.024E-2</v>
      </c>
      <c r="O339" s="45">
        <f t="shared" si="40"/>
        <v>1.2740803999999999</v>
      </c>
    </row>
    <row r="340" spans="1:15" x14ac:dyDescent="0.7">
      <c r="A340" s="5"/>
      <c r="B340" s="4"/>
      <c r="C340" s="15">
        <v>3</v>
      </c>
      <c r="D340" s="57">
        <v>24.240000000000002</v>
      </c>
      <c r="E340" s="17">
        <v>0</v>
      </c>
      <c r="F340" s="44">
        <v>12.051</v>
      </c>
      <c r="G340" s="33">
        <v>1041206.4</v>
      </c>
      <c r="H340" s="33">
        <v>1.0412064000000001</v>
      </c>
      <c r="I340" s="33">
        <v>46073</v>
      </c>
      <c r="J340" s="43">
        <v>4.6073000000000003E-2</v>
      </c>
      <c r="K340" s="33">
        <v>5398</v>
      </c>
      <c r="L340" s="33">
        <v>5.398E-3</v>
      </c>
      <c r="M340" s="45">
        <f t="shared" si="39"/>
        <v>5.1471000000000003E-2</v>
      </c>
      <c r="N340" s="33">
        <v>2.1600000000000001E-2</v>
      </c>
      <c r="O340" s="45">
        <f t="shared" si="40"/>
        <v>0.96813540000000009</v>
      </c>
    </row>
    <row r="341" spans="1:15" x14ac:dyDescent="0.7">
      <c r="A341" s="5"/>
      <c r="B341" s="4"/>
      <c r="C341" s="15">
        <v>4</v>
      </c>
      <c r="D341" s="16">
        <v>24.240000000000002</v>
      </c>
      <c r="E341" s="17">
        <v>0</v>
      </c>
      <c r="F341" s="44">
        <v>12.051</v>
      </c>
      <c r="G341" s="33">
        <v>1041206.4</v>
      </c>
      <c r="H341" s="33">
        <v>1.0412064000000001</v>
      </c>
      <c r="I341" s="33">
        <v>45406</v>
      </c>
      <c r="J341" s="43">
        <v>4.5406000000000002E-2</v>
      </c>
      <c r="K341" s="33">
        <v>5305</v>
      </c>
      <c r="L341" s="33">
        <v>5.3049999999999998E-3</v>
      </c>
      <c r="M341" s="45">
        <f t="shared" si="39"/>
        <v>5.0710999999999999E-2</v>
      </c>
      <c r="N341" s="33">
        <v>2.1600000000000001E-2</v>
      </c>
      <c r="O341" s="45">
        <f t="shared" si="40"/>
        <v>0.96889540000000018</v>
      </c>
    </row>
    <row r="342" spans="1:15" x14ac:dyDescent="0.7">
      <c r="A342" s="5"/>
      <c r="B342" s="4"/>
      <c r="C342" s="15">
        <v>5</v>
      </c>
      <c r="D342" s="16">
        <v>24.240000000000002</v>
      </c>
      <c r="E342" s="17">
        <v>0</v>
      </c>
      <c r="F342" s="44">
        <v>12.051</v>
      </c>
      <c r="G342" s="33">
        <v>1041206.4</v>
      </c>
      <c r="H342" s="33">
        <v>1.0412064000000001</v>
      </c>
      <c r="I342" s="33">
        <v>43918</v>
      </c>
      <c r="J342" s="43">
        <v>4.3917999999999999E-2</v>
      </c>
      <c r="K342" s="33">
        <v>5036</v>
      </c>
      <c r="L342" s="33">
        <v>5.0359999999999997E-3</v>
      </c>
      <c r="M342" s="45">
        <f t="shared" si="39"/>
        <v>4.8953999999999998E-2</v>
      </c>
      <c r="N342" s="33">
        <v>2.1600000000000001E-2</v>
      </c>
      <c r="O342" s="45">
        <f t="shared" si="40"/>
        <v>0.97065240000000019</v>
      </c>
    </row>
    <row r="343" spans="1:15" x14ac:dyDescent="0.7">
      <c r="A343" s="5"/>
      <c r="B343" s="4"/>
      <c r="C343" s="15">
        <v>6</v>
      </c>
      <c r="D343" s="16">
        <v>24.240000000000002</v>
      </c>
      <c r="E343" s="17">
        <v>0</v>
      </c>
      <c r="F343" s="39">
        <v>12.051</v>
      </c>
      <c r="G343" s="17">
        <v>1041206.4</v>
      </c>
      <c r="H343" s="17">
        <v>1.0412064000000001</v>
      </c>
      <c r="I343" s="17">
        <v>45856</v>
      </c>
      <c r="J343" s="32">
        <v>4.5856000000000001E-2</v>
      </c>
      <c r="K343" s="17">
        <v>5089</v>
      </c>
      <c r="L343" s="17">
        <v>5.0889999999999998E-3</v>
      </c>
      <c r="M343" s="17">
        <v>5.0945000000000004E-2</v>
      </c>
      <c r="N343" s="17">
        <v>4.752E-2</v>
      </c>
      <c r="O343" s="45">
        <f t="shared" si="40"/>
        <v>0.94274140000000006</v>
      </c>
    </row>
    <row r="344" spans="1:15" x14ac:dyDescent="0.7">
      <c r="A344" s="5"/>
      <c r="B344" s="4"/>
      <c r="C344" s="15">
        <v>7</v>
      </c>
      <c r="D344" s="16">
        <v>24.240000000000002</v>
      </c>
      <c r="E344" s="17">
        <v>0</v>
      </c>
      <c r="F344" s="39">
        <v>12.051</v>
      </c>
      <c r="G344" s="17">
        <v>1041206.4</v>
      </c>
      <c r="H344" s="17">
        <v>1.0412064000000001</v>
      </c>
      <c r="I344" s="17">
        <v>46790</v>
      </c>
      <c r="J344" s="32">
        <v>4.6789999999999998E-2</v>
      </c>
      <c r="K344" s="17">
        <v>4908</v>
      </c>
      <c r="L344" s="17">
        <v>4.908E-3</v>
      </c>
      <c r="M344" s="17">
        <v>5.1698000000000001E-2</v>
      </c>
      <c r="N344" s="17">
        <v>4.752E-2</v>
      </c>
      <c r="O344" s="45">
        <f t="shared" si="40"/>
        <v>0.94198840000000006</v>
      </c>
    </row>
    <row r="345" spans="1:15" x14ac:dyDescent="0.7">
      <c r="A345" s="5"/>
      <c r="B345" s="4"/>
      <c r="C345" s="15">
        <v>8</v>
      </c>
      <c r="D345" s="16">
        <v>23.29</v>
      </c>
      <c r="E345" s="17">
        <v>0</v>
      </c>
      <c r="F345" s="39">
        <v>12.051</v>
      </c>
      <c r="G345" s="17">
        <v>1041206.4</v>
      </c>
      <c r="H345" s="17">
        <v>1.0412064000000001</v>
      </c>
      <c r="I345" s="17">
        <v>45571</v>
      </c>
      <c r="J345" s="32">
        <v>4.5571E-2</v>
      </c>
      <c r="K345" s="17">
        <v>4786</v>
      </c>
      <c r="L345" s="17">
        <v>4.7860000000000003E-3</v>
      </c>
      <c r="M345" s="17">
        <v>5.0356999999999999E-2</v>
      </c>
      <c r="N345" s="17">
        <v>4.752E-2</v>
      </c>
      <c r="O345" s="45">
        <f t="shared" si="40"/>
        <v>0.9433294000000001</v>
      </c>
    </row>
    <row r="346" spans="1:15" x14ac:dyDescent="0.7">
      <c r="A346" s="5"/>
      <c r="B346" s="4"/>
      <c r="C346" s="15">
        <v>9</v>
      </c>
      <c r="D346" s="16">
        <v>23.29</v>
      </c>
      <c r="E346" s="17">
        <v>0</v>
      </c>
      <c r="F346" s="39">
        <v>12.051</v>
      </c>
      <c r="G346" s="17">
        <v>1041206.4</v>
      </c>
      <c r="H346" s="17">
        <v>1.0412064000000001</v>
      </c>
      <c r="I346" s="17">
        <v>46447</v>
      </c>
      <c r="J346" s="32">
        <v>4.6447000000000002E-2</v>
      </c>
      <c r="K346" s="17">
        <v>7607</v>
      </c>
      <c r="L346" s="17">
        <v>7.607E-3</v>
      </c>
      <c r="M346" s="17">
        <v>5.4054000000000005E-2</v>
      </c>
      <c r="N346" s="17">
        <v>4.752E-2</v>
      </c>
      <c r="O346" s="45">
        <f t="shared" si="40"/>
        <v>0.93963240000000003</v>
      </c>
    </row>
    <row r="347" spans="1:15" x14ac:dyDescent="0.7">
      <c r="A347" s="5"/>
      <c r="B347" s="4"/>
      <c r="C347" s="15">
        <v>10</v>
      </c>
      <c r="D347" s="16">
        <v>23.29</v>
      </c>
      <c r="E347" s="17">
        <v>0</v>
      </c>
      <c r="F347" s="39">
        <v>15.333</v>
      </c>
      <c r="G347" s="17">
        <v>1324771.2</v>
      </c>
      <c r="H347" s="17">
        <v>1.3247712</v>
      </c>
      <c r="I347" s="17">
        <v>46242</v>
      </c>
      <c r="J347" s="32">
        <v>4.6241999999999998E-2</v>
      </c>
      <c r="K347" s="17">
        <v>6854</v>
      </c>
      <c r="L347" s="17">
        <v>6.8539999999999998E-3</v>
      </c>
      <c r="M347" s="17">
        <v>5.3095999999999997E-2</v>
      </c>
      <c r="N347" s="17">
        <v>2.1600000000000001E-2</v>
      </c>
      <c r="O347" s="45">
        <f t="shared" si="40"/>
        <v>1.2500751999999999</v>
      </c>
    </row>
    <row r="348" spans="1:15" x14ac:dyDescent="0.7">
      <c r="A348" s="5"/>
      <c r="B348" s="4"/>
      <c r="C348" s="15">
        <v>11</v>
      </c>
      <c r="D348" s="16">
        <v>23.053999999999998</v>
      </c>
      <c r="E348" s="17">
        <v>0</v>
      </c>
      <c r="F348" s="39">
        <v>19.079999999999998</v>
      </c>
      <c r="G348" s="17">
        <v>1648511.9999999998</v>
      </c>
      <c r="H348" s="17">
        <v>1.6485119999999998</v>
      </c>
      <c r="I348" s="17">
        <v>46042</v>
      </c>
      <c r="J348" s="32">
        <v>4.6042E-2</v>
      </c>
      <c r="K348" s="17">
        <v>5099</v>
      </c>
      <c r="L348" s="17">
        <v>5.0990000000000002E-3</v>
      </c>
      <c r="M348" s="17">
        <v>5.1140999999999999E-2</v>
      </c>
      <c r="N348" s="17">
        <v>2.1600000000000001E-2</v>
      </c>
      <c r="O348" s="45">
        <f t="shared" si="40"/>
        <v>1.5757709999999996</v>
      </c>
    </row>
    <row r="349" spans="1:15" x14ac:dyDescent="0.7">
      <c r="A349" s="5"/>
      <c r="B349" s="4"/>
      <c r="C349" s="15">
        <v>12</v>
      </c>
      <c r="D349" s="16">
        <v>23.053999999999998</v>
      </c>
      <c r="E349" s="17">
        <v>0</v>
      </c>
      <c r="F349" s="39">
        <v>19.079999999999998</v>
      </c>
      <c r="G349" s="17">
        <v>1648511.9999999998</v>
      </c>
      <c r="H349" s="17">
        <v>1.6485119999999998</v>
      </c>
      <c r="I349" s="17">
        <v>44779</v>
      </c>
      <c r="J349" s="32">
        <v>4.4778999999999999E-2</v>
      </c>
      <c r="K349" s="17">
        <v>4908</v>
      </c>
      <c r="L349" s="17">
        <v>4.908E-3</v>
      </c>
      <c r="M349" s="17">
        <v>4.9687000000000002E-2</v>
      </c>
      <c r="N349" s="17">
        <v>2.1600000000000001E-2</v>
      </c>
      <c r="O349" s="45">
        <f t="shared" si="40"/>
        <v>1.5772249999999997</v>
      </c>
    </row>
    <row r="350" spans="1:15" x14ac:dyDescent="0.7">
      <c r="A350" s="5"/>
      <c r="B350" s="4"/>
      <c r="C350" s="15">
        <v>13</v>
      </c>
      <c r="D350" s="16">
        <v>23.053999999999998</v>
      </c>
      <c r="E350" s="17">
        <v>0</v>
      </c>
      <c r="F350" s="39">
        <v>19.079999999999998</v>
      </c>
      <c r="G350" s="17">
        <v>1648511.9999999998</v>
      </c>
      <c r="H350" s="17">
        <v>1.6485119999999998</v>
      </c>
      <c r="I350" s="17">
        <v>45946</v>
      </c>
      <c r="J350" s="32">
        <v>4.5946000000000001E-2</v>
      </c>
      <c r="K350" s="17">
        <v>4890</v>
      </c>
      <c r="L350" s="17">
        <f>K350/1000000</f>
        <v>4.8900000000000002E-3</v>
      </c>
      <c r="M350" s="17">
        <f>J350+L350</f>
        <v>5.0835999999999999E-2</v>
      </c>
      <c r="N350" s="17">
        <v>2.1600000000000001E-2</v>
      </c>
      <c r="O350" s="45">
        <f t="shared" si="40"/>
        <v>1.5760759999999996</v>
      </c>
    </row>
    <row r="351" spans="1:15" x14ac:dyDescent="0.7">
      <c r="A351" s="5"/>
      <c r="B351" s="4"/>
      <c r="C351" s="15">
        <v>14</v>
      </c>
      <c r="D351" s="16">
        <v>22.409999999999997</v>
      </c>
      <c r="E351" s="17">
        <v>0</v>
      </c>
      <c r="F351" s="39">
        <v>19.079999999999998</v>
      </c>
      <c r="G351" s="17">
        <v>1648511.9999999998</v>
      </c>
      <c r="H351" s="17">
        <v>1.6485119999999998</v>
      </c>
      <c r="I351" s="17">
        <v>44245</v>
      </c>
      <c r="J351" s="32">
        <v>4.4245E-2</v>
      </c>
      <c r="K351" s="17">
        <v>4895</v>
      </c>
      <c r="L351" s="17">
        <f t="shared" ref="L351:L368" si="45">K351/1000000</f>
        <v>4.895E-3</v>
      </c>
      <c r="M351" s="17">
        <f t="shared" ref="M351:M368" si="46">J351+L351</f>
        <v>4.9140000000000003E-2</v>
      </c>
      <c r="N351" s="17">
        <v>2.1600000000000001E-2</v>
      </c>
      <c r="O351" s="45">
        <f t="shared" ref="O351:O368" si="47">H351-M351-N351</f>
        <v>1.5777719999999997</v>
      </c>
    </row>
    <row r="352" spans="1:15" x14ac:dyDescent="0.7">
      <c r="A352" s="5"/>
      <c r="B352" s="4"/>
      <c r="C352" s="15">
        <v>15</v>
      </c>
      <c r="D352" s="16">
        <v>26.79</v>
      </c>
      <c r="E352" s="17">
        <v>24.5</v>
      </c>
      <c r="F352" s="39">
        <v>19.079999999999998</v>
      </c>
      <c r="G352" s="17">
        <v>1648511.9999999998</v>
      </c>
      <c r="H352" s="17">
        <v>1.6485119999999998</v>
      </c>
      <c r="I352" s="17">
        <v>45279</v>
      </c>
      <c r="J352" s="32">
        <v>4.5279E-2</v>
      </c>
      <c r="K352" s="17">
        <v>4909</v>
      </c>
      <c r="L352" s="17">
        <f t="shared" si="45"/>
        <v>4.9090000000000002E-3</v>
      </c>
      <c r="M352" s="17">
        <f t="shared" si="46"/>
        <v>5.0187999999999997E-2</v>
      </c>
      <c r="N352" s="17">
        <v>2.1600000000000001E-2</v>
      </c>
      <c r="O352" s="45">
        <f t="shared" si="47"/>
        <v>1.5767239999999998</v>
      </c>
    </row>
    <row r="353" spans="1:15" x14ac:dyDescent="0.7">
      <c r="A353" s="5"/>
      <c r="B353" s="4"/>
      <c r="C353" s="15">
        <v>16</v>
      </c>
      <c r="D353" s="16">
        <v>24.448999999999998</v>
      </c>
      <c r="E353" s="17">
        <v>3.6</v>
      </c>
      <c r="F353" s="39">
        <v>19.079999999999998</v>
      </c>
      <c r="G353" s="17">
        <v>1648511.9999999998</v>
      </c>
      <c r="H353" s="17">
        <v>1.6485119999999998</v>
      </c>
      <c r="I353" s="17">
        <v>43886</v>
      </c>
      <c r="J353" s="32">
        <v>4.3886000000000001E-2</v>
      </c>
      <c r="K353" s="17">
        <v>4679</v>
      </c>
      <c r="L353" s="17">
        <f t="shared" si="45"/>
        <v>4.679E-3</v>
      </c>
      <c r="M353" s="17">
        <f t="shared" si="46"/>
        <v>4.8565000000000004E-2</v>
      </c>
      <c r="N353" s="17">
        <v>2.1600000000000001E-2</v>
      </c>
      <c r="O353" s="45">
        <f t="shared" si="47"/>
        <v>1.5783469999999997</v>
      </c>
    </row>
    <row r="354" spans="1:15" x14ac:dyDescent="0.7">
      <c r="A354" s="5"/>
      <c r="B354" s="4"/>
      <c r="C354" s="15">
        <v>17</v>
      </c>
      <c r="D354" s="16">
        <v>30.318999999999999</v>
      </c>
      <c r="E354" s="17">
        <v>0</v>
      </c>
      <c r="F354" s="39">
        <v>19.079999999999998</v>
      </c>
      <c r="G354" s="17">
        <v>1648511.9999999998</v>
      </c>
      <c r="H354" s="17">
        <v>1.6485119999999998</v>
      </c>
      <c r="I354" s="17">
        <v>44772</v>
      </c>
      <c r="J354" s="32">
        <v>4.4771999999999999E-2</v>
      </c>
      <c r="K354" s="17">
        <v>4762</v>
      </c>
      <c r="L354" s="17">
        <f t="shared" si="45"/>
        <v>4.7619999999999997E-3</v>
      </c>
      <c r="M354" s="17">
        <f t="shared" si="46"/>
        <v>4.9534000000000002E-2</v>
      </c>
      <c r="N354" s="17">
        <v>2.1600000000000001E-2</v>
      </c>
      <c r="O354" s="45">
        <f t="shared" si="47"/>
        <v>1.5773779999999997</v>
      </c>
    </row>
    <row r="355" spans="1:15" x14ac:dyDescent="0.7">
      <c r="A355" s="5"/>
      <c r="B355" s="4"/>
      <c r="C355" s="15">
        <v>18</v>
      </c>
      <c r="D355" s="16">
        <v>27.63</v>
      </c>
      <c r="E355" s="17">
        <v>0</v>
      </c>
      <c r="F355" s="39">
        <v>19.079999999999998</v>
      </c>
      <c r="G355" s="17">
        <v>1648511.9999999998</v>
      </c>
      <c r="H355" s="17">
        <v>1.6485119999999998</v>
      </c>
      <c r="I355" s="34">
        <v>46809</v>
      </c>
      <c r="J355" s="32">
        <v>4.6809000000000003E-2</v>
      </c>
      <c r="K355" s="17">
        <v>5255</v>
      </c>
      <c r="L355" s="17">
        <f t="shared" si="45"/>
        <v>5.2550000000000001E-3</v>
      </c>
      <c r="M355" s="17">
        <f t="shared" si="46"/>
        <v>5.2064000000000006E-2</v>
      </c>
      <c r="N355" s="17">
        <v>3.456E-2</v>
      </c>
      <c r="O355" s="45">
        <f t="shared" si="47"/>
        <v>1.5618879999999997</v>
      </c>
    </row>
    <row r="356" spans="1:15" x14ac:dyDescent="0.7">
      <c r="A356" s="5"/>
      <c r="B356" s="4"/>
      <c r="C356" s="15">
        <v>19</v>
      </c>
      <c r="D356" s="16">
        <v>25.198</v>
      </c>
      <c r="E356" s="17">
        <v>0</v>
      </c>
      <c r="F356" s="39">
        <v>19.079999999999998</v>
      </c>
      <c r="G356" s="17">
        <v>1648511.9999999998</v>
      </c>
      <c r="H356" s="17">
        <v>1.6485119999999998</v>
      </c>
      <c r="I356" s="17">
        <v>46216</v>
      </c>
      <c r="J356" s="32">
        <v>4.6216E-2</v>
      </c>
      <c r="K356" s="17">
        <v>5479</v>
      </c>
      <c r="L356" s="17">
        <f t="shared" si="45"/>
        <v>5.4790000000000004E-3</v>
      </c>
      <c r="M356" s="17">
        <f t="shared" si="46"/>
        <v>5.1694999999999998E-2</v>
      </c>
      <c r="N356" s="17">
        <v>3.456E-2</v>
      </c>
      <c r="O356" s="45">
        <f t="shared" si="47"/>
        <v>1.5622569999999998</v>
      </c>
    </row>
    <row r="357" spans="1:15" x14ac:dyDescent="0.7">
      <c r="A357" s="5"/>
      <c r="B357" s="4"/>
      <c r="C357" s="15">
        <v>20</v>
      </c>
      <c r="D357" s="16">
        <v>25.198</v>
      </c>
      <c r="E357" s="17">
        <v>0</v>
      </c>
      <c r="F357" s="39">
        <v>19.079999999999998</v>
      </c>
      <c r="G357" s="17">
        <f t="shared" ref="G357:G368" si="48">F357*86400</f>
        <v>1648511.9999999998</v>
      </c>
      <c r="H357" s="17">
        <f t="shared" ref="H357:H368" si="49">G357/1000000</f>
        <v>1.6485119999999998</v>
      </c>
      <c r="I357" s="17">
        <v>46297</v>
      </c>
      <c r="J357" s="32">
        <f t="shared" ref="J357:J368" si="50">I357/1000000</f>
        <v>4.6296999999999998E-2</v>
      </c>
      <c r="K357" s="17">
        <v>5458</v>
      </c>
      <c r="L357" s="17">
        <f t="shared" si="45"/>
        <v>5.4580000000000002E-3</v>
      </c>
      <c r="M357" s="17">
        <f t="shared" si="46"/>
        <v>5.1754999999999995E-2</v>
      </c>
      <c r="N357" s="17">
        <v>3.456E-2</v>
      </c>
      <c r="O357" s="45">
        <f t="shared" si="47"/>
        <v>1.5621969999999998</v>
      </c>
    </row>
    <row r="358" spans="1:15" x14ac:dyDescent="0.7">
      <c r="A358" s="5"/>
      <c r="B358" s="4"/>
      <c r="C358" s="15">
        <v>21</v>
      </c>
      <c r="D358" s="16">
        <v>23.733999999999998</v>
      </c>
      <c r="E358" s="17">
        <v>0</v>
      </c>
      <c r="F358" s="39">
        <v>19.079999999999998</v>
      </c>
      <c r="G358" s="17">
        <f t="shared" si="48"/>
        <v>1648511.9999999998</v>
      </c>
      <c r="H358" s="17">
        <f t="shared" si="49"/>
        <v>1.6485119999999998</v>
      </c>
      <c r="I358" s="17">
        <v>44691</v>
      </c>
      <c r="J358" s="32">
        <f t="shared" si="50"/>
        <v>4.4691000000000002E-2</v>
      </c>
      <c r="K358" s="17">
        <v>5479</v>
      </c>
      <c r="L358" s="17">
        <f>K358/1000000</f>
        <v>5.4790000000000004E-3</v>
      </c>
      <c r="M358" s="17">
        <f t="shared" si="46"/>
        <v>5.0169999999999999E-2</v>
      </c>
      <c r="N358" s="17">
        <v>3.456E-2</v>
      </c>
      <c r="O358" s="45">
        <f t="shared" si="47"/>
        <v>1.5637819999999998</v>
      </c>
    </row>
    <row r="359" spans="1:15" x14ac:dyDescent="0.7">
      <c r="A359" s="5"/>
      <c r="B359" s="4"/>
      <c r="C359" s="15">
        <v>22</v>
      </c>
      <c r="D359" s="16">
        <v>23.733999999999998</v>
      </c>
      <c r="E359" s="17">
        <v>0</v>
      </c>
      <c r="F359" s="39">
        <v>19.079999999999998</v>
      </c>
      <c r="G359" s="17">
        <f t="shared" si="48"/>
        <v>1648511.9999999998</v>
      </c>
      <c r="H359" s="17">
        <f t="shared" si="49"/>
        <v>1.6485119999999998</v>
      </c>
      <c r="I359" s="17">
        <v>48471</v>
      </c>
      <c r="J359" s="32">
        <f t="shared" si="50"/>
        <v>4.8471E-2</v>
      </c>
      <c r="K359" s="17">
        <v>5137</v>
      </c>
      <c r="L359" s="17">
        <f t="shared" si="45"/>
        <v>5.1370000000000001E-3</v>
      </c>
      <c r="M359" s="17">
        <f t="shared" si="46"/>
        <v>5.3608000000000003E-2</v>
      </c>
      <c r="N359" s="17">
        <v>3.456E-2</v>
      </c>
      <c r="O359" s="45">
        <f t="shared" si="47"/>
        <v>1.5603439999999997</v>
      </c>
    </row>
    <row r="360" spans="1:15" x14ac:dyDescent="0.7">
      <c r="A360" s="5"/>
      <c r="B360" s="4"/>
      <c r="C360" s="15">
        <v>23</v>
      </c>
      <c r="D360" s="16">
        <v>23.053999999999998</v>
      </c>
      <c r="E360" s="17">
        <v>0</v>
      </c>
      <c r="F360" s="39">
        <v>19.079999999999998</v>
      </c>
      <c r="G360" s="17">
        <f t="shared" si="48"/>
        <v>1648511.9999999998</v>
      </c>
      <c r="H360" s="17">
        <f t="shared" si="49"/>
        <v>1.6485119999999998</v>
      </c>
      <c r="I360" s="34">
        <v>49142</v>
      </c>
      <c r="J360" s="32">
        <f t="shared" si="50"/>
        <v>4.9141999999999998E-2</v>
      </c>
      <c r="K360" s="17">
        <v>4910</v>
      </c>
      <c r="L360" s="17">
        <f t="shared" si="45"/>
        <v>4.9100000000000003E-3</v>
      </c>
      <c r="M360" s="17">
        <f t="shared" si="46"/>
        <v>5.4051999999999996E-2</v>
      </c>
      <c r="N360" s="17">
        <v>3.456E-2</v>
      </c>
      <c r="O360" s="45">
        <f t="shared" si="47"/>
        <v>1.5598999999999998</v>
      </c>
    </row>
    <row r="361" spans="1:15" x14ac:dyDescent="0.7">
      <c r="A361" s="5"/>
      <c r="B361" s="4"/>
      <c r="C361" s="15">
        <v>24</v>
      </c>
      <c r="D361" s="16">
        <v>23.053999999999998</v>
      </c>
      <c r="E361" s="17">
        <v>0</v>
      </c>
      <c r="F361" s="39">
        <v>19.079999999999998</v>
      </c>
      <c r="G361" s="17">
        <f t="shared" si="48"/>
        <v>1648511.9999999998</v>
      </c>
      <c r="H361" s="17">
        <f t="shared" si="49"/>
        <v>1.6485119999999998</v>
      </c>
      <c r="I361" s="34">
        <v>46961</v>
      </c>
      <c r="J361" s="32">
        <f t="shared" si="50"/>
        <v>4.6961000000000003E-2</v>
      </c>
      <c r="K361" s="17">
        <v>5131</v>
      </c>
      <c r="L361" s="17">
        <f t="shared" si="45"/>
        <v>5.1310000000000001E-3</v>
      </c>
      <c r="M361" s="17">
        <f t="shared" si="46"/>
        <v>5.2091999999999999E-2</v>
      </c>
      <c r="N361" s="17">
        <v>3.456E-2</v>
      </c>
      <c r="O361" s="45">
        <f t="shared" si="47"/>
        <v>1.5618599999999998</v>
      </c>
    </row>
    <row r="362" spans="1:15" x14ac:dyDescent="0.7">
      <c r="A362" s="5"/>
      <c r="B362" s="4"/>
      <c r="C362" s="15">
        <v>25</v>
      </c>
      <c r="D362" s="16">
        <v>22.409999999999997</v>
      </c>
      <c r="E362" s="17">
        <v>0</v>
      </c>
      <c r="F362" s="39">
        <v>19.079999999999998</v>
      </c>
      <c r="G362" s="17">
        <f t="shared" si="48"/>
        <v>1648511.9999999998</v>
      </c>
      <c r="H362" s="17">
        <f t="shared" si="49"/>
        <v>1.6485119999999998</v>
      </c>
      <c r="I362" s="17">
        <v>44021</v>
      </c>
      <c r="J362" s="32">
        <f t="shared" si="50"/>
        <v>4.4020999999999998E-2</v>
      </c>
      <c r="K362" s="17">
        <v>5089</v>
      </c>
      <c r="L362" s="17">
        <f t="shared" si="45"/>
        <v>5.0889999999999998E-3</v>
      </c>
      <c r="M362" s="17">
        <f t="shared" si="46"/>
        <v>4.9110000000000001E-2</v>
      </c>
      <c r="N362" s="17">
        <v>3.456E-2</v>
      </c>
      <c r="O362" s="45">
        <f t="shared" si="47"/>
        <v>1.5648419999999998</v>
      </c>
    </row>
    <row r="363" spans="1:15" x14ac:dyDescent="0.7">
      <c r="A363" s="5"/>
      <c r="B363" s="4"/>
      <c r="C363" s="15">
        <v>26</v>
      </c>
      <c r="D363" s="16">
        <v>22.409999999999997</v>
      </c>
      <c r="E363" s="17">
        <v>0</v>
      </c>
      <c r="F363" s="39">
        <v>19.079999999999998</v>
      </c>
      <c r="G363" s="17">
        <f t="shared" si="48"/>
        <v>1648511.9999999998</v>
      </c>
      <c r="H363" s="17">
        <f t="shared" si="49"/>
        <v>1.6485119999999998</v>
      </c>
      <c r="I363" s="17">
        <v>44573</v>
      </c>
      <c r="J363" s="32">
        <f t="shared" si="50"/>
        <v>4.4573000000000002E-2</v>
      </c>
      <c r="K363" s="17">
        <v>5302</v>
      </c>
      <c r="L363" s="17">
        <f t="shared" si="45"/>
        <v>5.3020000000000003E-3</v>
      </c>
      <c r="M363" s="17">
        <f t="shared" si="46"/>
        <v>4.9875000000000003E-2</v>
      </c>
      <c r="N363" s="17">
        <v>3.456E-2</v>
      </c>
      <c r="O363" s="45">
        <f t="shared" si="47"/>
        <v>1.5640769999999997</v>
      </c>
    </row>
    <row r="364" spans="1:15" x14ac:dyDescent="0.7">
      <c r="A364" s="5"/>
      <c r="B364" s="4"/>
      <c r="C364" s="15">
        <v>27</v>
      </c>
      <c r="D364" s="16">
        <v>20.724999999999998</v>
      </c>
      <c r="E364" s="17">
        <v>0</v>
      </c>
      <c r="F364" s="39">
        <v>19.079999999999998</v>
      </c>
      <c r="G364" s="17">
        <f t="shared" si="48"/>
        <v>1648511.9999999998</v>
      </c>
      <c r="H364" s="17">
        <f t="shared" si="49"/>
        <v>1.6485119999999998</v>
      </c>
      <c r="I364" s="17">
        <v>44803</v>
      </c>
      <c r="J364" s="32">
        <f t="shared" si="50"/>
        <v>4.4803000000000003E-2</v>
      </c>
      <c r="K364" s="17">
        <v>5518</v>
      </c>
      <c r="L364" s="17">
        <f t="shared" si="45"/>
        <v>5.5180000000000003E-3</v>
      </c>
      <c r="M364" s="17">
        <f t="shared" si="46"/>
        <v>5.0321000000000005E-2</v>
      </c>
      <c r="N364" s="17">
        <v>3.456E-2</v>
      </c>
      <c r="O364" s="45">
        <f t="shared" si="47"/>
        <v>1.5636309999999998</v>
      </c>
    </row>
    <row r="365" spans="1:15" x14ac:dyDescent="0.7">
      <c r="A365" s="5"/>
      <c r="B365" s="4"/>
      <c r="C365" s="15">
        <v>28</v>
      </c>
      <c r="D365" s="16">
        <v>20.724999999999998</v>
      </c>
      <c r="E365" s="17">
        <v>0</v>
      </c>
      <c r="F365" s="39">
        <v>19.079999999999998</v>
      </c>
      <c r="G365" s="17">
        <f t="shared" si="48"/>
        <v>1648511.9999999998</v>
      </c>
      <c r="H365" s="17">
        <f t="shared" si="49"/>
        <v>1.6485119999999998</v>
      </c>
      <c r="I365" s="17">
        <v>44848</v>
      </c>
      <c r="J365" s="32">
        <f t="shared" si="50"/>
        <v>4.4847999999999999E-2</v>
      </c>
      <c r="K365" s="17">
        <v>5472</v>
      </c>
      <c r="L365" s="17">
        <f t="shared" si="45"/>
        <v>5.4720000000000003E-3</v>
      </c>
      <c r="M365" s="17">
        <f t="shared" si="46"/>
        <v>5.0319999999999997E-2</v>
      </c>
      <c r="N365" s="17">
        <v>3.456E-2</v>
      </c>
      <c r="O365" s="45">
        <f t="shared" si="47"/>
        <v>1.5636319999999999</v>
      </c>
    </row>
    <row r="366" spans="1:15" x14ac:dyDescent="0.7">
      <c r="A366" s="5"/>
      <c r="B366" s="4"/>
      <c r="C366" s="15">
        <v>29</v>
      </c>
      <c r="D366" s="16">
        <v>20.724999999999998</v>
      </c>
      <c r="E366" s="17">
        <v>0</v>
      </c>
      <c r="F366" s="39">
        <v>19.079999999999998</v>
      </c>
      <c r="G366" s="17">
        <f t="shared" si="48"/>
        <v>1648511.9999999998</v>
      </c>
      <c r="H366" s="17">
        <f t="shared" si="49"/>
        <v>1.6485119999999998</v>
      </c>
      <c r="I366" s="17">
        <v>45224</v>
      </c>
      <c r="J366" s="32">
        <f t="shared" si="50"/>
        <v>4.5224E-2</v>
      </c>
      <c r="K366" s="17">
        <v>5427</v>
      </c>
      <c r="L366" s="17">
        <f t="shared" si="45"/>
        <v>5.4270000000000004E-3</v>
      </c>
      <c r="M366" s="17">
        <f t="shared" si="46"/>
        <v>5.0651000000000002E-2</v>
      </c>
      <c r="N366" s="17">
        <v>3.456E-2</v>
      </c>
      <c r="O366" s="45">
        <f t="shared" si="47"/>
        <v>1.5633009999999998</v>
      </c>
    </row>
    <row r="367" spans="1:15" x14ac:dyDescent="0.7">
      <c r="A367" s="8"/>
      <c r="B367" s="9"/>
      <c r="C367" s="15">
        <v>30</v>
      </c>
      <c r="D367" s="16">
        <v>20.256999999999998</v>
      </c>
      <c r="E367" s="17">
        <v>0</v>
      </c>
      <c r="F367" s="39">
        <v>19.079999999999998</v>
      </c>
      <c r="G367" s="17">
        <f t="shared" si="48"/>
        <v>1648511.9999999998</v>
      </c>
      <c r="H367" s="17">
        <f t="shared" si="49"/>
        <v>1.6485119999999998</v>
      </c>
      <c r="I367" s="17">
        <v>43634</v>
      </c>
      <c r="J367" s="32">
        <f t="shared" si="50"/>
        <v>4.3633999999999999E-2</v>
      </c>
      <c r="K367" s="17">
        <v>5626</v>
      </c>
      <c r="L367" s="17">
        <f t="shared" si="45"/>
        <v>5.6259999999999999E-3</v>
      </c>
      <c r="M367" s="17">
        <f t="shared" si="46"/>
        <v>4.9259999999999998E-2</v>
      </c>
      <c r="N367" s="17">
        <v>3.456E-2</v>
      </c>
      <c r="O367" s="45">
        <f t="shared" si="47"/>
        <v>1.5646919999999997</v>
      </c>
    </row>
    <row r="368" spans="1:15" s="60" customFormat="1" ht="25.2" thickBot="1" x14ac:dyDescent="0.75">
      <c r="A368" s="58"/>
      <c r="B368" s="6" t="s">
        <v>26</v>
      </c>
      <c r="C368" s="21">
        <v>31</v>
      </c>
      <c r="D368" s="22">
        <v>20.256999999999998</v>
      </c>
      <c r="E368" s="23">
        <v>0</v>
      </c>
      <c r="F368" s="59">
        <v>19.079999999999998</v>
      </c>
      <c r="G368" s="23">
        <f t="shared" si="48"/>
        <v>1648511.9999999998</v>
      </c>
      <c r="H368" s="23">
        <f t="shared" si="49"/>
        <v>1.6485119999999998</v>
      </c>
      <c r="I368" s="23">
        <v>44953</v>
      </c>
      <c r="J368" s="36">
        <f t="shared" si="50"/>
        <v>4.4953E-2</v>
      </c>
      <c r="K368" s="23">
        <v>55465</v>
      </c>
      <c r="L368" s="23">
        <f t="shared" si="45"/>
        <v>5.5465E-2</v>
      </c>
      <c r="M368" s="23">
        <f t="shared" si="46"/>
        <v>0.10041800000000001</v>
      </c>
      <c r="N368" s="23">
        <v>3.456E-2</v>
      </c>
      <c r="O368" s="48">
        <f t="shared" si="47"/>
        <v>1.5135339999999999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2026-01-24T16:42:18Z</dcterms:created>
  <dcterms:modified xsi:type="dcterms:W3CDTF">2026-02-22T11:53:30Z</dcterms:modified>
</cp:coreProperties>
</file>