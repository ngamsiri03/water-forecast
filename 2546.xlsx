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D1F7901C-1EE5-4E56-962C-7904973D9BCB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2" i="1" l="1"/>
  <c r="K142" i="1" s="1"/>
  <c r="I196" i="1"/>
  <c r="K196" i="1" s="1"/>
  <c r="I227" i="1"/>
  <c r="K227" i="1" s="1"/>
  <c r="I299" i="1"/>
  <c r="K299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I84" i="1" s="1"/>
  <c r="K84" i="1" s="1"/>
  <c r="M84" i="1"/>
  <c r="G85" i="1"/>
  <c r="H85" i="1" s="1"/>
  <c r="I85" i="1" s="1"/>
  <c r="K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I100" i="1" s="1"/>
  <c r="K100" i="1" s="1"/>
  <c r="M100" i="1"/>
  <c r="G101" i="1"/>
  <c r="H101" i="1" s="1"/>
  <c r="I101" i="1" s="1"/>
  <c r="K101" i="1" s="1"/>
  <c r="M101" i="1"/>
  <c r="G102" i="1"/>
  <c r="H102" i="1" s="1"/>
  <c r="M102" i="1"/>
  <c r="G103" i="1"/>
  <c r="H103" i="1" s="1"/>
  <c r="N103" i="1" s="1"/>
  <c r="M103" i="1"/>
  <c r="G104" i="1"/>
  <c r="H104" i="1" s="1"/>
  <c r="N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I123" i="1" s="1"/>
  <c r="K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N127" i="1" s="1"/>
  <c r="O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N130" i="1" s="1"/>
  <c r="M130" i="1"/>
  <c r="G131" i="1"/>
  <c r="H131" i="1" s="1"/>
  <c r="N131" i="1" s="1"/>
  <c r="M131" i="1"/>
  <c r="O131" i="1"/>
  <c r="G132" i="1"/>
  <c r="H132" i="1" s="1"/>
  <c r="I132" i="1" s="1"/>
  <c r="K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/>
  <c r="I151" i="1" s="1"/>
  <c r="K151" i="1" s="1"/>
  <c r="M151" i="1"/>
  <c r="G152" i="1"/>
  <c r="H152" i="1" s="1"/>
  <c r="M152" i="1"/>
  <c r="G153" i="1"/>
  <c r="H153" i="1" s="1"/>
  <c r="M153" i="1"/>
  <c r="G154" i="1"/>
  <c r="H154" i="1" s="1"/>
  <c r="I154" i="1" s="1"/>
  <c r="K154" i="1" s="1"/>
  <c r="M154" i="1"/>
  <c r="G155" i="1"/>
  <c r="H155" i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 s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 s="1"/>
  <c r="I171" i="1" s="1"/>
  <c r="K171" i="1" s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 s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/>
  <c r="M185" i="1"/>
  <c r="G186" i="1"/>
  <c r="H186" i="1" s="1"/>
  <c r="N186" i="1" s="1"/>
  <c r="M186" i="1"/>
  <c r="G187" i="1"/>
  <c r="H187" i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 s="1"/>
  <c r="M193" i="1"/>
  <c r="G194" i="1"/>
  <c r="H194" i="1" s="1"/>
  <c r="N194" i="1" s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I197" i="1" s="1"/>
  <c r="K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 s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/>
  <c r="I205" i="1" s="1"/>
  <c r="K205" i="1" s="1"/>
  <c r="M205" i="1"/>
  <c r="G206" i="1"/>
  <c r="H206" i="1" s="1"/>
  <c r="N206" i="1" s="1"/>
  <c r="M206" i="1"/>
  <c r="G207" i="1"/>
  <c r="H207" i="1" s="1"/>
  <c r="M207" i="1"/>
  <c r="G208" i="1"/>
  <c r="H208" i="1" s="1"/>
  <c r="N208" i="1" s="1"/>
  <c r="M208" i="1"/>
  <c r="G209" i="1"/>
  <c r="H209" i="1" s="1"/>
  <c r="M209" i="1"/>
  <c r="G210" i="1"/>
  <c r="H210" i="1" s="1"/>
  <c r="N210" i="1" s="1"/>
  <c r="M210" i="1"/>
  <c r="G211" i="1"/>
  <c r="H211" i="1" s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M227" i="1"/>
  <c r="G228" i="1"/>
  <c r="H228" i="1" s="1"/>
  <c r="N228" i="1" s="1"/>
  <c r="M228" i="1"/>
  <c r="G229" i="1"/>
  <c r="H229" i="1" s="1"/>
  <c r="I229" i="1" s="1"/>
  <c r="K229" i="1" s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 s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G238" i="1"/>
  <c r="H238" i="1" s="1"/>
  <c r="I238" i="1" s="1"/>
  <c r="K238" i="1" s="1"/>
  <c r="M238" i="1"/>
  <c r="G239" i="1"/>
  <c r="H239" i="1" s="1"/>
  <c r="N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N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 s="1"/>
  <c r="N264" i="1" s="1"/>
  <c r="M264" i="1"/>
  <c r="G265" i="1"/>
  <c r="H265" i="1" s="1"/>
  <c r="I265" i="1" s="1"/>
  <c r="K265" i="1" s="1"/>
  <c r="M265" i="1"/>
  <c r="G266" i="1"/>
  <c r="H266" i="1" s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I270" i="1" s="1"/>
  <c r="K270" i="1" s="1"/>
  <c r="M270" i="1"/>
  <c r="G271" i="1"/>
  <c r="H271" i="1" s="1"/>
  <c r="I271" i="1" s="1"/>
  <c r="K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 s="1"/>
  <c r="M298" i="1"/>
  <c r="G299" i="1"/>
  <c r="H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G306" i="1"/>
  <c r="H306" i="1" s="1"/>
  <c r="I306" i="1" s="1"/>
  <c r="K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 s="1"/>
  <c r="N312" i="1" s="1"/>
  <c r="M312" i="1"/>
  <c r="G313" i="1"/>
  <c r="H313" i="1" s="1"/>
  <c r="I313" i="1" s="1"/>
  <c r="K313" i="1" s="1"/>
  <c r="M313" i="1"/>
  <c r="G314" i="1"/>
  <c r="H314" i="1" s="1"/>
  <c r="N314" i="1" s="1"/>
  <c r="M314" i="1"/>
  <c r="G315" i="1"/>
  <c r="H315" i="1" s="1"/>
  <c r="I315" i="1" s="1"/>
  <c r="K315" i="1" s="1"/>
  <c r="M315" i="1"/>
  <c r="G316" i="1"/>
  <c r="H316" i="1" s="1"/>
  <c r="I316" i="1" s="1"/>
  <c r="K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I325" i="1" s="1"/>
  <c r="K325" i="1" s="1"/>
  <c r="M325" i="1"/>
  <c r="G326" i="1"/>
  <c r="H326" i="1" s="1"/>
  <c r="I326" i="1" s="1"/>
  <c r="K326" i="1" s="1"/>
  <c r="M326" i="1"/>
  <c r="G327" i="1"/>
  <c r="H327" i="1" s="1"/>
  <c r="M327" i="1"/>
  <c r="G328" i="1"/>
  <c r="H328" i="1"/>
  <c r="M328" i="1"/>
  <c r="G329" i="1"/>
  <c r="H329" i="1" s="1"/>
  <c r="M329" i="1"/>
  <c r="G330" i="1"/>
  <c r="H330" i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 s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 s="1"/>
  <c r="I340" i="1" s="1"/>
  <c r="K340" i="1" s="1"/>
  <c r="M340" i="1"/>
  <c r="G341" i="1"/>
  <c r="H341" i="1" s="1"/>
  <c r="I341" i="1" s="1"/>
  <c r="K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O345" i="1" s="1"/>
  <c r="M345" i="1"/>
  <c r="G346" i="1"/>
  <c r="H346" i="1" s="1"/>
  <c r="M346" i="1"/>
  <c r="G347" i="1"/>
  <c r="H347" i="1" s="1"/>
  <c r="M347" i="1"/>
  <c r="G348" i="1"/>
  <c r="H348" i="1" s="1"/>
  <c r="M348" i="1"/>
  <c r="G349" i="1"/>
  <c r="H349" i="1" s="1"/>
  <c r="N349" i="1" s="1"/>
  <c r="M349" i="1"/>
  <c r="O349" i="1"/>
  <c r="G350" i="1"/>
  <c r="H350" i="1" s="1"/>
  <c r="M350" i="1"/>
  <c r="G351" i="1"/>
  <c r="H351" i="1" s="1"/>
  <c r="I351" i="1" s="1"/>
  <c r="K351" i="1" s="1"/>
  <c r="M351" i="1"/>
  <c r="G352" i="1"/>
  <c r="H352" i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I359" i="1" s="1"/>
  <c r="K359" i="1" s="1"/>
  <c r="M359" i="1"/>
  <c r="G360" i="1"/>
  <c r="H360" i="1"/>
  <c r="M360" i="1"/>
  <c r="G361" i="1"/>
  <c r="H361" i="1" s="1"/>
  <c r="I361" i="1" s="1"/>
  <c r="K361" i="1" s="1"/>
  <c r="M361" i="1"/>
  <c r="G362" i="1"/>
  <c r="H362" i="1" s="1"/>
  <c r="M362" i="1"/>
  <c r="G363" i="1"/>
  <c r="H363" i="1" s="1"/>
  <c r="I363" i="1" s="1"/>
  <c r="K363" i="1" s="1"/>
  <c r="M363" i="1"/>
  <c r="G364" i="1"/>
  <c r="H364" i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61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I131" i="1" l="1"/>
  <c r="K131" i="1" s="1"/>
  <c r="I130" i="1"/>
  <c r="K130" i="1" s="1"/>
  <c r="I99" i="1"/>
  <c r="K99" i="1" s="1"/>
  <c r="I247" i="1"/>
  <c r="K247" i="1" s="1"/>
  <c r="I186" i="1"/>
  <c r="K186" i="1" s="1"/>
  <c r="I127" i="1"/>
  <c r="K127" i="1" s="1"/>
  <c r="I77" i="1"/>
  <c r="K77" i="1" s="1"/>
  <c r="I285" i="1"/>
  <c r="K285" i="1" s="1"/>
  <c r="O279" i="1"/>
  <c r="O237" i="1"/>
  <c r="I239" i="1"/>
  <c r="K239" i="1" s="1"/>
  <c r="I182" i="1"/>
  <c r="K182" i="1" s="1"/>
  <c r="I194" i="1"/>
  <c r="K194" i="1" s="1"/>
  <c r="O222" i="1"/>
  <c r="O109" i="1"/>
  <c r="I206" i="1"/>
  <c r="K206" i="1" s="1"/>
  <c r="O77" i="1"/>
  <c r="I108" i="1"/>
  <c r="K108" i="1" s="1"/>
  <c r="O305" i="1"/>
  <c r="O247" i="1"/>
  <c r="I226" i="1"/>
  <c r="K226" i="1" s="1"/>
  <c r="I150" i="1"/>
  <c r="K150" i="1" s="1"/>
  <c r="N163" i="1"/>
  <c r="O163" i="1"/>
  <c r="I163" i="1"/>
  <c r="K163" i="1" s="1"/>
  <c r="I322" i="1"/>
  <c r="K322" i="1" s="1"/>
  <c r="N106" i="1"/>
  <c r="O106" i="1" s="1"/>
  <c r="I317" i="1"/>
  <c r="K317" i="1" s="1"/>
  <c r="I76" i="1"/>
  <c r="K76" i="1" s="1"/>
  <c r="N98" i="1"/>
  <c r="O98" i="1" s="1"/>
  <c r="I237" i="1"/>
  <c r="K237" i="1" s="1"/>
  <c r="N79" i="1"/>
  <c r="O99" i="1"/>
  <c r="I314" i="1"/>
  <c r="K314" i="1" s="1"/>
  <c r="I281" i="1"/>
  <c r="K281" i="1" s="1"/>
  <c r="I258" i="1"/>
  <c r="K258" i="1" s="1"/>
  <c r="I204" i="1"/>
  <c r="K204" i="1" s="1"/>
  <c r="I90" i="1"/>
  <c r="K90" i="1" s="1"/>
  <c r="N64" i="1"/>
  <c r="O64" i="1" s="1"/>
  <c r="N313" i="1"/>
  <c r="O313" i="1" s="1"/>
  <c r="O333" i="1"/>
  <c r="O228" i="1"/>
  <c r="O95" i="1"/>
  <c r="I172" i="1"/>
  <c r="K172" i="1" s="1"/>
  <c r="N361" i="1"/>
  <c r="O361" i="1" s="1"/>
  <c r="N231" i="1"/>
  <c r="O231" i="1" s="1"/>
  <c r="N271" i="1"/>
  <c r="O271" i="1" s="1"/>
  <c r="O79" i="1"/>
  <c r="I109" i="1"/>
  <c r="K109" i="1" s="1"/>
  <c r="N199" i="1"/>
  <c r="O199" i="1" s="1"/>
  <c r="I199" i="1"/>
  <c r="K199" i="1" s="1"/>
  <c r="I346" i="1"/>
  <c r="K346" i="1" s="1"/>
  <c r="N346" i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I217" i="1"/>
  <c r="K217" i="1" s="1"/>
  <c r="O217" i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 s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O337" i="1" s="1"/>
  <c r="I337" i="1"/>
  <c r="K337" i="1" s="1"/>
  <c r="N301" i="1"/>
  <c r="O301" i="1" s="1"/>
  <c r="I301" i="1"/>
  <c r="K301" i="1" s="1"/>
  <c r="N158" i="1"/>
  <c r="O158" i="1" s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O73" i="1" s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I329" i="1"/>
  <c r="K329" i="1" s="1"/>
  <c r="N326" i="1"/>
  <c r="O326" i="1" s="1"/>
  <c r="N318" i="1"/>
  <c r="O318" i="1" s="1"/>
  <c r="I318" i="1"/>
  <c r="K318" i="1" s="1"/>
  <c r="O314" i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O153" i="1" s="1"/>
  <c r="I153" i="1"/>
  <c r="K153" i="1" s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 s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N246" i="1"/>
  <c r="O246" i="1" s="1"/>
  <c r="N238" i="1"/>
  <c r="O238" i="1" s="1"/>
  <c r="N211" i="1"/>
  <c r="O211" i="1" s="1"/>
  <c r="I211" i="1"/>
  <c r="K211" i="1" s="1"/>
  <c r="N191" i="1"/>
  <c r="O191" i="1" s="1"/>
  <c r="N187" i="1"/>
  <c r="O187" i="1" s="1"/>
  <c r="N129" i="1"/>
  <c r="O129" i="1" s="1"/>
  <c r="I129" i="1"/>
  <c r="K129" i="1" s="1"/>
  <c r="N114" i="1"/>
  <c r="O114" i="1" s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O365" i="1" s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9" i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O112" i="1" s="1"/>
  <c r="I112" i="1"/>
  <c r="K112" i="1" s="1"/>
  <c r="N97" i="1"/>
  <c r="O97" i="1" s="1"/>
  <c r="I97" i="1"/>
  <c r="K97" i="1" s="1"/>
  <c r="N75" i="1"/>
  <c r="O75" i="1" s="1"/>
  <c r="N71" i="1"/>
  <c r="O71" i="1" s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N178" i="1"/>
  <c r="O178" i="1" s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346" i="1"/>
  <c r="O162" i="1"/>
  <c r="O329" i="1"/>
  <c r="O297" i="1"/>
  <c r="O186" i="1"/>
  <c r="O322" i="1"/>
  <c r="O290" i="1"/>
  <c r="O258" i="1"/>
  <c r="O176" i="1"/>
  <c r="O122" i="1"/>
  <c r="O90" i="1"/>
  <c r="O74" i="1"/>
  <c r="O152" i="1"/>
  <c r="O138" i="1"/>
  <c r="O140" i="1"/>
  <c r="O124" i="1"/>
  <c r="O108" i="1"/>
  <c r="O76" i="1"/>
  <c r="O204" i="1"/>
  <c r="O196" i="1"/>
  <c r="O188" i="1"/>
  <c r="O172" i="1"/>
  <c r="O164" i="1"/>
  <c r="O156" i="1"/>
  <c r="O130" i="1"/>
  <c r="O82" i="1"/>
  <c r="O66" i="1"/>
  <c r="O206" i="1"/>
  <c r="O182" i="1"/>
  <c r="O174" i="1"/>
  <c r="O166" i="1"/>
  <c r="O150" i="1"/>
  <c r="O142" i="1"/>
  <c r="O110" i="1"/>
  <c r="O94" i="1"/>
  <c r="O78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I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N61" i="1"/>
  <c r="O61" i="1" s="1"/>
  <c r="I61" i="1"/>
  <c r="K61" i="1" s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K45" i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M10" i="1" s="1"/>
  <c r="O10" i="1" s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M27" i="1" s="1"/>
  <c r="O27" i="1" s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0" i="1" l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<sst xmlns="http://schemas.openxmlformats.org/spreadsheetml/2006/main" count="39" uniqueCount="27">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</sst>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78" zoomScaleNormal="55" workbookViewId="0">
      <selection activeCell="A33" sqref="A33:XFD33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61" t="s">
        <v>0</v>
      </c>
      <c r="B1" s="61" t="s">
        <v>1</v>
      </c>
      <c r="C1" s="61" t="s">
        <v>2</v>
      </c>
      <c r="D1" s="63" t="s">
        <v>3</v>
      </c>
      <c r="E1" s="65" t="s">
        <v>4</v>
      </c>
      <c r="F1" s="59" t="s">
        <v>5</v>
      </c>
      <c r="G1" s="53" t="s">
        <v>6</v>
      </c>
      <c r="H1" s="53" t="s">
        <v>7</v>
      </c>
      <c r="I1" s="55" t="s">
        <v>8</v>
      </c>
      <c r="J1" s="57" t="s">
        <v>9</v>
      </c>
      <c r="K1" s="57" t="s">
        <v>10</v>
      </c>
      <c r="L1" s="57" t="s">
        <v>11</v>
      </c>
      <c r="M1" s="47" t="s">
        <v>12</v>
      </c>
      <c r="N1" s="49" t="s">
        <v>13</v>
      </c>
      <c r="O1" s="51" t="s">
        <v>14</v>
      </c>
    </row>
    <row r="2" spans="1:15" s="13" customFormat="1" ht="34.799999999999997" customHeight="1" thickBot="1" x14ac:dyDescent="0.75">
      <c r="A2" s="62"/>
      <c r="B2" s="62"/>
      <c r="C2" s="62"/>
      <c r="D2" s="64"/>
      <c r="E2" s="66"/>
      <c r="F2" s="60"/>
      <c r="G2" s="54"/>
      <c r="H2" s="54"/>
      <c r="I2" s="56"/>
      <c r="J2" s="58"/>
      <c r="K2" s="58"/>
      <c r="L2" s="58"/>
      <c r="M2" s="48"/>
      <c r="N2" s="50"/>
      <c r="O2" s="52"/>
    </row>
    <row r="3" spans="1:15" x14ac:dyDescent="0.7">
      <c r="A3" s="2">
        <v>2546</v>
      </c>
      <c r="B3" s="3" t="s">
        <v>15</v>
      </c>
      <c r="C3" s="3">
        <v>1</v>
      </c>
      <c r="D3" s="4">
        <v>16.22</v>
      </c>
      <c r="E3" s="4">
        <v>13.9</v>
      </c>
      <c r="F3" s="4">
        <v>16.22</v>
      </c>
      <c r="G3" s="15">
        <f>F3*86400</f>
        <v>1401408</v>
      </c>
      <c r="H3" s="21">
        <f>G3/1000000</f>
        <v>1.401408</v>
      </c>
      <c r="I3" s="20">
        <f>H3*1000000*0.045</f>
        <v>63063.360000000001</v>
      </c>
      <c r="J3" s="40">
        <f t="shared" ref="J3:J23" si="0">I3/1000000</f>
        <v>6.3063359999999999E-2</v>
      </c>
      <c r="K3" s="20">
        <f>I3*0.12</f>
        <v>7567.6031999999996</v>
      </c>
      <c r="L3" s="20">
        <f t="shared" ref="L3:L11" si="1">K3/1000000</f>
        <v>7.5676031999999992E-3</v>
      </c>
      <c r="M3" s="20">
        <f t="shared" ref="M3:M23" si="2">J3+L3</f>
        <v>7.0630963199999994E-2</v>
      </c>
      <c r="N3" s="20">
        <f>H3*0.1</f>
        <v>0.14014080000000001</v>
      </c>
      <c r="O3" s="20">
        <f t="shared" ref="O3:O23" si="3">H3-M3-N3</f>
        <v>1.1906362368000001</v>
      </c>
    </row>
    <row r="4" spans="1:15" x14ac:dyDescent="0.7">
      <c r="A4" s="6"/>
      <c r="B4" s="6"/>
      <c r="C4" s="6">
        <v>2</v>
      </c>
      <c r="D4" s="7">
        <v>17.689999999999998</v>
      </c>
      <c r="E4" s="4">
        <v>0.5</v>
      </c>
      <c r="F4" s="7">
        <v>17.689999999999998</v>
      </c>
      <c r="G4" s="15">
        <f t="shared" ref="G4:G61" si="4">F4*86400</f>
        <v>1528415.9999999998</v>
      </c>
      <c r="H4" s="21">
        <f t="shared" ref="H4:H61" si="5">G4/1000000</f>
        <v>1.5284159999999998</v>
      </c>
      <c r="I4" s="20">
        <f t="shared" ref="I4:I66" si="6">H4*1000000*0.045</f>
        <v>68778.719999999987</v>
      </c>
      <c r="J4" s="40">
        <f t="shared" si="0"/>
        <v>6.8778719999999988E-2</v>
      </c>
      <c r="K4" s="20">
        <f t="shared" ref="K4:K66" si="7">I4*0.12</f>
        <v>8253.4463999999989</v>
      </c>
      <c r="L4" s="20">
        <f t="shared" si="1"/>
        <v>8.2534463999999995E-3</v>
      </c>
      <c r="M4" s="20">
        <f t="shared" si="2"/>
        <v>7.7032166399999991E-2</v>
      </c>
      <c r="N4" s="20">
        <f t="shared" ref="N4:N66" si="8">H4*0.1</f>
        <v>0.15284159999999999</v>
      </c>
      <c r="O4" s="20">
        <f t="shared" si="3"/>
        <v>1.2985422335999999</v>
      </c>
    </row>
    <row r="5" spans="1:15" x14ac:dyDescent="0.7">
      <c r="A5" s="6"/>
      <c r="B5" s="6"/>
      <c r="C5" s="6">
        <v>3</v>
      </c>
      <c r="D5" s="7">
        <v>16.66</v>
      </c>
      <c r="E5" s="4">
        <v>0</v>
      </c>
      <c r="F5" s="7">
        <v>16.66</v>
      </c>
      <c r="G5" s="15">
        <f t="shared" si="4"/>
        <v>1439424</v>
      </c>
      <c r="H5" s="21">
        <f t="shared" si="5"/>
        <v>1.439424</v>
      </c>
      <c r="I5" s="20">
        <f t="shared" si="6"/>
        <v>64774.079999999994</v>
      </c>
      <c r="J5" s="40">
        <f t="shared" si="0"/>
        <v>6.4774079999999998E-2</v>
      </c>
      <c r="K5" s="20">
        <f t="shared" si="7"/>
        <v>7772.8895999999986</v>
      </c>
      <c r="L5" s="20">
        <f t="shared" si="1"/>
        <v>7.7728895999999983E-3</v>
      </c>
      <c r="M5" s="20">
        <f t="shared" si="2"/>
        <v>7.2546969599999997E-2</v>
      </c>
      <c r="N5" s="20">
        <f t="shared" si="8"/>
        <v>0.1439424</v>
      </c>
      <c r="O5" s="20">
        <f t="shared" si="3"/>
        <v>1.2229346303999999</v>
      </c>
    </row>
    <row r="6" spans="1:15" x14ac:dyDescent="0.7">
      <c r="A6" s="6"/>
      <c r="B6" s="6"/>
      <c r="C6" s="6">
        <v>4</v>
      </c>
      <c r="D6" s="7">
        <v>16.190000000000001</v>
      </c>
      <c r="E6" s="4">
        <v>2.7</v>
      </c>
      <c r="F6" s="7">
        <v>16.190000000000001</v>
      </c>
      <c r="G6" s="15">
        <f t="shared" si="4"/>
        <v>1398816</v>
      </c>
      <c r="H6" s="21">
        <f t="shared" si="5"/>
        <v>1.3988160000000001</v>
      </c>
      <c r="I6" s="20">
        <f t="shared" si="6"/>
        <v>62946.720000000001</v>
      </c>
      <c r="J6" s="40">
        <f t="shared" si="0"/>
        <v>6.2946719999999998E-2</v>
      </c>
      <c r="K6" s="20">
        <f t="shared" si="7"/>
        <v>7553.6063999999997</v>
      </c>
      <c r="L6" s="20">
        <f t="shared" si="1"/>
        <v>7.5536063999999993E-3</v>
      </c>
      <c r="M6" s="20">
        <f t="shared" si="2"/>
        <v>7.0500326399999994E-2</v>
      </c>
      <c r="N6" s="20">
        <f t="shared" si="8"/>
        <v>0.13988160000000002</v>
      </c>
      <c r="O6" s="20">
        <f t="shared" si="3"/>
        <v>1.1884340736000001</v>
      </c>
    </row>
    <row r="7" spans="1:15" x14ac:dyDescent="0.7">
      <c r="A7" s="6"/>
      <c r="B7" s="6"/>
      <c r="C7" s="6">
        <v>5</v>
      </c>
      <c r="D7" s="7">
        <v>20.959999999999997</v>
      </c>
      <c r="E7" s="4">
        <v>30.2</v>
      </c>
      <c r="F7" s="7">
        <v>20.959999999999997</v>
      </c>
      <c r="G7" s="15">
        <f t="shared" si="4"/>
        <v>1810943.9999999998</v>
      </c>
      <c r="H7" s="21">
        <f t="shared" si="5"/>
        <v>1.8109439999999997</v>
      </c>
      <c r="I7" s="20">
        <f t="shared" si="6"/>
        <v>81492.479999999981</v>
      </c>
      <c r="J7" s="40">
        <f t="shared" si="0"/>
        <v>8.1492479999999978E-2</v>
      </c>
      <c r="K7" s="20">
        <f t="shared" si="7"/>
        <v>9779.0975999999973</v>
      </c>
      <c r="L7" s="20">
        <f t="shared" si="1"/>
        <v>9.7790975999999981E-3</v>
      </c>
      <c r="M7" s="20">
        <f t="shared" si="2"/>
        <v>9.1271577599999973E-2</v>
      </c>
      <c r="N7" s="20">
        <f t="shared" si="8"/>
        <v>0.18109439999999999</v>
      </c>
      <c r="O7" s="20">
        <f t="shared" si="3"/>
        <v>1.5385780223999999</v>
      </c>
    </row>
    <row r="8" spans="1:15" x14ac:dyDescent="0.7">
      <c r="A8" s="6"/>
      <c r="B8" s="6"/>
      <c r="C8" s="6">
        <v>6</v>
      </c>
      <c r="D8" s="7">
        <v>48.03</v>
      </c>
      <c r="E8" s="4">
        <v>0</v>
      </c>
      <c r="F8" s="7">
        <v>48.03</v>
      </c>
      <c r="G8" s="15">
        <f t="shared" si="4"/>
        <v>4149792</v>
      </c>
      <c r="H8" s="21">
        <f t="shared" si="5"/>
        <v>4.1497919999999997</v>
      </c>
      <c r="I8" s="20">
        <f t="shared" si="6"/>
        <v>186740.63999999998</v>
      </c>
      <c r="J8" s="40">
        <f t="shared" si="0"/>
        <v>0.18674063999999999</v>
      </c>
      <c r="K8" s="20">
        <f t="shared" si="7"/>
        <v>22408.876799999998</v>
      </c>
      <c r="L8" s="20">
        <f t="shared" si="1"/>
        <v>2.2408876799999998E-2</v>
      </c>
      <c r="M8" s="20">
        <f t="shared" si="2"/>
        <v>0.20914951679999999</v>
      </c>
      <c r="N8" s="20">
        <f t="shared" si="8"/>
        <v>0.41497919999999999</v>
      </c>
      <c r="O8" s="20">
        <f t="shared" si="3"/>
        <v>3.5256632831999997</v>
      </c>
    </row>
    <row r="9" spans="1:15" x14ac:dyDescent="0.7">
      <c r="A9" s="6"/>
      <c r="B9" s="6"/>
      <c r="C9" s="6">
        <v>7</v>
      </c>
      <c r="D9" s="7">
        <v>28.82</v>
      </c>
      <c r="E9" s="4">
        <v>0</v>
      </c>
      <c r="F9" s="7">
        <v>28.82</v>
      </c>
      <c r="G9" s="15">
        <f t="shared" si="4"/>
        <v>2490048</v>
      </c>
      <c r="H9" s="21">
        <f t="shared" si="5"/>
        <v>2.4900479999999998</v>
      </c>
      <c r="I9" s="20">
        <f t="shared" si="6"/>
        <v>112052.15999999999</v>
      </c>
      <c r="J9" s="40">
        <f t="shared" si="0"/>
        <v>0.11205215999999998</v>
      </c>
      <c r="K9" s="20">
        <f t="shared" si="7"/>
        <v>13446.259199999999</v>
      </c>
      <c r="L9" s="20">
        <f t="shared" si="1"/>
        <v>1.3446259199999998E-2</v>
      </c>
      <c r="M9" s="20">
        <f t="shared" si="2"/>
        <v>0.12549841919999999</v>
      </c>
      <c r="N9" s="20">
        <f t="shared" si="8"/>
        <v>0.2490048</v>
      </c>
      <c r="O9" s="20">
        <f t="shared" si="3"/>
        <v>2.1155447808000001</v>
      </c>
    </row>
    <row r="10" spans="1:15" x14ac:dyDescent="0.7">
      <c r="A10" s="6"/>
      <c r="B10" s="6"/>
      <c r="C10" s="6">
        <v>8</v>
      </c>
      <c r="D10" s="7">
        <v>20</v>
      </c>
      <c r="E10" s="4">
        <v>0</v>
      </c>
      <c r="F10" s="7">
        <v>20</v>
      </c>
      <c r="G10" s="15">
        <f t="shared" si="4"/>
        <v>1728000</v>
      </c>
      <c r="H10" s="21">
        <f t="shared" si="5"/>
        <v>1.728</v>
      </c>
      <c r="I10" s="20">
        <f t="shared" si="6"/>
        <v>77760</v>
      </c>
      <c r="J10" s="40">
        <f t="shared" si="0"/>
        <v>7.7759999999999996E-2</v>
      </c>
      <c r="K10" s="20">
        <f t="shared" si="7"/>
        <v>9331.1999999999989</v>
      </c>
      <c r="L10" s="20">
        <f t="shared" si="1"/>
        <v>9.3311999999999996E-3</v>
      </c>
      <c r="M10" s="20">
        <f t="shared" si="2"/>
        <v>8.7091199999999994E-2</v>
      </c>
      <c r="N10" s="20">
        <f t="shared" si="8"/>
        <v>0.17280000000000001</v>
      </c>
      <c r="O10" s="20">
        <f t="shared" si="3"/>
        <v>1.4681088</v>
      </c>
    </row>
    <row r="11" spans="1:15" x14ac:dyDescent="0.7">
      <c r="A11" s="6"/>
      <c r="B11" s="6"/>
      <c r="C11" s="6">
        <v>9</v>
      </c>
      <c r="D11" s="7">
        <v>18.739999999999998</v>
      </c>
      <c r="E11" s="4">
        <v>0</v>
      </c>
      <c r="F11" s="7">
        <v>18.739999999999998</v>
      </c>
      <c r="G11" s="15">
        <f t="shared" si="4"/>
        <v>1619135.9999999998</v>
      </c>
      <c r="H11" s="21">
        <f t="shared" si="5"/>
        <v>1.6191359999999997</v>
      </c>
      <c r="I11" s="20">
        <f t="shared" si="6"/>
        <v>72861.119999999981</v>
      </c>
      <c r="J11" s="40">
        <f t="shared" si="0"/>
        <v>7.2861119999999988E-2</v>
      </c>
      <c r="K11" s="20">
        <f t="shared" si="7"/>
        <v>8743.3343999999979</v>
      </c>
      <c r="L11" s="20">
        <f t="shared" si="1"/>
        <v>8.7433343999999986E-3</v>
      </c>
      <c r="M11" s="20">
        <f t="shared" si="2"/>
        <v>8.1604454399999984E-2</v>
      </c>
      <c r="N11" s="20">
        <f t="shared" si="8"/>
        <v>0.16191359999999999</v>
      </c>
      <c r="O11" s="20">
        <f t="shared" si="3"/>
        <v>1.3756179455999997</v>
      </c>
    </row>
    <row r="12" spans="1:15" x14ac:dyDescent="0.7">
      <c r="A12" s="6"/>
      <c r="B12" s="6"/>
      <c r="C12" s="6">
        <v>10</v>
      </c>
      <c r="D12" s="7">
        <v>16.7</v>
      </c>
      <c r="E12" s="4">
        <v>0</v>
      </c>
      <c r="F12" s="7">
        <v>16.7</v>
      </c>
      <c r="G12" s="15">
        <f t="shared" si="4"/>
        <v>1442880</v>
      </c>
      <c r="H12" s="21">
        <f t="shared" si="5"/>
        <v>1.4428799999999999</v>
      </c>
      <c r="I12" s="20">
        <f t="shared" si="6"/>
        <v>64929.599999999999</v>
      </c>
      <c r="J12" s="40">
        <f t="shared" si="0"/>
        <v>6.4929600000000004E-2</v>
      </c>
      <c r="K12" s="20">
        <f t="shared" si="7"/>
        <v>7791.5519999999997</v>
      </c>
      <c r="L12" s="20">
        <v>0</v>
      </c>
      <c r="M12" s="20">
        <f t="shared" si="2"/>
        <v>6.4929600000000004E-2</v>
      </c>
      <c r="N12" s="20">
        <f t="shared" si="8"/>
        <v>0.144288</v>
      </c>
      <c r="O12" s="20">
        <f t="shared" si="3"/>
        <v>1.2336624</v>
      </c>
    </row>
    <row r="13" spans="1:15" x14ac:dyDescent="0.7">
      <c r="A13" s="6"/>
      <c r="B13" s="6"/>
      <c r="C13" s="6">
        <v>11</v>
      </c>
      <c r="D13" s="7">
        <v>15.1</v>
      </c>
      <c r="E13" s="4">
        <v>0</v>
      </c>
      <c r="F13" s="7">
        <v>15.1</v>
      </c>
      <c r="G13" s="15">
        <f t="shared" si="4"/>
        <v>1304640</v>
      </c>
      <c r="H13" s="21">
        <f t="shared" si="5"/>
        <v>1.30464</v>
      </c>
      <c r="I13" s="20">
        <f t="shared" si="6"/>
        <v>58708.799999999996</v>
      </c>
      <c r="J13" s="40">
        <f t="shared" si="0"/>
        <v>5.8708799999999998E-2</v>
      </c>
      <c r="K13" s="20">
        <f t="shared" si="7"/>
        <v>7045.0559999999996</v>
      </c>
      <c r="L13" s="20">
        <v>0</v>
      </c>
      <c r="M13" s="20">
        <f t="shared" si="2"/>
        <v>5.8708799999999998E-2</v>
      </c>
      <c r="N13" s="20">
        <f t="shared" si="8"/>
        <v>0.130464</v>
      </c>
      <c r="O13" s="20">
        <f t="shared" si="3"/>
        <v>1.1154672000000001</v>
      </c>
    </row>
    <row r="14" spans="1:15" x14ac:dyDescent="0.7">
      <c r="A14" s="6"/>
      <c r="B14" s="6"/>
      <c r="C14" s="6">
        <v>12</v>
      </c>
      <c r="D14" s="7">
        <v>14.440000000000001</v>
      </c>
      <c r="E14" s="4">
        <v>0</v>
      </c>
      <c r="F14" s="7">
        <v>14.440000000000001</v>
      </c>
      <c r="G14" s="15">
        <f t="shared" si="4"/>
        <v>1247616</v>
      </c>
      <c r="H14" s="21">
        <f t="shared" si="5"/>
        <v>1.2476160000000001</v>
      </c>
      <c r="I14" s="20">
        <f t="shared" si="6"/>
        <v>56142.720000000001</v>
      </c>
      <c r="J14" s="40">
        <f t="shared" si="0"/>
        <v>5.614272E-2</v>
      </c>
      <c r="K14" s="20">
        <f t="shared" si="7"/>
        <v>6737.1264000000001</v>
      </c>
      <c r="L14" s="20">
        <v>0</v>
      </c>
      <c r="M14" s="20">
        <f t="shared" si="2"/>
        <v>5.614272E-2</v>
      </c>
      <c r="N14" s="20">
        <f t="shared" si="8"/>
        <v>0.12476160000000001</v>
      </c>
      <c r="O14" s="20">
        <f t="shared" si="3"/>
        <v>1.0667116800000001</v>
      </c>
    </row>
    <row r="15" spans="1:15" x14ac:dyDescent="0.7">
      <c r="A15" s="6"/>
      <c r="B15" s="6"/>
      <c r="C15" s="6">
        <v>13</v>
      </c>
      <c r="D15" s="7">
        <v>14.190000000000001</v>
      </c>
      <c r="E15" s="4">
        <v>0</v>
      </c>
      <c r="F15" s="7">
        <v>14.190000000000001</v>
      </c>
      <c r="G15" s="15">
        <f t="shared" si="4"/>
        <v>1226016</v>
      </c>
      <c r="H15" s="21">
        <f t="shared" si="5"/>
        <v>1.226016</v>
      </c>
      <c r="I15" s="20">
        <f t="shared" si="6"/>
        <v>55170.720000000001</v>
      </c>
      <c r="J15" s="40">
        <f t="shared" si="0"/>
        <v>5.5170719999999999E-2</v>
      </c>
      <c r="K15" s="20">
        <f t="shared" si="7"/>
        <v>6620.4863999999998</v>
      </c>
      <c r="L15" s="20">
        <v>0</v>
      </c>
      <c r="M15" s="20">
        <f t="shared" si="2"/>
        <v>5.5170719999999999E-2</v>
      </c>
      <c r="N15" s="20">
        <f t="shared" si="8"/>
        <v>0.12260160000000001</v>
      </c>
      <c r="O15" s="20">
        <f t="shared" si="3"/>
        <v>1.0482436799999999</v>
      </c>
    </row>
    <row r="16" spans="1:15" x14ac:dyDescent="0.7">
      <c r="A16" s="6"/>
      <c r="B16" s="6"/>
      <c r="C16" s="6">
        <v>14</v>
      </c>
      <c r="D16" s="7">
        <v>13.67</v>
      </c>
      <c r="E16" s="4">
        <v>0</v>
      </c>
      <c r="F16" s="7">
        <v>13.67</v>
      </c>
      <c r="G16" s="15">
        <f t="shared" si="4"/>
        <v>1181088</v>
      </c>
      <c r="H16" s="21">
        <f t="shared" si="5"/>
        <v>1.1810879999999999</v>
      </c>
      <c r="I16" s="20">
        <f t="shared" si="6"/>
        <v>53148.959999999999</v>
      </c>
      <c r="J16" s="40">
        <f t="shared" si="0"/>
        <v>5.3148960000000002E-2</v>
      </c>
      <c r="K16" s="20">
        <f t="shared" si="7"/>
        <v>6377.8751999999995</v>
      </c>
      <c r="L16" s="20">
        <v>0</v>
      </c>
      <c r="M16" s="20">
        <f t="shared" si="2"/>
        <v>5.3148960000000002E-2</v>
      </c>
      <c r="N16" s="20">
        <f t="shared" si="8"/>
        <v>0.1181088</v>
      </c>
      <c r="O16" s="20">
        <f t="shared" si="3"/>
        <v>1.0098302400000001</v>
      </c>
    </row>
    <row r="17" spans="1:15" x14ac:dyDescent="0.7">
      <c r="A17" s="6"/>
      <c r="B17" s="6"/>
      <c r="C17" s="6">
        <v>15</v>
      </c>
      <c r="D17" s="7">
        <v>13.387</v>
      </c>
      <c r="E17" s="4">
        <v>0</v>
      </c>
      <c r="F17" s="7">
        <v>13.387</v>
      </c>
      <c r="G17" s="15">
        <f t="shared" si="4"/>
        <v>1156636.8</v>
      </c>
      <c r="H17" s="21">
        <f t="shared" si="5"/>
        <v>1.1566368</v>
      </c>
      <c r="I17" s="20">
        <f t="shared" si="6"/>
        <v>52048.656000000003</v>
      </c>
      <c r="J17" s="40">
        <f t="shared" si="0"/>
        <v>5.2048656000000006E-2</v>
      </c>
      <c r="K17" s="20">
        <f t="shared" si="7"/>
        <v>6245.8387199999997</v>
      </c>
      <c r="L17" s="20">
        <v>0</v>
      </c>
      <c r="M17" s="20">
        <f t="shared" si="2"/>
        <v>5.2048656000000006E-2</v>
      </c>
      <c r="N17" s="20">
        <f t="shared" si="8"/>
        <v>0.11566368</v>
      </c>
      <c r="O17" s="20">
        <f t="shared" si="3"/>
        <v>0.988924464</v>
      </c>
    </row>
    <row r="18" spans="1:15" x14ac:dyDescent="0.7">
      <c r="A18" s="6"/>
      <c r="B18" s="6"/>
      <c r="C18" s="6">
        <v>16</v>
      </c>
      <c r="D18" s="7">
        <v>12.629999999999999</v>
      </c>
      <c r="E18" s="4">
        <v>0</v>
      </c>
      <c r="F18" s="7">
        <v>12.629999999999999</v>
      </c>
      <c r="G18" s="15">
        <f t="shared" si="4"/>
        <v>1091232</v>
      </c>
      <c r="H18" s="21">
        <f t="shared" si="5"/>
        <v>1.091232</v>
      </c>
      <c r="I18" s="20">
        <f t="shared" si="6"/>
        <v>49105.439999999995</v>
      </c>
      <c r="J18" s="40">
        <f t="shared" si="0"/>
        <v>4.9105439999999993E-2</v>
      </c>
      <c r="K18" s="20">
        <f t="shared" si="7"/>
        <v>5892.6527999999989</v>
      </c>
      <c r="L18" s="20">
        <v>0</v>
      </c>
      <c r="M18" s="20">
        <f t="shared" si="2"/>
        <v>4.9105439999999993E-2</v>
      </c>
      <c r="N18" s="20">
        <f t="shared" si="8"/>
        <v>0.1091232</v>
      </c>
      <c r="O18" s="20">
        <f t="shared" si="3"/>
        <v>0.93300336000000006</v>
      </c>
    </row>
    <row r="19" spans="1:15" x14ac:dyDescent="0.7">
      <c r="A19" s="6"/>
      <c r="B19" s="6"/>
      <c r="C19" s="6">
        <v>17</v>
      </c>
      <c r="D19" s="7">
        <v>11.74</v>
      </c>
      <c r="E19" s="4">
        <v>0</v>
      </c>
      <c r="F19" s="7">
        <v>11.74</v>
      </c>
      <c r="G19" s="15">
        <f t="shared" si="4"/>
        <v>1014336</v>
      </c>
      <c r="H19" s="21">
        <f t="shared" si="5"/>
        <v>1.0143359999999999</v>
      </c>
      <c r="I19" s="20">
        <f t="shared" si="6"/>
        <v>45645.119999999995</v>
      </c>
      <c r="J19" s="40">
        <f t="shared" si="0"/>
        <v>4.5645119999999997E-2</v>
      </c>
      <c r="K19" s="20">
        <f t="shared" si="7"/>
        <v>5477.4143999999997</v>
      </c>
      <c r="L19" s="20">
        <v>0</v>
      </c>
      <c r="M19" s="20">
        <f t="shared" si="2"/>
        <v>4.5645119999999997E-2</v>
      </c>
      <c r="N19" s="20">
        <f t="shared" si="8"/>
        <v>0.1014336</v>
      </c>
      <c r="O19" s="20">
        <f t="shared" si="3"/>
        <v>0.86725727999999991</v>
      </c>
    </row>
    <row r="20" spans="1:15" x14ac:dyDescent="0.7">
      <c r="A20" s="6"/>
      <c r="B20" s="6"/>
      <c r="C20" s="6">
        <v>18</v>
      </c>
      <c r="D20" s="7">
        <v>11.52</v>
      </c>
      <c r="E20" s="4">
        <v>0</v>
      </c>
      <c r="F20" s="7">
        <v>11.52</v>
      </c>
      <c r="G20" s="15">
        <f t="shared" si="4"/>
        <v>995328</v>
      </c>
      <c r="H20" s="21">
        <f t="shared" si="5"/>
        <v>0.99532799999999999</v>
      </c>
      <c r="I20" s="20">
        <f t="shared" si="6"/>
        <v>44789.759999999995</v>
      </c>
      <c r="J20" s="40">
        <f t="shared" si="0"/>
        <v>4.4789759999999998E-2</v>
      </c>
      <c r="K20" s="20">
        <f t="shared" si="7"/>
        <v>5374.7711999999992</v>
      </c>
      <c r="L20" s="20">
        <f t="shared" ref="L20:L23" si="9">K20/1000000</f>
        <v>5.3747711999999996E-3</v>
      </c>
      <c r="M20" s="20">
        <f t="shared" si="2"/>
        <v>5.0164531200000001E-2</v>
      </c>
      <c r="N20" s="20">
        <f t="shared" si="8"/>
        <v>9.9532800000000005E-2</v>
      </c>
      <c r="O20" s="20">
        <f t="shared" si="3"/>
        <v>0.84563066880000004</v>
      </c>
    </row>
    <row r="21" spans="1:15" x14ac:dyDescent="0.7">
      <c r="A21" s="6"/>
      <c r="B21" s="6"/>
      <c r="C21" s="6">
        <v>19</v>
      </c>
      <c r="D21" s="7">
        <v>11.49</v>
      </c>
      <c r="E21" s="4">
        <v>0</v>
      </c>
      <c r="F21" s="7">
        <v>11.49</v>
      </c>
      <c r="G21" s="15">
        <f t="shared" si="4"/>
        <v>992736</v>
      </c>
      <c r="H21" s="21">
        <f t="shared" si="5"/>
        <v>0.99273599999999995</v>
      </c>
      <c r="I21" s="20">
        <f t="shared" si="6"/>
        <v>44673.119999999995</v>
      </c>
      <c r="J21" s="40">
        <f t="shared" si="0"/>
        <v>4.4673119999999997E-2</v>
      </c>
      <c r="K21" s="20">
        <f t="shared" si="7"/>
        <v>5360.7743999999993</v>
      </c>
      <c r="L21" s="20">
        <f t="shared" si="9"/>
        <v>5.3607743999999997E-3</v>
      </c>
      <c r="M21" s="20">
        <f t="shared" si="2"/>
        <v>5.0033894399999994E-2</v>
      </c>
      <c r="N21" s="20">
        <f t="shared" si="8"/>
        <v>9.9273600000000004E-2</v>
      </c>
      <c r="O21" s="20">
        <f t="shared" si="3"/>
        <v>0.84342850560000004</v>
      </c>
    </row>
    <row r="22" spans="1:15" x14ac:dyDescent="0.7">
      <c r="A22" s="6"/>
      <c r="B22" s="6"/>
      <c r="C22" s="6">
        <v>20</v>
      </c>
      <c r="D22" s="7">
        <v>12.27</v>
      </c>
      <c r="E22" s="4">
        <v>0</v>
      </c>
      <c r="F22" s="7">
        <v>12.27</v>
      </c>
      <c r="G22" s="15">
        <f t="shared" si="4"/>
        <v>1060128</v>
      </c>
      <c r="H22" s="21">
        <f t="shared" si="5"/>
        <v>1.060128</v>
      </c>
      <c r="I22" s="20">
        <f t="shared" si="6"/>
        <v>47705.759999999995</v>
      </c>
      <c r="J22" s="40">
        <f t="shared" si="0"/>
        <v>4.7705759999999993E-2</v>
      </c>
      <c r="K22" s="20">
        <f t="shared" si="7"/>
        <v>5724.6911999999993</v>
      </c>
      <c r="L22" s="20">
        <f t="shared" si="9"/>
        <v>5.7246911999999997E-3</v>
      </c>
      <c r="M22" s="20">
        <f t="shared" si="2"/>
        <v>5.3430451199999993E-2</v>
      </c>
      <c r="N22" s="20">
        <f t="shared" si="8"/>
        <v>0.1060128</v>
      </c>
      <c r="O22" s="20">
        <f t="shared" si="3"/>
        <v>0.90068474880000005</v>
      </c>
    </row>
    <row r="23" spans="1:15" x14ac:dyDescent="0.7">
      <c r="A23" s="6"/>
      <c r="B23" s="6"/>
      <c r="C23" s="6">
        <v>21</v>
      </c>
      <c r="D23" s="7">
        <v>12.36</v>
      </c>
      <c r="E23" s="4">
        <v>0</v>
      </c>
      <c r="F23" s="7">
        <v>12.36</v>
      </c>
      <c r="G23" s="15">
        <f t="shared" si="4"/>
        <v>1067904</v>
      </c>
      <c r="H23" s="21">
        <f t="shared" si="5"/>
        <v>1.067904</v>
      </c>
      <c r="I23" s="20">
        <f t="shared" si="6"/>
        <v>48055.68</v>
      </c>
      <c r="J23" s="40">
        <f t="shared" si="0"/>
        <v>4.8055680000000003E-2</v>
      </c>
      <c r="K23" s="20">
        <f t="shared" si="7"/>
        <v>5766.6815999999999</v>
      </c>
      <c r="L23" s="20">
        <f t="shared" si="9"/>
        <v>5.7666816000000003E-3</v>
      </c>
      <c r="M23" s="20">
        <f t="shared" si="2"/>
        <v>5.3822361600000007E-2</v>
      </c>
      <c r="N23" s="20">
        <f t="shared" si="8"/>
        <v>0.10679040000000001</v>
      </c>
      <c r="O23" s="20">
        <f t="shared" si="3"/>
        <v>0.90729123840000003</v>
      </c>
    </row>
    <row r="24" spans="1:15" x14ac:dyDescent="0.7">
      <c r="A24" s="6"/>
      <c r="B24" s="6"/>
      <c r="C24" s="6">
        <v>22</v>
      </c>
      <c r="D24" s="7">
        <v>12.04</v>
      </c>
      <c r="E24" s="4">
        <v>0</v>
      </c>
      <c r="F24" s="7">
        <v>12.04</v>
      </c>
      <c r="G24" s="15">
        <f t="shared" si="4"/>
        <v>1040255.9999999999</v>
      </c>
      <c r="H24" s="21">
        <f t="shared" si="5"/>
        <v>1.0402559999999998</v>
      </c>
      <c r="I24" s="20">
        <f t="shared" si="6"/>
        <v>46811.51999999999</v>
      </c>
      <c r="J24" s="40">
        <f t="shared" ref="J24:J33" si="10">I24/1000000</f>
        <v>4.6811519999999988E-2</v>
      </c>
      <c r="K24" s="20">
        <f t="shared" si="7"/>
        <v>5617.3823999999986</v>
      </c>
      <c r="L24" s="20">
        <v>0</v>
      </c>
      <c r="M24" s="20">
        <f t="shared" ref="M24:M42" si="11">J24+L24</f>
        <v>4.6811519999999988E-2</v>
      </c>
      <c r="N24" s="20">
        <f t="shared" si="8"/>
        <v>0.1040256</v>
      </c>
      <c r="O24" s="20">
        <f t="shared" ref="O24:O42" si="12">H24-M24-N24</f>
        <v>0.8894188799999998</v>
      </c>
    </row>
    <row r="25" spans="1:15" x14ac:dyDescent="0.7">
      <c r="A25" s="6"/>
      <c r="B25" s="6"/>
      <c r="C25" s="6">
        <v>23</v>
      </c>
      <c r="D25" s="7">
        <v>12.06</v>
      </c>
      <c r="E25" s="4">
        <v>0</v>
      </c>
      <c r="F25" s="7">
        <v>12.06</v>
      </c>
      <c r="G25" s="15">
        <f t="shared" si="4"/>
        <v>1041984</v>
      </c>
      <c r="H25" s="21">
        <f t="shared" si="5"/>
        <v>1.041984</v>
      </c>
      <c r="I25" s="20">
        <f t="shared" si="6"/>
        <v>46889.279999999999</v>
      </c>
      <c r="J25" s="40">
        <f t="shared" si="10"/>
        <v>4.6889279999999998E-2</v>
      </c>
      <c r="K25" s="20">
        <f t="shared" si="7"/>
        <v>5626.7136</v>
      </c>
      <c r="L25" s="20">
        <v>0</v>
      </c>
      <c r="M25" s="20">
        <f t="shared" si="11"/>
        <v>4.6889279999999998E-2</v>
      </c>
      <c r="N25" s="20">
        <f t="shared" si="8"/>
        <v>0.10419840000000001</v>
      </c>
      <c r="O25" s="20">
        <f t="shared" si="12"/>
        <v>0.89089631999999996</v>
      </c>
    </row>
    <row r="26" spans="1:15" x14ac:dyDescent="0.7">
      <c r="A26" s="6"/>
      <c r="B26" s="6"/>
      <c r="C26" s="6">
        <v>24</v>
      </c>
      <c r="D26" s="7">
        <v>11.81</v>
      </c>
      <c r="E26" s="4">
        <v>0</v>
      </c>
      <c r="F26" s="7">
        <v>11.81</v>
      </c>
      <c r="G26" s="15">
        <f t="shared" si="4"/>
        <v>1020384</v>
      </c>
      <c r="H26" s="21">
        <f t="shared" si="5"/>
        <v>1.020384</v>
      </c>
      <c r="I26" s="20">
        <f t="shared" si="6"/>
        <v>45917.279999999999</v>
      </c>
      <c r="J26" s="40">
        <f t="shared" si="10"/>
        <v>4.5917279999999998E-2</v>
      </c>
      <c r="K26" s="20">
        <f t="shared" si="7"/>
        <v>5510.0735999999997</v>
      </c>
      <c r="L26" s="20">
        <v>0</v>
      </c>
      <c r="M26" s="20">
        <f t="shared" si="11"/>
        <v>4.5917279999999998E-2</v>
      </c>
      <c r="N26" s="20">
        <f t="shared" si="8"/>
        <v>0.1020384</v>
      </c>
      <c r="O26" s="20">
        <f t="shared" si="12"/>
        <v>0.87242832000000003</v>
      </c>
    </row>
    <row r="27" spans="1:15" x14ac:dyDescent="0.7">
      <c r="A27" s="6"/>
      <c r="B27" s="6"/>
      <c r="C27" s="6">
        <v>25</v>
      </c>
      <c r="D27" s="7">
        <v>11.620000000000001</v>
      </c>
      <c r="E27" s="4">
        <v>0</v>
      </c>
      <c r="F27" s="7">
        <v>11.620000000000001</v>
      </c>
      <c r="G27" s="15">
        <f t="shared" si="4"/>
        <v>1003968.0000000001</v>
      </c>
      <c r="H27" s="21">
        <f t="shared" si="5"/>
        <v>1.0039680000000002</v>
      </c>
      <c r="I27" s="20">
        <f t="shared" si="6"/>
        <v>45178.560000000012</v>
      </c>
      <c r="J27" s="40">
        <f t="shared" si="10"/>
        <v>4.5178560000000013E-2</v>
      </c>
      <c r="K27" s="20">
        <f t="shared" si="7"/>
        <v>5421.427200000001</v>
      </c>
      <c r="L27" s="20">
        <f t="shared" ref="L27:L30" si="13">K27/1000000</f>
        <v>5.4214272000000013E-3</v>
      </c>
      <c r="M27" s="20">
        <f t="shared" si="11"/>
        <v>5.0599987200000016E-2</v>
      </c>
      <c r="N27" s="20">
        <f t="shared" si="8"/>
        <v>0.10039680000000002</v>
      </c>
      <c r="O27" s="20">
        <f t="shared" si="12"/>
        <v>0.8529712128000001</v>
      </c>
    </row>
    <row r="28" spans="1:15" x14ac:dyDescent="0.7">
      <c r="A28" s="6"/>
      <c r="B28" s="6"/>
      <c r="C28" s="6">
        <v>26</v>
      </c>
      <c r="D28" s="7">
        <v>11.38</v>
      </c>
      <c r="E28" s="4">
        <v>0</v>
      </c>
      <c r="F28" s="7">
        <v>11.38</v>
      </c>
      <c r="G28" s="15">
        <f t="shared" si="4"/>
        <v>983232.00000000012</v>
      </c>
      <c r="H28" s="21">
        <f t="shared" si="5"/>
        <v>0.98323200000000011</v>
      </c>
      <c r="I28" s="20">
        <f t="shared" si="6"/>
        <v>44245.440000000002</v>
      </c>
      <c r="J28" s="40">
        <f t="shared" si="10"/>
        <v>4.4245440000000004E-2</v>
      </c>
      <c r="K28" s="20">
        <f t="shared" si="7"/>
        <v>5309.4528</v>
      </c>
      <c r="L28" s="20">
        <f t="shared" si="13"/>
        <v>5.3094528000000004E-3</v>
      </c>
      <c r="M28" s="20">
        <f t="shared" si="11"/>
        <v>4.9554892800000007E-2</v>
      </c>
      <c r="N28" s="20">
        <f t="shared" si="8"/>
        <v>9.8323200000000013E-2</v>
      </c>
      <c r="O28" s="20">
        <f t="shared" si="12"/>
        <v>0.83535390720000002</v>
      </c>
    </row>
    <row r="29" spans="1:15" x14ac:dyDescent="0.7">
      <c r="A29" s="6"/>
      <c r="B29" s="6"/>
      <c r="C29" s="6">
        <v>27</v>
      </c>
      <c r="D29" s="7">
        <v>10.99</v>
      </c>
      <c r="E29" s="4">
        <v>0</v>
      </c>
      <c r="F29" s="7">
        <v>10.99</v>
      </c>
      <c r="G29" s="15">
        <f t="shared" si="4"/>
        <v>949536</v>
      </c>
      <c r="H29" s="21">
        <f t="shared" si="5"/>
        <v>0.94953600000000005</v>
      </c>
      <c r="I29" s="20">
        <f t="shared" si="6"/>
        <v>42729.119999999995</v>
      </c>
      <c r="J29" s="40">
        <f t="shared" si="10"/>
        <v>4.2729119999999995E-2</v>
      </c>
      <c r="K29" s="20">
        <f t="shared" si="7"/>
        <v>5127.4943999999996</v>
      </c>
      <c r="L29" s="20">
        <f t="shared" si="13"/>
        <v>5.1274943999999999E-3</v>
      </c>
      <c r="M29" s="20">
        <f t="shared" si="11"/>
        <v>4.7856614399999997E-2</v>
      </c>
      <c r="N29" s="20">
        <f t="shared" si="8"/>
        <v>9.4953600000000013E-2</v>
      </c>
      <c r="O29" s="20">
        <f t="shared" si="12"/>
        <v>0.80672578560000008</v>
      </c>
    </row>
    <row r="30" spans="1:15" x14ac:dyDescent="0.7">
      <c r="A30" s="6"/>
      <c r="B30" s="6"/>
      <c r="C30" s="6">
        <v>28</v>
      </c>
      <c r="D30" s="7">
        <v>10.89</v>
      </c>
      <c r="E30" s="4">
        <v>0</v>
      </c>
      <c r="F30" s="7">
        <v>10.89</v>
      </c>
      <c r="G30" s="15">
        <f t="shared" si="4"/>
        <v>940896</v>
      </c>
      <c r="H30" s="21">
        <f t="shared" si="5"/>
        <v>0.94089599999999995</v>
      </c>
      <c r="I30" s="20">
        <f t="shared" si="6"/>
        <v>42340.32</v>
      </c>
      <c r="J30" s="40">
        <f t="shared" si="10"/>
        <v>4.2340320000000001E-2</v>
      </c>
      <c r="K30" s="20">
        <f t="shared" si="7"/>
        <v>5080.8383999999996</v>
      </c>
      <c r="L30" s="20">
        <f t="shared" si="13"/>
        <v>5.0808384E-3</v>
      </c>
      <c r="M30" s="20">
        <f t="shared" si="11"/>
        <v>4.7421158400000003E-2</v>
      </c>
      <c r="N30" s="20">
        <f t="shared" si="8"/>
        <v>9.4089599999999995E-2</v>
      </c>
      <c r="O30" s="20">
        <f t="shared" si="12"/>
        <v>0.79938524159999991</v>
      </c>
    </row>
    <row r="31" spans="1:15" x14ac:dyDescent="0.7">
      <c r="A31" s="6"/>
      <c r="B31" s="6"/>
      <c r="C31" s="6">
        <v>29</v>
      </c>
      <c r="D31" s="7">
        <v>10.89</v>
      </c>
      <c r="E31" s="4">
        <v>0</v>
      </c>
      <c r="F31" s="7">
        <v>10.89</v>
      </c>
      <c r="G31" s="15">
        <f t="shared" si="4"/>
        <v>940896</v>
      </c>
      <c r="H31" s="21">
        <f t="shared" si="5"/>
        <v>0.94089599999999995</v>
      </c>
      <c r="I31" s="20">
        <f t="shared" si="6"/>
        <v>42340.32</v>
      </c>
      <c r="J31" s="40">
        <f t="shared" si="10"/>
        <v>4.2340320000000001E-2</v>
      </c>
      <c r="K31" s="20">
        <f t="shared" si="7"/>
        <v>5080.8383999999996</v>
      </c>
      <c r="L31" s="20">
        <v>0</v>
      </c>
      <c r="M31" s="20">
        <f t="shared" si="11"/>
        <v>4.2340320000000001E-2</v>
      </c>
      <c r="N31" s="20">
        <f t="shared" si="8"/>
        <v>9.4089599999999995E-2</v>
      </c>
      <c r="O31" s="20">
        <f t="shared" si="12"/>
        <v>0.80446607999999997</v>
      </c>
    </row>
    <row r="32" spans="1:15" x14ac:dyDescent="0.7">
      <c r="A32" s="6"/>
      <c r="B32" s="6"/>
      <c r="C32" s="6">
        <v>30</v>
      </c>
      <c r="D32" s="7">
        <v>10.73</v>
      </c>
      <c r="E32" s="4">
        <v>0</v>
      </c>
      <c r="F32" s="7">
        <v>10.73</v>
      </c>
      <c r="G32" s="15">
        <f t="shared" si="4"/>
        <v>927072</v>
      </c>
      <c r="H32" s="21">
        <f t="shared" si="5"/>
        <v>0.92707200000000001</v>
      </c>
      <c r="I32" s="20">
        <f t="shared" si="6"/>
        <v>41718.239999999998</v>
      </c>
      <c r="J32" s="40">
        <f t="shared" si="10"/>
        <v>4.1718239999999997E-2</v>
      </c>
      <c r="K32" s="20">
        <f t="shared" si="7"/>
        <v>5006.1887999999999</v>
      </c>
      <c r="L32" s="20">
        <v>0</v>
      </c>
      <c r="M32" s="20">
        <f t="shared" si="11"/>
        <v>4.1718239999999997E-2</v>
      </c>
      <c r="N32" s="20">
        <f t="shared" si="8"/>
        <v>9.2707200000000003E-2</v>
      </c>
      <c r="O32" s="20">
        <f t="shared" si="12"/>
        <v>0.79264656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10.58</v>
      </c>
      <c r="E33" s="19">
        <v>0</v>
      </c>
      <c r="F33" s="10">
        <v>10.58</v>
      </c>
      <c r="G33" s="26">
        <f t="shared" si="4"/>
        <v>914112</v>
      </c>
      <c r="H33" s="27">
        <f t="shared" si="5"/>
        <v>0.91411200000000004</v>
      </c>
      <c r="I33" s="22">
        <f t="shared" si="6"/>
        <v>41135.040000000001</v>
      </c>
      <c r="J33" s="41">
        <f t="shared" si="10"/>
        <v>4.1135039999999998E-2</v>
      </c>
      <c r="K33" s="22">
        <f t="shared" si="7"/>
        <v>4936.2047999999995</v>
      </c>
      <c r="L33" s="22">
        <v>0</v>
      </c>
      <c r="M33" s="22">
        <f t="shared" si="11"/>
        <v>4.1135039999999998E-2</v>
      </c>
      <c r="N33" s="22">
        <f t="shared" si="8"/>
        <v>9.1411200000000012E-2</v>
      </c>
      <c r="O33" s="22">
        <f t="shared" si="12"/>
        <v>0.78156576</v>
      </c>
    </row>
    <row r="34" spans="1:15" x14ac:dyDescent="0.7">
      <c r="A34" s="3"/>
      <c r="B34" s="3" t="s">
        <v>16</v>
      </c>
      <c r="C34" s="3">
        <v>1</v>
      </c>
      <c r="D34" s="4">
        <v>20.58</v>
      </c>
      <c r="E34" s="4">
        <v>0</v>
      </c>
      <c r="F34" s="4">
        <v>20.58</v>
      </c>
      <c r="G34" s="15">
        <f t="shared" si="4"/>
        <v>1778111.9999999998</v>
      </c>
      <c r="H34" s="21">
        <f t="shared" si="5"/>
        <v>1.7781119999999997</v>
      </c>
      <c r="I34" s="21">
        <f t="shared" si="6"/>
        <v>80015.039999999994</v>
      </c>
      <c r="J34" s="25">
        <v>1.3301E-2</v>
      </c>
      <c r="K34" s="21">
        <f t="shared" si="7"/>
        <v>9601.8047999999981</v>
      </c>
      <c r="L34" s="16">
        <v>0</v>
      </c>
      <c r="M34" s="16">
        <f t="shared" si="11"/>
        <v>1.3301E-2</v>
      </c>
      <c r="N34" s="21">
        <f t="shared" si="8"/>
        <v>0.17781119999999997</v>
      </c>
      <c r="O34" s="4">
        <f t="shared" si="12"/>
        <v>1.5869997999999996</v>
      </c>
    </row>
    <row r="35" spans="1:15" x14ac:dyDescent="0.7">
      <c r="A35" s="6"/>
      <c r="B35" s="6"/>
      <c r="C35" s="6">
        <v>2</v>
      </c>
      <c r="D35" s="7">
        <v>10.25</v>
      </c>
      <c r="E35" s="4">
        <v>0</v>
      </c>
      <c r="F35" s="7">
        <v>10.25</v>
      </c>
      <c r="G35" s="15">
        <f t="shared" si="4"/>
        <v>885600</v>
      </c>
      <c r="H35" s="21">
        <f t="shared" si="5"/>
        <v>0.88560000000000005</v>
      </c>
      <c r="I35" s="20">
        <f t="shared" si="6"/>
        <v>39852</v>
      </c>
      <c r="J35" s="28">
        <v>1.3717999999999999E-2</v>
      </c>
      <c r="K35" s="20">
        <f t="shared" si="7"/>
        <v>4782.24</v>
      </c>
      <c r="L35" s="17">
        <v>8.5389999999999997E-3</v>
      </c>
      <c r="M35" s="17">
        <f t="shared" si="11"/>
        <v>2.2256999999999999E-2</v>
      </c>
      <c r="N35" s="20">
        <f t="shared" si="8"/>
        <v>8.8560000000000014E-2</v>
      </c>
      <c r="O35" s="7">
        <f t="shared" si="12"/>
        <v>0.77478300000000011</v>
      </c>
    </row>
    <row r="36" spans="1:15" x14ac:dyDescent="0.7">
      <c r="A36" s="6"/>
      <c r="B36" s="6"/>
      <c r="C36" s="6">
        <v>3</v>
      </c>
      <c r="D36" s="7">
        <v>10.08</v>
      </c>
      <c r="E36" s="4">
        <v>0</v>
      </c>
      <c r="F36" s="7">
        <v>10.08</v>
      </c>
      <c r="G36" s="15">
        <f t="shared" si="4"/>
        <v>870912</v>
      </c>
      <c r="H36" s="21">
        <f t="shared" si="5"/>
        <v>0.87091200000000002</v>
      </c>
      <c r="I36" s="20">
        <f t="shared" si="6"/>
        <v>39191.040000000001</v>
      </c>
      <c r="J36" s="28">
        <v>1.3702000000000001E-2</v>
      </c>
      <c r="K36" s="20">
        <f t="shared" si="7"/>
        <v>4702.9247999999998</v>
      </c>
      <c r="L36" s="17">
        <v>5.0959999999999998E-3</v>
      </c>
      <c r="M36" s="17">
        <f t="shared" si="11"/>
        <v>1.8798000000000002E-2</v>
      </c>
      <c r="N36" s="20">
        <f t="shared" si="8"/>
        <v>8.7091200000000007E-2</v>
      </c>
      <c r="O36" s="7">
        <f t="shared" si="12"/>
        <v>0.7650228</v>
      </c>
    </row>
    <row r="37" spans="1:15" x14ac:dyDescent="0.7">
      <c r="A37" s="6"/>
      <c r="B37" s="6"/>
      <c r="C37" s="6">
        <v>4</v>
      </c>
      <c r="D37" s="7">
        <v>9.92</v>
      </c>
      <c r="E37" s="4">
        <v>0</v>
      </c>
      <c r="F37" s="7">
        <v>9.92</v>
      </c>
      <c r="G37" s="15">
        <f t="shared" si="4"/>
        <v>857088</v>
      </c>
      <c r="H37" s="21">
        <f t="shared" si="5"/>
        <v>0.85708799999999996</v>
      </c>
      <c r="I37" s="20">
        <f t="shared" si="6"/>
        <v>38568.959999999999</v>
      </c>
      <c r="J37" s="28">
        <v>1.521E-2</v>
      </c>
      <c r="K37" s="20">
        <f t="shared" si="7"/>
        <v>4628.2752</v>
      </c>
      <c r="L37" s="17">
        <v>6.0730000000000003E-3</v>
      </c>
      <c r="M37" s="17">
        <f t="shared" si="11"/>
        <v>2.1283E-2</v>
      </c>
      <c r="N37" s="20">
        <f t="shared" si="8"/>
        <v>8.5708800000000002E-2</v>
      </c>
      <c r="O37" s="7">
        <f t="shared" si="12"/>
        <v>0.75009619999999988</v>
      </c>
    </row>
    <row r="38" spans="1:15" x14ac:dyDescent="0.7">
      <c r="A38" s="6"/>
      <c r="B38" s="6"/>
      <c r="C38" s="6">
        <v>5</v>
      </c>
      <c r="D38" s="7">
        <v>9.92</v>
      </c>
      <c r="E38" s="4">
        <v>0</v>
      </c>
      <c r="F38" s="7">
        <v>9.92</v>
      </c>
      <c r="G38" s="15">
        <f t="shared" si="4"/>
        <v>857088</v>
      </c>
      <c r="H38" s="21">
        <f t="shared" si="5"/>
        <v>0.85708799999999996</v>
      </c>
      <c r="I38" s="20">
        <f t="shared" si="6"/>
        <v>38568.959999999999</v>
      </c>
      <c r="J38" s="28">
        <v>1.5396E-2</v>
      </c>
      <c r="K38" s="20">
        <f t="shared" si="7"/>
        <v>4628.2752</v>
      </c>
      <c r="L38" s="17">
        <v>6.2989999999999999E-3</v>
      </c>
      <c r="M38" s="17">
        <f t="shared" si="11"/>
        <v>2.1694999999999999E-2</v>
      </c>
      <c r="N38" s="20">
        <f t="shared" si="8"/>
        <v>8.5708800000000002E-2</v>
      </c>
      <c r="O38" s="7">
        <f t="shared" si="12"/>
        <v>0.74968419999999991</v>
      </c>
    </row>
    <row r="39" spans="1:15" x14ac:dyDescent="0.7">
      <c r="A39" s="6"/>
      <c r="B39" s="6"/>
      <c r="C39" s="6">
        <v>6</v>
      </c>
      <c r="D39" s="7">
        <v>9.92</v>
      </c>
      <c r="E39" s="4">
        <v>0</v>
      </c>
      <c r="F39" s="7">
        <v>9.92</v>
      </c>
      <c r="G39" s="15">
        <f t="shared" si="4"/>
        <v>857088</v>
      </c>
      <c r="H39" s="21">
        <f t="shared" si="5"/>
        <v>0.85708799999999996</v>
      </c>
      <c r="I39" s="20">
        <f t="shared" si="6"/>
        <v>38568.959999999999</v>
      </c>
      <c r="J39" s="28">
        <v>1.7770000000000001E-2</v>
      </c>
      <c r="K39" s="20">
        <f t="shared" si="7"/>
        <v>4628.2752</v>
      </c>
      <c r="L39" s="17">
        <v>5.947E-3</v>
      </c>
      <c r="M39" s="17">
        <f t="shared" si="11"/>
        <v>2.3717000000000002E-2</v>
      </c>
      <c r="N39" s="20">
        <f t="shared" si="8"/>
        <v>8.5708800000000002E-2</v>
      </c>
      <c r="O39" s="7">
        <f t="shared" si="12"/>
        <v>0.74766219999999994</v>
      </c>
    </row>
    <row r="40" spans="1:15" x14ac:dyDescent="0.7">
      <c r="A40" s="6"/>
      <c r="B40" s="6"/>
      <c r="C40" s="6">
        <v>7</v>
      </c>
      <c r="D40" s="7">
        <v>12.72</v>
      </c>
      <c r="E40" s="4">
        <v>0</v>
      </c>
      <c r="F40" s="7">
        <v>12.72</v>
      </c>
      <c r="G40" s="15">
        <f t="shared" si="4"/>
        <v>1099008</v>
      </c>
      <c r="H40" s="21">
        <f t="shared" si="5"/>
        <v>1.099008</v>
      </c>
      <c r="I40" s="20">
        <f t="shared" si="6"/>
        <v>49455.360000000001</v>
      </c>
      <c r="J40" s="28">
        <v>1.8159000000000002E-2</v>
      </c>
      <c r="K40" s="20">
        <f t="shared" si="7"/>
        <v>5934.6431999999995</v>
      </c>
      <c r="L40" s="17">
        <v>6.0689999999999997E-3</v>
      </c>
      <c r="M40" s="17">
        <f t="shared" si="11"/>
        <v>2.4228E-2</v>
      </c>
      <c r="N40" s="20">
        <f t="shared" si="8"/>
        <v>0.10990080000000001</v>
      </c>
      <c r="O40" s="7">
        <f t="shared" si="12"/>
        <v>0.96487920000000005</v>
      </c>
    </row>
    <row r="41" spans="1:15" x14ac:dyDescent="0.7">
      <c r="A41" s="6"/>
      <c r="B41" s="6"/>
      <c r="C41" s="6">
        <v>8</v>
      </c>
      <c r="D41" s="7">
        <v>11.709999999999999</v>
      </c>
      <c r="E41" s="4">
        <v>0</v>
      </c>
      <c r="F41" s="7">
        <v>11.709999999999999</v>
      </c>
      <c r="G41" s="15">
        <f t="shared" si="4"/>
        <v>1011743.9999999999</v>
      </c>
      <c r="H41" s="21">
        <f t="shared" si="5"/>
        <v>1.011744</v>
      </c>
      <c r="I41" s="20">
        <f t="shared" si="6"/>
        <v>45528.479999999996</v>
      </c>
      <c r="J41" s="28">
        <v>1.5637000000000002E-2</v>
      </c>
      <c r="K41" s="20">
        <f t="shared" si="7"/>
        <v>5463.4175999999989</v>
      </c>
      <c r="L41" s="17">
        <v>6.2630000000000003E-3</v>
      </c>
      <c r="M41" s="17">
        <f t="shared" si="11"/>
        <v>2.1900000000000003E-2</v>
      </c>
      <c r="N41" s="20">
        <f t="shared" si="8"/>
        <v>0.1011744</v>
      </c>
      <c r="O41" s="7">
        <f t="shared" si="12"/>
        <v>0.88866959999999995</v>
      </c>
    </row>
    <row r="42" spans="1:15" x14ac:dyDescent="0.7">
      <c r="A42" s="6"/>
      <c r="B42" s="6"/>
      <c r="C42" s="6">
        <v>9</v>
      </c>
      <c r="D42" s="7">
        <v>0.95000000000000007</v>
      </c>
      <c r="E42" s="4">
        <v>0</v>
      </c>
      <c r="F42" s="7">
        <v>0.95000000000000007</v>
      </c>
      <c r="G42" s="15">
        <f t="shared" si="4"/>
        <v>82080</v>
      </c>
      <c r="H42" s="21">
        <f t="shared" si="5"/>
        <v>8.208E-2</v>
      </c>
      <c r="I42" s="20">
        <f t="shared" si="6"/>
        <v>3693.6</v>
      </c>
      <c r="J42" s="28">
        <v>1.4685E-2</v>
      </c>
      <c r="K42" s="20">
        <f t="shared" si="7"/>
        <v>443.23199999999997</v>
      </c>
      <c r="L42" s="17">
        <v>6.8100000000000001E-3</v>
      </c>
      <c r="M42" s="17">
        <f t="shared" si="11"/>
        <v>2.1495E-2</v>
      </c>
      <c r="N42" s="20">
        <f t="shared" si="8"/>
        <v>8.208E-3</v>
      </c>
      <c r="O42" s="7">
        <f t="shared" si="12"/>
        <v>5.2377E-2</v>
      </c>
    </row>
    <row r="43" spans="1:15" x14ac:dyDescent="0.7">
      <c r="A43" s="6"/>
      <c r="B43" s="6"/>
      <c r="C43" s="6">
        <v>10</v>
      </c>
      <c r="D43" s="7">
        <v>10.68</v>
      </c>
      <c r="E43" s="4">
        <v>0</v>
      </c>
      <c r="F43" s="7">
        <v>10.68</v>
      </c>
      <c r="G43" s="15">
        <f t="shared" si="4"/>
        <v>922752</v>
      </c>
      <c r="H43" s="21">
        <f t="shared" si="5"/>
        <v>0.92275200000000002</v>
      </c>
      <c r="I43" s="20">
        <f t="shared" si="6"/>
        <v>41523.839999999997</v>
      </c>
      <c r="J43" s="28">
        <v>1.7183694444444401E-2</v>
      </c>
      <c r="K43" s="20">
        <f t="shared" si="7"/>
        <v>4982.8607999999995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9.2275200000000002E-2</v>
      </c>
      <c r="O43" s="7">
        <f t="shared" ref="O43:O58" si="15">H43-M43-N43</f>
        <v>0.80576310555555564</v>
      </c>
    </row>
    <row r="44" spans="1:15" x14ac:dyDescent="0.7">
      <c r="A44" s="6"/>
      <c r="B44" s="6"/>
      <c r="C44" s="6">
        <v>11</v>
      </c>
      <c r="D44" s="7">
        <v>10.02</v>
      </c>
      <c r="E44" s="4">
        <v>0</v>
      </c>
      <c r="F44" s="7">
        <v>10.02</v>
      </c>
      <c r="G44" s="15">
        <f t="shared" si="4"/>
        <v>865728</v>
      </c>
      <c r="H44" s="21">
        <f t="shared" si="5"/>
        <v>0.86572800000000005</v>
      </c>
      <c r="I44" s="20">
        <f t="shared" si="6"/>
        <v>38957.760000000002</v>
      </c>
      <c r="J44" s="28">
        <v>1.7563144444444401E-2</v>
      </c>
      <c r="K44" s="20">
        <f t="shared" si="7"/>
        <v>4674.9312</v>
      </c>
      <c r="L44" s="17">
        <v>7.9005333333333292E-3</v>
      </c>
      <c r="M44" s="17">
        <f t="shared" si="14"/>
        <v>2.5463677777777728E-2</v>
      </c>
      <c r="N44" s="20">
        <f t="shared" si="8"/>
        <v>8.6572800000000005E-2</v>
      </c>
      <c r="O44" s="7">
        <f t="shared" si="15"/>
        <v>0.75369152222222235</v>
      </c>
    </row>
    <row r="45" spans="1:15" x14ac:dyDescent="0.7">
      <c r="A45" s="6"/>
      <c r="B45" s="6"/>
      <c r="C45" s="6">
        <v>12</v>
      </c>
      <c r="D45" s="7">
        <v>9.92</v>
      </c>
      <c r="E45" s="4">
        <v>0</v>
      </c>
      <c r="F45" s="7">
        <v>9.92</v>
      </c>
      <c r="G45" s="15">
        <f t="shared" si="4"/>
        <v>857088</v>
      </c>
      <c r="H45" s="21">
        <f t="shared" si="5"/>
        <v>0.85708799999999996</v>
      </c>
      <c r="I45" s="20">
        <f>H45*1000000*0.045</f>
        <v>38568.959999999999</v>
      </c>
      <c r="J45" s="28">
        <v>1.7942594444444401E-2</v>
      </c>
      <c r="K45" s="20">
        <f t="shared" si="7"/>
        <v>4628.2752</v>
      </c>
      <c r="L45" s="17">
        <v>8.2710666666666703E-3</v>
      </c>
      <c r="M45" s="17">
        <f t="shared" si="14"/>
        <v>2.6213661111111071E-2</v>
      </c>
      <c r="N45" s="20">
        <f t="shared" si="8"/>
        <v>8.5708800000000002E-2</v>
      </c>
      <c r="O45" s="7">
        <f t="shared" si="15"/>
        <v>0.74516553888888881</v>
      </c>
    </row>
    <row r="46" spans="1:15" x14ac:dyDescent="0.7">
      <c r="A46" s="6"/>
      <c r="B46" s="6"/>
      <c r="C46" s="6">
        <v>13</v>
      </c>
      <c r="D46" s="7">
        <v>9.6</v>
      </c>
      <c r="E46" s="4">
        <v>0</v>
      </c>
      <c r="F46" s="7">
        <v>9.6</v>
      </c>
      <c r="G46" s="15">
        <f t="shared" si="4"/>
        <v>829440</v>
      </c>
      <c r="H46" s="21">
        <f t="shared" si="5"/>
        <v>0.82943999999999996</v>
      </c>
      <c r="I46" s="20">
        <f t="shared" si="6"/>
        <v>37324.799999999996</v>
      </c>
      <c r="J46" s="28">
        <v>1.8322044444444401E-2</v>
      </c>
      <c r="K46" s="20">
        <f t="shared" si="7"/>
        <v>4478.9759999999997</v>
      </c>
      <c r="L46" s="17">
        <v>8.6415999999999993E-3</v>
      </c>
      <c r="M46" s="17">
        <f t="shared" si="14"/>
        <v>2.69636444444444E-2</v>
      </c>
      <c r="N46" s="20">
        <f t="shared" si="8"/>
        <v>8.2944000000000004E-2</v>
      </c>
      <c r="O46" s="7">
        <f t="shared" si="15"/>
        <v>0.7195323555555555</v>
      </c>
    </row>
    <row r="47" spans="1:15" x14ac:dyDescent="0.7">
      <c r="A47" s="6"/>
      <c r="B47" s="6"/>
      <c r="C47" s="6">
        <v>14</v>
      </c>
      <c r="D47" s="7">
        <v>8.69</v>
      </c>
      <c r="E47" s="4">
        <v>0</v>
      </c>
      <c r="F47" s="7">
        <v>8.69</v>
      </c>
      <c r="G47" s="15">
        <f t="shared" si="4"/>
        <v>750816</v>
      </c>
      <c r="H47" s="21">
        <f t="shared" si="5"/>
        <v>0.75081600000000004</v>
      </c>
      <c r="I47" s="20">
        <f t="shared" si="6"/>
        <v>33786.720000000001</v>
      </c>
      <c r="J47" s="28">
        <v>1.87014944444444E-2</v>
      </c>
      <c r="K47" s="20">
        <f t="shared" si="7"/>
        <v>4054.4063999999998</v>
      </c>
      <c r="L47" s="17">
        <v>9.01213333333333E-3</v>
      </c>
      <c r="M47" s="17">
        <f t="shared" si="14"/>
        <v>2.7713627777777729E-2</v>
      </c>
      <c r="N47" s="20">
        <f t="shared" si="8"/>
        <v>7.5081600000000012E-2</v>
      </c>
      <c r="O47" s="7">
        <f t="shared" si="15"/>
        <v>0.64802077222222232</v>
      </c>
    </row>
    <row r="48" spans="1:15" x14ac:dyDescent="0.7">
      <c r="A48" s="6"/>
      <c r="B48" s="6"/>
      <c r="C48" s="6">
        <v>15</v>
      </c>
      <c r="D48" s="7">
        <v>8.4700000000000006</v>
      </c>
      <c r="E48" s="4">
        <v>0</v>
      </c>
      <c r="F48" s="7">
        <v>8.4700000000000006</v>
      </c>
      <c r="G48" s="15">
        <f t="shared" si="4"/>
        <v>731808</v>
      </c>
      <c r="H48" s="21">
        <f t="shared" si="5"/>
        <v>0.73180800000000001</v>
      </c>
      <c r="I48" s="20">
        <f t="shared" si="6"/>
        <v>32931.360000000001</v>
      </c>
      <c r="J48" s="28">
        <v>1.90809444444444E-2</v>
      </c>
      <c r="K48" s="20">
        <f t="shared" si="7"/>
        <v>3951.7631999999999</v>
      </c>
      <c r="L48" s="17">
        <v>9.3826666666666694E-3</v>
      </c>
      <c r="M48" s="17">
        <f t="shared" si="14"/>
        <v>2.8463611111111072E-2</v>
      </c>
      <c r="N48" s="20">
        <f t="shared" si="8"/>
        <v>7.3180800000000004E-2</v>
      </c>
      <c r="O48" s="7">
        <f t="shared" si="15"/>
        <v>0.6301635888888889</v>
      </c>
    </row>
    <row r="49" spans="1:15" x14ac:dyDescent="0.7">
      <c r="A49" s="6"/>
      <c r="B49" s="6"/>
      <c r="C49" s="6">
        <v>16</v>
      </c>
      <c r="D49" s="7">
        <v>8.4700000000000006</v>
      </c>
      <c r="E49" s="4">
        <v>0</v>
      </c>
      <c r="F49" s="7">
        <v>8.4700000000000006</v>
      </c>
      <c r="G49" s="15">
        <f t="shared" si="4"/>
        <v>731808</v>
      </c>
      <c r="H49" s="21">
        <f t="shared" si="5"/>
        <v>0.73180800000000001</v>
      </c>
      <c r="I49" s="20">
        <f t="shared" si="6"/>
        <v>32931.360000000001</v>
      </c>
      <c r="J49" s="28">
        <v>1.94603944444444E-2</v>
      </c>
      <c r="K49" s="20">
        <f t="shared" si="7"/>
        <v>3951.7631999999999</v>
      </c>
      <c r="L49" s="17">
        <v>9.7532000000000001E-3</v>
      </c>
      <c r="M49" s="17">
        <f t="shared" si="14"/>
        <v>2.92135944444444E-2</v>
      </c>
      <c r="N49" s="20">
        <f t="shared" si="8"/>
        <v>7.3180800000000004E-2</v>
      </c>
      <c r="O49" s="7">
        <f t="shared" si="15"/>
        <v>0.62941360555555559</v>
      </c>
    </row>
    <row r="50" spans="1:15" x14ac:dyDescent="0.7">
      <c r="A50" s="6"/>
      <c r="B50" s="6"/>
      <c r="C50" s="6">
        <v>17</v>
      </c>
      <c r="D50" s="7">
        <v>8.4700000000000006</v>
      </c>
      <c r="E50" s="4">
        <v>0</v>
      </c>
      <c r="F50" s="7">
        <v>8.4700000000000006</v>
      </c>
      <c r="G50" s="15">
        <f t="shared" si="4"/>
        <v>731808</v>
      </c>
      <c r="H50" s="21">
        <f t="shared" si="5"/>
        <v>0.73180800000000001</v>
      </c>
      <c r="I50" s="20">
        <f t="shared" si="6"/>
        <v>32931.360000000001</v>
      </c>
      <c r="J50" s="28">
        <v>1.98398444444444E-2</v>
      </c>
      <c r="K50" s="20">
        <f t="shared" si="7"/>
        <v>3951.7631999999999</v>
      </c>
      <c r="L50" s="17">
        <v>1.01237333333333E-2</v>
      </c>
      <c r="M50" s="17">
        <f t="shared" si="14"/>
        <v>2.9963577777777702E-2</v>
      </c>
      <c r="N50" s="20">
        <f t="shared" si="8"/>
        <v>7.3180800000000004E-2</v>
      </c>
      <c r="O50" s="7">
        <f t="shared" si="15"/>
        <v>0.62866362222222227</v>
      </c>
    </row>
    <row r="51" spans="1:15" x14ac:dyDescent="0.7">
      <c r="A51" s="6"/>
      <c r="B51" s="6"/>
      <c r="C51" s="6">
        <v>18</v>
      </c>
      <c r="D51" s="7">
        <v>8.42</v>
      </c>
      <c r="E51" s="4">
        <v>0</v>
      </c>
      <c r="F51" s="7">
        <v>8.42</v>
      </c>
      <c r="G51" s="15">
        <f t="shared" si="4"/>
        <v>727488</v>
      </c>
      <c r="H51" s="21">
        <f t="shared" si="5"/>
        <v>0.72748800000000002</v>
      </c>
      <c r="I51" s="20">
        <f t="shared" si="6"/>
        <v>32736.959999999999</v>
      </c>
      <c r="J51" s="28">
        <v>2.02192944444444E-2</v>
      </c>
      <c r="K51" s="20">
        <f t="shared" si="7"/>
        <v>3928.4351999999999</v>
      </c>
      <c r="L51" s="17">
        <v>1.04942666666667E-2</v>
      </c>
      <c r="M51" s="17">
        <f t="shared" si="14"/>
        <v>3.07135611111111E-2</v>
      </c>
      <c r="N51" s="20">
        <f t="shared" si="8"/>
        <v>7.2748800000000002E-2</v>
      </c>
      <c r="O51" s="7">
        <f t="shared" si="15"/>
        <v>0.62402563888888896</v>
      </c>
    </row>
    <row r="52" spans="1:15" x14ac:dyDescent="0.7">
      <c r="A52" s="6"/>
      <c r="B52" s="6"/>
      <c r="C52" s="6">
        <v>19</v>
      </c>
      <c r="D52" s="7">
        <v>7.89</v>
      </c>
      <c r="E52" s="4">
        <v>0</v>
      </c>
      <c r="F52" s="7">
        <v>7.89</v>
      </c>
      <c r="G52" s="15">
        <f t="shared" si="4"/>
        <v>681696</v>
      </c>
      <c r="H52" s="21">
        <f t="shared" si="5"/>
        <v>0.68169599999999997</v>
      </c>
      <c r="I52" s="20">
        <f t="shared" si="6"/>
        <v>30676.32</v>
      </c>
      <c r="J52" s="28">
        <v>2.05987444444444E-2</v>
      </c>
      <c r="K52" s="20">
        <f t="shared" si="7"/>
        <v>3681.1583999999998</v>
      </c>
      <c r="L52" s="17">
        <v>1.0864800000000001E-2</v>
      </c>
      <c r="M52" s="17">
        <f t="shared" si="14"/>
        <v>3.1463544444444401E-2</v>
      </c>
      <c r="N52" s="20">
        <f t="shared" si="8"/>
        <v>6.8169599999999997E-2</v>
      </c>
      <c r="O52" s="7">
        <f t="shared" si="15"/>
        <v>0.58206285555555559</v>
      </c>
    </row>
    <row r="53" spans="1:15" x14ac:dyDescent="0.7">
      <c r="A53" s="6"/>
      <c r="B53" s="6"/>
      <c r="C53" s="6">
        <v>20</v>
      </c>
      <c r="D53" s="7">
        <v>7.13</v>
      </c>
      <c r="E53" s="4">
        <v>0</v>
      </c>
      <c r="F53" s="7">
        <v>7.13</v>
      </c>
      <c r="G53" s="15">
        <f t="shared" si="4"/>
        <v>616032</v>
      </c>
      <c r="H53" s="21">
        <f t="shared" si="5"/>
        <v>0.61603200000000002</v>
      </c>
      <c r="I53" s="20">
        <f t="shared" si="6"/>
        <v>27721.439999999999</v>
      </c>
      <c r="J53" s="28">
        <v>2.09781944444444E-2</v>
      </c>
      <c r="K53" s="20">
        <f t="shared" si="7"/>
        <v>3326.5727999999999</v>
      </c>
      <c r="L53" s="17">
        <v>1.12353333333333E-2</v>
      </c>
      <c r="M53" s="17">
        <f t="shared" si="14"/>
        <v>3.2213527777777702E-2</v>
      </c>
      <c r="N53" s="20">
        <f t="shared" si="8"/>
        <v>6.1603200000000004E-2</v>
      </c>
      <c r="O53" s="7">
        <f t="shared" si="15"/>
        <v>0.5222152722222223</v>
      </c>
    </row>
    <row r="54" spans="1:15" x14ac:dyDescent="0.7">
      <c r="A54" s="6"/>
      <c r="B54" s="6"/>
      <c r="C54" s="6">
        <v>21</v>
      </c>
      <c r="D54" s="7">
        <v>7.05</v>
      </c>
      <c r="E54" s="4">
        <v>0</v>
      </c>
      <c r="F54" s="7">
        <v>7.05</v>
      </c>
      <c r="G54" s="15">
        <f t="shared" si="4"/>
        <v>609120</v>
      </c>
      <c r="H54" s="21">
        <f t="shared" si="5"/>
        <v>0.60911999999999999</v>
      </c>
      <c r="I54" s="20">
        <f t="shared" si="6"/>
        <v>27410.399999999998</v>
      </c>
      <c r="J54" s="28">
        <v>2.13576444444444E-2</v>
      </c>
      <c r="K54" s="20">
        <f t="shared" si="7"/>
        <v>3289.2479999999996</v>
      </c>
      <c r="L54" s="17">
        <v>1.16058666666667E-2</v>
      </c>
      <c r="M54" s="17">
        <f t="shared" si="14"/>
        <v>3.29635111111111E-2</v>
      </c>
      <c r="N54" s="20">
        <f t="shared" si="8"/>
        <v>6.0912000000000001E-2</v>
      </c>
      <c r="O54" s="7">
        <f t="shared" si="15"/>
        <v>0.51524448888888896</v>
      </c>
    </row>
    <row r="55" spans="1:15" x14ac:dyDescent="0.7">
      <c r="A55" s="6"/>
      <c r="B55" s="6"/>
      <c r="C55" s="6">
        <v>22</v>
      </c>
      <c r="D55" s="7">
        <v>6.98</v>
      </c>
      <c r="E55" s="4">
        <v>0</v>
      </c>
      <c r="F55" s="7">
        <v>6.98</v>
      </c>
      <c r="G55" s="15">
        <f t="shared" si="4"/>
        <v>603072</v>
      </c>
      <c r="H55" s="21">
        <f t="shared" si="5"/>
        <v>0.60307200000000005</v>
      </c>
      <c r="I55" s="20">
        <f t="shared" si="6"/>
        <v>27138.239999999998</v>
      </c>
      <c r="J55" s="28">
        <v>2.17370944444444E-2</v>
      </c>
      <c r="K55" s="20">
        <f t="shared" si="7"/>
        <v>3256.5887999999995</v>
      </c>
      <c r="L55" s="17">
        <v>1.19764E-2</v>
      </c>
      <c r="M55" s="17">
        <f t="shared" si="14"/>
        <v>3.3713494444444402E-2</v>
      </c>
      <c r="N55" s="20">
        <f t="shared" si="8"/>
        <v>6.0307200000000005E-2</v>
      </c>
      <c r="O55" s="7">
        <f t="shared" si="15"/>
        <v>0.50905130555555567</v>
      </c>
    </row>
    <row r="56" spans="1:15" x14ac:dyDescent="0.7">
      <c r="A56" s="6"/>
      <c r="B56" s="6"/>
      <c r="C56" s="6">
        <v>23</v>
      </c>
      <c r="D56" s="7">
        <v>7.03</v>
      </c>
      <c r="E56" s="4">
        <v>0</v>
      </c>
      <c r="F56" s="7">
        <v>7.03</v>
      </c>
      <c r="G56" s="15">
        <f t="shared" si="4"/>
        <v>607392</v>
      </c>
      <c r="H56" s="21">
        <f t="shared" si="5"/>
        <v>0.60739200000000004</v>
      </c>
      <c r="I56" s="20">
        <f t="shared" si="6"/>
        <v>27332.639999999999</v>
      </c>
      <c r="J56" s="28">
        <v>2.21165444444444E-2</v>
      </c>
      <c r="K56" s="20">
        <f t="shared" si="7"/>
        <v>3279.9168</v>
      </c>
      <c r="L56" s="17">
        <v>1.2346933333333299E-2</v>
      </c>
      <c r="M56" s="17">
        <f t="shared" si="14"/>
        <v>3.4463477777777696E-2</v>
      </c>
      <c r="N56" s="20">
        <f t="shared" si="8"/>
        <v>6.0739200000000007E-2</v>
      </c>
      <c r="O56" s="7">
        <f t="shared" si="15"/>
        <v>0.51218932222222235</v>
      </c>
    </row>
    <row r="57" spans="1:15" x14ac:dyDescent="0.7">
      <c r="A57" s="6"/>
      <c r="B57" s="6"/>
      <c r="C57" s="6">
        <v>24</v>
      </c>
      <c r="D57" s="7">
        <v>6.69</v>
      </c>
      <c r="E57" s="4">
        <v>0</v>
      </c>
      <c r="F57" s="7">
        <v>6.69</v>
      </c>
      <c r="G57" s="15">
        <f t="shared" si="4"/>
        <v>578016</v>
      </c>
      <c r="H57" s="21">
        <f t="shared" si="5"/>
        <v>0.57801599999999997</v>
      </c>
      <c r="I57" s="20">
        <f t="shared" si="6"/>
        <v>26010.719999999998</v>
      </c>
      <c r="J57" s="28">
        <v>2.24959944444444E-2</v>
      </c>
      <c r="K57" s="20">
        <f t="shared" si="7"/>
        <v>3121.2863999999995</v>
      </c>
      <c r="L57" s="17">
        <v>1.2717466666666699E-2</v>
      </c>
      <c r="M57" s="17">
        <f t="shared" si="14"/>
        <v>3.5213461111111101E-2</v>
      </c>
      <c r="N57" s="20">
        <f t="shared" si="8"/>
        <v>5.7801600000000002E-2</v>
      </c>
      <c r="O57" s="7">
        <f t="shared" si="15"/>
        <v>0.48500093888888884</v>
      </c>
    </row>
    <row r="58" spans="1:15" x14ac:dyDescent="0.7">
      <c r="A58" s="6"/>
      <c r="B58" s="6"/>
      <c r="C58" s="6">
        <v>25</v>
      </c>
      <c r="D58" s="7">
        <v>6.57</v>
      </c>
      <c r="E58" s="4">
        <v>0</v>
      </c>
      <c r="F58" s="7">
        <v>6.57</v>
      </c>
      <c r="G58" s="15">
        <f t="shared" si="4"/>
        <v>567648</v>
      </c>
      <c r="H58" s="21">
        <f t="shared" si="5"/>
        <v>0.56764800000000004</v>
      </c>
      <c r="I58" s="20">
        <f t="shared" si="6"/>
        <v>25544.16</v>
      </c>
      <c r="J58" s="28">
        <v>2.28754444444444E-2</v>
      </c>
      <c r="K58" s="20">
        <f t="shared" si="7"/>
        <v>3065.2991999999999</v>
      </c>
      <c r="L58" s="17">
        <v>1.3088000000000001E-2</v>
      </c>
      <c r="M58" s="17">
        <f t="shared" si="14"/>
        <v>3.5963444444444402E-2</v>
      </c>
      <c r="N58" s="20">
        <f t="shared" si="8"/>
        <v>5.6764800000000004E-2</v>
      </c>
      <c r="O58" s="7">
        <f t="shared" si="15"/>
        <v>0.4749197555555556</v>
      </c>
    </row>
    <row r="59" spans="1:15" x14ac:dyDescent="0.7">
      <c r="A59" s="6"/>
      <c r="B59" s="6"/>
      <c r="C59" s="6">
        <v>26</v>
      </c>
      <c r="D59" s="7">
        <v>6.55</v>
      </c>
      <c r="E59" s="4">
        <v>0</v>
      </c>
      <c r="F59" s="7">
        <v>6.55</v>
      </c>
      <c r="G59" s="15">
        <f t="shared" si="4"/>
        <v>565920</v>
      </c>
      <c r="H59" s="21">
        <f t="shared" si="5"/>
        <v>0.56591999999999998</v>
      </c>
      <c r="I59" s="20">
        <f t="shared" si="6"/>
        <v>25466.399999999998</v>
      </c>
      <c r="J59" s="28">
        <v>2.32548944444444E-2</v>
      </c>
      <c r="K59" s="20">
        <f t="shared" si="7"/>
        <v>3055.9679999999998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5.6592000000000003E-2</v>
      </c>
      <c r="O59" s="7">
        <f t="shared" ref="O59:O61" si="17">H59-M59-N59</f>
        <v>0.47261457222222236</v>
      </c>
    </row>
    <row r="60" spans="1:15" x14ac:dyDescent="0.7">
      <c r="A60" s="12"/>
      <c r="B60" s="6"/>
      <c r="C60" s="12">
        <v>27</v>
      </c>
      <c r="D60" s="30">
        <v>6.55</v>
      </c>
      <c r="E60" s="4">
        <v>0</v>
      </c>
      <c r="F60" s="30">
        <v>6.55</v>
      </c>
      <c r="G60" s="31">
        <f t="shared" si="4"/>
        <v>565920</v>
      </c>
      <c r="H60" s="32">
        <f t="shared" si="5"/>
        <v>0.56591999999999998</v>
      </c>
      <c r="I60" s="20">
        <f t="shared" si="6"/>
        <v>25466.399999999998</v>
      </c>
      <c r="J60" s="34">
        <v>2.36343444444444E-2</v>
      </c>
      <c r="K60" s="20">
        <f t="shared" si="7"/>
        <v>3055.9679999999998</v>
      </c>
      <c r="L60" s="33">
        <v>1.38290666666667E-2</v>
      </c>
      <c r="M60" s="33">
        <f t="shared" si="16"/>
        <v>3.7463411111111102E-2</v>
      </c>
      <c r="N60" s="20">
        <f t="shared" si="8"/>
        <v>5.6592000000000003E-2</v>
      </c>
      <c r="O60" s="30">
        <f t="shared" si="17"/>
        <v>0.47186458888888894</v>
      </c>
    </row>
    <row r="61" spans="1:15" s="13" customFormat="1" ht="25.2" thickBot="1" x14ac:dyDescent="0.75">
      <c r="A61" s="9"/>
      <c r="B61" s="11" t="s">
        <v>16</v>
      </c>
      <c r="C61" s="9">
        <v>28</v>
      </c>
      <c r="D61" s="10">
        <v>6.03</v>
      </c>
      <c r="E61" s="19">
        <v>0</v>
      </c>
      <c r="F61" s="10">
        <v>6.03</v>
      </c>
      <c r="G61" s="36">
        <f t="shared" si="4"/>
        <v>520992</v>
      </c>
      <c r="H61" s="22">
        <f t="shared" si="5"/>
        <v>0.52099200000000001</v>
      </c>
      <c r="I61" s="22">
        <f t="shared" si="6"/>
        <v>23444.639999999999</v>
      </c>
      <c r="J61" s="29">
        <v>2.4013794444444399E-2</v>
      </c>
      <c r="K61" s="22">
        <f t="shared" si="7"/>
        <v>2813.3568</v>
      </c>
      <c r="L61" s="18">
        <v>1.41996E-2</v>
      </c>
      <c r="M61" s="18">
        <f t="shared" si="16"/>
        <v>3.8213394444444396E-2</v>
      </c>
      <c r="N61" s="22">
        <f t="shared" si="8"/>
        <v>5.2099200000000005E-2</v>
      </c>
      <c r="O61" s="10">
        <f t="shared" si="17"/>
        <v>0.43067940555555562</v>
      </c>
    </row>
    <row r="62" spans="1:15" x14ac:dyDescent="0.7">
      <c r="A62" s="3"/>
      <c r="B62" s="3" t="s">
        <v>17</v>
      </c>
      <c r="C62" s="3">
        <v>1</v>
      </c>
      <c r="D62" s="4">
        <v>6</v>
      </c>
      <c r="E62" s="4">
        <v>0</v>
      </c>
      <c r="F62" s="4">
        <v>6</v>
      </c>
      <c r="G62" s="15">
        <f t="shared" ref="G62" si="18">F62*86400</f>
        <v>518400</v>
      </c>
      <c r="H62" s="21">
        <f t="shared" ref="H62" si="19">G62/1000000</f>
        <v>0.51839999999999997</v>
      </c>
      <c r="I62" s="21">
        <f t="shared" si="6"/>
        <v>23328</v>
      </c>
      <c r="J62" s="25">
        <v>2.4393244444444399E-2</v>
      </c>
      <c r="K62" s="21">
        <f t="shared" si="7"/>
        <v>2799.3599999999997</v>
      </c>
      <c r="L62" s="16">
        <v>1.45701333333332E-2</v>
      </c>
      <c r="M62" s="16">
        <f t="shared" ref="M62" si="20">J62+L62</f>
        <v>3.89633777777776E-2</v>
      </c>
      <c r="N62" s="21">
        <f t="shared" si="8"/>
        <v>5.1839999999999997E-2</v>
      </c>
      <c r="O62" s="4">
        <f t="shared" ref="O62" si="21">H62-M62-N62</f>
        <v>0.42759662222222239</v>
      </c>
    </row>
    <row r="63" spans="1:15" x14ac:dyDescent="0.7">
      <c r="A63" s="6"/>
      <c r="B63" s="6"/>
      <c r="C63" s="6">
        <v>2</v>
      </c>
      <c r="D63" s="7">
        <v>5.53</v>
      </c>
      <c r="E63" s="4">
        <v>0</v>
      </c>
      <c r="F63" s="7">
        <v>5.53</v>
      </c>
      <c r="G63" s="15">
        <f t="shared" ref="G63" si="22">F63*86400</f>
        <v>477792</v>
      </c>
      <c r="H63" s="21">
        <f t="shared" ref="H63" si="23">G63/1000000</f>
        <v>0.47779199999999999</v>
      </c>
      <c r="I63" s="20">
        <f t="shared" si="6"/>
        <v>21500.639999999999</v>
      </c>
      <c r="J63" s="28">
        <v>2.4772694444444399E-2</v>
      </c>
      <c r="K63" s="20">
        <f t="shared" si="7"/>
        <v>2580.0767999999998</v>
      </c>
      <c r="L63" s="17">
        <v>1.49406666666665E-2</v>
      </c>
      <c r="M63" s="17">
        <f t="shared" ref="M63" si="24">J63+L63</f>
        <v>3.9713361111110901E-2</v>
      </c>
      <c r="N63" s="20">
        <f t="shared" si="8"/>
        <v>4.7779200000000001E-2</v>
      </c>
      <c r="O63" s="7">
        <f t="shared" ref="O63" si="25">H63-M63-N63</f>
        <v>0.39029943888888907</v>
      </c>
    </row>
    <row r="64" spans="1:15" x14ac:dyDescent="0.7">
      <c r="A64" s="6"/>
      <c r="B64" s="6"/>
      <c r="C64" s="6">
        <v>3</v>
      </c>
      <c r="D64" s="7">
        <v>5.45</v>
      </c>
      <c r="E64" s="4">
        <v>0</v>
      </c>
      <c r="F64" s="7">
        <v>5.45</v>
      </c>
      <c r="G64" s="15">
        <f t="shared" ref="G64" si="26">F64*86400</f>
        <v>470880</v>
      </c>
      <c r="H64" s="21">
        <f t="shared" ref="H64" si="27">G64/1000000</f>
        <v>0.47088000000000002</v>
      </c>
      <c r="I64" s="20">
        <f t="shared" si="6"/>
        <v>21189.599999999999</v>
      </c>
      <c r="J64" s="28">
        <v>2.5152144444444399E-2</v>
      </c>
      <c r="K64" s="20">
        <f t="shared" si="7"/>
        <v>2542.752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4.7088000000000005E-2</v>
      </c>
      <c r="O64" s="7">
        <f t="shared" ref="O64" si="29">H64-M64-N64</f>
        <v>0.38332865555555579</v>
      </c>
    </row>
    <row r="65" spans="1:15" x14ac:dyDescent="0.7">
      <c r="A65" s="6"/>
      <c r="B65" s="6"/>
      <c r="C65" s="6">
        <v>4</v>
      </c>
      <c r="D65" s="7">
        <v>5.42</v>
      </c>
      <c r="E65" s="4">
        <v>0</v>
      </c>
      <c r="F65" s="7">
        <v>5.42</v>
      </c>
      <c r="G65" s="15">
        <f t="shared" ref="G65" si="30">F65*86400</f>
        <v>468288</v>
      </c>
      <c r="H65" s="21">
        <f t="shared" ref="H65" si="31">G65/1000000</f>
        <v>0.46828799999999998</v>
      </c>
      <c r="I65" s="20">
        <f t="shared" si="6"/>
        <v>21072.959999999999</v>
      </c>
      <c r="J65" s="28">
        <v>2.5531594444444399E-2</v>
      </c>
      <c r="K65" s="20">
        <f t="shared" si="7"/>
        <v>2528.7551999999996</v>
      </c>
      <c r="L65" s="17">
        <v>1.56817333333331E-2</v>
      </c>
      <c r="M65" s="17">
        <f t="shared" ref="M65" si="32">J65+L65</f>
        <v>4.1213327777777503E-2</v>
      </c>
      <c r="N65" s="20">
        <f t="shared" si="8"/>
        <v>4.6828800000000004E-2</v>
      </c>
      <c r="O65" s="7">
        <f t="shared" ref="O65" si="33">H65-M65-N65</f>
        <v>0.3802458722222225</v>
      </c>
    </row>
    <row r="66" spans="1:15" x14ac:dyDescent="0.7">
      <c r="A66" s="6"/>
      <c r="B66" s="6"/>
      <c r="C66" s="6">
        <v>5</v>
      </c>
      <c r="D66" s="7">
        <v>5.34</v>
      </c>
      <c r="E66" s="4">
        <v>0</v>
      </c>
      <c r="F66" s="7">
        <v>5.34</v>
      </c>
      <c r="G66" s="15">
        <f t="shared" ref="G66" si="34">F66*86400</f>
        <v>461376</v>
      </c>
      <c r="H66" s="21">
        <f t="shared" ref="H66" si="35">G66/1000000</f>
        <v>0.46137600000000001</v>
      </c>
      <c r="I66" s="20">
        <f t="shared" si="6"/>
        <v>20761.919999999998</v>
      </c>
      <c r="J66" s="28">
        <v>2.5911044444444399E-2</v>
      </c>
      <c r="K66" s="20">
        <f t="shared" si="7"/>
        <v>2491.4303999999997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4.6137600000000001E-2</v>
      </c>
      <c r="O66" s="7">
        <f t="shared" ref="O66" si="37">H66-M66-N66</f>
        <v>0.37327508888888922</v>
      </c>
    </row>
    <row r="67" spans="1:15" x14ac:dyDescent="0.7">
      <c r="A67" s="6"/>
      <c r="B67" s="6"/>
      <c r="C67" s="6">
        <v>6</v>
      </c>
      <c r="D67" s="7">
        <v>5.31</v>
      </c>
      <c r="E67" s="4">
        <v>0</v>
      </c>
      <c r="F67" s="7">
        <v>5.31</v>
      </c>
      <c r="G67" s="15">
        <f t="shared" ref="G67" si="38">F67*86400</f>
        <v>458783.99999999994</v>
      </c>
      <c r="H67" s="21">
        <f t="shared" ref="H67" si="39">G67/1000000</f>
        <v>0.45878399999999991</v>
      </c>
      <c r="I67" s="20">
        <f t="shared" ref="I67:I130" si="40">H67*1000000*0.045</f>
        <v>20645.279999999995</v>
      </c>
      <c r="J67" s="28">
        <v>2.6290494444444399E-2</v>
      </c>
      <c r="K67" s="20">
        <f t="shared" ref="K67:K130" si="41">I67*0.12</f>
        <v>2477.4335999999994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4.5878399999999993E-2</v>
      </c>
      <c r="O67" s="7">
        <f t="shared" ref="O67" si="44">H67-M67-N67</f>
        <v>0.37019230555555582</v>
      </c>
    </row>
    <row r="68" spans="1:15" x14ac:dyDescent="0.7">
      <c r="A68" s="6"/>
      <c r="B68" s="6"/>
      <c r="C68" s="6">
        <v>7</v>
      </c>
      <c r="D68" s="7">
        <v>5.31</v>
      </c>
      <c r="E68" s="4">
        <v>0</v>
      </c>
      <c r="F68" s="7">
        <v>5.31</v>
      </c>
      <c r="G68" s="15">
        <f t="shared" ref="G68" si="45">F68*86400</f>
        <v>458783.99999999994</v>
      </c>
      <c r="H68" s="21">
        <f t="shared" ref="H68" si="46">G68/1000000</f>
        <v>0.45878399999999991</v>
      </c>
      <c r="I68" s="20">
        <f t="shared" si="40"/>
        <v>20645.279999999995</v>
      </c>
      <c r="J68" s="28">
        <v>2.6669944444444399E-2</v>
      </c>
      <c r="K68" s="20">
        <f t="shared" si="41"/>
        <v>2477.4335999999994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4.5878399999999993E-2</v>
      </c>
      <c r="O68" s="7">
        <f t="shared" ref="O68" si="48">H68-M68-N68</f>
        <v>0.36944232222222251</v>
      </c>
    </row>
    <row r="69" spans="1:15" x14ac:dyDescent="0.7">
      <c r="A69" s="6"/>
      <c r="B69" s="6"/>
      <c r="C69" s="6">
        <v>8</v>
      </c>
      <c r="D69" s="7">
        <v>5.31</v>
      </c>
      <c r="E69" s="4">
        <v>0</v>
      </c>
      <c r="F69" s="7">
        <v>5.31</v>
      </c>
      <c r="G69" s="15">
        <f t="shared" ref="G69" si="49">F69*86400</f>
        <v>458783.99999999994</v>
      </c>
      <c r="H69" s="21">
        <f t="shared" ref="H69" si="50">G69/1000000</f>
        <v>0.45878399999999991</v>
      </c>
      <c r="I69" s="20">
        <f t="shared" si="40"/>
        <v>20645.279999999995</v>
      </c>
      <c r="J69" s="28">
        <v>2.7049394444444399E-2</v>
      </c>
      <c r="K69" s="20">
        <f t="shared" si="41"/>
        <v>2477.4335999999994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4.5878399999999993E-2</v>
      </c>
      <c r="O69" s="7">
        <f t="shared" ref="O69" si="52">H69-M69-N69</f>
        <v>0.36869233888888925</v>
      </c>
    </row>
    <row r="70" spans="1:15" x14ac:dyDescent="0.7">
      <c r="A70" s="6"/>
      <c r="B70" s="6"/>
      <c r="C70" s="6">
        <v>9</v>
      </c>
      <c r="D70" s="7">
        <v>5.94</v>
      </c>
      <c r="E70" s="4">
        <v>0</v>
      </c>
      <c r="F70" s="7">
        <v>5.94</v>
      </c>
      <c r="G70" s="15">
        <f t="shared" ref="G70" si="53">F70*86400</f>
        <v>513216.00000000006</v>
      </c>
      <c r="H70" s="21">
        <f t="shared" ref="H70" si="54">G70/1000000</f>
        <v>0.51321600000000001</v>
      </c>
      <c r="I70" s="20">
        <f t="shared" si="40"/>
        <v>23094.719999999998</v>
      </c>
      <c r="J70" s="28">
        <v>2.7428844444444399E-2</v>
      </c>
      <c r="K70" s="20">
        <f t="shared" si="41"/>
        <v>2771.3663999999994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5.1321600000000002E-2</v>
      </c>
      <c r="O70" s="7">
        <f t="shared" ref="O70" si="56">H70-M70-N70</f>
        <v>0.41693115555555599</v>
      </c>
    </row>
    <row r="71" spans="1:15" x14ac:dyDescent="0.7">
      <c r="A71" s="6"/>
      <c r="B71" s="6"/>
      <c r="C71" s="6">
        <v>10</v>
      </c>
      <c r="D71" s="7">
        <v>5.2</v>
      </c>
      <c r="E71" s="4">
        <v>0</v>
      </c>
      <c r="F71" s="7">
        <v>5.2</v>
      </c>
      <c r="G71" s="15">
        <f t="shared" ref="G71" si="57">F71*86400</f>
        <v>449280</v>
      </c>
      <c r="H71" s="21">
        <f t="shared" ref="H71" si="58">G71/1000000</f>
        <v>0.44928000000000001</v>
      </c>
      <c r="I71" s="20">
        <f t="shared" si="40"/>
        <v>20217.599999999999</v>
      </c>
      <c r="J71" s="28">
        <v>2.7808294444444399E-2</v>
      </c>
      <c r="K71" s="20">
        <f t="shared" si="41"/>
        <v>2426.1119999999996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4.4928000000000003E-2</v>
      </c>
      <c r="O71" s="7">
        <f t="shared" ref="O71" si="60">H71-M71-N71</f>
        <v>0.35863877222222268</v>
      </c>
    </row>
    <row r="72" spans="1:15" x14ac:dyDescent="0.7">
      <c r="A72" s="6"/>
      <c r="B72" s="6"/>
      <c r="C72" s="6">
        <v>11</v>
      </c>
      <c r="D72" s="7">
        <v>5.2</v>
      </c>
      <c r="E72" s="4">
        <v>0</v>
      </c>
      <c r="F72" s="7">
        <v>5.2</v>
      </c>
      <c r="G72" s="15">
        <f t="shared" ref="G72" si="61">F72*86400</f>
        <v>449280</v>
      </c>
      <c r="H72" s="21">
        <f t="shared" ref="H72" si="62">G72/1000000</f>
        <v>0.44928000000000001</v>
      </c>
      <c r="I72" s="20">
        <f t="shared" si="40"/>
        <v>20217.599999999999</v>
      </c>
      <c r="J72" s="28">
        <v>2.8187744444444399E-2</v>
      </c>
      <c r="K72" s="20">
        <f t="shared" si="41"/>
        <v>2426.1119999999996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4.4928000000000003E-2</v>
      </c>
      <c r="O72" s="7">
        <f t="shared" ref="O72" si="64">H72-M72-N72</f>
        <v>0.35788878888888936</v>
      </c>
    </row>
    <row r="73" spans="1:15" x14ac:dyDescent="0.7">
      <c r="A73" s="6"/>
      <c r="B73" s="6"/>
      <c r="C73" s="6">
        <v>12</v>
      </c>
      <c r="D73" s="7">
        <v>5.31</v>
      </c>
      <c r="E73" s="4">
        <v>0</v>
      </c>
      <c r="F73" s="7">
        <v>5.31</v>
      </c>
      <c r="G73" s="15">
        <f t="shared" ref="G73" si="65">F73*86400</f>
        <v>458783.99999999994</v>
      </c>
      <c r="H73" s="21">
        <f t="shared" ref="H73" si="66">G73/1000000</f>
        <v>0.45878399999999991</v>
      </c>
      <c r="I73" s="20">
        <f t="shared" si="40"/>
        <v>20645.279999999995</v>
      </c>
      <c r="J73" s="28">
        <v>2.8567194444444399E-2</v>
      </c>
      <c r="K73" s="20">
        <f t="shared" si="41"/>
        <v>2477.4335999999994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4.5878399999999993E-2</v>
      </c>
      <c r="O73" s="7">
        <f t="shared" ref="O73" si="68">H73-M73-N73</f>
        <v>0.36569240555555604</v>
      </c>
    </row>
    <row r="74" spans="1:15" x14ac:dyDescent="0.7">
      <c r="A74" s="6"/>
      <c r="B74" s="6"/>
      <c r="C74" s="6">
        <v>13</v>
      </c>
      <c r="D74" s="7">
        <v>5.2</v>
      </c>
      <c r="E74" s="4">
        <v>0</v>
      </c>
      <c r="F74" s="7">
        <v>5.2</v>
      </c>
      <c r="G74" s="15">
        <f t="shared" ref="G74" si="69">F74*86400</f>
        <v>449280</v>
      </c>
      <c r="H74" s="21">
        <f t="shared" ref="H74" si="70">G74/1000000</f>
        <v>0.44928000000000001</v>
      </c>
      <c r="I74" s="20">
        <f t="shared" si="40"/>
        <v>20217.599999999999</v>
      </c>
      <c r="J74" s="28">
        <v>2.8946644444444398E-2</v>
      </c>
      <c r="K74" s="20">
        <f t="shared" si="41"/>
        <v>2426.1119999999996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4.4928000000000003E-2</v>
      </c>
      <c r="O74" s="7">
        <f t="shared" ref="O74" si="72">H74-M74-N74</f>
        <v>0.35638882222222279</v>
      </c>
    </row>
    <row r="75" spans="1:15" x14ac:dyDescent="0.7">
      <c r="A75" s="6"/>
      <c r="B75" s="6"/>
      <c r="C75" s="6">
        <v>14</v>
      </c>
      <c r="D75" s="7">
        <v>5.31</v>
      </c>
      <c r="E75" s="4">
        <v>0</v>
      </c>
      <c r="F75" s="7">
        <v>5.31</v>
      </c>
      <c r="G75" s="15">
        <f t="shared" ref="G75" si="73">F75*86400</f>
        <v>458783.99999999994</v>
      </c>
      <c r="H75" s="21">
        <f t="shared" ref="H75" si="74">G75/1000000</f>
        <v>0.45878399999999991</v>
      </c>
      <c r="I75" s="20">
        <f t="shared" si="40"/>
        <v>20645.279999999995</v>
      </c>
      <c r="J75" s="28">
        <v>2.9326094444444398E-2</v>
      </c>
      <c r="K75" s="20">
        <f t="shared" si="41"/>
        <v>2477.4335999999994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4.5878399999999993E-2</v>
      </c>
      <c r="O75" s="7">
        <f t="shared" ref="O75" si="76">H75-M75-N75</f>
        <v>0.36419243888888941</v>
      </c>
    </row>
    <row r="76" spans="1:15" x14ac:dyDescent="0.7">
      <c r="A76" s="6"/>
      <c r="B76" s="6"/>
      <c r="C76" s="6">
        <v>15</v>
      </c>
      <c r="D76" s="7">
        <v>6.86</v>
      </c>
      <c r="E76" s="4">
        <v>0</v>
      </c>
      <c r="F76" s="7">
        <v>6.86</v>
      </c>
      <c r="G76" s="15">
        <f t="shared" ref="G76" si="77">F76*86400</f>
        <v>592704</v>
      </c>
      <c r="H76" s="21">
        <f t="shared" ref="H76" si="78">G76/1000000</f>
        <v>0.59270400000000001</v>
      </c>
      <c r="I76" s="20">
        <f t="shared" si="40"/>
        <v>26671.68</v>
      </c>
      <c r="J76" s="28">
        <v>2.9705544444444398E-2</v>
      </c>
      <c r="K76" s="20">
        <f t="shared" si="41"/>
        <v>3200.6016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5.9270400000000001E-2</v>
      </c>
      <c r="O76" s="7">
        <f t="shared" ref="O76" si="80">H76-M76-N76</f>
        <v>0.48397045555555623</v>
      </c>
    </row>
    <row r="77" spans="1:15" x14ac:dyDescent="0.7">
      <c r="A77" s="6"/>
      <c r="B77" s="6"/>
      <c r="C77" s="6">
        <v>16</v>
      </c>
      <c r="D77" s="7">
        <v>6.76</v>
      </c>
      <c r="E77" s="4">
        <v>0</v>
      </c>
      <c r="F77" s="7">
        <v>6.76</v>
      </c>
      <c r="G77" s="15">
        <f t="shared" ref="G77" si="81">F77*86400</f>
        <v>584064</v>
      </c>
      <c r="H77" s="21">
        <f t="shared" ref="H77" si="82">G77/1000000</f>
        <v>0.58406400000000003</v>
      </c>
      <c r="I77" s="20">
        <f t="shared" si="40"/>
        <v>26282.879999999997</v>
      </c>
      <c r="J77" s="28">
        <v>3.0084994444444398E-2</v>
      </c>
      <c r="K77" s="20">
        <f t="shared" si="41"/>
        <v>3153.9455999999996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5.8406400000000004E-2</v>
      </c>
      <c r="O77" s="7">
        <f t="shared" ref="O77" si="84">H77-M77-N77</f>
        <v>0.47544447222222291</v>
      </c>
    </row>
    <row r="78" spans="1:15" x14ac:dyDescent="0.7">
      <c r="A78" s="6"/>
      <c r="B78" s="6"/>
      <c r="C78" s="6">
        <v>17</v>
      </c>
      <c r="D78" s="7">
        <v>6.34</v>
      </c>
      <c r="E78" s="4">
        <v>0</v>
      </c>
      <c r="F78" s="7">
        <v>6.34</v>
      </c>
      <c r="G78" s="15">
        <f t="shared" ref="G78" si="85">F78*86400</f>
        <v>547776</v>
      </c>
      <c r="H78" s="21">
        <f t="shared" ref="H78" si="86">G78/1000000</f>
        <v>0.54777600000000004</v>
      </c>
      <c r="I78" s="20">
        <f t="shared" si="40"/>
        <v>24649.919999999998</v>
      </c>
      <c r="J78" s="28">
        <v>3.0464444444444402E-2</v>
      </c>
      <c r="K78" s="20">
        <f t="shared" si="41"/>
        <v>2957.9903999999997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5.477760000000001E-2</v>
      </c>
      <c r="O78" s="7">
        <f t="shared" ref="O78" si="88">H78-M78-N78</f>
        <v>0.44203528888888965</v>
      </c>
    </row>
    <row r="79" spans="1:15" x14ac:dyDescent="0.7">
      <c r="A79" s="6"/>
      <c r="B79" s="6"/>
      <c r="C79" s="6">
        <v>18</v>
      </c>
      <c r="D79" s="7">
        <v>5.9</v>
      </c>
      <c r="E79" s="4">
        <v>0</v>
      </c>
      <c r="F79" s="7">
        <v>5.9</v>
      </c>
      <c r="G79" s="15">
        <f t="shared" ref="G79" si="89">F79*86400</f>
        <v>509760.00000000006</v>
      </c>
      <c r="H79" s="21">
        <f t="shared" ref="H79" si="90">G79/1000000</f>
        <v>0.5097600000000001</v>
      </c>
      <c r="I79" s="20">
        <f t="shared" si="40"/>
        <v>22939.200000000004</v>
      </c>
      <c r="J79" s="28">
        <v>3.0843894444444402E-2</v>
      </c>
      <c r="K79" s="20">
        <f t="shared" si="41"/>
        <v>2752.7040000000006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5.0976000000000014E-2</v>
      </c>
      <c r="O79" s="7">
        <f t="shared" ref="O79" si="92">H79-M79-N79</f>
        <v>0.40707090555555636</v>
      </c>
    </row>
    <row r="80" spans="1:15" x14ac:dyDescent="0.7">
      <c r="A80" s="6"/>
      <c r="B80" s="6"/>
      <c r="C80" s="6">
        <v>19</v>
      </c>
      <c r="D80" s="7">
        <v>5.88</v>
      </c>
      <c r="E80" s="4">
        <v>0</v>
      </c>
      <c r="F80" s="7">
        <v>5.88</v>
      </c>
      <c r="G80" s="15">
        <f t="shared" ref="G80" si="93">F80*86400</f>
        <v>508032</v>
      </c>
      <c r="H80" s="21">
        <f t="shared" ref="H80" si="94">G80/1000000</f>
        <v>0.50803200000000004</v>
      </c>
      <c r="I80" s="20">
        <f t="shared" si="40"/>
        <v>22861.440000000002</v>
      </c>
      <c r="J80" s="28">
        <v>3.1223344444444402E-2</v>
      </c>
      <c r="K80" s="20">
        <f t="shared" si="41"/>
        <v>2743.3728000000001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5.0803200000000007E-2</v>
      </c>
      <c r="O80" s="7">
        <f t="shared" ref="O80" si="96">H80-M80-N80</f>
        <v>0.40476572222222301</v>
      </c>
    </row>
    <row r="81" spans="1:15" x14ac:dyDescent="0.7">
      <c r="A81" s="6"/>
      <c r="B81" s="6"/>
      <c r="C81" s="6">
        <v>20</v>
      </c>
      <c r="D81" s="7">
        <v>5.85</v>
      </c>
      <c r="E81" s="4">
        <v>0</v>
      </c>
      <c r="F81" s="7">
        <v>5.85</v>
      </c>
      <c r="G81" s="15">
        <f t="shared" ref="G81" si="97">F81*86400</f>
        <v>505439.99999999994</v>
      </c>
      <c r="H81" s="21">
        <f t="shared" ref="H81" si="98">G81/1000000</f>
        <v>0.50543999999999989</v>
      </c>
      <c r="I81" s="20">
        <f t="shared" si="40"/>
        <v>22744.799999999996</v>
      </c>
      <c r="J81" s="28">
        <v>3.1602794444444401E-2</v>
      </c>
      <c r="K81" s="20">
        <f t="shared" si="41"/>
        <v>2729.3759999999993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5.0543999999999992E-2</v>
      </c>
      <c r="O81" s="7">
        <f t="shared" ref="O81" si="100">H81-M81-N81</f>
        <v>0.40168293888888962</v>
      </c>
    </row>
    <row r="82" spans="1:15" x14ac:dyDescent="0.7">
      <c r="A82" s="6"/>
      <c r="B82" s="6"/>
      <c r="C82" s="6">
        <v>21</v>
      </c>
      <c r="D82" s="7">
        <v>5.69</v>
      </c>
      <c r="E82" s="4">
        <v>0</v>
      </c>
      <c r="F82" s="7">
        <v>5.69</v>
      </c>
      <c r="G82" s="15">
        <f t="shared" ref="G82" si="101">F82*86400</f>
        <v>491616.00000000006</v>
      </c>
      <c r="H82" s="21">
        <f t="shared" ref="H82" si="102">G82/1000000</f>
        <v>0.49161600000000005</v>
      </c>
      <c r="I82" s="20">
        <f t="shared" si="40"/>
        <v>22122.720000000001</v>
      </c>
      <c r="J82" s="28">
        <v>3.1982244444444398E-2</v>
      </c>
      <c r="K82" s="20">
        <f t="shared" si="41"/>
        <v>2654.7264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4.9161600000000007E-2</v>
      </c>
      <c r="O82" s="7">
        <f t="shared" ref="O82" si="104">H82-M82-N82</f>
        <v>0.38849135555555642</v>
      </c>
    </row>
    <row r="83" spans="1:15" x14ac:dyDescent="0.7">
      <c r="A83" s="6"/>
      <c r="B83" s="6"/>
      <c r="C83" s="6">
        <v>22</v>
      </c>
      <c r="D83" s="7">
        <v>5.56</v>
      </c>
      <c r="E83" s="4">
        <v>0</v>
      </c>
      <c r="F83" s="7">
        <v>5.56</v>
      </c>
      <c r="G83" s="15">
        <f t="shared" ref="G83" si="105">F83*86400</f>
        <v>480383.99999999994</v>
      </c>
      <c r="H83" s="21">
        <f t="shared" ref="H83" si="106">G83/1000000</f>
        <v>0.48038399999999992</v>
      </c>
      <c r="I83" s="20">
        <f t="shared" si="40"/>
        <v>21617.279999999995</v>
      </c>
      <c r="J83" s="28">
        <v>3.2361694444444401E-2</v>
      </c>
      <c r="K83" s="20">
        <f t="shared" si="41"/>
        <v>2594.0735999999993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4.8038399999999995E-2</v>
      </c>
      <c r="O83" s="7">
        <f t="shared" ref="O83" si="108">H83-M83-N83</f>
        <v>0.37763257222222302</v>
      </c>
    </row>
    <row r="84" spans="1:15" x14ac:dyDescent="0.7">
      <c r="A84" s="6"/>
      <c r="B84" s="6"/>
      <c r="C84" s="6">
        <v>23</v>
      </c>
      <c r="D84" s="7">
        <v>5.51</v>
      </c>
      <c r="E84" s="4">
        <v>4.3</v>
      </c>
      <c r="F84" s="7">
        <v>5.51</v>
      </c>
      <c r="G84" s="15">
        <f t="shared" ref="G84" si="109">F84*86400</f>
        <v>476064</v>
      </c>
      <c r="H84" s="21">
        <f t="shared" ref="H84" si="110">G84/1000000</f>
        <v>0.47606399999999999</v>
      </c>
      <c r="I84" s="20">
        <f t="shared" si="40"/>
        <v>21422.880000000001</v>
      </c>
      <c r="J84" s="28">
        <v>3.2741144444444398E-2</v>
      </c>
      <c r="K84" s="20">
        <f t="shared" si="41"/>
        <v>2570.7456000000002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4.76064E-2</v>
      </c>
      <c r="O84" s="7">
        <f t="shared" ref="O84" si="112">H84-M84-N84</f>
        <v>0.37299458888888981</v>
      </c>
    </row>
    <row r="85" spans="1:15" x14ac:dyDescent="0.7">
      <c r="A85" s="6"/>
      <c r="B85" s="6"/>
      <c r="C85" s="6">
        <v>24</v>
      </c>
      <c r="D85" s="7">
        <v>7.91</v>
      </c>
      <c r="E85" s="4">
        <v>0</v>
      </c>
      <c r="F85" s="7">
        <v>7.91</v>
      </c>
      <c r="G85" s="15">
        <f t="shared" ref="G85" si="113">F85*86400</f>
        <v>683424</v>
      </c>
      <c r="H85" s="21">
        <f t="shared" ref="H85" si="114">G85/1000000</f>
        <v>0.68342400000000003</v>
      </c>
      <c r="I85" s="20">
        <f t="shared" si="40"/>
        <v>30754.079999999998</v>
      </c>
      <c r="J85" s="28">
        <v>3.3120594444444401E-2</v>
      </c>
      <c r="K85" s="20">
        <f t="shared" si="41"/>
        <v>3690.4895999999994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6.8342400000000011E-2</v>
      </c>
      <c r="O85" s="7">
        <f t="shared" ref="O85" si="116">H85-M85-N85</f>
        <v>0.55886860555555651</v>
      </c>
    </row>
    <row r="86" spans="1:15" x14ac:dyDescent="0.7">
      <c r="A86" s="6"/>
      <c r="B86" s="6"/>
      <c r="C86" s="6">
        <v>25</v>
      </c>
      <c r="D86" s="7">
        <v>4.8899999999999997</v>
      </c>
      <c r="E86" s="4">
        <v>0</v>
      </c>
      <c r="F86" s="7">
        <v>4.8899999999999997</v>
      </c>
      <c r="G86" s="15">
        <f t="shared" ref="G86" si="117">F86*86400</f>
        <v>422496</v>
      </c>
      <c r="H86" s="21">
        <f t="shared" ref="H86" si="118">G86/1000000</f>
        <v>0.42249599999999998</v>
      </c>
      <c r="I86" s="20">
        <f t="shared" si="40"/>
        <v>19012.32</v>
      </c>
      <c r="J86" s="28">
        <v>3.3500044444444398E-2</v>
      </c>
      <c r="K86" s="20">
        <f t="shared" si="41"/>
        <v>2281.4784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4.2249599999999998E-2</v>
      </c>
      <c r="O86" s="7">
        <f t="shared" ref="O86" si="120">H86-M86-N86</f>
        <v>0.32328342222222317</v>
      </c>
    </row>
    <row r="87" spans="1:15" x14ac:dyDescent="0.7">
      <c r="A87" s="6"/>
      <c r="B87" s="6"/>
      <c r="C87" s="6">
        <v>26</v>
      </c>
      <c r="D87" s="7">
        <v>4.87</v>
      </c>
      <c r="E87" s="4">
        <v>0</v>
      </c>
      <c r="F87" s="7">
        <v>4.87</v>
      </c>
      <c r="G87" s="15">
        <f t="shared" ref="G87" si="121">F87*86400</f>
        <v>420768</v>
      </c>
      <c r="H87" s="21">
        <f t="shared" ref="H87" si="122">G87/1000000</f>
        <v>0.42076799999999998</v>
      </c>
      <c r="I87" s="20">
        <f t="shared" si="40"/>
        <v>18934.559999999998</v>
      </c>
      <c r="J87" s="28">
        <v>3.3879494444444401E-2</v>
      </c>
      <c r="K87" s="20">
        <f t="shared" si="41"/>
        <v>2272.1471999999994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4.2076799999999998E-2</v>
      </c>
      <c r="O87" s="7">
        <f t="shared" ref="O87" si="124">H87-M87-N87</f>
        <v>0.32097823888888988</v>
      </c>
    </row>
    <row r="88" spans="1:15" x14ac:dyDescent="0.7">
      <c r="A88" s="6"/>
      <c r="B88" s="6"/>
      <c r="C88" s="6">
        <v>27</v>
      </c>
      <c r="D88" s="7">
        <v>4.87</v>
      </c>
      <c r="E88" s="4">
        <v>1.7</v>
      </c>
      <c r="F88" s="7">
        <v>4.87</v>
      </c>
      <c r="G88" s="15">
        <f t="shared" ref="G88" si="125">F88*86400</f>
        <v>420768</v>
      </c>
      <c r="H88" s="21">
        <f t="shared" ref="H88" si="126">G88/1000000</f>
        <v>0.42076799999999998</v>
      </c>
      <c r="I88" s="20">
        <f t="shared" si="40"/>
        <v>18934.559999999998</v>
      </c>
      <c r="J88" s="28">
        <v>3.4258944444444397E-2</v>
      </c>
      <c r="K88" s="20">
        <f t="shared" si="41"/>
        <v>2272.1471999999994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4.2076799999999998E-2</v>
      </c>
      <c r="O88" s="7">
        <f t="shared" ref="O88" si="128">H88-M88-N88</f>
        <v>0.32022825555555656</v>
      </c>
    </row>
    <row r="89" spans="1:15" x14ac:dyDescent="0.7">
      <c r="A89" s="6"/>
      <c r="B89" s="6"/>
      <c r="C89" s="6">
        <v>28</v>
      </c>
      <c r="D89" s="7">
        <v>4.74</v>
      </c>
      <c r="E89" s="4">
        <v>0</v>
      </c>
      <c r="F89" s="7">
        <v>4.74</v>
      </c>
      <c r="G89" s="15">
        <f t="shared" ref="G89" si="129">F89*86400</f>
        <v>409536</v>
      </c>
      <c r="H89" s="21">
        <f t="shared" ref="H89" si="130">G89/1000000</f>
        <v>0.40953600000000001</v>
      </c>
      <c r="I89" s="20">
        <f t="shared" si="40"/>
        <v>18429.12</v>
      </c>
      <c r="J89" s="28">
        <v>3.4638394444444401E-2</v>
      </c>
      <c r="K89" s="20">
        <f t="shared" si="41"/>
        <v>2211.4943999999996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4.0953600000000007E-2</v>
      </c>
      <c r="O89" s="7">
        <f t="shared" ref="O89" si="132">H89-M89-N89</f>
        <v>0.30936947222222333</v>
      </c>
    </row>
    <row r="90" spans="1:15" x14ac:dyDescent="0.7">
      <c r="A90" s="12"/>
      <c r="B90" s="12"/>
      <c r="C90" s="12">
        <v>29</v>
      </c>
      <c r="D90" s="30">
        <v>4.8</v>
      </c>
      <c r="E90" s="4">
        <v>1.2</v>
      </c>
      <c r="F90" s="30">
        <v>4.8</v>
      </c>
      <c r="G90" s="31">
        <f t="shared" ref="G90" si="133">F90*86400</f>
        <v>414720</v>
      </c>
      <c r="H90" s="32">
        <f t="shared" ref="H90" si="134">G90/1000000</f>
        <v>0.41471999999999998</v>
      </c>
      <c r="I90" s="20">
        <f t="shared" si="40"/>
        <v>18662.399999999998</v>
      </c>
      <c r="J90" s="34">
        <v>3.5017844444444397E-2</v>
      </c>
      <c r="K90" s="20">
        <f t="shared" si="41"/>
        <v>2239.4879999999998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4.1472000000000002E-2</v>
      </c>
      <c r="O90" s="30">
        <f t="shared" ref="O90" si="136">H90-M90-N90</f>
        <v>0.31328508888888995</v>
      </c>
    </row>
    <row r="91" spans="1:15" s="37" customFormat="1" x14ac:dyDescent="0.7">
      <c r="A91" s="6"/>
      <c r="B91" s="6"/>
      <c r="C91" s="6">
        <v>30</v>
      </c>
      <c r="D91" s="7">
        <v>5.71</v>
      </c>
      <c r="E91" s="4">
        <v>4.2</v>
      </c>
      <c r="F91" s="7">
        <v>5.71</v>
      </c>
      <c r="G91" s="35">
        <f t="shared" ref="G91" si="137">F91*86400</f>
        <v>493344</v>
      </c>
      <c r="H91" s="20">
        <f t="shared" ref="H91" si="138">G91/1000000</f>
        <v>0.493344</v>
      </c>
      <c r="I91" s="20">
        <f t="shared" si="40"/>
        <v>22200.48</v>
      </c>
      <c r="J91" s="28">
        <v>3.5397294444444401E-2</v>
      </c>
      <c r="K91" s="20">
        <f t="shared" si="41"/>
        <v>2664.0575999999996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4.93344E-2</v>
      </c>
      <c r="O91" s="7">
        <f t="shared" ref="O91" si="140">H91-M91-N91</f>
        <v>0.38329670555555673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13</v>
      </c>
      <c r="E92" s="19">
        <v>0</v>
      </c>
      <c r="F92" s="19">
        <v>13</v>
      </c>
      <c r="G92" s="26">
        <f t="shared" ref="G92" si="141">F92*86400</f>
        <v>1123200</v>
      </c>
      <c r="H92" s="27">
        <f t="shared" ref="H92" si="142">G92/1000000</f>
        <v>1.1232</v>
      </c>
      <c r="I92" s="22">
        <f t="shared" si="40"/>
        <v>50544</v>
      </c>
      <c r="J92" s="39">
        <v>3.5776744444444397E-2</v>
      </c>
      <c r="K92" s="22">
        <f t="shared" si="41"/>
        <v>6065.28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0.11232</v>
      </c>
      <c r="O92" s="19">
        <f t="shared" ref="O92" si="144">H92-M92-N92</f>
        <v>0.94941712222222341</v>
      </c>
    </row>
    <row r="93" spans="1:15" x14ac:dyDescent="0.7">
      <c r="A93" s="3"/>
      <c r="B93" s="3" t="s">
        <v>18</v>
      </c>
      <c r="C93" s="3">
        <v>1</v>
      </c>
      <c r="D93" s="4">
        <v>8.3699999999999992</v>
      </c>
      <c r="E93" s="4">
        <v>0</v>
      </c>
      <c r="F93" s="4">
        <v>8.3699999999999992</v>
      </c>
      <c r="G93" s="15">
        <f t="shared" ref="G93" si="145">F93*86400</f>
        <v>723167.99999999988</v>
      </c>
      <c r="H93" s="21">
        <f t="shared" ref="H93" si="146">G93/1000000</f>
        <v>0.72316799999999992</v>
      </c>
      <c r="I93" s="21">
        <f t="shared" si="40"/>
        <v>32542.559999999994</v>
      </c>
      <c r="J93" s="25">
        <v>3.6156194444444401E-2</v>
      </c>
      <c r="K93" s="21">
        <f t="shared" si="41"/>
        <v>3905.107199999999</v>
      </c>
      <c r="L93" s="16">
        <v>2.60566666666655E-2</v>
      </c>
      <c r="M93" s="16">
        <f t="shared" ref="M93" si="147">J93+L93</f>
        <v>6.22128611111099E-2</v>
      </c>
      <c r="N93" s="21">
        <f t="shared" si="43"/>
        <v>7.2316800000000001E-2</v>
      </c>
      <c r="O93" s="4">
        <f t="shared" ref="O93" si="148">H93-M93-N93</f>
        <v>0.58863833888889006</v>
      </c>
    </row>
    <row r="94" spans="1:15" x14ac:dyDescent="0.7">
      <c r="A94" s="6"/>
      <c r="B94" s="6"/>
      <c r="C94" s="6">
        <v>2</v>
      </c>
      <c r="D94" s="7">
        <v>5.83</v>
      </c>
      <c r="E94" s="4">
        <v>0</v>
      </c>
      <c r="F94" s="7">
        <v>5.83</v>
      </c>
      <c r="G94" s="15">
        <f t="shared" ref="G94" si="149">F94*86400</f>
        <v>503712</v>
      </c>
      <c r="H94" s="21">
        <f t="shared" ref="H94" si="150">G94/1000000</f>
        <v>0.50371200000000005</v>
      </c>
      <c r="I94" s="20">
        <f t="shared" si="40"/>
        <v>22667.040000000001</v>
      </c>
      <c r="J94" s="28">
        <v>3.6535644444444397E-2</v>
      </c>
      <c r="K94" s="20">
        <f t="shared" si="41"/>
        <v>2720.0448000000001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5.0371200000000005E-2</v>
      </c>
      <c r="O94" s="7">
        <f t="shared" ref="O94" si="152">H94-M94-N94</f>
        <v>0.39037795555555682</v>
      </c>
    </row>
    <row r="95" spans="1:15" x14ac:dyDescent="0.7">
      <c r="A95" s="6"/>
      <c r="B95" s="6"/>
      <c r="C95" s="6">
        <v>3</v>
      </c>
      <c r="D95" s="7">
        <v>5.69</v>
      </c>
      <c r="E95" s="4">
        <v>0</v>
      </c>
      <c r="F95" s="7">
        <v>5.69</v>
      </c>
      <c r="G95" s="15">
        <f t="shared" ref="G95" si="153">F95*86400</f>
        <v>491616.00000000006</v>
      </c>
      <c r="H95" s="21">
        <f t="shared" ref="H95" si="154">G95/1000000</f>
        <v>0.49161600000000005</v>
      </c>
      <c r="I95" s="20">
        <f t="shared" si="40"/>
        <v>22122.720000000001</v>
      </c>
      <c r="J95" s="28">
        <v>3.69150944444444E-2</v>
      </c>
      <c r="K95" s="20">
        <f t="shared" si="41"/>
        <v>2654.7264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4.9161600000000007E-2</v>
      </c>
      <c r="O95" s="7">
        <f t="shared" ref="O95" si="156">H95-M95-N95</f>
        <v>0.37874157222222354</v>
      </c>
    </row>
    <row r="96" spans="1:15" x14ac:dyDescent="0.7">
      <c r="A96" s="6"/>
      <c r="B96" s="6"/>
      <c r="C96" s="6">
        <v>4</v>
      </c>
      <c r="D96" s="7">
        <v>5.61</v>
      </c>
      <c r="E96" s="4">
        <v>0</v>
      </c>
      <c r="F96" s="7">
        <v>5.61</v>
      </c>
      <c r="G96" s="15">
        <f t="shared" ref="G96" si="157">F96*86400</f>
        <v>484704</v>
      </c>
      <c r="H96" s="21">
        <f t="shared" ref="H96" si="158">G96/1000000</f>
        <v>0.48470400000000002</v>
      </c>
      <c r="I96" s="20">
        <f t="shared" si="40"/>
        <v>21811.68</v>
      </c>
      <c r="J96" s="28">
        <v>3.7294544444444397E-2</v>
      </c>
      <c r="K96" s="20">
        <f t="shared" si="41"/>
        <v>2617.4016000000001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4.8470400000000004E-2</v>
      </c>
      <c r="O96" s="7">
        <f t="shared" ref="O96" si="160">H96-M96-N96</f>
        <v>0.3717707888888902</v>
      </c>
    </row>
    <row r="97" spans="1:15" x14ac:dyDescent="0.7">
      <c r="A97" s="6"/>
      <c r="B97" s="6"/>
      <c r="C97" s="6">
        <v>5</v>
      </c>
      <c r="D97" s="7">
        <v>5.47</v>
      </c>
      <c r="E97" s="4">
        <v>0</v>
      </c>
      <c r="F97" s="7">
        <v>5.47</v>
      </c>
      <c r="G97" s="15">
        <f t="shared" ref="G97" si="161">F97*86400</f>
        <v>472608</v>
      </c>
      <c r="H97" s="21">
        <f t="shared" ref="H97" si="162">G97/1000000</f>
        <v>0.47260799999999997</v>
      </c>
      <c r="I97" s="20">
        <f t="shared" si="40"/>
        <v>21267.360000000001</v>
      </c>
      <c r="J97" s="28">
        <v>3.76739944444444E-2</v>
      </c>
      <c r="K97" s="20">
        <f t="shared" si="41"/>
        <v>2552.0832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4.7260799999999999E-2</v>
      </c>
      <c r="O97" s="7">
        <f t="shared" ref="O97" si="164">H97-M97-N97</f>
        <v>0.36013440555555687</v>
      </c>
    </row>
    <row r="98" spans="1:15" x14ac:dyDescent="0.7">
      <c r="A98" s="6"/>
      <c r="B98" s="6"/>
      <c r="C98" s="6">
        <v>6</v>
      </c>
      <c r="D98" s="7">
        <v>5.47</v>
      </c>
      <c r="E98" s="4">
        <v>0</v>
      </c>
      <c r="F98" s="7">
        <v>5.47</v>
      </c>
      <c r="G98" s="15">
        <f t="shared" ref="G98" si="165">F98*86400</f>
        <v>472608</v>
      </c>
      <c r="H98" s="21">
        <f t="shared" ref="H98" si="166">G98/1000000</f>
        <v>0.47260799999999997</v>
      </c>
      <c r="I98" s="20">
        <f t="shared" si="40"/>
        <v>21267.360000000001</v>
      </c>
      <c r="J98" s="28">
        <v>3.8053444444444397E-2</v>
      </c>
      <c r="K98" s="20">
        <f t="shared" si="41"/>
        <v>2552.0832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4.7260799999999999E-2</v>
      </c>
      <c r="O98" s="7">
        <f t="shared" ref="O98" si="168">H98-M98-N98</f>
        <v>0.35938442222222355</v>
      </c>
    </row>
    <row r="99" spans="1:15" x14ac:dyDescent="0.7">
      <c r="A99" s="6"/>
      <c r="B99" s="6"/>
      <c r="C99" s="6">
        <v>7</v>
      </c>
      <c r="D99" s="7">
        <v>5.47</v>
      </c>
      <c r="E99" s="4">
        <v>0</v>
      </c>
      <c r="F99" s="7">
        <v>5.47</v>
      </c>
      <c r="G99" s="15">
        <f t="shared" ref="G99" si="169">F99*86400</f>
        <v>472608</v>
      </c>
      <c r="H99" s="21">
        <f t="shared" ref="H99" si="170">G99/1000000</f>
        <v>0.47260799999999997</v>
      </c>
      <c r="I99" s="20">
        <f t="shared" si="40"/>
        <v>21267.360000000001</v>
      </c>
      <c r="J99" s="28">
        <v>3.84328944444444E-2</v>
      </c>
      <c r="K99" s="20">
        <f t="shared" si="41"/>
        <v>2552.0832</v>
      </c>
      <c r="L99" s="17">
        <v>2.82798666666653E-2</v>
      </c>
      <c r="M99" s="17">
        <f t="shared" ref="M99" si="171">J99+L99</f>
        <v>6.67127611111097E-2</v>
      </c>
      <c r="N99" s="20">
        <f t="shared" si="43"/>
        <v>4.7260799999999999E-2</v>
      </c>
      <c r="O99" s="7">
        <f t="shared" ref="O99" si="172">H99-M99-N99</f>
        <v>0.35863443888889029</v>
      </c>
    </row>
    <row r="100" spans="1:15" x14ac:dyDescent="0.7">
      <c r="A100" s="6"/>
      <c r="B100" s="6"/>
      <c r="C100" s="6">
        <v>8</v>
      </c>
      <c r="D100" s="7">
        <v>5.34</v>
      </c>
      <c r="E100" s="4">
        <v>0</v>
      </c>
      <c r="F100" s="7">
        <v>5.34</v>
      </c>
      <c r="G100" s="15">
        <f t="shared" ref="G100" si="173">F100*86400</f>
        <v>461376</v>
      </c>
      <c r="H100" s="21">
        <f t="shared" ref="H100" si="174">G100/1000000</f>
        <v>0.46137600000000001</v>
      </c>
      <c r="I100" s="20">
        <f t="shared" si="40"/>
        <v>20761.919999999998</v>
      </c>
      <c r="J100" s="28">
        <v>3.8812344444444397E-2</v>
      </c>
      <c r="K100" s="20">
        <f t="shared" si="41"/>
        <v>2491.4303999999997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4.6137600000000001E-2</v>
      </c>
      <c r="O100" s="7">
        <f t="shared" ref="O100" si="176">H100-M100-N100</f>
        <v>0.34777565555555701</v>
      </c>
    </row>
    <row r="101" spans="1:15" x14ac:dyDescent="0.7">
      <c r="A101" s="6"/>
      <c r="B101" s="6"/>
      <c r="C101" s="6">
        <v>9</v>
      </c>
      <c r="D101" s="7">
        <v>5.15</v>
      </c>
      <c r="E101" s="4">
        <v>0</v>
      </c>
      <c r="F101" s="7">
        <v>5.15</v>
      </c>
      <c r="G101" s="15">
        <f t="shared" ref="G101" si="177">F101*86400</f>
        <v>444960.00000000006</v>
      </c>
      <c r="H101" s="21">
        <f t="shared" ref="H101" si="178">G101/1000000</f>
        <v>0.44496000000000008</v>
      </c>
      <c r="I101" s="20">
        <f t="shared" si="40"/>
        <v>20023.2</v>
      </c>
      <c r="J101" s="28">
        <v>3.91917944444444E-2</v>
      </c>
      <c r="K101" s="20">
        <f t="shared" si="41"/>
        <v>2402.7840000000001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4.4496000000000008E-2</v>
      </c>
      <c r="O101" s="7">
        <f t="shared" ref="O101" si="180">H101-M101-N101</f>
        <v>0.33225127222222373</v>
      </c>
    </row>
    <row r="102" spans="1:15" x14ac:dyDescent="0.7">
      <c r="A102" s="6"/>
      <c r="B102" s="6"/>
      <c r="C102" s="6">
        <v>10</v>
      </c>
      <c r="D102" s="7">
        <v>5.0199999999999996</v>
      </c>
      <c r="E102" s="4">
        <v>0</v>
      </c>
      <c r="F102" s="7">
        <v>5.0199999999999996</v>
      </c>
      <c r="G102" s="15">
        <f t="shared" ref="G102" si="181">F102*86400</f>
        <v>433727.99999999994</v>
      </c>
      <c r="H102" s="21">
        <f t="shared" ref="H102" si="182">G102/1000000</f>
        <v>0.43372799999999995</v>
      </c>
      <c r="I102" s="20">
        <f t="shared" si="40"/>
        <v>19517.759999999998</v>
      </c>
      <c r="J102" s="28">
        <v>3.9571244444444403E-2</v>
      </c>
      <c r="K102" s="20">
        <f t="shared" si="41"/>
        <v>2342.1311999999998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4.3372799999999996E-2</v>
      </c>
      <c r="O102" s="7">
        <f t="shared" ref="O102" si="184">H102-M102-N102</f>
        <v>0.32139248888889038</v>
      </c>
    </row>
    <row r="103" spans="1:15" x14ac:dyDescent="0.7">
      <c r="A103" s="6"/>
      <c r="B103" s="6"/>
      <c r="C103" s="6">
        <v>11</v>
      </c>
      <c r="D103" s="7">
        <v>4.84</v>
      </c>
      <c r="E103" s="4">
        <v>0</v>
      </c>
      <c r="F103" s="7">
        <v>4.84</v>
      </c>
      <c r="G103" s="15">
        <f t="shared" ref="G103" si="185">F103*86400</f>
        <v>418176</v>
      </c>
      <c r="H103" s="21">
        <f t="shared" ref="H103" si="186">G103/1000000</f>
        <v>0.41817599999999999</v>
      </c>
      <c r="I103" s="20">
        <f t="shared" si="40"/>
        <v>18817.919999999998</v>
      </c>
      <c r="J103" s="28">
        <v>3.99506944444444E-2</v>
      </c>
      <c r="K103" s="20">
        <f t="shared" si="41"/>
        <v>2258.1503999999995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4.1817600000000003E-2</v>
      </c>
      <c r="O103" s="7">
        <f t="shared" ref="O103" si="188">H103-M103-N103</f>
        <v>0.30664570555555709</v>
      </c>
    </row>
    <row r="104" spans="1:15" x14ac:dyDescent="0.7">
      <c r="A104" s="6"/>
      <c r="B104" s="6"/>
      <c r="C104" s="6">
        <v>12</v>
      </c>
      <c r="D104" s="7">
        <v>4.83</v>
      </c>
      <c r="E104" s="4">
        <v>0</v>
      </c>
      <c r="F104" s="7">
        <v>4.83</v>
      </c>
      <c r="G104" s="15">
        <f t="shared" ref="G104" si="189">F104*86400</f>
        <v>417312</v>
      </c>
      <c r="H104" s="21">
        <f t="shared" ref="H104" si="190">G104/1000000</f>
        <v>0.41731200000000002</v>
      </c>
      <c r="I104" s="20">
        <f t="shared" si="40"/>
        <v>18779.04</v>
      </c>
      <c r="J104" s="28">
        <v>4.0330144444444403E-2</v>
      </c>
      <c r="K104" s="20">
        <f t="shared" si="41"/>
        <v>2253.4848000000002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4.1731200000000003E-2</v>
      </c>
      <c r="O104" s="7">
        <f t="shared" ref="O104" si="192">H104-M104-N104</f>
        <v>0.30511812222222379</v>
      </c>
    </row>
    <row r="105" spans="1:15" x14ac:dyDescent="0.7">
      <c r="A105" s="6"/>
      <c r="B105" s="6"/>
      <c r="C105" s="6">
        <v>13</v>
      </c>
      <c r="D105" s="7">
        <v>4.83</v>
      </c>
      <c r="E105" s="4">
        <v>0</v>
      </c>
      <c r="F105" s="7">
        <v>4.83</v>
      </c>
      <c r="G105" s="15">
        <f t="shared" ref="G105" si="193">F105*86400</f>
        <v>417312</v>
      </c>
      <c r="H105" s="21">
        <f t="shared" ref="H105" si="194">G105/1000000</f>
        <v>0.41731200000000002</v>
      </c>
      <c r="I105" s="20">
        <f t="shared" si="40"/>
        <v>18779.04</v>
      </c>
      <c r="J105" s="28">
        <v>4.07095944444444E-2</v>
      </c>
      <c r="K105" s="20">
        <f t="shared" si="41"/>
        <v>2253.4848000000002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4.1731200000000003E-2</v>
      </c>
      <c r="O105" s="7">
        <f t="shared" ref="O105" si="196">H105-M105-N105</f>
        <v>0.30436813888889053</v>
      </c>
    </row>
    <row r="106" spans="1:15" x14ac:dyDescent="0.7">
      <c r="A106" s="6"/>
      <c r="B106" s="6"/>
      <c r="C106" s="6">
        <v>14</v>
      </c>
      <c r="D106" s="7">
        <v>5.59</v>
      </c>
      <c r="E106" s="4">
        <v>0</v>
      </c>
      <c r="F106" s="7">
        <v>5.59</v>
      </c>
      <c r="G106" s="15">
        <f t="shared" ref="G106" si="197">F106*86400</f>
        <v>482976</v>
      </c>
      <c r="H106" s="21">
        <f t="shared" ref="H106" si="198">G106/1000000</f>
        <v>0.48297600000000002</v>
      </c>
      <c r="I106" s="20">
        <f t="shared" si="40"/>
        <v>21733.919999999998</v>
      </c>
      <c r="J106" s="28">
        <v>4.1089044444444403E-2</v>
      </c>
      <c r="K106" s="20">
        <f t="shared" si="41"/>
        <v>2608.0703999999996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4.8297600000000003E-2</v>
      </c>
      <c r="O106" s="7">
        <f t="shared" ref="O106" si="200">H106-M106-N106</f>
        <v>0.36271575555555718</v>
      </c>
    </row>
    <row r="107" spans="1:15" x14ac:dyDescent="0.7">
      <c r="A107" s="6"/>
      <c r="B107" s="6"/>
      <c r="C107" s="6">
        <v>15</v>
      </c>
      <c r="D107" s="7">
        <v>5.15</v>
      </c>
      <c r="E107" s="4">
        <v>0.1</v>
      </c>
      <c r="F107" s="7">
        <v>5.15</v>
      </c>
      <c r="G107" s="15">
        <f t="shared" ref="G107" si="201">F107*86400</f>
        <v>444960.00000000006</v>
      </c>
      <c r="H107" s="21">
        <f t="shared" ref="H107" si="202">G107/1000000</f>
        <v>0.44496000000000008</v>
      </c>
      <c r="I107" s="20">
        <f t="shared" si="40"/>
        <v>20023.2</v>
      </c>
      <c r="J107" s="28">
        <v>4.14684944444444E-2</v>
      </c>
      <c r="K107" s="20">
        <f t="shared" si="41"/>
        <v>2402.7840000000001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4.4496000000000008E-2</v>
      </c>
      <c r="O107" s="7">
        <f t="shared" ref="O107" si="204">H107-M107-N107</f>
        <v>0.32775137222222395</v>
      </c>
    </row>
    <row r="108" spans="1:15" x14ac:dyDescent="0.7">
      <c r="A108" s="6"/>
      <c r="B108" s="6"/>
      <c r="C108" s="6">
        <v>16</v>
      </c>
      <c r="D108" s="7">
        <v>5.01</v>
      </c>
      <c r="E108" s="4">
        <v>0</v>
      </c>
      <c r="F108" s="7">
        <v>5.01</v>
      </c>
      <c r="G108" s="15">
        <f t="shared" ref="G108" si="205">F108*86400</f>
        <v>432864</v>
      </c>
      <c r="H108" s="21">
        <f t="shared" ref="H108" si="206">G108/1000000</f>
        <v>0.43286400000000003</v>
      </c>
      <c r="I108" s="20">
        <f t="shared" si="40"/>
        <v>19478.88</v>
      </c>
      <c r="J108" s="28">
        <v>4.1847944444444403E-2</v>
      </c>
      <c r="K108" s="20">
        <f t="shared" si="41"/>
        <v>2337.4656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4.3286400000000003E-2</v>
      </c>
      <c r="O108" s="7">
        <f t="shared" ref="O108" si="208">H108-M108-N108</f>
        <v>0.31611498888889061</v>
      </c>
    </row>
    <row r="109" spans="1:15" x14ac:dyDescent="0.7">
      <c r="A109" s="6"/>
      <c r="B109" s="6"/>
      <c r="C109" s="6">
        <v>17</v>
      </c>
      <c r="D109" s="7">
        <v>4.6399999999999997</v>
      </c>
      <c r="E109" s="4">
        <v>0</v>
      </c>
      <c r="F109" s="7">
        <v>4.6399999999999997</v>
      </c>
      <c r="G109" s="15">
        <f t="shared" ref="G109" si="209">F109*86400</f>
        <v>400896</v>
      </c>
      <c r="H109" s="21">
        <f t="shared" ref="H109" si="210">G109/1000000</f>
        <v>0.40089599999999997</v>
      </c>
      <c r="I109" s="20">
        <f t="shared" si="40"/>
        <v>18040.32</v>
      </c>
      <c r="J109" s="28">
        <v>4.2227394444444399E-2</v>
      </c>
      <c r="K109" s="20">
        <f t="shared" si="41"/>
        <v>2164.8384000000001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4.0089600000000003E-2</v>
      </c>
      <c r="O109" s="7">
        <f t="shared" ref="O109" si="212">H109-M109-N109</f>
        <v>0.2865938055555573</v>
      </c>
    </row>
    <row r="110" spans="1:15" x14ac:dyDescent="0.7">
      <c r="A110" s="6"/>
      <c r="B110" s="6"/>
      <c r="C110" s="6">
        <v>18</v>
      </c>
      <c r="D110" s="7">
        <v>4.6399999999999997</v>
      </c>
      <c r="E110" s="4">
        <v>0</v>
      </c>
      <c r="F110" s="7">
        <v>4.6399999999999997</v>
      </c>
      <c r="G110" s="15">
        <f t="shared" ref="G110" si="213">F110*86400</f>
        <v>400896</v>
      </c>
      <c r="H110" s="21">
        <f t="shared" ref="H110" si="214">G110/1000000</f>
        <v>0.40089599999999997</v>
      </c>
      <c r="I110" s="20">
        <f t="shared" si="40"/>
        <v>18040.32</v>
      </c>
      <c r="J110" s="28">
        <v>4.2606844444444403E-2</v>
      </c>
      <c r="K110" s="20">
        <f t="shared" si="41"/>
        <v>2164.8384000000001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4.0089600000000003E-2</v>
      </c>
      <c r="O110" s="7">
        <f t="shared" ref="O110" si="216">H110-M110-N110</f>
        <v>0.28584382222222399</v>
      </c>
    </row>
    <row r="111" spans="1:15" x14ac:dyDescent="0.7">
      <c r="A111" s="6"/>
      <c r="B111" s="6"/>
      <c r="C111" s="6">
        <v>19</v>
      </c>
      <c r="D111" s="7">
        <v>4.5999999999999996</v>
      </c>
      <c r="E111" s="4">
        <v>0</v>
      </c>
      <c r="F111" s="7">
        <v>4.5999999999999996</v>
      </c>
      <c r="G111" s="15">
        <f t="shared" ref="G111" si="217">F111*86400</f>
        <v>397439.99999999994</v>
      </c>
      <c r="H111" s="21">
        <f t="shared" ref="H111" si="218">G111/1000000</f>
        <v>0.39743999999999996</v>
      </c>
      <c r="I111" s="20">
        <f t="shared" si="40"/>
        <v>17884.799999999996</v>
      </c>
      <c r="J111" s="28">
        <v>4.2986294444444399E-2</v>
      </c>
      <c r="K111" s="20">
        <f t="shared" si="41"/>
        <v>2146.1759999999995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3.9744000000000002E-2</v>
      </c>
      <c r="O111" s="7">
        <f t="shared" ref="O111" si="220">H111-M111-N111</f>
        <v>0.28198343888889066</v>
      </c>
    </row>
    <row r="112" spans="1:15" x14ac:dyDescent="0.7">
      <c r="A112" s="6"/>
      <c r="B112" s="6"/>
      <c r="C112" s="6">
        <v>20</v>
      </c>
      <c r="D112" s="7">
        <v>4.32</v>
      </c>
      <c r="E112" s="4">
        <v>0</v>
      </c>
      <c r="F112" s="7">
        <v>4.32</v>
      </c>
      <c r="G112" s="15">
        <f t="shared" ref="G112" si="221">F112*86400</f>
        <v>373248</v>
      </c>
      <c r="H112" s="21">
        <f t="shared" ref="H112" si="222">G112/1000000</f>
        <v>0.37324800000000002</v>
      </c>
      <c r="I112" s="20">
        <f t="shared" si="40"/>
        <v>16796.16</v>
      </c>
      <c r="J112" s="28">
        <v>4.3365744444444403E-2</v>
      </c>
      <c r="K112" s="20">
        <f t="shared" si="41"/>
        <v>2015.5391999999999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3.7324800000000005E-2</v>
      </c>
      <c r="O112" s="7">
        <f t="shared" ref="O112" si="224">H112-M112-N112</f>
        <v>0.25946065555555742</v>
      </c>
    </row>
    <row r="113" spans="1:15" x14ac:dyDescent="0.7">
      <c r="A113" s="6"/>
      <c r="B113" s="6"/>
      <c r="C113" s="6">
        <v>21</v>
      </c>
      <c r="D113" s="7">
        <v>3.2</v>
      </c>
      <c r="E113" s="4">
        <v>31.8</v>
      </c>
      <c r="F113" s="7">
        <v>3.2</v>
      </c>
      <c r="G113" s="15">
        <f t="shared" ref="G113" si="225">F113*86400</f>
        <v>276480</v>
      </c>
      <c r="H113" s="21">
        <f t="shared" ref="H113" si="226">G113/1000000</f>
        <v>0.27648</v>
      </c>
      <c r="I113" s="20">
        <f t="shared" si="40"/>
        <v>12441.6</v>
      </c>
      <c r="J113" s="28">
        <v>4.3745194444444399E-2</v>
      </c>
      <c r="K113" s="20">
        <f t="shared" si="41"/>
        <v>1492.992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2.7648000000000002E-2</v>
      </c>
      <c r="O113" s="7">
        <f t="shared" ref="O113" si="228">H113-M113-N113</f>
        <v>0.1716194722222241</v>
      </c>
    </row>
    <row r="114" spans="1:15" x14ac:dyDescent="0.7">
      <c r="A114" s="6"/>
      <c r="B114" s="6"/>
      <c r="C114" s="6">
        <v>22</v>
      </c>
      <c r="D114" s="7">
        <v>8.64</v>
      </c>
      <c r="E114" s="4">
        <v>0.3</v>
      </c>
      <c r="F114" s="7">
        <v>8.64</v>
      </c>
      <c r="G114" s="15">
        <f t="shared" ref="G114" si="229">F114*86400</f>
        <v>746496</v>
      </c>
      <c r="H114" s="21">
        <f t="shared" ref="H114" si="230">G114/1000000</f>
        <v>0.74649600000000005</v>
      </c>
      <c r="I114" s="20">
        <f t="shared" si="40"/>
        <v>33592.32</v>
      </c>
      <c r="J114" s="28">
        <v>4.4124644444444402E-2</v>
      </c>
      <c r="K114" s="20">
        <f t="shared" si="41"/>
        <v>4031.0783999999999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7.464960000000001E-2</v>
      </c>
      <c r="O114" s="7">
        <f t="shared" ref="O114" si="232">H114-M114-N114</f>
        <v>0.59388388888889088</v>
      </c>
    </row>
    <row r="115" spans="1:15" x14ac:dyDescent="0.7">
      <c r="A115" s="6"/>
      <c r="B115" s="6"/>
      <c r="C115" s="6">
        <v>23</v>
      </c>
      <c r="D115" s="7">
        <v>12.35</v>
      </c>
      <c r="E115" s="4">
        <v>0</v>
      </c>
      <c r="F115" s="7">
        <v>12.35</v>
      </c>
      <c r="G115" s="15">
        <f t="shared" ref="G115" si="233">F115*86400</f>
        <v>1067040</v>
      </c>
      <c r="H115" s="21">
        <f t="shared" ref="H115" si="234">G115/1000000</f>
        <v>1.06704</v>
      </c>
      <c r="I115" s="20">
        <f t="shared" si="40"/>
        <v>48016.799999999996</v>
      </c>
      <c r="J115" s="28">
        <v>4.4504094444444399E-2</v>
      </c>
      <c r="K115" s="20">
        <f t="shared" si="41"/>
        <v>5762.0159999999996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0.10670400000000001</v>
      </c>
      <c r="O115" s="7">
        <f t="shared" ref="O115" si="236">H115-M115-N115</f>
        <v>0.88162350555555746</v>
      </c>
    </row>
    <row r="116" spans="1:15" x14ac:dyDescent="0.7">
      <c r="A116" s="6"/>
      <c r="B116" s="6"/>
      <c r="C116" s="6">
        <v>24</v>
      </c>
      <c r="D116" s="7">
        <v>5.97</v>
      </c>
      <c r="E116" s="4">
        <v>0</v>
      </c>
      <c r="F116" s="7">
        <v>5.97</v>
      </c>
      <c r="G116" s="15">
        <f t="shared" ref="G116" si="237">F116*86400</f>
        <v>515808</v>
      </c>
      <c r="H116" s="21">
        <f t="shared" ref="H116" si="238">G116/1000000</f>
        <v>0.51580800000000004</v>
      </c>
      <c r="I116" s="20">
        <f t="shared" si="40"/>
        <v>23211.360000000001</v>
      </c>
      <c r="J116" s="28">
        <v>4.4883544444444402E-2</v>
      </c>
      <c r="K116" s="20">
        <f t="shared" si="41"/>
        <v>2785.3631999999998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5.158080000000001E-2</v>
      </c>
      <c r="O116" s="7">
        <f t="shared" ref="O116" si="240">H116-M116-N116</f>
        <v>0.38476472222222424</v>
      </c>
    </row>
    <row r="117" spans="1:15" x14ac:dyDescent="0.7">
      <c r="A117" s="6"/>
      <c r="B117" s="6"/>
      <c r="C117" s="6">
        <v>25</v>
      </c>
      <c r="D117" s="7">
        <v>4.6399999999999997</v>
      </c>
      <c r="E117" s="4">
        <v>0</v>
      </c>
      <c r="F117" s="7">
        <v>4.6399999999999997</v>
      </c>
      <c r="G117" s="15">
        <f t="shared" ref="G117" si="241">F117*86400</f>
        <v>400896</v>
      </c>
      <c r="H117" s="21">
        <f t="shared" ref="H117" si="242">G117/1000000</f>
        <v>0.40089599999999997</v>
      </c>
      <c r="I117" s="20">
        <f t="shared" si="40"/>
        <v>18040.32</v>
      </c>
      <c r="J117" s="28">
        <v>4.5262994444444399E-2</v>
      </c>
      <c r="K117" s="20">
        <f t="shared" si="41"/>
        <v>2164.8384000000001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4.0089600000000003E-2</v>
      </c>
      <c r="O117" s="7">
        <f t="shared" ref="O117" si="244">H117-M117-N117</f>
        <v>0.28059393888889089</v>
      </c>
    </row>
    <row r="118" spans="1:15" x14ac:dyDescent="0.7">
      <c r="A118" s="6"/>
      <c r="B118" s="6"/>
      <c r="C118" s="6">
        <v>26</v>
      </c>
      <c r="D118" s="7">
        <v>4.57</v>
      </c>
      <c r="E118" s="4">
        <v>0</v>
      </c>
      <c r="F118" s="7">
        <v>4.57</v>
      </c>
      <c r="G118" s="15">
        <f t="shared" ref="G118" si="245">F118*86400</f>
        <v>394848</v>
      </c>
      <c r="H118" s="21">
        <f t="shared" ref="H118" si="246">G118/1000000</f>
        <v>0.39484799999999998</v>
      </c>
      <c r="I118" s="20">
        <f t="shared" si="40"/>
        <v>17768.16</v>
      </c>
      <c r="J118" s="28">
        <v>4.5642444444444402E-2</v>
      </c>
      <c r="K118" s="20">
        <f t="shared" si="41"/>
        <v>2132.1792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3.94848E-2</v>
      </c>
      <c r="O118" s="7">
        <f t="shared" ref="O118" si="248">H118-M118-N118</f>
        <v>0.2744007555555576</v>
      </c>
    </row>
    <row r="119" spans="1:15" x14ac:dyDescent="0.7">
      <c r="A119" s="6"/>
      <c r="B119" s="6"/>
      <c r="C119" s="6">
        <v>27</v>
      </c>
      <c r="D119" s="7">
        <v>4.46</v>
      </c>
      <c r="E119" s="4">
        <v>0</v>
      </c>
      <c r="F119" s="7">
        <v>4.46</v>
      </c>
      <c r="G119" s="15">
        <f t="shared" ref="G119" si="249">F119*86400</f>
        <v>385344</v>
      </c>
      <c r="H119" s="21">
        <f t="shared" ref="H119" si="250">G119/1000000</f>
        <v>0.38534400000000002</v>
      </c>
      <c r="I119" s="20">
        <f t="shared" si="40"/>
        <v>17340.48</v>
      </c>
      <c r="J119" s="28">
        <v>4.6021894444444399E-2</v>
      </c>
      <c r="K119" s="20">
        <f t="shared" si="41"/>
        <v>2080.8575999999998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3.8534400000000003E-2</v>
      </c>
      <c r="O119" s="7">
        <f t="shared" ref="O119" si="252">H119-M119-N119</f>
        <v>0.26509717222222429</v>
      </c>
    </row>
    <row r="120" spans="1:15" x14ac:dyDescent="0.7">
      <c r="A120" s="12"/>
      <c r="B120" s="12"/>
      <c r="C120" s="12">
        <v>28</v>
      </c>
      <c r="D120" s="30">
        <v>4.3099999999999996</v>
      </c>
      <c r="E120" s="4">
        <v>0</v>
      </c>
      <c r="F120" s="30">
        <v>4.3099999999999996</v>
      </c>
      <c r="G120" s="31">
        <f t="shared" ref="G120" si="253">F120*86400</f>
        <v>372383.99999999994</v>
      </c>
      <c r="H120" s="32">
        <f t="shared" ref="H120" si="254">G120/1000000</f>
        <v>0.37238399999999994</v>
      </c>
      <c r="I120" s="20">
        <f t="shared" si="40"/>
        <v>16757.279999999995</v>
      </c>
      <c r="J120" s="34">
        <v>4.6401344444444402E-2</v>
      </c>
      <c r="K120" s="20">
        <f t="shared" si="41"/>
        <v>2010.8735999999994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3.7238399999999998E-2</v>
      </c>
      <c r="O120" s="30">
        <f t="shared" ref="O120" si="256">H120-M120-N120</f>
        <v>0.25268318888889096</v>
      </c>
    </row>
    <row r="121" spans="1:15" s="37" customFormat="1" x14ac:dyDescent="0.7">
      <c r="A121" s="6"/>
      <c r="B121" s="6"/>
      <c r="C121" s="6">
        <v>29</v>
      </c>
      <c r="D121" s="7">
        <v>4.28</v>
      </c>
      <c r="E121" s="4">
        <v>13.5</v>
      </c>
      <c r="F121" s="7">
        <v>4.28</v>
      </c>
      <c r="G121" s="35">
        <f t="shared" ref="G121" si="257">F121*86400</f>
        <v>369792</v>
      </c>
      <c r="H121" s="20">
        <f t="shared" ref="H121" si="258">G121/1000000</f>
        <v>0.36979200000000001</v>
      </c>
      <c r="I121" s="20">
        <f t="shared" si="40"/>
        <v>16640.64</v>
      </c>
      <c r="J121" s="28">
        <v>4.6780794444444398E-2</v>
      </c>
      <c r="K121" s="20">
        <f t="shared" si="41"/>
        <v>1996.8767999999998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3.6979200000000004E-2</v>
      </c>
      <c r="O121" s="7">
        <f t="shared" ref="O121" si="260">H121-M121-N121</f>
        <v>0.24960040555555774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5.61</v>
      </c>
      <c r="E122" s="19">
        <v>12.2</v>
      </c>
      <c r="F122" s="19">
        <v>5.61</v>
      </c>
      <c r="G122" s="26">
        <f t="shared" ref="G122" si="261">F122*86400</f>
        <v>484704</v>
      </c>
      <c r="H122" s="27">
        <f t="shared" ref="H122" si="262">G122/1000000</f>
        <v>0.48470400000000002</v>
      </c>
      <c r="I122" s="22">
        <f t="shared" si="40"/>
        <v>21811.68</v>
      </c>
      <c r="J122" s="39">
        <v>4.7160244444444402E-2</v>
      </c>
      <c r="K122" s="22">
        <f t="shared" si="41"/>
        <v>2617.4016000000001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4.8470400000000004E-2</v>
      </c>
      <c r="O122" s="19">
        <f t="shared" ref="O122" si="264">H122-M122-N122</f>
        <v>0.3522712222222244</v>
      </c>
    </row>
    <row r="123" spans="1:15" x14ac:dyDescent="0.7">
      <c r="A123" s="3"/>
      <c r="B123" s="3" t="s">
        <v>19</v>
      </c>
      <c r="C123" s="3">
        <v>1</v>
      </c>
      <c r="D123" s="4">
        <v>6.11</v>
      </c>
      <c r="E123" s="4">
        <v>5.3</v>
      </c>
      <c r="F123" s="4">
        <v>6.11</v>
      </c>
      <c r="G123" s="15">
        <f t="shared" ref="G123" si="265">F123*86400</f>
        <v>527904</v>
      </c>
      <c r="H123" s="21">
        <f t="shared" ref="H123" si="266">G123/1000000</f>
        <v>0.52790400000000004</v>
      </c>
      <c r="I123" s="21">
        <f t="shared" si="40"/>
        <v>23755.68</v>
      </c>
      <c r="J123" s="25">
        <v>4.7539694444444398E-2</v>
      </c>
      <c r="K123" s="21">
        <f t="shared" si="41"/>
        <v>2850.6815999999999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5.2790400000000008E-2</v>
      </c>
      <c r="O123" s="4">
        <f t="shared" ref="O123" si="268">H123-M123-N123</f>
        <v>0.39040123888889111</v>
      </c>
    </row>
    <row r="124" spans="1:15" x14ac:dyDescent="0.7">
      <c r="A124" s="6"/>
      <c r="B124" s="3"/>
      <c r="C124" s="6">
        <v>2</v>
      </c>
      <c r="D124" s="7">
        <v>11.24</v>
      </c>
      <c r="E124" s="4">
        <v>5.5</v>
      </c>
      <c r="F124" s="7">
        <v>11.24</v>
      </c>
      <c r="G124" s="15">
        <f t="shared" ref="G124" si="269">F124*86400</f>
        <v>971136</v>
      </c>
      <c r="H124" s="21">
        <f t="shared" ref="H124" si="270">G124/1000000</f>
        <v>0.971136</v>
      </c>
      <c r="I124" s="20">
        <f t="shared" si="40"/>
        <v>43701.119999999995</v>
      </c>
      <c r="J124" s="28">
        <v>4.7919144444444402E-2</v>
      </c>
      <c r="K124" s="20">
        <f t="shared" si="41"/>
        <v>5244.134399999999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9.7113600000000008E-2</v>
      </c>
      <c r="O124" s="7">
        <f t="shared" ref="O124" si="272">H124-M124-N124</f>
        <v>0.78856005555555775</v>
      </c>
    </row>
    <row r="125" spans="1:15" x14ac:dyDescent="0.7">
      <c r="A125" s="6"/>
      <c r="B125" s="6"/>
      <c r="C125" s="6">
        <v>3</v>
      </c>
      <c r="D125" s="7">
        <v>8.5500000000000007</v>
      </c>
      <c r="E125" s="4">
        <v>0</v>
      </c>
      <c r="F125" s="7">
        <v>8.5500000000000007</v>
      </c>
      <c r="G125" s="15">
        <f t="shared" ref="G125" si="273">F125*86400</f>
        <v>738720.00000000012</v>
      </c>
      <c r="H125" s="21">
        <f t="shared" ref="H125" si="274">G125/1000000</f>
        <v>0.73872000000000015</v>
      </c>
      <c r="I125" s="20">
        <f t="shared" si="40"/>
        <v>33242.400000000001</v>
      </c>
      <c r="J125" s="28">
        <v>4.8298594444444398E-2</v>
      </c>
      <c r="K125" s="20">
        <f t="shared" si="41"/>
        <v>3989.0880000000002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7.3872000000000021E-2</v>
      </c>
      <c r="O125" s="7">
        <f t="shared" ref="O125" si="276">H125-M125-N125</f>
        <v>0.57863567222222467</v>
      </c>
    </row>
    <row r="126" spans="1:15" x14ac:dyDescent="0.7">
      <c r="A126" s="6"/>
      <c r="B126" s="6"/>
      <c r="C126" s="6">
        <v>4</v>
      </c>
      <c r="D126" s="7">
        <v>7.71</v>
      </c>
      <c r="E126" s="4">
        <v>0</v>
      </c>
      <c r="F126" s="7">
        <v>7.71</v>
      </c>
      <c r="G126" s="15">
        <f t="shared" ref="G126" si="277">F126*86400</f>
        <v>666144</v>
      </c>
      <c r="H126" s="21">
        <f t="shared" ref="H126" si="278">G126/1000000</f>
        <v>0.66614399999999996</v>
      </c>
      <c r="I126" s="20">
        <f t="shared" si="40"/>
        <v>29976.48</v>
      </c>
      <c r="J126" s="28">
        <v>4.8678044444444402E-2</v>
      </c>
      <c r="K126" s="20">
        <f t="shared" si="41"/>
        <v>3597.1776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6.6614400000000004E-2</v>
      </c>
      <c r="O126" s="7">
        <f t="shared" ref="O126" si="280">H126-M126-N126</f>
        <v>0.51256728888889125</v>
      </c>
    </row>
    <row r="127" spans="1:15" x14ac:dyDescent="0.7">
      <c r="A127" s="6"/>
      <c r="B127" s="6"/>
      <c r="C127" s="6">
        <v>5</v>
      </c>
      <c r="D127" s="7">
        <v>6.9</v>
      </c>
      <c r="E127" s="4">
        <v>0</v>
      </c>
      <c r="F127" s="7">
        <v>6.9</v>
      </c>
      <c r="G127" s="15">
        <f t="shared" ref="G127" si="281">F127*86400</f>
        <v>596160</v>
      </c>
      <c r="H127" s="21">
        <f t="shared" ref="H127" si="282">G127/1000000</f>
        <v>0.59616000000000002</v>
      </c>
      <c r="I127" s="20">
        <f t="shared" si="40"/>
        <v>26827.200000000001</v>
      </c>
      <c r="J127" s="28">
        <v>4.9057494444444398E-2</v>
      </c>
      <c r="K127" s="20">
        <f t="shared" si="41"/>
        <v>3219.2640000000001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5.9616000000000002E-2</v>
      </c>
      <c r="O127" s="7">
        <f t="shared" ref="O127" si="284">H127-M127-N127</f>
        <v>0.44883170555555796</v>
      </c>
    </row>
    <row r="128" spans="1:15" x14ac:dyDescent="0.7">
      <c r="A128" s="6"/>
      <c r="B128" s="6"/>
      <c r="C128" s="6">
        <v>6</v>
      </c>
      <c r="D128" s="7">
        <v>11.91</v>
      </c>
      <c r="E128" s="4">
        <v>0</v>
      </c>
      <c r="F128" s="7">
        <v>11.91</v>
      </c>
      <c r="G128" s="15">
        <f t="shared" ref="G128" si="285">F128*86400</f>
        <v>1029024</v>
      </c>
      <c r="H128" s="21">
        <f t="shared" ref="H128" si="286">G128/1000000</f>
        <v>1.0290239999999999</v>
      </c>
      <c r="I128" s="20">
        <f t="shared" si="40"/>
        <v>46306.079999999994</v>
      </c>
      <c r="J128" s="28">
        <v>4.9436944444444401E-2</v>
      </c>
      <c r="K128" s="20">
        <f t="shared" si="41"/>
        <v>5556.7295999999988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0.1029024</v>
      </c>
      <c r="O128" s="7">
        <f t="shared" ref="O128" si="288">H128-M128-N128</f>
        <v>0.83765932222222461</v>
      </c>
    </row>
    <row r="129" spans="1:15" x14ac:dyDescent="0.7">
      <c r="A129" s="6"/>
      <c r="B129" s="6"/>
      <c r="C129" s="6">
        <v>7</v>
      </c>
      <c r="D129" s="7">
        <v>5.78</v>
      </c>
      <c r="E129" s="4">
        <v>0</v>
      </c>
      <c r="F129" s="7">
        <v>5.78</v>
      </c>
      <c r="G129" s="15">
        <f t="shared" ref="G129" si="289">F129*86400</f>
        <v>499392</v>
      </c>
      <c r="H129" s="21">
        <f t="shared" ref="H129" si="290">G129/1000000</f>
        <v>0.499392</v>
      </c>
      <c r="I129" s="20">
        <f t="shared" si="40"/>
        <v>22472.639999999999</v>
      </c>
      <c r="J129" s="28">
        <v>4.9816394444444398E-2</v>
      </c>
      <c r="K129" s="20">
        <f t="shared" si="41"/>
        <v>2696.7167999999997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4.9939200000000003E-2</v>
      </c>
      <c r="O129" s="7">
        <f t="shared" ref="O129" si="292">H129-M129-N129</f>
        <v>0.36024053888889129</v>
      </c>
    </row>
    <row r="130" spans="1:15" x14ac:dyDescent="0.7">
      <c r="A130" s="6"/>
      <c r="B130" s="6"/>
      <c r="C130" s="6">
        <v>8</v>
      </c>
      <c r="D130" s="7">
        <v>5.78</v>
      </c>
      <c r="E130" s="4">
        <v>0</v>
      </c>
      <c r="F130" s="7">
        <v>5.78</v>
      </c>
      <c r="G130" s="15">
        <f t="shared" ref="G130" si="293">F130*86400</f>
        <v>499392</v>
      </c>
      <c r="H130" s="21">
        <f t="shared" ref="H130" si="294">G130/1000000</f>
        <v>0.499392</v>
      </c>
      <c r="I130" s="20">
        <f t="shared" si="40"/>
        <v>22472.639999999999</v>
      </c>
      <c r="J130" s="28">
        <v>5.0195844444444401E-2</v>
      </c>
      <c r="K130" s="20">
        <f t="shared" si="41"/>
        <v>2696.7167999999997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4.9939200000000003E-2</v>
      </c>
      <c r="O130" s="7">
        <f t="shared" ref="O130" si="296">H130-M130-N130</f>
        <v>0.35949055555555798</v>
      </c>
    </row>
    <row r="131" spans="1:15" x14ac:dyDescent="0.7">
      <c r="A131" s="6"/>
      <c r="B131" s="6"/>
      <c r="C131" s="6">
        <v>9</v>
      </c>
      <c r="D131" s="7">
        <v>5.74</v>
      </c>
      <c r="E131" s="4">
        <v>0</v>
      </c>
      <c r="F131" s="7">
        <v>5.74</v>
      </c>
      <c r="G131" s="15">
        <f t="shared" ref="G131" si="297">F131*86400</f>
        <v>495936</v>
      </c>
      <c r="H131" s="21">
        <f t="shared" ref="H131" si="298">G131/1000000</f>
        <v>0.49593599999999999</v>
      </c>
      <c r="I131" s="20">
        <f t="shared" ref="I131:I194" si="299">H131*1000000*0.045</f>
        <v>22317.119999999999</v>
      </c>
      <c r="J131" s="28">
        <v>5.0575294444444398E-2</v>
      </c>
      <c r="K131" s="20">
        <f t="shared" ref="K131:K194" si="300">I131*0.12</f>
        <v>2678.0544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4.9593600000000002E-2</v>
      </c>
      <c r="O131" s="7">
        <f t="shared" ref="O131" si="303">H131-M131-N131</f>
        <v>0.35563017222222471</v>
      </c>
    </row>
    <row r="132" spans="1:15" x14ac:dyDescent="0.7">
      <c r="A132" s="6"/>
      <c r="B132" s="6"/>
      <c r="C132" s="6">
        <v>10</v>
      </c>
      <c r="D132" s="7">
        <v>5.68</v>
      </c>
      <c r="E132" s="4">
        <v>3.5</v>
      </c>
      <c r="F132" s="7">
        <v>5.68</v>
      </c>
      <c r="G132" s="15">
        <f t="shared" ref="G132" si="304">F132*86400</f>
        <v>490752</v>
      </c>
      <c r="H132" s="21">
        <f t="shared" ref="H132" si="305">G132/1000000</f>
        <v>0.49075200000000002</v>
      </c>
      <c r="I132" s="20">
        <f t="shared" si="299"/>
        <v>22083.84</v>
      </c>
      <c r="J132" s="28">
        <v>5.0954744444444401E-2</v>
      </c>
      <c r="K132" s="20">
        <f t="shared" si="300"/>
        <v>2650.0607999999997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4.9075200000000006E-2</v>
      </c>
      <c r="O132" s="7">
        <f t="shared" ref="O132" si="307">H132-M132-N132</f>
        <v>0.35021458888889145</v>
      </c>
    </row>
    <row r="133" spans="1:15" x14ac:dyDescent="0.7">
      <c r="A133" s="6"/>
      <c r="B133" s="6"/>
      <c r="C133" s="6">
        <v>11</v>
      </c>
      <c r="D133" s="7">
        <v>5.68</v>
      </c>
      <c r="E133" s="4">
        <v>4.9000000000000004</v>
      </c>
      <c r="F133" s="7">
        <v>5.68</v>
      </c>
      <c r="G133" s="15">
        <f t="shared" ref="G133" si="308">F133*86400</f>
        <v>490752</v>
      </c>
      <c r="H133" s="21">
        <f t="shared" ref="H133" si="309">G133/1000000</f>
        <v>0.49075200000000002</v>
      </c>
      <c r="I133" s="20">
        <f t="shared" si="299"/>
        <v>22083.84</v>
      </c>
      <c r="J133" s="28">
        <v>5.1334194444444398E-2</v>
      </c>
      <c r="K133" s="20">
        <f t="shared" si="300"/>
        <v>2650.0607999999997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4.9075200000000006E-2</v>
      </c>
      <c r="O133" s="7">
        <f t="shared" ref="O133" si="311">H133-M133-N133</f>
        <v>0.34946460555555814</v>
      </c>
    </row>
    <row r="134" spans="1:15" x14ac:dyDescent="0.7">
      <c r="A134" s="6"/>
      <c r="B134" s="6"/>
      <c r="C134" s="6">
        <v>12</v>
      </c>
      <c r="D134" s="7">
        <v>11.76</v>
      </c>
      <c r="E134" s="4">
        <v>6.5</v>
      </c>
      <c r="F134" s="7">
        <v>11.76</v>
      </c>
      <c r="G134" s="15">
        <f t="shared" ref="G134" si="312">F134*86400</f>
        <v>1016064</v>
      </c>
      <c r="H134" s="21">
        <f t="shared" ref="H134" si="313">G134/1000000</f>
        <v>1.0160640000000001</v>
      </c>
      <c r="I134" s="20">
        <f t="shared" si="299"/>
        <v>45722.880000000005</v>
      </c>
      <c r="J134" s="28">
        <v>5.1713644444444401E-2</v>
      </c>
      <c r="K134" s="20">
        <f t="shared" si="300"/>
        <v>5486.7456000000002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0.10160640000000001</v>
      </c>
      <c r="O134" s="7">
        <f t="shared" ref="O134" si="315">H134-M134-N134</f>
        <v>0.82149542222222494</v>
      </c>
    </row>
    <row r="135" spans="1:15" x14ac:dyDescent="0.7">
      <c r="A135" s="6"/>
      <c r="B135" s="6"/>
      <c r="C135" s="6">
        <v>13</v>
      </c>
      <c r="D135" s="7">
        <v>8.32</v>
      </c>
      <c r="E135" s="4">
        <v>0</v>
      </c>
      <c r="F135" s="7">
        <v>8.32</v>
      </c>
      <c r="G135" s="15">
        <f t="shared" ref="G135" si="316">F135*86400</f>
        <v>718848</v>
      </c>
      <c r="H135" s="21">
        <f t="shared" ref="H135" si="317">G135/1000000</f>
        <v>0.71884800000000004</v>
      </c>
      <c r="I135" s="20">
        <f t="shared" si="299"/>
        <v>32348.16</v>
      </c>
      <c r="J135" s="28">
        <v>5.2093094444444397E-2</v>
      </c>
      <c r="K135" s="20">
        <f t="shared" si="300"/>
        <v>3881.7791999999999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7.1884800000000013E-2</v>
      </c>
      <c r="O135" s="7">
        <f t="shared" ref="O135" si="319">H135-M135-N135</f>
        <v>0.5532510388888916</v>
      </c>
    </row>
    <row r="136" spans="1:15" x14ac:dyDescent="0.7">
      <c r="A136" s="6"/>
      <c r="B136" s="6"/>
      <c r="C136" s="6">
        <v>14</v>
      </c>
      <c r="D136" s="7">
        <v>8.32</v>
      </c>
      <c r="E136" s="4">
        <v>2.1</v>
      </c>
      <c r="F136" s="7">
        <v>8.32</v>
      </c>
      <c r="G136" s="15">
        <f t="shared" ref="G136" si="320">F136*86400</f>
        <v>718848</v>
      </c>
      <c r="H136" s="21">
        <f t="shared" ref="H136" si="321">G136/1000000</f>
        <v>0.71884800000000004</v>
      </c>
      <c r="I136" s="20">
        <f t="shared" si="299"/>
        <v>32348.16</v>
      </c>
      <c r="J136" s="28">
        <v>5.2472544444444401E-2</v>
      </c>
      <c r="K136" s="20">
        <f t="shared" si="300"/>
        <v>3881.7791999999999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7.1884800000000013E-2</v>
      </c>
      <c r="O136" s="7">
        <f t="shared" ref="O136" si="323">H136-M136-N136</f>
        <v>0.55250105555555828</v>
      </c>
    </row>
    <row r="137" spans="1:15" x14ac:dyDescent="0.7">
      <c r="A137" s="6"/>
      <c r="B137" s="6"/>
      <c r="C137" s="6">
        <v>15</v>
      </c>
      <c r="D137" s="7">
        <v>8.32</v>
      </c>
      <c r="E137" s="4">
        <v>0</v>
      </c>
      <c r="F137" s="7">
        <v>8.32</v>
      </c>
      <c r="G137" s="15">
        <f t="shared" ref="G137" si="324">F137*86400</f>
        <v>718848</v>
      </c>
      <c r="H137" s="21">
        <f t="shared" ref="H137" si="325">G137/1000000</f>
        <v>0.71884800000000004</v>
      </c>
      <c r="I137" s="20">
        <f t="shared" si="299"/>
        <v>32348.16</v>
      </c>
      <c r="J137" s="28">
        <v>5.2851994444444397E-2</v>
      </c>
      <c r="K137" s="20">
        <f t="shared" si="300"/>
        <v>3881.7791999999999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7.1884800000000013E-2</v>
      </c>
      <c r="O137" s="7">
        <f t="shared" ref="O137" si="327">H137-M137-N137</f>
        <v>0.55175107222222497</v>
      </c>
    </row>
    <row r="138" spans="1:15" x14ac:dyDescent="0.7">
      <c r="A138" s="6"/>
      <c r="B138" s="6"/>
      <c r="C138" s="6">
        <v>16</v>
      </c>
      <c r="D138" s="7">
        <v>8.32</v>
      </c>
      <c r="E138" s="4">
        <v>1</v>
      </c>
      <c r="F138" s="7">
        <v>8.32</v>
      </c>
      <c r="G138" s="15">
        <f t="shared" ref="G138" si="328">F138*86400</f>
        <v>718848</v>
      </c>
      <c r="H138" s="21">
        <f t="shared" ref="H138" si="329">G138/1000000</f>
        <v>0.71884800000000004</v>
      </c>
      <c r="I138" s="20">
        <f t="shared" si="299"/>
        <v>32348.16</v>
      </c>
      <c r="J138" s="28">
        <v>5.3231444444444401E-2</v>
      </c>
      <c r="K138" s="20">
        <f t="shared" si="300"/>
        <v>3881.7791999999999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7.1884800000000013E-2</v>
      </c>
      <c r="O138" s="7">
        <f t="shared" ref="O138" si="331">H138-M138-N138</f>
        <v>0.55100108888889165</v>
      </c>
    </row>
    <row r="139" spans="1:15" x14ac:dyDescent="0.7">
      <c r="A139" s="6"/>
      <c r="B139" s="6"/>
      <c r="C139" s="6">
        <v>17</v>
      </c>
      <c r="D139" s="7">
        <v>8.32</v>
      </c>
      <c r="E139" s="4">
        <v>0</v>
      </c>
      <c r="F139" s="7">
        <v>8.32</v>
      </c>
      <c r="G139" s="15">
        <f t="shared" ref="G139" si="332">F139*86400</f>
        <v>718848</v>
      </c>
      <c r="H139" s="21">
        <f t="shared" ref="H139" si="333">G139/1000000</f>
        <v>0.71884800000000004</v>
      </c>
      <c r="I139" s="20">
        <f t="shared" si="299"/>
        <v>32348.16</v>
      </c>
      <c r="J139" s="28">
        <v>5.3610894444444397E-2</v>
      </c>
      <c r="K139" s="20">
        <f t="shared" si="300"/>
        <v>3881.7791999999999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7.1884800000000013E-2</v>
      </c>
      <c r="O139" s="7">
        <f t="shared" ref="O139" si="335">H139-M139-N139</f>
        <v>0.55025110555555834</v>
      </c>
    </row>
    <row r="140" spans="1:15" x14ac:dyDescent="0.7">
      <c r="A140" s="6"/>
      <c r="B140" s="6"/>
      <c r="C140" s="6">
        <v>18</v>
      </c>
      <c r="D140" s="7">
        <v>5.4</v>
      </c>
      <c r="E140" s="4">
        <v>0</v>
      </c>
      <c r="F140" s="7">
        <v>5.4</v>
      </c>
      <c r="G140" s="15">
        <f t="shared" ref="G140" si="336">F140*86400</f>
        <v>466560.00000000006</v>
      </c>
      <c r="H140" s="21">
        <f t="shared" ref="H140" si="337">G140/1000000</f>
        <v>0.46656000000000009</v>
      </c>
      <c r="I140" s="20">
        <f t="shared" si="299"/>
        <v>20995.200000000001</v>
      </c>
      <c r="J140" s="28">
        <v>5.3990344444444401E-2</v>
      </c>
      <c r="K140" s="20">
        <f t="shared" si="300"/>
        <v>2519.424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4.665600000000001E-2</v>
      </c>
      <c r="O140" s="7">
        <f t="shared" ref="O140" si="339">H140-M140-N140</f>
        <v>0.32244192222222506</v>
      </c>
    </row>
    <row r="141" spans="1:15" x14ac:dyDescent="0.7">
      <c r="A141" s="6"/>
      <c r="B141" s="6"/>
      <c r="C141" s="6">
        <v>19</v>
      </c>
      <c r="D141" s="7">
        <v>5.69</v>
      </c>
      <c r="E141" s="4">
        <v>0.3</v>
      </c>
      <c r="F141" s="7">
        <v>5.69</v>
      </c>
      <c r="G141" s="15">
        <f t="shared" ref="G141" si="340">F141*86400</f>
        <v>491616.00000000006</v>
      </c>
      <c r="H141" s="21">
        <f t="shared" ref="H141" si="341">G141/1000000</f>
        <v>0.49161600000000005</v>
      </c>
      <c r="I141" s="20">
        <f t="shared" si="299"/>
        <v>22122.720000000001</v>
      </c>
      <c r="J141" s="28">
        <v>5.4369794444444397E-2</v>
      </c>
      <c r="K141" s="20">
        <f t="shared" si="300"/>
        <v>2654.7264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4.9161600000000007E-2</v>
      </c>
      <c r="O141" s="7">
        <f t="shared" ref="O141" si="343">H141-M141-N141</f>
        <v>0.34424233888889172</v>
      </c>
    </row>
    <row r="142" spans="1:15" x14ac:dyDescent="0.7">
      <c r="A142" s="6"/>
      <c r="B142" s="6"/>
      <c r="C142" s="6">
        <v>20</v>
      </c>
      <c r="D142" s="7">
        <v>13.17</v>
      </c>
      <c r="E142" s="4">
        <v>21</v>
      </c>
      <c r="F142" s="7">
        <v>13.17</v>
      </c>
      <c r="G142" s="15">
        <f t="shared" ref="G142" si="344">F142*86400</f>
        <v>1137888</v>
      </c>
      <c r="H142" s="21">
        <f t="shared" ref="H142" si="345">G142/1000000</f>
        <v>1.137888</v>
      </c>
      <c r="I142" s="20">
        <f t="shared" si="299"/>
        <v>51204.959999999999</v>
      </c>
      <c r="J142" s="28">
        <v>5.47492444444444E-2</v>
      </c>
      <c r="K142" s="20">
        <f t="shared" si="300"/>
        <v>6144.5951999999997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0.11378880000000001</v>
      </c>
      <c r="O142" s="7">
        <f t="shared" ref="O142" si="347">H142-M142-N142</f>
        <v>0.92513715555555831</v>
      </c>
    </row>
    <row r="143" spans="1:15" x14ac:dyDescent="0.7">
      <c r="A143" s="6"/>
      <c r="B143" s="6"/>
      <c r="C143" s="6">
        <v>21</v>
      </c>
      <c r="D143" s="7">
        <v>8.64</v>
      </c>
      <c r="E143" s="4">
        <v>0</v>
      </c>
      <c r="F143" s="7">
        <v>8.64</v>
      </c>
      <c r="G143" s="15">
        <f t="shared" ref="G143" si="348">F143*86400</f>
        <v>746496</v>
      </c>
      <c r="H143" s="21">
        <f t="shared" ref="H143" si="349">G143/1000000</f>
        <v>0.74649600000000005</v>
      </c>
      <c r="I143" s="20">
        <f t="shared" si="299"/>
        <v>33592.32</v>
      </c>
      <c r="J143" s="28">
        <v>5.5128694444444397E-2</v>
      </c>
      <c r="K143" s="20">
        <f t="shared" si="300"/>
        <v>4031.0783999999999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7.464960000000001E-2</v>
      </c>
      <c r="O143" s="7">
        <f t="shared" ref="O143" si="351">H143-M143-N143</f>
        <v>0.57213437222222518</v>
      </c>
    </row>
    <row r="144" spans="1:15" x14ac:dyDescent="0.7">
      <c r="A144" s="6"/>
      <c r="B144" s="6"/>
      <c r="C144" s="6">
        <v>22</v>
      </c>
      <c r="D144" s="7">
        <v>6.7</v>
      </c>
      <c r="E144" s="4">
        <v>21.7</v>
      </c>
      <c r="F144" s="7">
        <v>6.7</v>
      </c>
      <c r="G144" s="15">
        <f t="shared" ref="G144" si="352">F144*86400</f>
        <v>578880</v>
      </c>
      <c r="H144" s="21">
        <f t="shared" ref="H144" si="353">G144/1000000</f>
        <v>0.57887999999999995</v>
      </c>
      <c r="I144" s="20">
        <f t="shared" si="299"/>
        <v>26049.599999999999</v>
      </c>
      <c r="J144" s="28">
        <v>5.55081444444444E-2</v>
      </c>
      <c r="K144" s="20">
        <f t="shared" si="300"/>
        <v>3125.9519999999998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5.7887999999999995E-2</v>
      </c>
      <c r="O144" s="7">
        <f t="shared" ref="O144" si="355">H144-M144-N144</f>
        <v>0.42052998888889176</v>
      </c>
    </row>
    <row r="145" spans="1:15" x14ac:dyDescent="0.7">
      <c r="A145" s="6"/>
      <c r="B145" s="6"/>
      <c r="C145" s="6">
        <v>23</v>
      </c>
      <c r="D145" s="7">
        <v>6.13</v>
      </c>
      <c r="E145" s="4">
        <v>0</v>
      </c>
      <c r="F145" s="7">
        <v>6.13</v>
      </c>
      <c r="G145" s="15">
        <f t="shared" ref="G145" si="356">F145*86400</f>
        <v>529632</v>
      </c>
      <c r="H145" s="21">
        <f t="shared" ref="H145" si="357">G145/1000000</f>
        <v>0.52963199999999999</v>
      </c>
      <c r="I145" s="20">
        <f t="shared" si="299"/>
        <v>23833.439999999999</v>
      </c>
      <c r="J145" s="28">
        <v>5.5887594444444397E-2</v>
      </c>
      <c r="K145" s="20">
        <f t="shared" si="300"/>
        <v>2860.0127999999995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5.2963200000000002E-2</v>
      </c>
      <c r="O145" s="7">
        <f t="shared" ref="O145" si="359">H145-M145-N145</f>
        <v>0.37545680555555849</v>
      </c>
    </row>
    <row r="146" spans="1:15" x14ac:dyDescent="0.7">
      <c r="A146" s="6"/>
      <c r="B146" s="6"/>
      <c r="C146" s="6">
        <v>24</v>
      </c>
      <c r="D146" s="7">
        <v>6.65</v>
      </c>
      <c r="E146" s="4">
        <v>2.2999999999999998</v>
      </c>
      <c r="F146" s="7">
        <v>6.65</v>
      </c>
      <c r="G146" s="15">
        <f t="shared" ref="G146" si="360">F146*86400</f>
        <v>574560</v>
      </c>
      <c r="H146" s="21">
        <f t="shared" ref="H146" si="361">G146/1000000</f>
        <v>0.57455999999999996</v>
      </c>
      <c r="I146" s="20">
        <f t="shared" si="299"/>
        <v>25855.200000000001</v>
      </c>
      <c r="J146" s="28">
        <v>5.62670444444444E-2</v>
      </c>
      <c r="K146" s="20">
        <f t="shared" si="300"/>
        <v>3102.6239999999998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5.7456E-2</v>
      </c>
      <c r="O146" s="7">
        <f t="shared" ref="O146" si="363">H146-M146-N146</f>
        <v>0.41514202222222513</v>
      </c>
    </row>
    <row r="147" spans="1:15" x14ac:dyDescent="0.7">
      <c r="A147" s="6"/>
      <c r="B147" s="6"/>
      <c r="C147" s="6">
        <v>25</v>
      </c>
      <c r="D147" s="7">
        <v>6.65</v>
      </c>
      <c r="E147" s="4">
        <v>0</v>
      </c>
      <c r="F147" s="7">
        <v>6.65</v>
      </c>
      <c r="G147" s="15">
        <f t="shared" ref="G147" si="364">F147*86400</f>
        <v>574560</v>
      </c>
      <c r="H147" s="21">
        <f t="shared" ref="H147" si="365">G147/1000000</f>
        <v>0.57455999999999996</v>
      </c>
      <c r="I147" s="20">
        <f t="shared" si="299"/>
        <v>25855.200000000001</v>
      </c>
      <c r="J147" s="28">
        <v>5.6646494444444397E-2</v>
      </c>
      <c r="K147" s="20">
        <f t="shared" si="300"/>
        <v>3102.6239999999998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5.7456E-2</v>
      </c>
      <c r="O147" s="7">
        <f t="shared" ref="O147" si="367">H147-M147-N147</f>
        <v>0.41439203888889187</v>
      </c>
    </row>
    <row r="148" spans="1:15" x14ac:dyDescent="0.7">
      <c r="A148" s="6"/>
      <c r="B148" s="6"/>
      <c r="C148" s="6">
        <v>26</v>
      </c>
      <c r="D148" s="7">
        <v>12.533000000000001</v>
      </c>
      <c r="E148" s="4">
        <v>0</v>
      </c>
      <c r="F148" s="7">
        <v>12.533000000000001</v>
      </c>
      <c r="G148" s="15">
        <f t="shared" ref="G148" si="368">F148*86400</f>
        <v>1082851.2000000002</v>
      </c>
      <c r="H148" s="21">
        <f t="shared" ref="H148" si="369">G148/1000000</f>
        <v>1.0828512000000001</v>
      </c>
      <c r="I148" s="20">
        <f t="shared" si="299"/>
        <v>48728.304000000004</v>
      </c>
      <c r="J148" s="28">
        <v>5.70259444444444E-2</v>
      </c>
      <c r="K148" s="20">
        <f t="shared" si="300"/>
        <v>5847.3964800000003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0.10828512000000001</v>
      </c>
      <c r="O148" s="7">
        <f t="shared" ref="O148" si="371">H148-M148-N148</f>
        <v>0.87110413555555877</v>
      </c>
    </row>
    <row r="149" spans="1:15" x14ac:dyDescent="0.7">
      <c r="A149" s="6"/>
      <c r="B149" s="6"/>
      <c r="C149" s="6">
        <v>27</v>
      </c>
      <c r="D149" s="7">
        <v>5.19</v>
      </c>
      <c r="E149" s="4">
        <v>0.3</v>
      </c>
      <c r="F149" s="7">
        <v>5.19</v>
      </c>
      <c r="G149" s="15">
        <f t="shared" ref="G149" si="372">F149*86400</f>
        <v>448416.00000000006</v>
      </c>
      <c r="H149" s="21">
        <f t="shared" ref="H149" si="373">G149/1000000</f>
        <v>0.44841600000000004</v>
      </c>
      <c r="I149" s="20">
        <f t="shared" si="299"/>
        <v>20178.72</v>
      </c>
      <c r="J149" s="28">
        <v>5.7405394444444403E-2</v>
      </c>
      <c r="K149" s="20">
        <f t="shared" si="300"/>
        <v>2421.4464000000003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4.4841600000000009E-2</v>
      </c>
      <c r="O149" s="7">
        <f t="shared" ref="O149" si="375">H149-M149-N149</f>
        <v>0.29936247222222534</v>
      </c>
    </row>
    <row r="150" spans="1:15" x14ac:dyDescent="0.7">
      <c r="A150" s="6"/>
      <c r="B150" s="6"/>
      <c r="C150" s="6">
        <v>28</v>
      </c>
      <c r="D150" s="7">
        <v>4.8899999999999997</v>
      </c>
      <c r="E150" s="4">
        <v>1.2</v>
      </c>
      <c r="F150" s="7">
        <v>4.8899999999999997</v>
      </c>
      <c r="G150" s="15">
        <f t="shared" ref="G150" si="376">F150*86400</f>
        <v>422496</v>
      </c>
      <c r="H150" s="21">
        <f t="shared" ref="H150" si="377">G150/1000000</f>
        <v>0.42249599999999998</v>
      </c>
      <c r="I150" s="20">
        <f t="shared" si="299"/>
        <v>19012.32</v>
      </c>
      <c r="J150" s="28">
        <v>5.77848444444444E-2</v>
      </c>
      <c r="K150" s="20">
        <f t="shared" si="300"/>
        <v>2281.4784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4.2249599999999998E-2</v>
      </c>
      <c r="O150" s="7">
        <f t="shared" ref="O150" si="379">H150-M150-N150</f>
        <v>0.27528448888889201</v>
      </c>
    </row>
    <row r="151" spans="1:15" x14ac:dyDescent="0.7">
      <c r="A151" s="12"/>
      <c r="B151" s="12"/>
      <c r="C151" s="12">
        <v>29</v>
      </c>
      <c r="D151" s="30">
        <v>10.77</v>
      </c>
      <c r="E151" s="4">
        <v>0</v>
      </c>
      <c r="F151" s="30">
        <v>10.77</v>
      </c>
      <c r="G151" s="31">
        <f t="shared" ref="G151" si="380">F151*86400</f>
        <v>930528</v>
      </c>
      <c r="H151" s="32">
        <f t="shared" ref="H151" si="381">G151/1000000</f>
        <v>0.93052800000000002</v>
      </c>
      <c r="I151" s="20">
        <f t="shared" si="299"/>
        <v>41873.760000000002</v>
      </c>
      <c r="J151" s="34">
        <v>5.8164294444444403E-2</v>
      </c>
      <c r="K151" s="20">
        <f t="shared" si="300"/>
        <v>5024.8512000000001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9.3052800000000005E-2</v>
      </c>
      <c r="O151" s="30">
        <f t="shared" ref="O151" si="383">H151-M151-N151</f>
        <v>0.7317633055555588</v>
      </c>
    </row>
    <row r="152" spans="1:15" s="37" customFormat="1" x14ac:dyDescent="0.7">
      <c r="A152" s="6"/>
      <c r="B152" s="6"/>
      <c r="C152" s="6">
        <v>30</v>
      </c>
      <c r="D152" s="7">
        <v>10.77</v>
      </c>
      <c r="E152" s="4">
        <v>13.5</v>
      </c>
      <c r="F152" s="7">
        <v>10.77</v>
      </c>
      <c r="G152" s="35">
        <f t="shared" ref="G152" si="384">F152*86400</f>
        <v>930528</v>
      </c>
      <c r="H152" s="20">
        <f t="shared" ref="H152" si="385">G152/1000000</f>
        <v>0.93052800000000002</v>
      </c>
      <c r="I152" s="20">
        <f t="shared" si="299"/>
        <v>41873.760000000002</v>
      </c>
      <c r="J152" s="28">
        <v>5.85437444444444E-2</v>
      </c>
      <c r="K152" s="20">
        <f t="shared" si="300"/>
        <v>5024.8512000000001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9.3052800000000005E-2</v>
      </c>
      <c r="O152" s="7">
        <f t="shared" ref="O152" si="387">H152-M152-N152</f>
        <v>0.73101332222222537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6.44</v>
      </c>
      <c r="E153" s="19">
        <v>11.7</v>
      </c>
      <c r="F153" s="19">
        <v>6.44</v>
      </c>
      <c r="G153" s="26">
        <f t="shared" ref="G153" si="388">F153*86400</f>
        <v>556416</v>
      </c>
      <c r="H153" s="27">
        <f t="shared" ref="H153" si="389">G153/1000000</f>
        <v>0.55641600000000002</v>
      </c>
      <c r="I153" s="22">
        <f t="shared" si="299"/>
        <v>25038.719999999998</v>
      </c>
      <c r="J153" s="39">
        <v>5.8923194444444403E-2</v>
      </c>
      <c r="K153" s="22">
        <f t="shared" si="300"/>
        <v>3004.6463999999996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5.5641600000000006E-2</v>
      </c>
      <c r="O153" s="19">
        <f t="shared" ref="O153" si="391">H153-M153-N153</f>
        <v>0.39356253888889209</v>
      </c>
    </row>
    <row r="154" spans="1:15" x14ac:dyDescent="0.7">
      <c r="A154" s="3"/>
      <c r="B154" s="3" t="s">
        <v>20</v>
      </c>
      <c r="C154" s="3">
        <v>1</v>
      </c>
      <c r="D154" s="4">
        <v>14.100000000000001</v>
      </c>
      <c r="E154" s="4">
        <v>20.9</v>
      </c>
      <c r="F154" s="4">
        <v>14.100000000000001</v>
      </c>
      <c r="G154" s="15">
        <f t="shared" ref="G154" si="392">F154*86400</f>
        <v>1218240.0000000002</v>
      </c>
      <c r="H154" s="21">
        <f t="shared" ref="H154" si="393">G154/1000000</f>
        <v>1.2182400000000002</v>
      </c>
      <c r="I154" s="21">
        <f t="shared" si="299"/>
        <v>54820.80000000001</v>
      </c>
      <c r="J154" s="25">
        <v>5.93026444444444E-2</v>
      </c>
      <c r="K154" s="21">
        <f t="shared" si="300"/>
        <v>6578.496000000001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0.12182400000000003</v>
      </c>
      <c r="O154" s="4">
        <f t="shared" ref="O154" si="395">H154-M154-N154</f>
        <v>0.98845415555555916</v>
      </c>
    </row>
    <row r="155" spans="1:15" x14ac:dyDescent="0.7">
      <c r="A155" s="6"/>
      <c r="B155" s="6"/>
      <c r="C155" s="6">
        <v>2</v>
      </c>
      <c r="D155" s="7">
        <v>14.68</v>
      </c>
      <c r="E155" s="4">
        <v>16</v>
      </c>
      <c r="F155" s="7">
        <v>14.68</v>
      </c>
      <c r="G155" s="15">
        <f t="shared" ref="G155" si="396">F155*86400</f>
        <v>1268352</v>
      </c>
      <c r="H155" s="21">
        <f t="shared" ref="H155" si="397">G155/1000000</f>
        <v>1.2683519999999999</v>
      </c>
      <c r="I155" s="20">
        <f t="shared" si="299"/>
        <v>57075.839999999997</v>
      </c>
      <c r="J155" s="28">
        <v>5.9682094444444403E-2</v>
      </c>
      <c r="K155" s="20">
        <f t="shared" si="300"/>
        <v>6849.1007999999993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0.12683520000000001</v>
      </c>
      <c r="O155" s="7">
        <f t="shared" ref="O155" si="399">H155-M155-N155</f>
        <v>1.0328049722222257</v>
      </c>
    </row>
    <row r="156" spans="1:15" x14ac:dyDescent="0.7">
      <c r="A156" s="6"/>
      <c r="B156" s="6"/>
      <c r="C156" s="6">
        <v>3</v>
      </c>
      <c r="D156" s="7">
        <v>16.97</v>
      </c>
      <c r="E156" s="4">
        <v>4.4000000000000004</v>
      </c>
      <c r="F156" s="7">
        <v>16.97</v>
      </c>
      <c r="G156" s="15">
        <f t="shared" ref="G156" si="400">F156*86400</f>
        <v>1466208</v>
      </c>
      <c r="H156" s="21">
        <f t="shared" ref="H156" si="401">G156/1000000</f>
        <v>1.466208</v>
      </c>
      <c r="I156" s="20">
        <f t="shared" si="299"/>
        <v>65979.360000000001</v>
      </c>
      <c r="J156" s="28">
        <v>6.0061544444444399E-2</v>
      </c>
      <c r="K156" s="20">
        <f t="shared" si="300"/>
        <v>7917.5231999999996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0.1466208</v>
      </c>
      <c r="O156" s="7">
        <f t="shared" ref="O156" si="403">H156-M156-N156</f>
        <v>1.2101253888888923</v>
      </c>
    </row>
    <row r="157" spans="1:15" x14ac:dyDescent="0.7">
      <c r="A157" s="6"/>
      <c r="B157" s="6"/>
      <c r="C157" s="3">
        <v>4</v>
      </c>
      <c r="D157" s="7">
        <v>10.86</v>
      </c>
      <c r="E157" s="4">
        <v>1</v>
      </c>
      <c r="F157" s="7">
        <v>10.86</v>
      </c>
      <c r="G157" s="15">
        <f t="shared" ref="G157" si="404">F157*86400</f>
        <v>938304</v>
      </c>
      <c r="H157" s="21">
        <f t="shared" ref="H157" si="405">G157/1000000</f>
        <v>0.93830400000000003</v>
      </c>
      <c r="I157" s="20">
        <f t="shared" si="299"/>
        <v>42223.68</v>
      </c>
      <c r="J157" s="28">
        <v>6.0440994444444403E-2</v>
      </c>
      <c r="K157" s="20">
        <f t="shared" si="300"/>
        <v>5066.8415999999997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9.3830400000000008E-2</v>
      </c>
      <c r="O157" s="7">
        <f t="shared" ref="O157" si="407">H157-M157-N157</f>
        <v>0.73426180555555898</v>
      </c>
    </row>
    <row r="158" spans="1:15" x14ac:dyDescent="0.7">
      <c r="A158" s="6"/>
      <c r="B158" s="6"/>
      <c r="C158" s="6">
        <v>5</v>
      </c>
      <c r="D158" s="7">
        <v>9.8000000000000007</v>
      </c>
      <c r="E158" s="4">
        <v>5</v>
      </c>
      <c r="F158" s="7">
        <v>9.8000000000000007</v>
      </c>
      <c r="G158" s="15">
        <f t="shared" ref="G158" si="408">F158*86400</f>
        <v>846720.00000000012</v>
      </c>
      <c r="H158" s="21">
        <f t="shared" ref="H158" si="409">G158/1000000</f>
        <v>0.84672000000000014</v>
      </c>
      <c r="I158" s="20">
        <f t="shared" si="299"/>
        <v>38102.400000000001</v>
      </c>
      <c r="J158" s="28">
        <v>6.0820444444444399E-2</v>
      </c>
      <c r="K158" s="20">
        <f t="shared" si="300"/>
        <v>4572.2879999999996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8.4672000000000025E-2</v>
      </c>
      <c r="O158" s="7">
        <f t="shared" ref="O158" si="411">H158-M158-N158</f>
        <v>0.65108622222222579</v>
      </c>
    </row>
    <row r="159" spans="1:15" x14ac:dyDescent="0.7">
      <c r="A159" s="6"/>
      <c r="B159" s="6"/>
      <c r="C159" s="6">
        <v>6</v>
      </c>
      <c r="D159" s="7">
        <v>6.45</v>
      </c>
      <c r="E159" s="4">
        <v>8</v>
      </c>
      <c r="F159" s="7">
        <v>6.45</v>
      </c>
      <c r="G159" s="15">
        <f t="shared" ref="G159" si="412">F159*86400</f>
        <v>557280</v>
      </c>
      <c r="H159" s="21">
        <f t="shared" ref="H159" si="413">G159/1000000</f>
        <v>0.55728</v>
      </c>
      <c r="I159" s="20">
        <f t="shared" si="299"/>
        <v>25077.599999999999</v>
      </c>
      <c r="J159" s="28">
        <v>6.1199894444444403E-2</v>
      </c>
      <c r="K159" s="20">
        <f t="shared" si="300"/>
        <v>3009.3119999999999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5.5728E-2</v>
      </c>
      <c r="O159" s="7">
        <f t="shared" ref="O159" si="415">H159-M159-N159</f>
        <v>0.38984023888889241</v>
      </c>
    </row>
    <row r="160" spans="1:15" x14ac:dyDescent="0.7">
      <c r="A160" s="6"/>
      <c r="B160" s="6"/>
      <c r="C160" s="3">
        <v>7</v>
      </c>
      <c r="D160" s="7">
        <v>5.65</v>
      </c>
      <c r="E160" s="4">
        <v>0</v>
      </c>
      <c r="F160" s="7">
        <v>5.65</v>
      </c>
      <c r="G160" s="15">
        <f t="shared" ref="G160" si="416">F160*86400</f>
        <v>488160.00000000006</v>
      </c>
      <c r="H160" s="21">
        <f t="shared" ref="H160" si="417">G160/1000000</f>
        <v>0.48816000000000004</v>
      </c>
      <c r="I160" s="20">
        <f t="shared" si="299"/>
        <v>21967.200000000001</v>
      </c>
      <c r="J160" s="28">
        <v>6.1579344444444399E-2</v>
      </c>
      <c r="K160" s="20">
        <f t="shared" si="300"/>
        <v>2636.0639999999999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4.8816000000000005E-2</v>
      </c>
      <c r="O160" s="7">
        <f t="shared" ref="O160" si="419">H160-M160-N160</f>
        <v>0.326882255555559</v>
      </c>
    </row>
    <row r="161" spans="1:15" x14ac:dyDescent="0.7">
      <c r="A161" s="6"/>
      <c r="B161" s="6"/>
      <c r="C161" s="6">
        <v>8</v>
      </c>
      <c r="D161" s="7">
        <v>5.3599999999999994</v>
      </c>
      <c r="E161" s="4">
        <v>6</v>
      </c>
      <c r="F161" s="7">
        <v>5.3599999999999994</v>
      </c>
      <c r="G161" s="15">
        <f t="shared" ref="G161" si="420">F161*86400</f>
        <v>463103.99999999994</v>
      </c>
      <c r="H161" s="21">
        <f t="shared" ref="H161" si="421">G161/1000000</f>
        <v>0.46310399999999996</v>
      </c>
      <c r="I161" s="20">
        <f t="shared" si="299"/>
        <v>20839.679999999997</v>
      </c>
      <c r="J161" s="28">
        <v>6.1958794444444402E-2</v>
      </c>
      <c r="K161" s="20">
        <f t="shared" si="300"/>
        <v>2500.7615999999994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4.6310400000000002E-2</v>
      </c>
      <c r="O161" s="7">
        <f t="shared" ref="O161" si="423">H161-M161-N161</f>
        <v>0.30358187222222577</v>
      </c>
    </row>
    <row r="162" spans="1:15" x14ac:dyDescent="0.7">
      <c r="A162" s="6"/>
      <c r="B162" s="6"/>
      <c r="C162" s="6">
        <v>9</v>
      </c>
      <c r="D162" s="7">
        <v>5.26</v>
      </c>
      <c r="E162" s="4">
        <v>0</v>
      </c>
      <c r="F162" s="7">
        <v>5.26</v>
      </c>
      <c r="G162" s="15">
        <f t="shared" ref="G162" si="424">F162*86400</f>
        <v>454464</v>
      </c>
      <c r="H162" s="21">
        <f t="shared" ref="H162" si="425">G162/1000000</f>
        <v>0.45446399999999998</v>
      </c>
      <c r="I162" s="20">
        <f t="shared" si="299"/>
        <v>20450.88</v>
      </c>
      <c r="J162" s="28">
        <v>6.2338244444444399E-2</v>
      </c>
      <c r="K162" s="20">
        <f t="shared" si="300"/>
        <v>2454.1055999999999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4.5446399999999998E-2</v>
      </c>
      <c r="O162" s="7">
        <f t="shared" ref="O162" si="427">H162-M162-N162</f>
        <v>0.29505588888889245</v>
      </c>
    </row>
    <row r="163" spans="1:15" x14ac:dyDescent="0.7">
      <c r="A163" s="6"/>
      <c r="B163" s="6"/>
      <c r="C163" s="3">
        <v>10</v>
      </c>
      <c r="D163" s="7">
        <v>4.96</v>
      </c>
      <c r="E163" s="4">
        <v>3.8</v>
      </c>
      <c r="F163" s="7">
        <v>4.96</v>
      </c>
      <c r="G163" s="15">
        <f t="shared" ref="G163" si="428">F163*86400</f>
        <v>428544</v>
      </c>
      <c r="H163" s="21">
        <f t="shared" ref="H163" si="429">G163/1000000</f>
        <v>0.42854399999999998</v>
      </c>
      <c r="I163" s="20">
        <f t="shared" si="299"/>
        <v>19284.48</v>
      </c>
      <c r="J163" s="28">
        <v>6.2717694444444402E-2</v>
      </c>
      <c r="K163" s="20">
        <f t="shared" si="300"/>
        <v>2314.1376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4.2854400000000001E-2</v>
      </c>
      <c r="O163" s="7">
        <f t="shared" ref="O163" si="431">H163-M163-N163</f>
        <v>0.27097790555555917</v>
      </c>
    </row>
    <row r="164" spans="1:15" x14ac:dyDescent="0.7">
      <c r="A164" s="6"/>
      <c r="B164" s="6"/>
      <c r="C164" s="6">
        <v>11</v>
      </c>
      <c r="D164" s="7">
        <v>4.5999999999999996</v>
      </c>
      <c r="E164" s="4">
        <v>0</v>
      </c>
      <c r="F164" s="7">
        <v>4.5999999999999996</v>
      </c>
      <c r="G164" s="15">
        <f t="shared" ref="G164" si="432">F164*86400</f>
        <v>397439.99999999994</v>
      </c>
      <c r="H164" s="21">
        <f t="shared" ref="H164" si="433">G164/1000000</f>
        <v>0.39743999999999996</v>
      </c>
      <c r="I164" s="20">
        <f t="shared" si="299"/>
        <v>17884.799999999996</v>
      </c>
      <c r="J164" s="28">
        <v>6.3097144444444406E-2</v>
      </c>
      <c r="K164" s="20">
        <f t="shared" si="300"/>
        <v>2146.1759999999995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3.9744000000000002E-2</v>
      </c>
      <c r="O164" s="7">
        <f t="shared" ref="O164" si="435">H164-M164-N164</f>
        <v>0.24223432222222585</v>
      </c>
    </row>
    <row r="165" spans="1:15" x14ac:dyDescent="0.7">
      <c r="A165" s="6"/>
      <c r="B165" s="6"/>
      <c r="C165" s="6">
        <v>12</v>
      </c>
      <c r="D165" s="7">
        <v>4.3600000000000003</v>
      </c>
      <c r="E165" s="4">
        <v>0</v>
      </c>
      <c r="F165" s="7">
        <v>4.3600000000000003</v>
      </c>
      <c r="G165" s="15">
        <f t="shared" ref="G165" si="436">F165*86400</f>
        <v>376704</v>
      </c>
      <c r="H165" s="21">
        <f t="shared" ref="H165" si="437">G165/1000000</f>
        <v>0.37670399999999998</v>
      </c>
      <c r="I165" s="20">
        <f t="shared" si="299"/>
        <v>16951.68</v>
      </c>
      <c r="J165" s="28">
        <v>6.3476594444444395E-2</v>
      </c>
      <c r="K165" s="20">
        <f t="shared" si="300"/>
        <v>2034.2015999999999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3.76704E-2</v>
      </c>
      <c r="O165" s="7">
        <f t="shared" ref="O165" si="439">H165-M165-N165</f>
        <v>0.22282193888889257</v>
      </c>
    </row>
    <row r="166" spans="1:15" x14ac:dyDescent="0.7">
      <c r="A166" s="6"/>
      <c r="B166" s="6"/>
      <c r="C166" s="3">
        <v>13</v>
      </c>
      <c r="D166" s="7">
        <v>7.7</v>
      </c>
      <c r="E166" s="4">
        <v>0</v>
      </c>
      <c r="F166" s="7">
        <v>7.7</v>
      </c>
      <c r="G166" s="15">
        <f t="shared" ref="G166" si="440">F166*86400</f>
        <v>665280</v>
      </c>
      <c r="H166" s="21">
        <f t="shared" ref="H166" si="441">G166/1000000</f>
        <v>0.66527999999999998</v>
      </c>
      <c r="I166" s="20">
        <f t="shared" si="299"/>
        <v>29937.599999999999</v>
      </c>
      <c r="J166" s="28">
        <v>6.3856044444444399E-2</v>
      </c>
      <c r="K166" s="20">
        <f t="shared" si="300"/>
        <v>3592.5119999999997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6.6528000000000004E-2</v>
      </c>
      <c r="O166" s="7">
        <f t="shared" ref="O166" si="443">H166-M166-N166</f>
        <v>0.48179035555555927</v>
      </c>
    </row>
    <row r="167" spans="1:15" x14ac:dyDescent="0.7">
      <c r="A167" s="6"/>
      <c r="B167" s="6"/>
      <c r="C167" s="6">
        <v>14</v>
      </c>
      <c r="D167" s="7">
        <v>4.16</v>
      </c>
      <c r="E167" s="4">
        <v>5.7</v>
      </c>
      <c r="F167" s="7">
        <v>4.16</v>
      </c>
      <c r="G167" s="15">
        <f t="shared" ref="G167" si="444">F167*86400</f>
        <v>359424</v>
      </c>
      <c r="H167" s="21">
        <f t="shared" ref="H167" si="445">G167/1000000</f>
        <v>0.35942400000000002</v>
      </c>
      <c r="I167" s="20">
        <f t="shared" si="299"/>
        <v>16174.08</v>
      </c>
      <c r="J167" s="28">
        <v>6.4235494444444402E-2</v>
      </c>
      <c r="K167" s="20">
        <f t="shared" si="300"/>
        <v>1940.8896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3.5942400000000006E-2</v>
      </c>
      <c r="O167" s="7">
        <f t="shared" ref="O167" si="447">H167-M167-N167</f>
        <v>0.20576997222222601</v>
      </c>
    </row>
    <row r="168" spans="1:15" x14ac:dyDescent="0.7">
      <c r="A168" s="6"/>
      <c r="B168" s="6"/>
      <c r="C168" s="6">
        <v>15</v>
      </c>
      <c r="D168" s="7">
        <v>9.3000000000000007</v>
      </c>
      <c r="E168" s="4">
        <v>4.7</v>
      </c>
      <c r="F168" s="7">
        <v>9.3000000000000007</v>
      </c>
      <c r="G168" s="15">
        <f t="shared" ref="G168" si="448">F168*86400</f>
        <v>803520.00000000012</v>
      </c>
      <c r="H168" s="21">
        <f t="shared" ref="H168" si="449">G168/1000000</f>
        <v>0.80352000000000012</v>
      </c>
      <c r="I168" s="20">
        <f t="shared" si="299"/>
        <v>36158.400000000001</v>
      </c>
      <c r="J168" s="28">
        <v>6.4614944444444405E-2</v>
      </c>
      <c r="K168" s="20">
        <f t="shared" si="300"/>
        <v>4339.0079999999998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8.0352000000000021E-2</v>
      </c>
      <c r="O168" s="7">
        <f t="shared" ref="O168" si="451">H168-M168-N168</f>
        <v>0.60470638888889283</v>
      </c>
    </row>
    <row r="169" spans="1:15" x14ac:dyDescent="0.7">
      <c r="A169" s="6"/>
      <c r="B169" s="6"/>
      <c r="C169" s="3">
        <v>16</v>
      </c>
      <c r="D169" s="7">
        <v>10.45</v>
      </c>
      <c r="E169" s="4">
        <v>1.6</v>
      </c>
      <c r="F169" s="7">
        <v>10.45</v>
      </c>
      <c r="G169" s="15">
        <f t="shared" ref="G169" si="452">F169*86400</f>
        <v>902879.99999999988</v>
      </c>
      <c r="H169" s="21">
        <f t="shared" ref="H169" si="453">G169/1000000</f>
        <v>0.9028799999999999</v>
      </c>
      <c r="I169" s="20">
        <f t="shared" si="299"/>
        <v>40629.599999999991</v>
      </c>
      <c r="J169" s="28">
        <v>6.4994394444444395E-2</v>
      </c>
      <c r="K169" s="20">
        <f t="shared" si="300"/>
        <v>4875.5519999999988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9.0287999999999993E-2</v>
      </c>
      <c r="O169" s="7">
        <f t="shared" ref="O169" si="455">H169-M169-N169</f>
        <v>0.69338040555555924</v>
      </c>
    </row>
    <row r="170" spans="1:15" x14ac:dyDescent="0.7">
      <c r="A170" s="6"/>
      <c r="B170" s="6"/>
      <c r="C170" s="6">
        <v>17</v>
      </c>
      <c r="D170" s="7">
        <v>9.2200000000000006</v>
      </c>
      <c r="E170" s="4">
        <v>0.8</v>
      </c>
      <c r="F170" s="7">
        <v>9.2200000000000006</v>
      </c>
      <c r="G170" s="15">
        <f t="shared" ref="G170" si="456">F170*86400</f>
        <v>796608</v>
      </c>
      <c r="H170" s="21">
        <f t="shared" ref="H170" si="457">G170/1000000</f>
        <v>0.79660799999999998</v>
      </c>
      <c r="I170" s="20">
        <f t="shared" si="299"/>
        <v>35847.360000000001</v>
      </c>
      <c r="J170" s="28">
        <v>6.5373844444444398E-2</v>
      </c>
      <c r="K170" s="20">
        <f t="shared" si="300"/>
        <v>4301.6831999999995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7.9660800000000004E-2</v>
      </c>
      <c r="O170" s="7">
        <f t="shared" ref="O170" si="459">H170-M170-N170</f>
        <v>0.59698562222222606</v>
      </c>
    </row>
    <row r="171" spans="1:15" x14ac:dyDescent="0.7">
      <c r="A171" s="6"/>
      <c r="B171" s="6"/>
      <c r="C171" s="6">
        <v>18</v>
      </c>
      <c r="D171" s="7">
        <v>11.76</v>
      </c>
      <c r="E171" s="4">
        <v>21.5</v>
      </c>
      <c r="F171" s="7">
        <v>11.76</v>
      </c>
      <c r="G171" s="15">
        <f t="shared" ref="G171" si="460">F171*86400</f>
        <v>1016064</v>
      </c>
      <c r="H171" s="21">
        <f t="shared" ref="H171" si="461">G171/1000000</f>
        <v>1.0160640000000001</v>
      </c>
      <c r="I171" s="20">
        <f t="shared" si="299"/>
        <v>45722.880000000005</v>
      </c>
      <c r="J171" s="28">
        <v>6.5753294444444402E-2</v>
      </c>
      <c r="K171" s="20">
        <f t="shared" si="300"/>
        <v>5486.7456000000002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0.10160640000000001</v>
      </c>
      <c r="O171" s="7">
        <f t="shared" ref="O171" si="463">H171-M171-N171</f>
        <v>0.79374603888889295</v>
      </c>
    </row>
    <row r="172" spans="1:15" x14ac:dyDescent="0.7">
      <c r="A172" s="6"/>
      <c r="B172" s="6"/>
      <c r="C172" s="3">
        <v>19</v>
      </c>
      <c r="D172" s="7">
        <v>10.78</v>
      </c>
      <c r="E172" s="4">
        <v>3</v>
      </c>
      <c r="F172" s="7">
        <v>10.78</v>
      </c>
      <c r="G172" s="15">
        <f t="shared" ref="G172" si="464">F172*86400</f>
        <v>931392</v>
      </c>
      <c r="H172" s="21">
        <f t="shared" ref="H172" si="465">G172/1000000</f>
        <v>0.931392</v>
      </c>
      <c r="I172" s="20">
        <f t="shared" si="299"/>
        <v>41912.639999999999</v>
      </c>
      <c r="J172" s="28">
        <v>6.6132744444444405E-2</v>
      </c>
      <c r="K172" s="20">
        <f t="shared" si="300"/>
        <v>5029.5167999999994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9.3139200000000005E-2</v>
      </c>
      <c r="O172" s="7">
        <f t="shared" ref="O172" si="467">H172-M172-N172</f>
        <v>0.71679125555555956</v>
      </c>
    </row>
    <row r="173" spans="1:15" x14ac:dyDescent="0.7">
      <c r="A173" s="6"/>
      <c r="B173" s="6"/>
      <c r="C173" s="6">
        <v>20</v>
      </c>
      <c r="D173" s="7">
        <v>13.87</v>
      </c>
      <c r="E173" s="4">
        <v>1.7</v>
      </c>
      <c r="F173" s="7">
        <v>13.87</v>
      </c>
      <c r="G173" s="15">
        <f t="shared" ref="G173" si="468">F173*86400</f>
        <v>1198368</v>
      </c>
      <c r="H173" s="21">
        <f t="shared" ref="H173" si="469">G173/1000000</f>
        <v>1.1983680000000001</v>
      </c>
      <c r="I173" s="20">
        <f t="shared" si="299"/>
        <v>53926.559999999998</v>
      </c>
      <c r="J173" s="28">
        <v>6.6512194444444395E-2</v>
      </c>
      <c r="K173" s="20">
        <f t="shared" si="300"/>
        <v>6471.1871999999994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0.11983680000000002</v>
      </c>
      <c r="O173" s="7">
        <f t="shared" ref="O173" si="471">H173-M173-N173</f>
        <v>0.95631967222222625</v>
      </c>
    </row>
    <row r="174" spans="1:15" x14ac:dyDescent="0.7">
      <c r="A174" s="6"/>
      <c r="B174" s="6"/>
      <c r="C174" s="6">
        <v>21</v>
      </c>
      <c r="D174" s="7">
        <v>10.52</v>
      </c>
      <c r="E174" s="4">
        <v>0</v>
      </c>
      <c r="F174" s="7">
        <v>10.52</v>
      </c>
      <c r="G174" s="15">
        <f t="shared" ref="G174" si="472">F174*86400</f>
        <v>908928</v>
      </c>
      <c r="H174" s="21">
        <f t="shared" ref="H174" si="473">G174/1000000</f>
        <v>0.90892799999999996</v>
      </c>
      <c r="I174" s="20">
        <f t="shared" si="299"/>
        <v>40901.760000000002</v>
      </c>
      <c r="J174" s="28">
        <v>6.6891644444444398E-2</v>
      </c>
      <c r="K174" s="20">
        <f t="shared" si="300"/>
        <v>4908.2111999999997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9.0892799999999996E-2</v>
      </c>
      <c r="O174" s="7">
        <f t="shared" ref="O174" si="475">H174-M174-N174</f>
        <v>0.69507368888889287</v>
      </c>
    </row>
    <row r="175" spans="1:15" x14ac:dyDescent="0.7">
      <c r="A175" s="6"/>
      <c r="B175" s="6"/>
      <c r="C175" s="3">
        <v>22</v>
      </c>
      <c r="D175" s="7">
        <v>10.49</v>
      </c>
      <c r="E175" s="4">
        <v>0.4</v>
      </c>
      <c r="F175" s="7">
        <v>10.49</v>
      </c>
      <c r="G175" s="15">
        <f t="shared" ref="G175" si="476">F175*86400</f>
        <v>906336</v>
      </c>
      <c r="H175" s="21">
        <f t="shared" ref="H175" si="477">G175/1000000</f>
        <v>0.90633600000000003</v>
      </c>
      <c r="I175" s="20">
        <f t="shared" si="299"/>
        <v>40785.119999999995</v>
      </c>
      <c r="J175" s="28">
        <v>6.7271094444444401E-2</v>
      </c>
      <c r="K175" s="20">
        <f t="shared" si="300"/>
        <v>4894.2143999999989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9.0633600000000009E-2</v>
      </c>
      <c r="O175" s="7">
        <f t="shared" ref="O175" si="479">H175-M175-N175</f>
        <v>0.69199090555555964</v>
      </c>
    </row>
    <row r="176" spans="1:15" x14ac:dyDescent="0.7">
      <c r="A176" s="6"/>
      <c r="B176" s="6"/>
      <c r="C176" s="6">
        <v>23</v>
      </c>
      <c r="D176" s="7">
        <v>10.19</v>
      </c>
      <c r="E176" s="4">
        <v>0.7</v>
      </c>
      <c r="F176" s="7">
        <v>10.19</v>
      </c>
      <c r="G176" s="15">
        <f t="shared" ref="G176" si="480">F176*86400</f>
        <v>880416</v>
      </c>
      <c r="H176" s="21">
        <f t="shared" ref="H176" si="481">G176/1000000</f>
        <v>0.88041599999999998</v>
      </c>
      <c r="I176" s="20">
        <f t="shared" si="299"/>
        <v>39618.720000000001</v>
      </c>
      <c r="J176" s="28">
        <v>6.7650544444444405E-2</v>
      </c>
      <c r="K176" s="20">
        <f t="shared" si="300"/>
        <v>4754.2464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8.8041599999999998E-2</v>
      </c>
      <c r="O176" s="7">
        <f t="shared" ref="O176" si="483">H176-M176-N176</f>
        <v>0.6679129222222262</v>
      </c>
    </row>
    <row r="177" spans="1:15" x14ac:dyDescent="0.7">
      <c r="A177" s="6"/>
      <c r="B177" s="6"/>
      <c r="C177" s="6">
        <v>24</v>
      </c>
      <c r="D177" s="7">
        <v>14.43</v>
      </c>
      <c r="E177" s="4">
        <v>13.9</v>
      </c>
      <c r="F177" s="7">
        <v>14.43</v>
      </c>
      <c r="G177" s="15">
        <f t="shared" ref="G177" si="484">F177*86400</f>
        <v>1246752</v>
      </c>
      <c r="H177" s="21">
        <f t="shared" ref="H177" si="485">G177/1000000</f>
        <v>1.2467520000000001</v>
      </c>
      <c r="I177" s="20">
        <f t="shared" si="299"/>
        <v>56103.839999999997</v>
      </c>
      <c r="J177" s="28">
        <v>6.8029994444444394E-2</v>
      </c>
      <c r="K177" s="20">
        <f t="shared" si="300"/>
        <v>6732.4607999999989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0.12467520000000001</v>
      </c>
      <c r="O177" s="7">
        <f t="shared" ref="O177" si="487">H177-M177-N177</f>
        <v>0.99686533888889306</v>
      </c>
    </row>
    <row r="178" spans="1:15" x14ac:dyDescent="0.7">
      <c r="A178" s="6"/>
      <c r="B178" s="6"/>
      <c r="C178" s="3">
        <v>25</v>
      </c>
      <c r="D178" s="7">
        <v>14.74</v>
      </c>
      <c r="E178" s="4">
        <v>0.3</v>
      </c>
      <c r="F178" s="7">
        <v>14.74</v>
      </c>
      <c r="G178" s="15">
        <f t="shared" ref="G178" si="488">F178*86400</f>
        <v>1273536</v>
      </c>
      <c r="H178" s="21">
        <f t="shared" ref="H178" si="489">G178/1000000</f>
        <v>1.273536</v>
      </c>
      <c r="I178" s="20">
        <f t="shared" si="299"/>
        <v>57309.119999999995</v>
      </c>
      <c r="J178" s="28">
        <v>6.8409444444444398E-2</v>
      </c>
      <c r="K178" s="20">
        <f t="shared" si="300"/>
        <v>6877.094399999999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0.12735360000000001</v>
      </c>
      <c r="O178" s="7">
        <f t="shared" ref="O178" si="491">H178-M178-N178</f>
        <v>1.0202209555555597</v>
      </c>
    </row>
    <row r="179" spans="1:15" x14ac:dyDescent="0.7">
      <c r="A179" s="6"/>
      <c r="B179" s="6"/>
      <c r="C179" s="6">
        <v>26</v>
      </c>
      <c r="D179" s="7">
        <v>10.86</v>
      </c>
      <c r="E179" s="4">
        <v>0</v>
      </c>
      <c r="F179" s="7">
        <v>10.86</v>
      </c>
      <c r="G179" s="15">
        <f t="shared" ref="G179" si="492">F179*86400</f>
        <v>938304</v>
      </c>
      <c r="H179" s="21">
        <f t="shared" ref="H179" si="493">G179/1000000</f>
        <v>0.93830400000000003</v>
      </c>
      <c r="I179" s="20">
        <f t="shared" si="299"/>
        <v>42223.68</v>
      </c>
      <c r="J179" s="28">
        <v>6.8788894444444401E-2</v>
      </c>
      <c r="K179" s="20">
        <f t="shared" si="300"/>
        <v>5066.8415999999997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9.3830400000000008E-2</v>
      </c>
      <c r="O179" s="7">
        <f t="shared" ref="O179" si="495">H179-M179-N179</f>
        <v>0.71776217222222638</v>
      </c>
    </row>
    <row r="180" spans="1:15" x14ac:dyDescent="0.7">
      <c r="A180" s="6"/>
      <c r="B180" s="6"/>
      <c r="C180" s="6">
        <v>27</v>
      </c>
      <c r="D180" s="7">
        <v>11.76</v>
      </c>
      <c r="E180" s="4">
        <v>25.3</v>
      </c>
      <c r="F180" s="7">
        <v>11.76</v>
      </c>
      <c r="G180" s="15">
        <f t="shared" ref="G180" si="496">F180*86400</f>
        <v>1016064</v>
      </c>
      <c r="H180" s="21">
        <f t="shared" ref="H180" si="497">G180/1000000</f>
        <v>1.0160640000000001</v>
      </c>
      <c r="I180" s="20">
        <f t="shared" si="299"/>
        <v>45722.880000000005</v>
      </c>
      <c r="J180" s="28">
        <v>6.9168344444444405E-2</v>
      </c>
      <c r="K180" s="20">
        <f t="shared" si="300"/>
        <v>5486.7456000000002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0.10160640000000001</v>
      </c>
      <c r="O180" s="7">
        <f t="shared" ref="O180" si="499">H180-M180-N180</f>
        <v>0.78699618888889322</v>
      </c>
    </row>
    <row r="181" spans="1:15" x14ac:dyDescent="0.7">
      <c r="A181" s="12"/>
      <c r="B181" s="12"/>
      <c r="C181" s="43">
        <v>28</v>
      </c>
      <c r="D181" s="30">
        <v>16.63</v>
      </c>
      <c r="E181" s="4">
        <v>14.1</v>
      </c>
      <c r="F181" s="30">
        <v>16.63</v>
      </c>
      <c r="G181" s="31">
        <f t="shared" ref="G181" si="500">F181*86400</f>
        <v>1436832</v>
      </c>
      <c r="H181" s="32">
        <f t="shared" ref="H181" si="501">G181/1000000</f>
        <v>1.4368320000000001</v>
      </c>
      <c r="I181" s="20">
        <f t="shared" si="299"/>
        <v>64657.439999999995</v>
      </c>
      <c r="J181" s="34">
        <v>6.9547794444444394E-2</v>
      </c>
      <c r="K181" s="20">
        <f t="shared" si="300"/>
        <v>7758.8927999999987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0.14368320000000001</v>
      </c>
      <c r="O181" s="30">
        <f t="shared" ref="O181" si="503">H181-M181-N181</f>
        <v>1.1649374055555599</v>
      </c>
    </row>
    <row r="182" spans="1:15" s="37" customFormat="1" x14ac:dyDescent="0.7">
      <c r="A182" s="6"/>
      <c r="B182" s="6"/>
      <c r="C182" s="6">
        <v>29</v>
      </c>
      <c r="D182" s="7">
        <v>22.669999999999998</v>
      </c>
      <c r="E182" s="4">
        <v>4.8</v>
      </c>
      <c r="F182" s="7">
        <v>22.669999999999998</v>
      </c>
      <c r="G182" s="35">
        <f t="shared" ref="G182" si="504">F182*86400</f>
        <v>1958687.9999999998</v>
      </c>
      <c r="H182" s="20">
        <f t="shared" ref="H182" si="505">G182/1000000</f>
        <v>1.9586879999999998</v>
      </c>
      <c r="I182" s="20">
        <f t="shared" si="299"/>
        <v>88140.959999999992</v>
      </c>
      <c r="J182" s="28">
        <v>6.9927244444444397E-2</v>
      </c>
      <c r="K182" s="20">
        <f t="shared" si="300"/>
        <v>10576.915199999999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0.19586879999999998</v>
      </c>
      <c r="O182" s="7">
        <f t="shared" ref="O182" si="507">H182-M182-N182</f>
        <v>1.6338578222222262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18.25</v>
      </c>
      <c r="E183" s="19">
        <v>0</v>
      </c>
      <c r="F183" s="19">
        <v>18.25</v>
      </c>
      <c r="G183" s="26">
        <f t="shared" ref="G183" si="508">F183*86400</f>
        <v>1576800</v>
      </c>
      <c r="H183" s="27">
        <f t="shared" ref="H183" si="509">G183/1000000</f>
        <v>1.5768</v>
      </c>
      <c r="I183" s="22">
        <f t="shared" si="299"/>
        <v>70956</v>
      </c>
      <c r="J183" s="39">
        <v>7.0306694444444401E-2</v>
      </c>
      <c r="K183" s="22">
        <f t="shared" si="300"/>
        <v>8514.7199999999993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0.15768000000000001</v>
      </c>
      <c r="O183" s="19">
        <f t="shared" ref="O183" si="511">H183-M183-N183</f>
        <v>1.2894086388888932</v>
      </c>
    </row>
    <row r="184" spans="1:15" x14ac:dyDescent="0.7">
      <c r="A184" s="3"/>
      <c r="B184" s="3" t="s">
        <v>21</v>
      </c>
      <c r="C184" s="3">
        <v>1</v>
      </c>
      <c r="D184" s="4">
        <v>19.8</v>
      </c>
      <c r="E184" s="4">
        <v>0.7</v>
      </c>
      <c r="F184" s="4">
        <v>19.8</v>
      </c>
      <c r="G184" s="15">
        <f t="shared" ref="G184" si="512">F184*86400</f>
        <v>1710720</v>
      </c>
      <c r="H184" s="21">
        <f t="shared" ref="H184" si="513">G184/1000000</f>
        <v>1.71072</v>
      </c>
      <c r="I184" s="21">
        <f t="shared" si="299"/>
        <v>76982.399999999994</v>
      </c>
      <c r="J184" s="25">
        <v>7.0686144444444404E-2</v>
      </c>
      <c r="K184" s="21">
        <f t="shared" si="300"/>
        <v>9237.887999999999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0.171072</v>
      </c>
      <c r="O184" s="4">
        <f t="shared" ref="O184" si="515">H184-M184-N184</f>
        <v>1.4091866555555601</v>
      </c>
    </row>
    <row r="185" spans="1:15" x14ac:dyDescent="0.7">
      <c r="A185" s="6"/>
      <c r="B185" s="6"/>
      <c r="C185" s="6">
        <v>2</v>
      </c>
      <c r="D185" s="7">
        <v>14.97</v>
      </c>
      <c r="E185" s="4">
        <v>11.1</v>
      </c>
      <c r="F185" s="7">
        <v>14.97</v>
      </c>
      <c r="G185" s="15">
        <f t="shared" ref="G185" si="516">F185*86400</f>
        <v>1293408</v>
      </c>
      <c r="H185" s="21">
        <f t="shared" ref="H185" si="517">G185/1000000</f>
        <v>1.2934079999999999</v>
      </c>
      <c r="I185" s="20">
        <f t="shared" si="299"/>
        <v>58203.360000000001</v>
      </c>
      <c r="J185" s="28">
        <v>7.1065594444444394E-2</v>
      </c>
      <c r="K185" s="20">
        <f t="shared" si="300"/>
        <v>6984.4031999999997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0.12934080000000001</v>
      </c>
      <c r="O185" s="7">
        <f t="shared" ref="O185" si="519">H185-M185-N185</f>
        <v>1.0328558722222265</v>
      </c>
    </row>
    <row r="186" spans="1:15" x14ac:dyDescent="0.7">
      <c r="A186" s="6"/>
      <c r="B186" s="6"/>
      <c r="C186" s="6">
        <v>3</v>
      </c>
      <c r="D186" s="7">
        <v>36.67</v>
      </c>
      <c r="E186" s="4">
        <v>10.8</v>
      </c>
      <c r="F186" s="7">
        <v>36.67</v>
      </c>
      <c r="G186" s="15">
        <f t="shared" ref="G186" si="520">F186*86400</f>
        <v>3168288</v>
      </c>
      <c r="H186" s="21">
        <f t="shared" ref="H186" si="521">G186/1000000</f>
        <v>3.168288</v>
      </c>
      <c r="I186" s="20">
        <f t="shared" si="299"/>
        <v>142572.96</v>
      </c>
      <c r="J186" s="28">
        <v>7.1445044444444397E-2</v>
      </c>
      <c r="K186" s="20">
        <f t="shared" si="300"/>
        <v>17108.7552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0.31682880000000002</v>
      </c>
      <c r="O186" s="7">
        <f t="shared" ref="O186" si="523">H186-M186-N186</f>
        <v>2.7194978888888932</v>
      </c>
    </row>
    <row r="187" spans="1:15" x14ac:dyDescent="0.7">
      <c r="A187" s="6"/>
      <c r="B187" s="6"/>
      <c r="C187" s="3">
        <v>4</v>
      </c>
      <c r="D187" s="7">
        <v>34.97</v>
      </c>
      <c r="E187" s="4">
        <v>0</v>
      </c>
      <c r="F187" s="7">
        <v>34.97</v>
      </c>
      <c r="G187" s="15">
        <f t="shared" ref="G187" si="524">F187*86400</f>
        <v>3021408</v>
      </c>
      <c r="H187" s="21">
        <f t="shared" ref="H187" si="525">G187/1000000</f>
        <v>3.0214080000000001</v>
      </c>
      <c r="I187" s="20">
        <f t="shared" si="299"/>
        <v>135963.35999999999</v>
      </c>
      <c r="J187" s="28">
        <v>7.1824494444444401E-2</v>
      </c>
      <c r="K187" s="20">
        <f t="shared" si="300"/>
        <v>16315.603199999998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0.30214080000000004</v>
      </c>
      <c r="O187" s="7">
        <f t="shared" ref="O187" si="527">H187-M187-N187</f>
        <v>2.58655590555556</v>
      </c>
    </row>
    <row r="188" spans="1:15" x14ac:dyDescent="0.7">
      <c r="A188" s="6"/>
      <c r="B188" s="6"/>
      <c r="C188" s="6">
        <v>5</v>
      </c>
      <c r="D188" s="7">
        <v>19.27</v>
      </c>
      <c r="E188" s="4">
        <v>12.8</v>
      </c>
      <c r="F188" s="7">
        <v>19.27</v>
      </c>
      <c r="G188" s="15">
        <f t="shared" ref="G188" si="528">F188*86400</f>
        <v>1664928</v>
      </c>
      <c r="H188" s="21">
        <f t="shared" ref="H188" si="529">G188/1000000</f>
        <v>1.664928</v>
      </c>
      <c r="I188" s="20">
        <f t="shared" si="299"/>
        <v>74921.759999999995</v>
      </c>
      <c r="J188" s="28">
        <v>7.2203944444444404E-2</v>
      </c>
      <c r="K188" s="20">
        <f t="shared" si="300"/>
        <v>8990.6111999999994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0.1664928</v>
      </c>
      <c r="O188" s="7">
        <f t="shared" ref="O188" si="531">H188-M188-N188</f>
        <v>1.3649739222222266</v>
      </c>
    </row>
    <row r="189" spans="1:15" x14ac:dyDescent="0.7">
      <c r="A189" s="6"/>
      <c r="B189" s="6"/>
      <c r="C189" s="6">
        <v>6</v>
      </c>
      <c r="D189" s="7">
        <v>18.739999999999998</v>
      </c>
      <c r="E189" s="4">
        <v>0</v>
      </c>
      <c r="F189" s="7">
        <v>18.739999999999998</v>
      </c>
      <c r="G189" s="15">
        <f t="shared" ref="G189" si="532">F189*86400</f>
        <v>1619135.9999999998</v>
      </c>
      <c r="H189" s="21">
        <f t="shared" ref="H189" si="533">G189/1000000</f>
        <v>1.6191359999999997</v>
      </c>
      <c r="I189" s="20">
        <f t="shared" si="299"/>
        <v>72861.119999999981</v>
      </c>
      <c r="J189" s="28">
        <v>7.2583394444444393E-2</v>
      </c>
      <c r="K189" s="20">
        <f t="shared" si="300"/>
        <v>8743.3343999999979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0.16191359999999999</v>
      </c>
      <c r="O189" s="7">
        <f t="shared" ref="O189" si="535">H189-M189-N189</f>
        <v>1.323011138888893</v>
      </c>
    </row>
    <row r="190" spans="1:15" x14ac:dyDescent="0.7">
      <c r="A190" s="6"/>
      <c r="B190" s="6"/>
      <c r="C190" s="3">
        <v>7</v>
      </c>
      <c r="D190" s="7">
        <v>17.93</v>
      </c>
      <c r="E190" s="4">
        <v>1</v>
      </c>
      <c r="F190" s="7">
        <v>17.93</v>
      </c>
      <c r="G190" s="15">
        <f t="shared" ref="G190" si="536">F190*86400</f>
        <v>1549152</v>
      </c>
      <c r="H190" s="21">
        <f t="shared" ref="H190" si="537">G190/1000000</f>
        <v>1.5491520000000001</v>
      </c>
      <c r="I190" s="20">
        <f t="shared" si="299"/>
        <v>69711.839999999997</v>
      </c>
      <c r="J190" s="28">
        <v>7.2962844444444397E-2</v>
      </c>
      <c r="K190" s="20">
        <f t="shared" si="300"/>
        <v>8365.4207999999999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0.15491520000000003</v>
      </c>
      <c r="O190" s="7">
        <f t="shared" ref="O190" si="539">H190-M190-N190</f>
        <v>1.2592755555555601</v>
      </c>
    </row>
    <row r="191" spans="1:15" x14ac:dyDescent="0.7">
      <c r="A191" s="6"/>
      <c r="B191" s="6"/>
      <c r="C191" s="6">
        <v>8</v>
      </c>
      <c r="D191" s="7">
        <v>16.87</v>
      </c>
      <c r="E191" s="4">
        <v>16.5</v>
      </c>
      <c r="F191" s="7">
        <v>16.87</v>
      </c>
      <c r="G191" s="15">
        <f t="shared" ref="G191" si="540">F191*86400</f>
        <v>1457568</v>
      </c>
      <c r="H191" s="21">
        <f t="shared" ref="H191" si="541">G191/1000000</f>
        <v>1.457568</v>
      </c>
      <c r="I191" s="20">
        <f t="shared" si="299"/>
        <v>65590.559999999998</v>
      </c>
      <c r="J191" s="28">
        <v>7.33422944444444E-2</v>
      </c>
      <c r="K191" s="20">
        <f t="shared" si="300"/>
        <v>7870.8671999999997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0.14575679999999999</v>
      </c>
      <c r="O191" s="7">
        <f t="shared" ref="O191" si="543">H191-M191-N191</f>
        <v>1.1760999722222267</v>
      </c>
    </row>
    <row r="192" spans="1:15" x14ac:dyDescent="0.7">
      <c r="A192" s="6"/>
      <c r="B192" s="6"/>
      <c r="C192" s="6">
        <v>9</v>
      </c>
      <c r="D192" s="7">
        <v>14.57</v>
      </c>
      <c r="E192" s="4">
        <v>0</v>
      </c>
      <c r="F192" s="7">
        <v>14.57</v>
      </c>
      <c r="G192" s="15">
        <f t="shared" ref="G192" si="544">F192*86400</f>
        <v>1258848</v>
      </c>
      <c r="H192" s="21">
        <f t="shared" ref="H192" si="545">G192/1000000</f>
        <v>1.258848</v>
      </c>
      <c r="I192" s="20">
        <f t="shared" si="299"/>
        <v>56648.159999999996</v>
      </c>
      <c r="J192" s="28">
        <v>7.3721744444444404E-2</v>
      </c>
      <c r="K192" s="20">
        <f t="shared" si="300"/>
        <v>6797.779199999999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0.12588479999999999</v>
      </c>
      <c r="O192" s="7">
        <f t="shared" ref="O192" si="547">H192-M192-N192</f>
        <v>0.99650198888889341</v>
      </c>
    </row>
    <row r="193" spans="1:15" x14ac:dyDescent="0.7">
      <c r="A193" s="6"/>
      <c r="B193" s="6"/>
      <c r="C193" s="3">
        <v>10</v>
      </c>
      <c r="D193" s="7">
        <v>13.69</v>
      </c>
      <c r="E193" s="4">
        <v>0</v>
      </c>
      <c r="F193" s="7">
        <v>13.69</v>
      </c>
      <c r="G193" s="15">
        <f t="shared" ref="G193" si="548">F193*86400</f>
        <v>1182816</v>
      </c>
      <c r="H193" s="21">
        <f t="shared" ref="H193" si="549">G193/1000000</f>
        <v>1.1828160000000001</v>
      </c>
      <c r="I193" s="20">
        <f t="shared" si="299"/>
        <v>53226.720000000001</v>
      </c>
      <c r="J193" s="28">
        <v>7.4101194444444393E-2</v>
      </c>
      <c r="K193" s="20">
        <f t="shared" si="300"/>
        <v>6387.2064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0.11828160000000001</v>
      </c>
      <c r="O193" s="7">
        <f t="shared" ref="O193" si="551">H193-M193-N193</f>
        <v>0.92732320555556025</v>
      </c>
    </row>
    <row r="194" spans="1:15" x14ac:dyDescent="0.7">
      <c r="A194" s="6"/>
      <c r="B194" s="6"/>
      <c r="C194" s="6">
        <v>11</v>
      </c>
      <c r="D194" s="7">
        <v>14.57</v>
      </c>
      <c r="E194" s="4">
        <v>0</v>
      </c>
      <c r="F194" s="7">
        <v>14.57</v>
      </c>
      <c r="G194" s="15">
        <f t="shared" ref="G194" si="552">F194*86400</f>
        <v>1258848</v>
      </c>
      <c r="H194" s="21">
        <f t="shared" ref="H194" si="553">G194/1000000</f>
        <v>1.258848</v>
      </c>
      <c r="I194" s="20">
        <f t="shared" si="299"/>
        <v>56648.159999999996</v>
      </c>
      <c r="J194" s="28">
        <v>7.4480644444444397E-2</v>
      </c>
      <c r="K194" s="20">
        <f t="shared" si="300"/>
        <v>6797.779199999999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0.12588479999999999</v>
      </c>
      <c r="O194" s="7">
        <f t="shared" ref="O194" si="555">H194-M194-N194</f>
        <v>0.99500202222222678</v>
      </c>
    </row>
    <row r="195" spans="1:15" x14ac:dyDescent="0.7">
      <c r="A195" s="6"/>
      <c r="B195" s="6"/>
      <c r="C195" s="6">
        <v>12</v>
      </c>
      <c r="D195" s="7">
        <v>13.69</v>
      </c>
      <c r="E195" s="4">
        <v>1.2</v>
      </c>
      <c r="F195" s="7">
        <v>13.69</v>
      </c>
      <c r="G195" s="15">
        <f t="shared" ref="G195" si="556">F195*86400</f>
        <v>1182816</v>
      </c>
      <c r="H195" s="21">
        <f t="shared" ref="H195" si="557">G195/1000000</f>
        <v>1.1828160000000001</v>
      </c>
      <c r="I195" s="20">
        <f t="shared" ref="I195:I258" si="558">H195*1000000*0.045</f>
        <v>53226.720000000001</v>
      </c>
      <c r="J195" s="28">
        <v>7.48600944444444E-2</v>
      </c>
      <c r="K195" s="20">
        <f t="shared" ref="K195:K258" si="559">I195*0.12</f>
        <v>6387.2064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0.11828160000000001</v>
      </c>
      <c r="O195" s="7">
        <f t="shared" ref="O195" si="562">H195-M195-N195</f>
        <v>0.92582323888889362</v>
      </c>
    </row>
    <row r="196" spans="1:15" x14ac:dyDescent="0.7">
      <c r="A196" s="6"/>
      <c r="B196" s="6"/>
      <c r="C196" s="3">
        <v>13</v>
      </c>
      <c r="D196" s="7">
        <v>14.82</v>
      </c>
      <c r="E196" s="4">
        <v>17.8</v>
      </c>
      <c r="F196" s="7">
        <v>14.82</v>
      </c>
      <c r="G196" s="15">
        <f t="shared" ref="G196" si="563">F196*86400</f>
        <v>1280448</v>
      </c>
      <c r="H196" s="21">
        <f t="shared" ref="H196" si="564">G196/1000000</f>
        <v>1.280448</v>
      </c>
      <c r="I196" s="20">
        <f t="shared" si="558"/>
        <v>57620.159999999996</v>
      </c>
      <c r="J196" s="28">
        <v>7.5239544444444403E-2</v>
      </c>
      <c r="K196" s="20">
        <f t="shared" si="559"/>
        <v>6914.4191999999994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0.12804480000000001</v>
      </c>
      <c r="O196" s="7">
        <f t="shared" ref="O196" si="566">H196-M196-N196</f>
        <v>1.0129420555555604</v>
      </c>
    </row>
    <row r="197" spans="1:15" x14ac:dyDescent="0.7">
      <c r="A197" s="6"/>
      <c r="B197" s="6"/>
      <c r="C197" s="6">
        <v>14</v>
      </c>
      <c r="D197" s="7">
        <v>23.12</v>
      </c>
      <c r="E197" s="4">
        <v>0</v>
      </c>
      <c r="F197" s="7">
        <v>23.12</v>
      </c>
      <c r="G197" s="15">
        <f t="shared" ref="G197" si="567">F197*86400</f>
        <v>1997568</v>
      </c>
      <c r="H197" s="21">
        <f t="shared" ref="H197" si="568">G197/1000000</f>
        <v>1.997568</v>
      </c>
      <c r="I197" s="20">
        <f t="shared" si="558"/>
        <v>89890.559999999998</v>
      </c>
      <c r="J197" s="28">
        <v>7.5618994444444407E-2</v>
      </c>
      <c r="K197" s="20">
        <f t="shared" si="559"/>
        <v>10786.867199999999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0.19975680000000001</v>
      </c>
      <c r="O197" s="7">
        <f t="shared" ref="O197" si="570">H197-M197-N197</f>
        <v>1.6576000722222271</v>
      </c>
    </row>
    <row r="198" spans="1:15" x14ac:dyDescent="0.7">
      <c r="A198" s="6"/>
      <c r="B198" s="6"/>
      <c r="C198" s="6">
        <v>15</v>
      </c>
      <c r="D198" s="7">
        <v>19.29</v>
      </c>
      <c r="E198" s="4">
        <v>0</v>
      </c>
      <c r="F198" s="7">
        <v>19.29</v>
      </c>
      <c r="G198" s="15">
        <f t="shared" ref="G198" si="571">F198*86400</f>
        <v>1666656</v>
      </c>
      <c r="H198" s="21">
        <f t="shared" ref="H198" si="572">G198/1000000</f>
        <v>1.6666559999999999</v>
      </c>
      <c r="I198" s="20">
        <f t="shared" si="558"/>
        <v>74999.520000000004</v>
      </c>
      <c r="J198" s="28">
        <v>7.5998444444444396E-2</v>
      </c>
      <c r="K198" s="20">
        <f t="shared" si="559"/>
        <v>8999.9423999999999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0.1666656</v>
      </c>
      <c r="O198" s="7">
        <f t="shared" ref="O198" si="574">H198-M198-N198</f>
        <v>1.3590292888888937</v>
      </c>
    </row>
    <row r="199" spans="1:15" x14ac:dyDescent="0.7">
      <c r="A199" s="6"/>
      <c r="B199" s="6"/>
      <c r="C199" s="3">
        <v>16</v>
      </c>
      <c r="D199" s="7">
        <v>16.649999999999999</v>
      </c>
      <c r="E199" s="4">
        <v>0</v>
      </c>
      <c r="F199" s="7">
        <v>16.649999999999999</v>
      </c>
      <c r="G199" s="15">
        <f t="shared" ref="G199" si="575">F199*86400</f>
        <v>1438559.9999999998</v>
      </c>
      <c r="H199" s="21">
        <f t="shared" ref="H199" si="576">G199/1000000</f>
        <v>1.4385599999999998</v>
      </c>
      <c r="I199" s="20">
        <f t="shared" si="558"/>
        <v>64735.19999999999</v>
      </c>
      <c r="J199" s="28">
        <v>7.63778944444444E-2</v>
      </c>
      <c r="K199" s="20">
        <f t="shared" si="559"/>
        <v>7768.2239999999983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0.14385599999999998</v>
      </c>
      <c r="O199" s="7">
        <f t="shared" ref="O199" si="578">H199-M199-N199</f>
        <v>1.1529929055555603</v>
      </c>
    </row>
    <row r="200" spans="1:15" x14ac:dyDescent="0.7">
      <c r="A200" s="6"/>
      <c r="B200" s="6"/>
      <c r="C200" s="6">
        <v>17</v>
      </c>
      <c r="D200" s="7">
        <v>13.96</v>
      </c>
      <c r="E200" s="4">
        <v>0</v>
      </c>
      <c r="F200" s="7">
        <v>13.96</v>
      </c>
      <c r="G200" s="15">
        <f t="shared" ref="G200" si="579">F200*86400</f>
        <v>1206144</v>
      </c>
      <c r="H200" s="21">
        <f t="shared" ref="H200" si="580">G200/1000000</f>
        <v>1.2061440000000001</v>
      </c>
      <c r="I200" s="20">
        <f t="shared" si="558"/>
        <v>54276.479999999996</v>
      </c>
      <c r="J200" s="28">
        <v>7.6757344444444403E-2</v>
      </c>
      <c r="K200" s="20">
        <f t="shared" si="559"/>
        <v>6513.1775999999991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0.12061440000000001</v>
      </c>
      <c r="O200" s="7">
        <f t="shared" ref="O200" si="582">H200-M200-N200</f>
        <v>0.94306852222222726</v>
      </c>
    </row>
    <row r="201" spans="1:15" x14ac:dyDescent="0.7">
      <c r="A201" s="6"/>
      <c r="B201" s="6"/>
      <c r="C201" s="6">
        <v>18</v>
      </c>
      <c r="D201" s="7">
        <v>11.62</v>
      </c>
      <c r="E201" s="4">
        <v>0</v>
      </c>
      <c r="F201" s="7">
        <v>11.62</v>
      </c>
      <c r="G201" s="15">
        <f t="shared" ref="G201" si="583">F201*86400</f>
        <v>1003967.9999999999</v>
      </c>
      <c r="H201" s="21">
        <f t="shared" ref="H201" si="584">G201/1000000</f>
        <v>1.003968</v>
      </c>
      <c r="I201" s="20">
        <f t="shared" si="558"/>
        <v>45178.559999999998</v>
      </c>
      <c r="J201" s="28">
        <v>7.7136794444444406E-2</v>
      </c>
      <c r="K201" s="20">
        <f t="shared" si="559"/>
        <v>5421.4271999999992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0.10039680000000001</v>
      </c>
      <c r="O201" s="7">
        <f t="shared" ref="O201" si="586">H201-M201-N201</f>
        <v>0.76036013888889387</v>
      </c>
    </row>
    <row r="202" spans="1:15" x14ac:dyDescent="0.7">
      <c r="A202" s="6"/>
      <c r="B202" s="6"/>
      <c r="C202" s="3">
        <v>19</v>
      </c>
      <c r="D202" s="7">
        <v>6.32</v>
      </c>
      <c r="E202" s="4">
        <v>10.4</v>
      </c>
      <c r="F202" s="7">
        <v>6.32</v>
      </c>
      <c r="G202" s="15">
        <f t="shared" ref="G202" si="587">F202*86400</f>
        <v>546048</v>
      </c>
      <c r="H202" s="21">
        <f t="shared" ref="H202" si="588">G202/1000000</f>
        <v>0.54604799999999998</v>
      </c>
      <c r="I202" s="20">
        <f t="shared" si="558"/>
        <v>24572.16</v>
      </c>
      <c r="J202" s="28">
        <v>7.7516244444444396E-2</v>
      </c>
      <c r="K202" s="20">
        <f t="shared" si="559"/>
        <v>2948.6592000000001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5.4604800000000002E-2</v>
      </c>
      <c r="O202" s="7">
        <f t="shared" ref="O202" si="590">H202-M202-N202</f>
        <v>0.3474821555555605</v>
      </c>
    </row>
    <row r="203" spans="1:15" x14ac:dyDescent="0.7">
      <c r="A203" s="6"/>
      <c r="B203" s="6"/>
      <c r="C203" s="6">
        <v>20</v>
      </c>
      <c r="D203" s="7">
        <v>5.91</v>
      </c>
      <c r="E203" s="4">
        <v>0</v>
      </c>
      <c r="F203" s="7">
        <v>5.91</v>
      </c>
      <c r="G203" s="15">
        <f t="shared" ref="G203" si="591">F203*86400</f>
        <v>510624</v>
      </c>
      <c r="H203" s="21">
        <f t="shared" ref="H203" si="592">G203/1000000</f>
        <v>0.51062399999999997</v>
      </c>
      <c r="I203" s="20">
        <f t="shared" si="558"/>
        <v>22978.079999999998</v>
      </c>
      <c r="J203" s="28">
        <v>7.7895694444444399E-2</v>
      </c>
      <c r="K203" s="20">
        <f t="shared" si="559"/>
        <v>2757.3695999999995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5.1062400000000001E-2</v>
      </c>
      <c r="O203" s="7">
        <f t="shared" ref="O203" si="594">H203-M203-N203</f>
        <v>0.31485057222222718</v>
      </c>
    </row>
    <row r="204" spans="1:15" x14ac:dyDescent="0.7">
      <c r="A204" s="6"/>
      <c r="B204" s="6"/>
      <c r="C204" s="6">
        <v>21</v>
      </c>
      <c r="D204" s="7">
        <v>5.91</v>
      </c>
      <c r="E204" s="4">
        <v>0.6</v>
      </c>
      <c r="F204" s="7">
        <v>5.91</v>
      </c>
      <c r="G204" s="15">
        <f t="shared" ref="G204" si="595">F204*86400</f>
        <v>510624</v>
      </c>
      <c r="H204" s="21">
        <f t="shared" ref="H204" si="596">G204/1000000</f>
        <v>0.51062399999999997</v>
      </c>
      <c r="I204" s="20">
        <f t="shared" si="558"/>
        <v>22978.079999999998</v>
      </c>
      <c r="J204" s="28">
        <v>7.8275144444444403E-2</v>
      </c>
      <c r="K204" s="20">
        <f t="shared" si="559"/>
        <v>2757.3695999999995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5.1062400000000001E-2</v>
      </c>
      <c r="O204" s="7">
        <f t="shared" ref="O204" si="598">H204-M204-N204</f>
        <v>0.31410058888889386</v>
      </c>
    </row>
    <row r="205" spans="1:15" x14ac:dyDescent="0.7">
      <c r="A205" s="6"/>
      <c r="B205" s="6"/>
      <c r="C205" s="3">
        <v>22</v>
      </c>
      <c r="D205" s="7">
        <v>6.13</v>
      </c>
      <c r="E205" s="4">
        <v>0</v>
      </c>
      <c r="F205" s="7">
        <v>6.13</v>
      </c>
      <c r="G205" s="15">
        <f t="shared" ref="G205" si="599">F205*86400</f>
        <v>529632</v>
      </c>
      <c r="H205" s="21">
        <f t="shared" ref="H205" si="600">G205/1000000</f>
        <v>0.52963199999999999</v>
      </c>
      <c r="I205" s="20">
        <f t="shared" si="558"/>
        <v>23833.439999999999</v>
      </c>
      <c r="J205" s="28">
        <v>7.8654594444444406E-2</v>
      </c>
      <c r="K205" s="20">
        <f t="shared" si="559"/>
        <v>2860.0127999999995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5.2963200000000002E-2</v>
      </c>
      <c r="O205" s="7">
        <f t="shared" ref="O205" si="602">H205-M205-N205</f>
        <v>0.33045780555556059</v>
      </c>
    </row>
    <row r="206" spans="1:15" x14ac:dyDescent="0.7">
      <c r="A206" s="6"/>
      <c r="B206" s="6"/>
      <c r="C206" s="6">
        <v>23</v>
      </c>
      <c r="D206" s="7">
        <v>18.53</v>
      </c>
      <c r="E206" s="4">
        <v>24.7</v>
      </c>
      <c r="F206" s="7">
        <v>18.53</v>
      </c>
      <c r="G206" s="15">
        <f t="shared" ref="G206" si="603">F206*86400</f>
        <v>1600992</v>
      </c>
      <c r="H206" s="21">
        <f t="shared" ref="H206" si="604">G206/1000000</f>
        <v>1.600992</v>
      </c>
      <c r="I206" s="20">
        <f t="shared" si="558"/>
        <v>72044.639999999999</v>
      </c>
      <c r="J206" s="28">
        <v>7.9034044444444396E-2</v>
      </c>
      <c r="K206" s="20">
        <f t="shared" si="559"/>
        <v>8645.3567999999996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0.1600992</v>
      </c>
      <c r="O206" s="7">
        <f t="shared" ref="O206" si="606">H206-M206-N206</f>
        <v>1.2939318222222274</v>
      </c>
    </row>
    <row r="207" spans="1:15" x14ac:dyDescent="0.7">
      <c r="A207" s="6"/>
      <c r="B207" s="6"/>
      <c r="C207" s="6">
        <v>24</v>
      </c>
      <c r="D207" s="7">
        <v>23.259999999999998</v>
      </c>
      <c r="E207" s="4">
        <v>6.9</v>
      </c>
      <c r="F207" s="7">
        <v>23.259999999999998</v>
      </c>
      <c r="G207" s="15">
        <f t="shared" ref="G207" si="607">F207*86400</f>
        <v>2009663.9999999998</v>
      </c>
      <c r="H207" s="21">
        <f t="shared" ref="H207" si="608">G207/1000000</f>
        <v>2.0096639999999999</v>
      </c>
      <c r="I207" s="20">
        <f t="shared" si="558"/>
        <v>90434.87999999999</v>
      </c>
      <c r="J207" s="28">
        <v>7.9413494444444399E-2</v>
      </c>
      <c r="K207" s="20">
        <f t="shared" si="559"/>
        <v>10852.185599999999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0.20096639999999999</v>
      </c>
      <c r="O207" s="7">
        <f t="shared" ref="O207" si="610">H207-M207-N207</f>
        <v>1.6609866388888939</v>
      </c>
    </row>
    <row r="208" spans="1:15" x14ac:dyDescent="0.7">
      <c r="A208" s="6"/>
      <c r="B208" s="6"/>
      <c r="C208" s="3">
        <v>25</v>
      </c>
      <c r="D208" s="7">
        <v>24.98</v>
      </c>
      <c r="E208" s="4">
        <v>1.9</v>
      </c>
      <c r="F208" s="7">
        <v>24.98</v>
      </c>
      <c r="G208" s="15">
        <f t="shared" ref="G208" si="611">F208*86400</f>
        <v>2158272</v>
      </c>
      <c r="H208" s="21">
        <f t="shared" ref="H208" si="612">G208/1000000</f>
        <v>2.1582720000000002</v>
      </c>
      <c r="I208" s="20">
        <f t="shared" si="558"/>
        <v>97122.239999999991</v>
      </c>
      <c r="J208" s="28">
        <v>7.9792944444444402E-2</v>
      </c>
      <c r="K208" s="20">
        <f t="shared" si="559"/>
        <v>11654.668799999998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0.21582720000000002</v>
      </c>
      <c r="O208" s="7">
        <f t="shared" ref="O208" si="614">H208-M208-N208</f>
        <v>1.7939838555555609</v>
      </c>
    </row>
    <row r="209" spans="1:15" x14ac:dyDescent="0.7">
      <c r="A209" s="6"/>
      <c r="B209" s="6"/>
      <c r="C209" s="6">
        <v>26</v>
      </c>
      <c r="D209" s="7">
        <v>16.260000000000002</v>
      </c>
      <c r="E209" s="4">
        <v>5.2</v>
      </c>
      <c r="F209" s="7">
        <v>16.260000000000002</v>
      </c>
      <c r="G209" s="15">
        <f t="shared" ref="G209" si="615">F209*86400</f>
        <v>1404864.0000000002</v>
      </c>
      <c r="H209" s="21">
        <f t="shared" ref="H209" si="616">G209/1000000</f>
        <v>1.4048640000000003</v>
      </c>
      <c r="I209" s="20">
        <f t="shared" si="558"/>
        <v>63218.880000000005</v>
      </c>
      <c r="J209" s="28">
        <v>8.0172394444444406E-2</v>
      </c>
      <c r="K209" s="20">
        <f t="shared" si="559"/>
        <v>7586.2656000000006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0.14048640000000004</v>
      </c>
      <c r="O209" s="7">
        <f t="shared" ref="O209" si="618">H209-M209-N209</f>
        <v>1.1151666722222275</v>
      </c>
    </row>
    <row r="210" spans="1:15" x14ac:dyDescent="0.7">
      <c r="A210" s="6"/>
      <c r="B210" s="6"/>
      <c r="C210" s="6">
        <v>27</v>
      </c>
      <c r="D210" s="7">
        <v>8.77</v>
      </c>
      <c r="E210" s="4">
        <v>0</v>
      </c>
      <c r="F210" s="7">
        <v>8.77</v>
      </c>
      <c r="G210" s="15">
        <f t="shared" ref="G210" si="619">F210*86400</f>
        <v>757728</v>
      </c>
      <c r="H210" s="21">
        <f t="shared" ref="H210" si="620">G210/1000000</f>
        <v>0.75772799999999996</v>
      </c>
      <c r="I210" s="20">
        <f t="shared" si="558"/>
        <v>34097.760000000002</v>
      </c>
      <c r="J210" s="28">
        <v>8.0551844444444395E-2</v>
      </c>
      <c r="K210" s="20">
        <f t="shared" si="559"/>
        <v>4091.7312000000002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7.5772800000000001E-2</v>
      </c>
      <c r="O210" s="7">
        <f t="shared" ref="O210" si="622">H210-M210-N210</f>
        <v>0.53199428888889411</v>
      </c>
    </row>
    <row r="211" spans="1:15" x14ac:dyDescent="0.7">
      <c r="A211" s="6"/>
      <c r="B211" s="6"/>
      <c r="C211" s="3">
        <v>28</v>
      </c>
      <c r="D211" s="7">
        <v>8.9700000000000006</v>
      </c>
      <c r="E211" s="4">
        <v>0.4</v>
      </c>
      <c r="F211" s="7">
        <v>8.9700000000000006</v>
      </c>
      <c r="G211" s="15">
        <f t="shared" ref="G211" si="623">F211*86400</f>
        <v>775008</v>
      </c>
      <c r="H211" s="21">
        <f t="shared" ref="H211" si="624">G211/1000000</f>
        <v>0.77500800000000003</v>
      </c>
      <c r="I211" s="20">
        <f t="shared" si="558"/>
        <v>34875.360000000001</v>
      </c>
      <c r="J211" s="28">
        <v>8.0931294444444399E-2</v>
      </c>
      <c r="K211" s="20">
        <f t="shared" si="559"/>
        <v>4185.0432000000001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7.7500800000000009E-2</v>
      </c>
      <c r="O211" s="7">
        <f t="shared" ref="O211" si="626">H211-M211-N211</f>
        <v>0.5467963055555608</v>
      </c>
    </row>
    <row r="212" spans="1:15" x14ac:dyDescent="0.7">
      <c r="A212" s="12"/>
      <c r="B212" s="12"/>
      <c r="C212" s="12">
        <v>29</v>
      </c>
      <c r="D212" s="30">
        <v>8.59</v>
      </c>
      <c r="E212" s="4">
        <v>5.5</v>
      </c>
      <c r="F212" s="30">
        <v>8.59</v>
      </c>
      <c r="G212" s="31">
        <f t="shared" ref="G212" si="627">F212*86400</f>
        <v>742176</v>
      </c>
      <c r="H212" s="32">
        <f t="shared" ref="H212" si="628">G212/1000000</f>
        <v>0.74217599999999995</v>
      </c>
      <c r="I212" s="20">
        <f t="shared" si="558"/>
        <v>33397.919999999998</v>
      </c>
      <c r="J212" s="34">
        <v>8.1310744444444402E-2</v>
      </c>
      <c r="K212" s="20">
        <f t="shared" si="559"/>
        <v>4007.7503999999994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7.4217599999999995E-2</v>
      </c>
      <c r="O212" s="30">
        <f t="shared" ref="O212" si="630">H212-M212-N212</f>
        <v>0.51649752222222745</v>
      </c>
    </row>
    <row r="213" spans="1:15" s="37" customFormat="1" x14ac:dyDescent="0.7">
      <c r="A213" s="6"/>
      <c r="B213" s="6"/>
      <c r="C213" s="6">
        <v>30</v>
      </c>
      <c r="D213" s="7">
        <v>8.2100000000000009</v>
      </c>
      <c r="E213" s="4">
        <v>8.1999999999999993</v>
      </c>
      <c r="F213" s="7">
        <v>8.2100000000000009</v>
      </c>
      <c r="G213" s="35">
        <f t="shared" ref="G213" si="631">F213*86400</f>
        <v>709344.00000000012</v>
      </c>
      <c r="H213" s="20">
        <f t="shared" ref="H213" si="632">G213/1000000</f>
        <v>0.70934400000000009</v>
      </c>
      <c r="I213" s="20">
        <f t="shared" si="558"/>
        <v>31920.480000000003</v>
      </c>
      <c r="J213" s="28">
        <v>8.1690194444444406E-2</v>
      </c>
      <c r="K213" s="20">
        <f t="shared" si="559"/>
        <v>3830.4576000000002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7.0934400000000009E-2</v>
      </c>
      <c r="O213" s="7">
        <f t="shared" ref="O213" si="634">H213-M213-N213</f>
        <v>0.48619873888889426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8.59</v>
      </c>
      <c r="E214" s="19">
        <v>14.4</v>
      </c>
      <c r="F214" s="19">
        <v>8.59</v>
      </c>
      <c r="G214" s="26">
        <f t="shared" ref="G214" si="635">F214*86400</f>
        <v>742176</v>
      </c>
      <c r="H214" s="27">
        <f t="shared" ref="H214" si="636">G214/1000000</f>
        <v>0.74217599999999995</v>
      </c>
      <c r="I214" s="22">
        <f t="shared" si="558"/>
        <v>33397.919999999998</v>
      </c>
      <c r="J214" s="39">
        <v>8.2069644444444395E-2</v>
      </c>
      <c r="K214" s="22">
        <f t="shared" si="559"/>
        <v>4007.7503999999994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7.4217599999999995E-2</v>
      </c>
      <c r="O214" s="19">
        <f t="shared" ref="O214" si="638">H214-M214-N214</f>
        <v>0.51499755555556093</v>
      </c>
    </row>
    <row r="215" spans="1:15" x14ac:dyDescent="0.7">
      <c r="A215" s="3"/>
      <c r="B215" s="3" t="s">
        <v>22</v>
      </c>
      <c r="C215" s="3">
        <v>1</v>
      </c>
      <c r="D215" s="4">
        <v>14.75</v>
      </c>
      <c r="E215" s="4">
        <v>0</v>
      </c>
      <c r="F215" s="4">
        <v>14.75</v>
      </c>
      <c r="G215" s="15">
        <f t="shared" ref="G215" si="639">F215*86400</f>
        <v>1274400</v>
      </c>
      <c r="H215" s="21">
        <f t="shared" ref="H215" si="640">G215/1000000</f>
        <v>1.2744</v>
      </c>
      <c r="I215" s="21">
        <f t="shared" si="558"/>
        <v>57348</v>
      </c>
      <c r="J215" s="25">
        <v>8.2449094444444398E-2</v>
      </c>
      <c r="K215" s="21">
        <f t="shared" si="559"/>
        <v>6881.7599999999993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0.12744</v>
      </c>
      <c r="O215" s="4">
        <f t="shared" ref="O215" si="642">H215-M215-N215</f>
        <v>0.99324917222222764</v>
      </c>
    </row>
    <row r="216" spans="1:15" x14ac:dyDescent="0.7">
      <c r="A216" s="6"/>
      <c r="B216" s="6"/>
      <c r="C216" s="6">
        <v>2</v>
      </c>
      <c r="D216" s="7">
        <v>8.31</v>
      </c>
      <c r="E216" s="4">
        <v>16.5</v>
      </c>
      <c r="F216" s="7">
        <v>8.31</v>
      </c>
      <c r="G216" s="15">
        <f t="shared" ref="G216" si="643">F216*86400</f>
        <v>717984</v>
      </c>
      <c r="H216" s="21">
        <f t="shared" ref="H216" si="644">G216/1000000</f>
        <v>0.71798399999999996</v>
      </c>
      <c r="I216" s="20">
        <f t="shared" si="558"/>
        <v>32309.279999999999</v>
      </c>
      <c r="J216" s="28">
        <v>8.2828544444444402E-2</v>
      </c>
      <c r="K216" s="20">
        <f t="shared" si="559"/>
        <v>3877.1135999999997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7.1798399999999998E-2</v>
      </c>
      <c r="O216" s="7">
        <f t="shared" ref="O216" si="646">H216-M216-N216</f>
        <v>0.49172478888889432</v>
      </c>
    </row>
    <row r="217" spans="1:15" x14ac:dyDescent="0.7">
      <c r="A217" s="6"/>
      <c r="B217" s="6"/>
      <c r="C217" s="6">
        <v>3</v>
      </c>
      <c r="D217" s="7">
        <v>8.31</v>
      </c>
      <c r="E217" s="4">
        <v>6.6</v>
      </c>
      <c r="F217" s="7">
        <v>8.31</v>
      </c>
      <c r="G217" s="15">
        <f t="shared" ref="G217" si="647">F217*86400</f>
        <v>717984</v>
      </c>
      <c r="H217" s="21">
        <f t="shared" ref="H217" si="648">G217/1000000</f>
        <v>0.71798399999999996</v>
      </c>
      <c r="I217" s="20">
        <f t="shared" si="558"/>
        <v>32309.279999999999</v>
      </c>
      <c r="J217" s="28">
        <v>8.3207994444444405E-2</v>
      </c>
      <c r="K217" s="20">
        <f t="shared" si="559"/>
        <v>3877.1135999999997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7.1798399999999998E-2</v>
      </c>
      <c r="O217" s="7">
        <f t="shared" ref="O217" si="650">H217-M217-N217</f>
        <v>0.490974805555561</v>
      </c>
    </row>
    <row r="218" spans="1:15" x14ac:dyDescent="0.7">
      <c r="A218" s="6"/>
      <c r="B218" s="6"/>
      <c r="C218" s="3">
        <v>4</v>
      </c>
      <c r="D218" s="7">
        <v>18.3</v>
      </c>
      <c r="E218" s="4">
        <v>0.1</v>
      </c>
      <c r="F218" s="7">
        <v>18.3</v>
      </c>
      <c r="G218" s="15">
        <f t="shared" ref="G218" si="651">F218*86400</f>
        <v>1581120</v>
      </c>
      <c r="H218" s="21">
        <f t="shared" ref="H218" si="652">G218/1000000</f>
        <v>1.5811200000000001</v>
      </c>
      <c r="I218" s="20">
        <f t="shared" si="558"/>
        <v>71150.399999999994</v>
      </c>
      <c r="J218" s="28">
        <v>8.3587444444444395E-2</v>
      </c>
      <c r="K218" s="20">
        <f t="shared" si="559"/>
        <v>8538.0479999999989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0.15811200000000003</v>
      </c>
      <c r="O218" s="7">
        <f t="shared" ref="O218" si="654">H218-M218-N218</f>
        <v>1.2670472222222278</v>
      </c>
    </row>
    <row r="219" spans="1:15" x14ac:dyDescent="0.7">
      <c r="A219" s="6"/>
      <c r="B219" s="6"/>
      <c r="C219" s="6">
        <v>5</v>
      </c>
      <c r="D219" s="7">
        <v>9.2100000000000009</v>
      </c>
      <c r="E219" s="4">
        <v>0</v>
      </c>
      <c r="F219" s="7">
        <v>9.2100000000000009</v>
      </c>
      <c r="G219" s="15">
        <f t="shared" ref="G219" si="655">F219*86400</f>
        <v>795744.00000000012</v>
      </c>
      <c r="H219" s="21">
        <f t="shared" ref="H219" si="656">G219/1000000</f>
        <v>0.79574400000000012</v>
      </c>
      <c r="I219" s="20">
        <f t="shared" si="558"/>
        <v>35808.480000000003</v>
      </c>
      <c r="J219" s="28">
        <v>8.3966894444444398E-2</v>
      </c>
      <c r="K219" s="20">
        <f t="shared" si="559"/>
        <v>4297.0176000000001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7.9574400000000017E-2</v>
      </c>
      <c r="O219" s="7">
        <f t="shared" ref="O219" si="658">H219-M219-N219</f>
        <v>0.55945883888889447</v>
      </c>
    </row>
    <row r="220" spans="1:15" x14ac:dyDescent="0.7">
      <c r="A220" s="6"/>
      <c r="B220" s="6"/>
      <c r="C220" s="6">
        <v>6</v>
      </c>
      <c r="D220" s="7">
        <v>8.3699999999999992</v>
      </c>
      <c r="E220" s="4">
        <v>0</v>
      </c>
      <c r="F220" s="7">
        <v>8.3699999999999992</v>
      </c>
      <c r="G220" s="15">
        <f t="shared" ref="G220" si="659">F220*86400</f>
        <v>723167.99999999988</v>
      </c>
      <c r="H220" s="21">
        <f t="shared" ref="H220" si="660">G220/1000000</f>
        <v>0.72316799999999992</v>
      </c>
      <c r="I220" s="20">
        <f t="shared" si="558"/>
        <v>32542.559999999994</v>
      </c>
      <c r="J220" s="28">
        <v>8.4346344444444402E-2</v>
      </c>
      <c r="K220" s="20">
        <f t="shared" si="559"/>
        <v>3905.107199999999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7.2316800000000001E-2</v>
      </c>
      <c r="O220" s="7">
        <f t="shared" ref="O220" si="662">H220-M220-N220</f>
        <v>0.49339045555556099</v>
      </c>
    </row>
    <row r="221" spans="1:15" x14ac:dyDescent="0.7">
      <c r="A221" s="6"/>
      <c r="B221" s="6"/>
      <c r="C221" s="3">
        <v>7</v>
      </c>
      <c r="D221" s="7">
        <v>8.3800000000000008</v>
      </c>
      <c r="E221" s="4">
        <v>11.3</v>
      </c>
      <c r="F221" s="7">
        <v>8.3800000000000008</v>
      </c>
      <c r="G221" s="15">
        <f t="shared" ref="G221" si="663">F221*86400</f>
        <v>724032.00000000012</v>
      </c>
      <c r="H221" s="21">
        <f t="shared" ref="H221" si="664">G221/1000000</f>
        <v>0.72403200000000012</v>
      </c>
      <c r="I221" s="20">
        <f t="shared" si="558"/>
        <v>32581.440000000002</v>
      </c>
      <c r="J221" s="28">
        <v>8.4725794444444405E-2</v>
      </c>
      <c r="K221" s="20">
        <f t="shared" si="559"/>
        <v>3909.7728000000002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7.2403200000000015E-2</v>
      </c>
      <c r="O221" s="7">
        <f t="shared" ref="O221" si="666">H221-M221-N221</f>
        <v>0.49341807222222789</v>
      </c>
    </row>
    <row r="222" spans="1:15" x14ac:dyDescent="0.7">
      <c r="A222" s="6"/>
      <c r="B222" s="6"/>
      <c r="C222" s="6">
        <v>8</v>
      </c>
      <c r="D222" s="7">
        <v>8.81</v>
      </c>
      <c r="E222" s="4">
        <v>0.8</v>
      </c>
      <c r="F222" s="7">
        <v>8.81</v>
      </c>
      <c r="G222" s="15">
        <f t="shared" ref="G222" si="667">F222*86400</f>
        <v>761184</v>
      </c>
      <c r="H222" s="21">
        <f t="shared" ref="H222" si="668">G222/1000000</f>
        <v>0.76118399999999997</v>
      </c>
      <c r="I222" s="20">
        <f t="shared" si="558"/>
        <v>34253.279999999999</v>
      </c>
      <c r="J222" s="28">
        <v>8.5105244444444395E-2</v>
      </c>
      <c r="K222" s="20">
        <f t="shared" si="559"/>
        <v>4110.3935999999994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7.6118400000000003E-2</v>
      </c>
      <c r="O222" s="7">
        <f t="shared" ref="O222" si="670">H222-M222-N222</f>
        <v>0.52610488888889451</v>
      </c>
    </row>
    <row r="223" spans="1:15" x14ac:dyDescent="0.7">
      <c r="A223" s="6"/>
      <c r="B223" s="6"/>
      <c r="C223" s="6">
        <v>9</v>
      </c>
      <c r="D223" s="7">
        <v>8.58</v>
      </c>
      <c r="E223" s="4">
        <v>0.1</v>
      </c>
      <c r="F223" s="7">
        <v>8.58</v>
      </c>
      <c r="G223" s="15">
        <f t="shared" ref="G223" si="671">F223*86400</f>
        <v>741312</v>
      </c>
      <c r="H223" s="21">
        <f t="shared" ref="H223" si="672">G223/1000000</f>
        <v>0.74131199999999997</v>
      </c>
      <c r="I223" s="20">
        <f t="shared" si="558"/>
        <v>33359.040000000001</v>
      </c>
      <c r="J223" s="28">
        <v>8.5484694444444398E-2</v>
      </c>
      <c r="K223" s="20">
        <f t="shared" si="559"/>
        <v>4003.0848000000001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7.4131199999999994E-2</v>
      </c>
      <c r="O223" s="7">
        <f t="shared" ref="O223" si="674">H223-M223-N223</f>
        <v>0.50747010555556116</v>
      </c>
    </row>
    <row r="224" spans="1:15" x14ac:dyDescent="0.7">
      <c r="A224" s="6"/>
      <c r="B224" s="6"/>
      <c r="C224" s="3">
        <v>10</v>
      </c>
      <c r="D224" s="7">
        <v>0</v>
      </c>
      <c r="E224" s="4">
        <v>0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4">
        <v>5.9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10.33</v>
      </c>
      <c r="E226" s="4">
        <v>48.3</v>
      </c>
      <c r="F226" s="7">
        <v>10.33</v>
      </c>
      <c r="G226" s="15">
        <f t="shared" ref="G226" si="683">F226*86400</f>
        <v>892512</v>
      </c>
      <c r="H226" s="21">
        <f t="shared" ref="H226" si="684">G226/1000000</f>
        <v>0.89251199999999997</v>
      </c>
      <c r="I226" s="20">
        <f t="shared" si="558"/>
        <v>40163.040000000001</v>
      </c>
      <c r="J226" s="28">
        <v>8.6623044444444394E-2</v>
      </c>
      <c r="K226" s="20">
        <f t="shared" si="559"/>
        <v>4819.5648000000001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8.9251200000000003E-2</v>
      </c>
      <c r="O226" s="7">
        <f t="shared" ref="O226" si="686">H226-M226-N226</f>
        <v>0.6413001555555613</v>
      </c>
    </row>
    <row r="227" spans="1:15" x14ac:dyDescent="0.7">
      <c r="A227" s="6"/>
      <c r="B227" s="6"/>
      <c r="C227" s="3">
        <v>13</v>
      </c>
      <c r="D227" s="7">
        <v>35.36</v>
      </c>
      <c r="E227" s="4">
        <v>15.3</v>
      </c>
      <c r="F227" s="7">
        <v>35.36</v>
      </c>
      <c r="G227" s="15">
        <f t="shared" ref="G227" si="687">F227*86400</f>
        <v>3055104</v>
      </c>
      <c r="H227" s="21">
        <f t="shared" ref="H227" si="688">G227/1000000</f>
        <v>3.055104</v>
      </c>
      <c r="I227" s="20">
        <f t="shared" si="558"/>
        <v>137479.67999999999</v>
      </c>
      <c r="J227" s="28">
        <v>8.7002494444444398E-2</v>
      </c>
      <c r="K227" s="20">
        <f t="shared" si="559"/>
        <v>16497.561599999997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0.30551040000000002</v>
      </c>
      <c r="O227" s="7">
        <f t="shared" ref="O227" si="690">H227-M227-N227</f>
        <v>2.5868829722222277</v>
      </c>
    </row>
    <row r="228" spans="1:15" x14ac:dyDescent="0.7">
      <c r="A228" s="6"/>
      <c r="B228" s="6"/>
      <c r="C228" s="6">
        <v>14</v>
      </c>
      <c r="D228" s="7">
        <v>23.81</v>
      </c>
      <c r="E228" s="4">
        <v>0</v>
      </c>
      <c r="F228" s="7">
        <v>23.81</v>
      </c>
      <c r="G228" s="15">
        <f t="shared" ref="G228" si="691">F228*86400</f>
        <v>2057184</v>
      </c>
      <c r="H228" s="21">
        <f t="shared" ref="H228" si="692">G228/1000000</f>
        <v>2.0571839999999999</v>
      </c>
      <c r="I228" s="20">
        <f t="shared" si="558"/>
        <v>92573.28</v>
      </c>
      <c r="J228" s="28">
        <v>8.7381944444444401E-2</v>
      </c>
      <c r="K228" s="20">
        <f t="shared" si="559"/>
        <v>11108.793599999999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0.2057184</v>
      </c>
      <c r="O228" s="7">
        <f t="shared" ref="O228" si="694">H228-M228-N228</f>
        <v>1.6880049888888946</v>
      </c>
    </row>
    <row r="229" spans="1:15" x14ac:dyDescent="0.7">
      <c r="A229" s="6"/>
      <c r="B229" s="6"/>
      <c r="C229" s="6">
        <v>15</v>
      </c>
      <c r="D229" s="7">
        <v>16.47</v>
      </c>
      <c r="E229" s="4">
        <v>0</v>
      </c>
      <c r="F229" s="7">
        <v>16.47</v>
      </c>
      <c r="G229" s="15">
        <f t="shared" ref="G229" si="695">F229*86400</f>
        <v>1423008</v>
      </c>
      <c r="H229" s="21">
        <f t="shared" ref="H229" si="696">G229/1000000</f>
        <v>1.4230080000000001</v>
      </c>
      <c r="I229" s="20">
        <f t="shared" si="558"/>
        <v>64035.360000000001</v>
      </c>
      <c r="J229" s="28">
        <v>8.7761394444444404E-2</v>
      </c>
      <c r="K229" s="20">
        <f t="shared" si="559"/>
        <v>7684.2431999999999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0.14230080000000001</v>
      </c>
      <c r="O229" s="7">
        <f t="shared" ref="O229" si="698">H229-M229-N229</f>
        <v>1.1164966055555614</v>
      </c>
    </row>
    <row r="230" spans="1:15" x14ac:dyDescent="0.7">
      <c r="A230" s="6"/>
      <c r="B230" s="6"/>
      <c r="C230" s="3">
        <v>16</v>
      </c>
      <c r="D230" s="7">
        <v>8.76</v>
      </c>
      <c r="E230" s="4">
        <v>8</v>
      </c>
      <c r="F230" s="7">
        <v>8.76</v>
      </c>
      <c r="G230" s="15">
        <f t="shared" ref="G230" si="699">F230*86400</f>
        <v>756864</v>
      </c>
      <c r="H230" s="21">
        <f t="shared" ref="H230" si="700">G230/1000000</f>
        <v>0.75686399999999998</v>
      </c>
      <c r="I230" s="20">
        <f t="shared" si="558"/>
        <v>34058.879999999997</v>
      </c>
      <c r="J230" s="28">
        <v>8.8140844444444394E-2</v>
      </c>
      <c r="K230" s="20">
        <f t="shared" si="559"/>
        <v>4087.0655999999994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7.5686400000000001E-2</v>
      </c>
      <c r="O230" s="7">
        <f t="shared" ref="O230" si="702">H230-M230-N230</f>
        <v>0.51621702222222809</v>
      </c>
    </row>
    <row r="231" spans="1:15" x14ac:dyDescent="0.7">
      <c r="A231" s="6"/>
      <c r="B231" s="6"/>
      <c r="C231" s="6">
        <v>17</v>
      </c>
      <c r="D231" s="7">
        <v>8.58</v>
      </c>
      <c r="E231" s="4">
        <v>3.7</v>
      </c>
      <c r="F231" s="7">
        <v>8.58</v>
      </c>
      <c r="G231" s="15">
        <f t="shared" ref="G231" si="703">F231*86400</f>
        <v>741312</v>
      </c>
      <c r="H231" s="21">
        <f t="shared" ref="H231" si="704">G231/1000000</f>
        <v>0.74131199999999997</v>
      </c>
      <c r="I231" s="20">
        <f t="shared" si="558"/>
        <v>33359.040000000001</v>
      </c>
      <c r="J231" s="28">
        <v>8.8520294444444397E-2</v>
      </c>
      <c r="K231" s="20">
        <f t="shared" si="559"/>
        <v>4003.0848000000001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7.4131199999999994E-2</v>
      </c>
      <c r="O231" s="7">
        <f t="shared" ref="O231" si="706">H231-M231-N231</f>
        <v>0.50147023888889486</v>
      </c>
    </row>
    <row r="232" spans="1:15" x14ac:dyDescent="0.7">
      <c r="A232" s="6"/>
      <c r="B232" s="6"/>
      <c r="C232" s="6">
        <v>18</v>
      </c>
      <c r="D232" s="7">
        <v>20.46</v>
      </c>
      <c r="E232" s="4">
        <v>3</v>
      </c>
      <c r="F232" s="7">
        <v>20.46</v>
      </c>
      <c r="G232" s="15">
        <f t="shared" ref="G232" si="707">F232*86400</f>
        <v>1767744</v>
      </c>
      <c r="H232" s="21">
        <f t="shared" ref="H232" si="708">G232/1000000</f>
        <v>1.767744</v>
      </c>
      <c r="I232" s="20">
        <f t="shared" si="558"/>
        <v>79548.479999999996</v>
      </c>
      <c r="J232" s="28">
        <v>8.8899744444444401E-2</v>
      </c>
      <c r="K232" s="20">
        <f t="shared" si="559"/>
        <v>9545.8175999999985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0.1767744</v>
      </c>
      <c r="O232" s="7">
        <f t="shared" ref="O232" si="710">H232-M232-N232</f>
        <v>1.4245090555555615</v>
      </c>
    </row>
    <row r="233" spans="1:15" x14ac:dyDescent="0.7">
      <c r="A233" s="6"/>
      <c r="B233" s="6"/>
      <c r="C233" s="3">
        <v>19</v>
      </c>
      <c r="D233" s="7">
        <v>36.049999999999997</v>
      </c>
      <c r="E233" s="4">
        <v>4.3</v>
      </c>
      <c r="F233" s="7">
        <v>36.049999999999997</v>
      </c>
      <c r="G233" s="15">
        <f t="shared" ref="G233" si="711">F233*86400</f>
        <v>3114719.9999999995</v>
      </c>
      <c r="H233" s="21">
        <f t="shared" ref="H233" si="712">G233/1000000</f>
        <v>3.1147199999999997</v>
      </c>
      <c r="I233" s="20">
        <f t="shared" si="558"/>
        <v>140162.39999999997</v>
      </c>
      <c r="J233" s="28">
        <v>8.9279194444444404E-2</v>
      </c>
      <c r="K233" s="20">
        <f t="shared" si="559"/>
        <v>16819.487999999994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0.31147199999999997</v>
      </c>
      <c r="O233" s="7">
        <f t="shared" ref="O233" si="714">H233-M233-N233</f>
        <v>2.6360374722222275</v>
      </c>
    </row>
    <row r="234" spans="1:15" x14ac:dyDescent="0.7">
      <c r="A234" s="6"/>
      <c r="B234" s="6"/>
      <c r="C234" s="6">
        <v>20</v>
      </c>
      <c r="D234" s="7">
        <v>0</v>
      </c>
      <c r="E234" s="4">
        <v>22.7</v>
      </c>
      <c r="F234" s="7">
        <v>0</v>
      </c>
      <c r="G234" s="15">
        <f t="shared" ref="G234" si="715">F234*86400</f>
        <v>0</v>
      </c>
      <c r="H234" s="21">
        <f t="shared" ref="H234" si="716">G234/1000000</f>
        <v>0</v>
      </c>
      <c r="I234" s="20">
        <f t="shared" si="558"/>
        <v>0</v>
      </c>
      <c r="J234" s="28">
        <v>8.9658644444444394E-2</v>
      </c>
      <c r="K234" s="20">
        <f t="shared" si="559"/>
        <v>0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0</v>
      </c>
      <c r="O234" s="7">
        <f t="shared" ref="O234" si="718">H234-M234-N234</f>
        <v>-0.1679605111111051</v>
      </c>
    </row>
    <row r="235" spans="1:15" x14ac:dyDescent="0.7">
      <c r="A235" s="6"/>
      <c r="B235" s="6"/>
      <c r="C235" s="6">
        <v>21</v>
      </c>
      <c r="D235" s="7">
        <v>96.94</v>
      </c>
      <c r="E235" s="4">
        <v>2.2000000000000002</v>
      </c>
      <c r="F235" s="7">
        <v>96.94</v>
      </c>
      <c r="G235" s="15">
        <f t="shared" ref="G235" si="719">F235*86400</f>
        <v>8375616</v>
      </c>
      <c r="H235" s="21">
        <f t="shared" ref="H235" si="720">G235/1000000</f>
        <v>8.3756160000000008</v>
      </c>
      <c r="I235" s="20">
        <f t="shared" si="558"/>
        <v>376902.72000000003</v>
      </c>
      <c r="J235" s="28">
        <v>9.0038094444444397E-2</v>
      </c>
      <c r="K235" s="20">
        <f t="shared" si="559"/>
        <v>45228.326400000005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0.83756160000000013</v>
      </c>
      <c r="O235" s="7">
        <f t="shared" ref="O235" si="722">H235-M235-N235</f>
        <v>7.3693439055555627</v>
      </c>
    </row>
    <row r="236" spans="1:15" x14ac:dyDescent="0.7">
      <c r="A236" s="6"/>
      <c r="B236" s="6"/>
      <c r="C236" s="3">
        <v>22</v>
      </c>
      <c r="D236" s="7">
        <v>39.090000000000003</v>
      </c>
      <c r="E236" s="4">
        <v>0</v>
      </c>
      <c r="F236" s="7">
        <v>39.090000000000003</v>
      </c>
      <c r="G236" s="15">
        <f t="shared" ref="G236" si="723">F236*86400</f>
        <v>3377376.0000000005</v>
      </c>
      <c r="H236" s="21">
        <f t="shared" ref="H236" si="724">G236/1000000</f>
        <v>3.3773760000000004</v>
      </c>
      <c r="I236" s="20">
        <f t="shared" si="558"/>
        <v>151981.92000000001</v>
      </c>
      <c r="J236" s="28">
        <v>9.04175444444444E-2</v>
      </c>
      <c r="K236" s="20">
        <f t="shared" si="559"/>
        <v>18237.830400000003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0.33773760000000008</v>
      </c>
      <c r="O236" s="7">
        <f t="shared" ref="O236" si="726">H236-M236-N236</f>
        <v>2.8701779222222288</v>
      </c>
    </row>
    <row r="237" spans="1:15" x14ac:dyDescent="0.7">
      <c r="A237" s="6"/>
      <c r="B237" s="6"/>
      <c r="C237" s="6">
        <v>23</v>
      </c>
      <c r="D237" s="7">
        <v>26.48</v>
      </c>
      <c r="E237" s="4">
        <v>8.3000000000000007</v>
      </c>
      <c r="F237" s="7">
        <v>26.48</v>
      </c>
      <c r="G237" s="15">
        <f t="shared" ref="G237" si="727">F237*86400</f>
        <v>2287872</v>
      </c>
      <c r="H237" s="21">
        <f t="shared" ref="H237" si="728">G237/1000000</f>
        <v>2.2878720000000001</v>
      </c>
      <c r="I237" s="20">
        <f t="shared" si="558"/>
        <v>102954.23999999999</v>
      </c>
      <c r="J237" s="28">
        <v>9.0796994444444404E-2</v>
      </c>
      <c r="K237" s="20">
        <f t="shared" si="559"/>
        <v>12354.508799999998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0.22878720000000002</v>
      </c>
      <c r="O237" s="7">
        <f t="shared" ref="O237" si="730">H237-M237-N237</f>
        <v>1.8888743388888953</v>
      </c>
    </row>
    <row r="238" spans="1:15" x14ac:dyDescent="0.7">
      <c r="A238" s="6"/>
      <c r="B238" s="6"/>
      <c r="C238" s="6">
        <v>24</v>
      </c>
      <c r="D238" s="7">
        <v>21.63</v>
      </c>
      <c r="E238" s="4">
        <v>17.5</v>
      </c>
      <c r="F238" s="7">
        <v>21.63</v>
      </c>
      <c r="G238" s="15">
        <f t="shared" ref="G238" si="731">F238*86400</f>
        <v>1868832</v>
      </c>
      <c r="H238" s="21">
        <f t="shared" ref="H238" si="732">G238/1000000</f>
        <v>1.868832</v>
      </c>
      <c r="I238" s="20">
        <f t="shared" si="558"/>
        <v>84097.44</v>
      </c>
      <c r="J238" s="28">
        <v>9.1176444444444393E-2</v>
      </c>
      <c r="K238" s="20">
        <f t="shared" si="559"/>
        <v>10091.692800000001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0.18688320000000003</v>
      </c>
      <c r="O238" s="7">
        <f t="shared" ref="O238" si="734">H238-M238-N238</f>
        <v>1.5109883555555617</v>
      </c>
    </row>
    <row r="239" spans="1:15" x14ac:dyDescent="0.7">
      <c r="A239" s="6"/>
      <c r="B239" s="6"/>
      <c r="C239" s="3">
        <v>25</v>
      </c>
      <c r="D239" s="7">
        <v>35.74</v>
      </c>
      <c r="E239" s="4">
        <v>10.5</v>
      </c>
      <c r="F239" s="7">
        <v>35.74</v>
      </c>
      <c r="G239" s="15">
        <f t="shared" ref="G239" si="735">F239*86400</f>
        <v>3087936</v>
      </c>
      <c r="H239" s="21">
        <f t="shared" ref="H239" si="736">G239/1000000</f>
        <v>3.087936</v>
      </c>
      <c r="I239" s="20">
        <f t="shared" si="558"/>
        <v>138957.12</v>
      </c>
      <c r="J239" s="28">
        <v>9.1555894444444397E-2</v>
      </c>
      <c r="K239" s="20">
        <f t="shared" si="559"/>
        <v>16674.8544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0.3087936</v>
      </c>
      <c r="O239" s="7">
        <f t="shared" ref="O239" si="738">H239-M239-N239</f>
        <v>2.6074319722222286</v>
      </c>
    </row>
    <row r="240" spans="1:15" x14ac:dyDescent="0.7">
      <c r="A240" s="6"/>
      <c r="B240" s="6"/>
      <c r="C240" s="6">
        <v>26</v>
      </c>
      <c r="D240" s="7">
        <v>43.510000000000005</v>
      </c>
      <c r="E240" s="4">
        <v>0</v>
      </c>
      <c r="F240" s="7">
        <v>43.510000000000005</v>
      </c>
      <c r="G240" s="15">
        <f t="shared" ref="G240" si="739">F240*86400</f>
        <v>3759264.0000000005</v>
      </c>
      <c r="H240" s="21">
        <f t="shared" ref="H240" si="740">G240/1000000</f>
        <v>3.7592640000000004</v>
      </c>
      <c r="I240" s="20">
        <f t="shared" si="558"/>
        <v>169166.88</v>
      </c>
      <c r="J240" s="28">
        <v>9.19353444444444E-2</v>
      </c>
      <c r="K240" s="20">
        <f t="shared" si="559"/>
        <v>20300.025600000001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0.37592640000000005</v>
      </c>
      <c r="O240" s="7">
        <f t="shared" ref="O240" si="742">H240-M240-N240</f>
        <v>3.2108771888888956</v>
      </c>
    </row>
    <row r="241" spans="1:15" x14ac:dyDescent="0.7">
      <c r="A241" s="6"/>
      <c r="B241" s="6"/>
      <c r="C241" s="6">
        <v>27</v>
      </c>
      <c r="D241" s="7">
        <v>27.54</v>
      </c>
      <c r="E241" s="4">
        <v>4.0999999999999996</v>
      </c>
      <c r="F241" s="7">
        <v>27.54</v>
      </c>
      <c r="G241" s="15">
        <f t="shared" ref="G241" si="743">F241*86400</f>
        <v>2379456</v>
      </c>
      <c r="H241" s="21">
        <f t="shared" ref="H241" si="744">G241/1000000</f>
        <v>2.3794559999999998</v>
      </c>
      <c r="I241" s="20">
        <f t="shared" si="558"/>
        <v>107075.51999999999</v>
      </c>
      <c r="J241" s="28">
        <v>9.2314794444444404E-2</v>
      </c>
      <c r="K241" s="20">
        <f t="shared" si="559"/>
        <v>12849.062399999999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0.23794559999999998</v>
      </c>
      <c r="O241" s="7">
        <f t="shared" ref="O241" si="746">H241-M241-N241</f>
        <v>1.9683000055555617</v>
      </c>
    </row>
    <row r="242" spans="1:15" x14ac:dyDescent="0.7">
      <c r="A242" s="6"/>
      <c r="B242" s="6"/>
      <c r="C242" s="3">
        <v>28</v>
      </c>
      <c r="D242" s="7">
        <v>23.03</v>
      </c>
      <c r="E242" s="4">
        <v>0</v>
      </c>
      <c r="F242" s="7">
        <v>23.03</v>
      </c>
      <c r="G242" s="15">
        <f t="shared" ref="G242" si="747">F242*86400</f>
        <v>1989792</v>
      </c>
      <c r="H242" s="21">
        <f t="shared" ref="H242" si="748">G242/1000000</f>
        <v>1.989792</v>
      </c>
      <c r="I242" s="20">
        <f t="shared" si="558"/>
        <v>89540.64</v>
      </c>
      <c r="J242" s="28">
        <v>9.2694244444444407E-2</v>
      </c>
      <c r="K242" s="20">
        <f t="shared" si="559"/>
        <v>10744.8768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0.19897920000000002</v>
      </c>
      <c r="O242" s="7">
        <f t="shared" ref="O242" si="750">H242-M242-N242</f>
        <v>1.6168524222222285</v>
      </c>
    </row>
    <row r="243" spans="1:15" x14ac:dyDescent="0.7">
      <c r="A243" s="12"/>
      <c r="B243" s="12"/>
      <c r="C243" s="12">
        <v>29</v>
      </c>
      <c r="D243" s="30">
        <v>21.04</v>
      </c>
      <c r="E243" s="4">
        <v>0</v>
      </c>
      <c r="F243" s="30">
        <v>21.04</v>
      </c>
      <c r="G243" s="31">
        <f t="shared" ref="G243" si="751">F243*86400</f>
        <v>1817856</v>
      </c>
      <c r="H243" s="32">
        <f t="shared" ref="H243" si="752">G243/1000000</f>
        <v>1.8178559999999999</v>
      </c>
      <c r="I243" s="20">
        <f t="shared" si="558"/>
        <v>81803.520000000004</v>
      </c>
      <c r="J243" s="34">
        <v>9.3073694444444396E-2</v>
      </c>
      <c r="K243" s="20">
        <f t="shared" si="559"/>
        <v>9816.4223999999995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0.18178559999999999</v>
      </c>
      <c r="O243" s="30">
        <f t="shared" ref="O243" si="754">H243-M243-N243</f>
        <v>1.4613600388888952</v>
      </c>
    </row>
    <row r="244" spans="1:15" s="37" customFormat="1" x14ac:dyDescent="0.7">
      <c r="A244" s="6"/>
      <c r="B244" s="6"/>
      <c r="C244" s="6">
        <v>30</v>
      </c>
      <c r="D244" s="7">
        <v>17.809999999999999</v>
      </c>
      <c r="E244" s="4">
        <v>0</v>
      </c>
      <c r="F244" s="7">
        <v>17.809999999999999</v>
      </c>
      <c r="G244" s="35">
        <f t="shared" ref="G244" si="755">F244*86400</f>
        <v>1538784</v>
      </c>
      <c r="H244" s="20">
        <f t="shared" ref="H244" si="756">G244/1000000</f>
        <v>1.5387839999999999</v>
      </c>
      <c r="I244" s="20">
        <f t="shared" si="558"/>
        <v>69245.279999999999</v>
      </c>
      <c r="J244" s="28">
        <v>9.34531444444444E-2</v>
      </c>
      <c r="K244" s="20">
        <f t="shared" si="559"/>
        <v>8309.4336000000003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0.1538784</v>
      </c>
      <c r="O244" s="7">
        <f t="shared" ref="O244" si="758">H244-M244-N244</f>
        <v>1.2094452555555619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9.25</v>
      </c>
      <c r="E245" s="19">
        <v>0</v>
      </c>
      <c r="F245" s="19">
        <v>9.25</v>
      </c>
      <c r="G245" s="26">
        <f t="shared" ref="G245" si="759">F245*86400</f>
        <v>799200</v>
      </c>
      <c r="H245" s="27">
        <f t="shared" ref="H245" si="760">G245/1000000</f>
        <v>0.79920000000000002</v>
      </c>
      <c r="I245" s="22">
        <f t="shared" si="558"/>
        <v>35964</v>
      </c>
      <c r="J245" s="39">
        <v>9.3832594444444403E-2</v>
      </c>
      <c r="K245" s="22">
        <f t="shared" si="559"/>
        <v>4315.68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7.9920000000000005E-2</v>
      </c>
      <c r="O245" s="19">
        <f t="shared" ref="O245" si="762">H245-M245-N245</f>
        <v>0.54306967222222857</v>
      </c>
    </row>
    <row r="246" spans="1:15" x14ac:dyDescent="0.7">
      <c r="A246" s="3"/>
      <c r="B246" s="3" t="s">
        <v>23</v>
      </c>
      <c r="C246" s="3">
        <v>1</v>
      </c>
      <c r="D246" s="4">
        <v>8.83</v>
      </c>
      <c r="E246" s="4">
        <v>0</v>
      </c>
      <c r="F246" s="4">
        <v>8.83</v>
      </c>
      <c r="G246" s="15">
        <f t="shared" ref="G246" si="763">F246*86400</f>
        <v>762912</v>
      </c>
      <c r="H246" s="21">
        <f t="shared" ref="H246" si="764">G246/1000000</f>
        <v>0.76291200000000003</v>
      </c>
      <c r="I246" s="21">
        <f t="shared" si="558"/>
        <v>34331.040000000001</v>
      </c>
      <c r="J246" s="25">
        <v>9.4212044444444407E-2</v>
      </c>
      <c r="K246" s="21">
        <f t="shared" si="559"/>
        <v>4119.7248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7.6291200000000003E-2</v>
      </c>
      <c r="O246" s="4">
        <f t="shared" ref="O246" si="766">H246-M246-N246</f>
        <v>0.50966048888889537</v>
      </c>
    </row>
    <row r="247" spans="1:15" x14ac:dyDescent="0.7">
      <c r="A247" s="6"/>
      <c r="B247" s="6"/>
      <c r="C247" s="6">
        <v>2</v>
      </c>
      <c r="D247" s="7">
        <v>9.35</v>
      </c>
      <c r="E247" s="4">
        <v>6.4</v>
      </c>
      <c r="F247" s="7">
        <v>9.35</v>
      </c>
      <c r="G247" s="15">
        <f t="shared" ref="G247" si="767">F247*86400</f>
        <v>807840</v>
      </c>
      <c r="H247" s="21">
        <f t="shared" ref="H247" si="768">G247/1000000</f>
        <v>0.80784</v>
      </c>
      <c r="I247" s="20">
        <f t="shared" si="558"/>
        <v>36352.799999999996</v>
      </c>
      <c r="J247" s="28">
        <v>9.4591494444444396E-2</v>
      </c>
      <c r="K247" s="20">
        <f t="shared" si="559"/>
        <v>4362.3359999999993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8.0784000000000009E-2</v>
      </c>
      <c r="O247" s="7">
        <f t="shared" ref="O247" si="770">H247-M247-N247</f>
        <v>0.54934570555556206</v>
      </c>
    </row>
    <row r="248" spans="1:15" x14ac:dyDescent="0.7">
      <c r="A248" s="6"/>
      <c r="B248" s="6"/>
      <c r="C248" s="6">
        <v>3</v>
      </c>
      <c r="D248" s="7">
        <v>8.67</v>
      </c>
      <c r="E248" s="4">
        <v>14.1</v>
      </c>
      <c r="F248" s="7">
        <v>8.67</v>
      </c>
      <c r="G248" s="15">
        <f t="shared" ref="G248" si="771">F248*86400</f>
        <v>749088</v>
      </c>
      <c r="H248" s="21">
        <f t="shared" ref="H248" si="772">G248/1000000</f>
        <v>0.74908799999999998</v>
      </c>
      <c r="I248" s="20">
        <f t="shared" si="558"/>
        <v>33708.959999999999</v>
      </c>
      <c r="J248" s="28">
        <v>9.49709444444444E-2</v>
      </c>
      <c r="K248" s="20">
        <f t="shared" si="559"/>
        <v>4045.0751999999998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7.4908799999999998E-2</v>
      </c>
      <c r="O248" s="7">
        <f t="shared" ref="O248" si="774">H248-M248-N248</f>
        <v>0.49571892222222869</v>
      </c>
    </row>
    <row r="249" spans="1:15" x14ac:dyDescent="0.7">
      <c r="A249" s="6"/>
      <c r="B249" s="6"/>
      <c r="C249" s="3">
        <v>4</v>
      </c>
      <c r="D249" s="7">
        <v>30.52</v>
      </c>
      <c r="E249" s="4">
        <v>0</v>
      </c>
      <c r="F249" s="7">
        <v>30.52</v>
      </c>
      <c r="G249" s="15">
        <f t="shared" ref="G249" si="775">F249*86400</f>
        <v>2636928</v>
      </c>
      <c r="H249" s="21">
        <f t="shared" ref="H249" si="776">G249/1000000</f>
        <v>2.6369280000000002</v>
      </c>
      <c r="I249" s="20">
        <f t="shared" si="558"/>
        <v>118661.75999999999</v>
      </c>
      <c r="J249" s="28">
        <v>9.5350394444444403E-2</v>
      </c>
      <c r="K249" s="20">
        <f t="shared" si="559"/>
        <v>14239.411199999999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0.2636928</v>
      </c>
      <c r="O249" s="7">
        <f t="shared" ref="O249" si="778">H249-M249-N249</f>
        <v>2.1940249388888957</v>
      </c>
    </row>
    <row r="250" spans="1:15" x14ac:dyDescent="0.7">
      <c r="A250" s="6"/>
      <c r="B250" s="6"/>
      <c r="C250" s="6">
        <v>5</v>
      </c>
      <c r="D250" s="7">
        <v>42.01</v>
      </c>
      <c r="E250" s="4">
        <v>13.4</v>
      </c>
      <c r="F250" s="7">
        <v>42.01</v>
      </c>
      <c r="G250" s="15">
        <f t="shared" ref="G250" si="779">F250*86400</f>
        <v>3629664</v>
      </c>
      <c r="H250" s="21">
        <f t="shared" ref="H250" si="780">G250/1000000</f>
        <v>3.629664</v>
      </c>
      <c r="I250" s="20">
        <f t="shared" si="558"/>
        <v>163334.88</v>
      </c>
      <c r="J250" s="28">
        <v>9.5729844444444406E-2</v>
      </c>
      <c r="K250" s="20">
        <f t="shared" si="559"/>
        <v>19600.185600000001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0.36296640000000002</v>
      </c>
      <c r="O250" s="7">
        <f t="shared" ref="O250" si="782">H250-M250-N250</f>
        <v>3.0867373555555622</v>
      </c>
    </row>
    <row r="251" spans="1:15" x14ac:dyDescent="0.7">
      <c r="A251" s="6"/>
      <c r="B251" s="6"/>
      <c r="C251" s="6">
        <v>6</v>
      </c>
      <c r="D251" s="7">
        <v>46.309999999999995</v>
      </c>
      <c r="E251" s="4">
        <v>0</v>
      </c>
      <c r="F251" s="7">
        <v>46.309999999999995</v>
      </c>
      <c r="G251" s="15">
        <f t="shared" ref="G251" si="783">F251*86400</f>
        <v>4001183.9999999995</v>
      </c>
      <c r="H251" s="21">
        <f t="shared" ref="H251" si="784">G251/1000000</f>
        <v>4.0011839999999994</v>
      </c>
      <c r="I251" s="20">
        <f t="shared" si="558"/>
        <v>180053.27999999997</v>
      </c>
      <c r="J251" s="28">
        <v>9.6109294444444396E-2</v>
      </c>
      <c r="K251" s="20">
        <f t="shared" si="559"/>
        <v>21606.393599999996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0.40011839999999999</v>
      </c>
      <c r="O251" s="7">
        <f t="shared" ref="O251" si="786">H251-M251-N251</f>
        <v>3.420355372222228</v>
      </c>
    </row>
    <row r="252" spans="1:15" x14ac:dyDescent="0.7">
      <c r="A252" s="6"/>
      <c r="B252" s="6"/>
      <c r="C252" s="3">
        <v>7</v>
      </c>
      <c r="D252" s="7">
        <v>32.130000000000003</v>
      </c>
      <c r="E252" s="4">
        <v>8.1999999999999993</v>
      </c>
      <c r="F252" s="7">
        <v>32.130000000000003</v>
      </c>
      <c r="G252" s="15">
        <f t="shared" ref="G252" si="787">F252*86400</f>
        <v>2776032</v>
      </c>
      <c r="H252" s="21">
        <f t="shared" ref="H252" si="788">G252/1000000</f>
        <v>2.7760319999999998</v>
      </c>
      <c r="I252" s="20">
        <f t="shared" si="558"/>
        <v>124921.44</v>
      </c>
      <c r="J252" s="28">
        <v>9.6488744444444399E-2</v>
      </c>
      <c r="K252" s="20">
        <f t="shared" si="559"/>
        <v>14990.5728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0.27760319999999999</v>
      </c>
      <c r="O252" s="7">
        <f t="shared" ref="O252" si="790">H252-M252-N252</f>
        <v>2.3169685888888951</v>
      </c>
    </row>
    <row r="253" spans="1:15" x14ac:dyDescent="0.7">
      <c r="A253" s="6"/>
      <c r="B253" s="6"/>
      <c r="C253" s="6">
        <v>8</v>
      </c>
      <c r="D253" s="7">
        <v>26.73</v>
      </c>
      <c r="E253" s="4">
        <v>0.3</v>
      </c>
      <c r="F253" s="7">
        <v>26.73</v>
      </c>
      <c r="G253" s="15">
        <f t="shared" ref="G253" si="791">F253*86400</f>
        <v>2309472</v>
      </c>
      <c r="H253" s="21">
        <f t="shared" ref="H253" si="792">G253/1000000</f>
        <v>2.309472</v>
      </c>
      <c r="I253" s="20">
        <f t="shared" si="558"/>
        <v>103926.23999999999</v>
      </c>
      <c r="J253" s="28">
        <v>9.6868194444444403E-2</v>
      </c>
      <c r="K253" s="20">
        <f t="shared" si="559"/>
        <v>12471.148799999999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0.23094720000000002</v>
      </c>
      <c r="O253" s="7">
        <f t="shared" ref="O253" si="794">H253-M253-N253</f>
        <v>1.896314605555562</v>
      </c>
    </row>
    <row r="254" spans="1:15" x14ac:dyDescent="0.7">
      <c r="A254" s="6"/>
      <c r="B254" s="6"/>
      <c r="C254" s="6">
        <v>9</v>
      </c>
      <c r="D254" s="7">
        <v>39.17</v>
      </c>
      <c r="E254" s="4">
        <v>47.4</v>
      </c>
      <c r="F254" s="7">
        <v>39.17</v>
      </c>
      <c r="G254" s="15">
        <f t="shared" ref="G254" si="795">F254*86400</f>
        <v>3384288</v>
      </c>
      <c r="H254" s="21">
        <f t="shared" ref="H254" si="796">G254/1000000</f>
        <v>3.3842880000000002</v>
      </c>
      <c r="I254" s="20">
        <f t="shared" si="558"/>
        <v>152292.96</v>
      </c>
      <c r="J254" s="28">
        <v>9.7247644444444406E-2</v>
      </c>
      <c r="K254" s="20">
        <f t="shared" si="559"/>
        <v>18275.155199999997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0.33842880000000003</v>
      </c>
      <c r="O254" s="7">
        <f t="shared" ref="O254" si="798">H254-M254-N254</f>
        <v>2.862899022222229</v>
      </c>
    </row>
    <row r="255" spans="1:15" x14ac:dyDescent="0.7">
      <c r="A255" s="6"/>
      <c r="B255" s="6"/>
      <c r="C255" s="3">
        <v>10</v>
      </c>
      <c r="D255" s="7">
        <v>77.19</v>
      </c>
      <c r="E255" s="4">
        <v>24.5</v>
      </c>
      <c r="F255" s="7">
        <v>77.19</v>
      </c>
      <c r="G255" s="15">
        <f t="shared" ref="G255" si="799">F255*86400</f>
        <v>6669216</v>
      </c>
      <c r="H255" s="21">
        <f t="shared" ref="H255" si="800">G255/1000000</f>
        <v>6.6692159999999996</v>
      </c>
      <c r="I255" s="20">
        <f t="shared" si="558"/>
        <v>300114.71999999997</v>
      </c>
      <c r="J255" s="28">
        <v>9.7627094444444396E-2</v>
      </c>
      <c r="K255" s="20">
        <f t="shared" si="559"/>
        <v>36013.766399999993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0.6669216</v>
      </c>
      <c r="O255" s="7">
        <f t="shared" ref="O255" si="802">H255-M255-N255</f>
        <v>5.8185842388888949</v>
      </c>
    </row>
    <row r="256" spans="1:15" x14ac:dyDescent="0.7">
      <c r="A256" s="6"/>
      <c r="B256" s="6"/>
      <c r="C256" s="6">
        <v>11</v>
      </c>
      <c r="D256" s="7">
        <v>125.69800000000001</v>
      </c>
      <c r="E256" s="4">
        <v>2</v>
      </c>
      <c r="F256" s="7">
        <v>125.69800000000001</v>
      </c>
      <c r="G256" s="15">
        <f t="shared" ref="G256" si="803">F256*86400</f>
        <v>10860307.200000001</v>
      </c>
      <c r="H256" s="21">
        <f t="shared" ref="H256" si="804">G256/1000000</f>
        <v>10.860307200000001</v>
      </c>
      <c r="I256" s="20">
        <f t="shared" si="558"/>
        <v>488713.82400000002</v>
      </c>
      <c r="J256" s="28">
        <v>9.8006544444444399E-2</v>
      </c>
      <c r="K256" s="20">
        <f t="shared" si="559"/>
        <v>58645.658880000003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1.0860307200000001</v>
      </c>
      <c r="O256" s="7">
        <f t="shared" ref="O256" si="806">H256-M256-N256</f>
        <v>9.5898163355555628</v>
      </c>
    </row>
    <row r="257" spans="1:15" x14ac:dyDescent="0.7">
      <c r="A257" s="6"/>
      <c r="B257" s="6"/>
      <c r="C257" s="6">
        <v>12</v>
      </c>
      <c r="D257" s="7">
        <v>137.624</v>
      </c>
      <c r="E257" s="4">
        <v>7.2</v>
      </c>
      <c r="F257" s="7">
        <v>137.624</v>
      </c>
      <c r="G257" s="15">
        <f t="shared" ref="G257" si="807">F257*86400</f>
        <v>11890713.6</v>
      </c>
      <c r="H257" s="21">
        <f t="shared" ref="H257" si="808">G257/1000000</f>
        <v>11.8907136</v>
      </c>
      <c r="I257" s="20">
        <f t="shared" si="558"/>
        <v>535082.11199999996</v>
      </c>
      <c r="J257" s="28">
        <v>9.8385994444444402E-2</v>
      </c>
      <c r="K257" s="20">
        <f t="shared" si="559"/>
        <v>64209.853439999992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1.18907136</v>
      </c>
      <c r="O257" s="7">
        <f t="shared" ref="O257" si="810">H257-M257-N257</f>
        <v>10.51643211222223</v>
      </c>
    </row>
    <row r="258" spans="1:15" x14ac:dyDescent="0.7">
      <c r="A258" s="6"/>
      <c r="B258" s="6"/>
      <c r="C258" s="3">
        <v>13</v>
      </c>
      <c r="D258" s="7">
        <v>117.801</v>
      </c>
      <c r="E258" s="4">
        <v>4</v>
      </c>
      <c r="F258" s="7">
        <v>117.801</v>
      </c>
      <c r="G258" s="15">
        <f t="shared" ref="G258" si="811">F258*86400</f>
        <v>10178006.4</v>
      </c>
      <c r="H258" s="21">
        <f t="shared" ref="H258" si="812">G258/1000000</f>
        <v>10.178006400000001</v>
      </c>
      <c r="I258" s="20">
        <f t="shared" si="558"/>
        <v>458010.288</v>
      </c>
      <c r="J258" s="28">
        <v>9.8765444444444406E-2</v>
      </c>
      <c r="K258" s="20">
        <f t="shared" si="559"/>
        <v>54961.234559999997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1.0178006400000001</v>
      </c>
      <c r="O258" s="7">
        <f t="shared" ref="O258" si="814">H258-M258-N258</f>
        <v>8.9742456488888962</v>
      </c>
    </row>
    <row r="259" spans="1:15" x14ac:dyDescent="0.7">
      <c r="A259" s="6"/>
      <c r="B259" s="6"/>
      <c r="C259" s="6">
        <v>14</v>
      </c>
      <c r="D259" s="7">
        <v>113.73</v>
      </c>
      <c r="E259" s="4">
        <v>5.4</v>
      </c>
      <c r="F259" s="7">
        <v>113.73</v>
      </c>
      <c r="G259" s="15">
        <f t="shared" ref="G259" si="815">F259*86400</f>
        <v>9826272</v>
      </c>
      <c r="H259" s="21">
        <f t="shared" ref="H259" si="816">G259/1000000</f>
        <v>9.8262719999999995</v>
      </c>
      <c r="I259" s="20">
        <f t="shared" ref="I259:I322" si="817">H259*1000000*0.045</f>
        <v>442182.24</v>
      </c>
      <c r="J259" s="28">
        <v>9.9144894444444395E-2</v>
      </c>
      <c r="K259" s="20">
        <f t="shared" ref="K259:K322" si="818">I259*0.12</f>
        <v>53061.868799999997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0.98262720000000003</v>
      </c>
      <c r="O259" s="7">
        <f t="shared" ref="O259" si="821">H259-M259-N259</f>
        <v>8.6569347055555621</v>
      </c>
    </row>
    <row r="260" spans="1:15" x14ac:dyDescent="0.7">
      <c r="A260" s="6"/>
      <c r="B260" s="6"/>
      <c r="C260" s="6">
        <v>15</v>
      </c>
      <c r="D260" s="7">
        <v>96.35</v>
      </c>
      <c r="E260" s="4">
        <v>0</v>
      </c>
      <c r="F260" s="7">
        <v>96.35</v>
      </c>
      <c r="G260" s="15">
        <f t="shared" ref="G260" si="822">F260*86400</f>
        <v>8324639.9999999991</v>
      </c>
      <c r="H260" s="21">
        <f t="shared" ref="H260" si="823">G260/1000000</f>
        <v>8.3246399999999987</v>
      </c>
      <c r="I260" s="20">
        <f t="shared" si="817"/>
        <v>374608.79999999993</v>
      </c>
      <c r="J260" s="28">
        <v>9.9524344444444399E-2</v>
      </c>
      <c r="K260" s="20">
        <f t="shared" si="818"/>
        <v>44953.05599999999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0.83246399999999987</v>
      </c>
      <c r="O260" s="7">
        <f t="shared" ref="O260" si="825">H260-M260-N260</f>
        <v>7.3047159222222273</v>
      </c>
    </row>
    <row r="261" spans="1:15" x14ac:dyDescent="0.7">
      <c r="A261" s="6"/>
      <c r="B261" s="6"/>
      <c r="C261" s="3">
        <v>16</v>
      </c>
      <c r="D261" s="7">
        <v>68.95</v>
      </c>
      <c r="E261" s="4">
        <v>0</v>
      </c>
      <c r="F261" s="7">
        <v>68.95</v>
      </c>
      <c r="G261" s="15">
        <f t="shared" ref="G261" si="826">F261*86400</f>
        <v>5957280</v>
      </c>
      <c r="H261" s="21">
        <f t="shared" ref="H261" si="827">G261/1000000</f>
        <v>5.9572799999999999</v>
      </c>
      <c r="I261" s="20">
        <f t="shared" si="817"/>
        <v>268077.59999999998</v>
      </c>
      <c r="J261" s="28">
        <v>9.9903794444444402E-2</v>
      </c>
      <c r="K261" s="20">
        <f t="shared" si="818"/>
        <v>32169.311999999994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0.59572800000000004</v>
      </c>
      <c r="O261" s="7">
        <f t="shared" ref="O261" si="829">H261-M261-N261</f>
        <v>5.1733419388888953</v>
      </c>
    </row>
    <row r="262" spans="1:15" x14ac:dyDescent="0.7">
      <c r="A262" s="6"/>
      <c r="B262" s="6"/>
      <c r="C262" s="6">
        <v>17</v>
      </c>
      <c r="D262" s="7">
        <v>55.709999999999994</v>
      </c>
      <c r="E262" s="4">
        <v>0</v>
      </c>
      <c r="F262" s="7">
        <v>55.709999999999994</v>
      </c>
      <c r="G262" s="15">
        <f t="shared" ref="G262" si="830">F262*86400</f>
        <v>4813343.9999999991</v>
      </c>
      <c r="H262" s="21">
        <f t="shared" ref="H262" si="831">G262/1000000</f>
        <v>4.813343999999999</v>
      </c>
      <c r="I262" s="20">
        <f t="shared" si="817"/>
        <v>216600.47999999995</v>
      </c>
      <c r="J262" s="28">
        <v>0.100283244444444</v>
      </c>
      <c r="K262" s="20">
        <f t="shared" si="818"/>
        <v>25992.057599999993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0.48133439999999994</v>
      </c>
      <c r="O262" s="7">
        <f t="shared" ref="O262" si="833">H262-M262-N262</f>
        <v>4.143049555555562</v>
      </c>
    </row>
    <row r="263" spans="1:15" x14ac:dyDescent="0.7">
      <c r="A263" s="6"/>
      <c r="B263" s="6"/>
      <c r="C263" s="6">
        <v>18</v>
      </c>
      <c r="D263" s="7">
        <v>42.769999999999996</v>
      </c>
      <c r="E263" s="4">
        <v>0</v>
      </c>
      <c r="F263" s="7">
        <v>42.769999999999996</v>
      </c>
      <c r="G263" s="15">
        <f t="shared" ref="G263" si="834">F263*86400</f>
        <v>3695327.9999999995</v>
      </c>
      <c r="H263" s="21">
        <f t="shared" ref="H263" si="835">G263/1000000</f>
        <v>3.6953279999999995</v>
      </c>
      <c r="I263" s="20">
        <f t="shared" si="817"/>
        <v>166289.75999999998</v>
      </c>
      <c r="J263" s="28">
        <v>0.10066269444444401</v>
      </c>
      <c r="K263" s="20">
        <f t="shared" si="818"/>
        <v>19954.771199999996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0.36953279999999999</v>
      </c>
      <c r="O263" s="7">
        <f t="shared" ref="O263" si="837">H263-M263-N263</f>
        <v>3.1360851722222289</v>
      </c>
    </row>
    <row r="264" spans="1:15" x14ac:dyDescent="0.7">
      <c r="A264" s="6"/>
      <c r="B264" s="6"/>
      <c r="C264" s="3">
        <v>19</v>
      </c>
      <c r="D264" s="7">
        <v>37.480000000000004</v>
      </c>
      <c r="E264" s="4">
        <v>15</v>
      </c>
      <c r="F264" s="7">
        <v>37.480000000000004</v>
      </c>
      <c r="G264" s="15">
        <f t="shared" ref="G264" si="838">F264*86400</f>
        <v>3238272.0000000005</v>
      </c>
      <c r="H264" s="21">
        <f t="shared" ref="H264" si="839">G264/1000000</f>
        <v>3.2382720000000003</v>
      </c>
      <c r="I264" s="20">
        <f t="shared" si="817"/>
        <v>145722.24000000002</v>
      </c>
      <c r="J264" s="28">
        <v>0.101042144444444</v>
      </c>
      <c r="K264" s="20">
        <f t="shared" si="818"/>
        <v>17486.668800000003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0.32382720000000004</v>
      </c>
      <c r="O264" s="7">
        <f t="shared" ref="O264" si="841">H264-M264-N264</f>
        <v>2.7239847888888962</v>
      </c>
    </row>
    <row r="265" spans="1:15" x14ac:dyDescent="0.7">
      <c r="A265" s="6"/>
      <c r="B265" s="6"/>
      <c r="C265" s="6">
        <v>20</v>
      </c>
      <c r="D265" s="7">
        <v>41.849999999999994</v>
      </c>
      <c r="E265" s="4">
        <v>12.2</v>
      </c>
      <c r="F265" s="7">
        <v>41.849999999999994</v>
      </c>
      <c r="G265" s="15">
        <f t="shared" ref="G265" si="842">F265*86400</f>
        <v>3615839.9999999995</v>
      </c>
      <c r="H265" s="21">
        <f t="shared" ref="H265" si="843">G265/1000000</f>
        <v>3.6158399999999995</v>
      </c>
      <c r="I265" s="20">
        <f t="shared" si="817"/>
        <v>162712.79999999996</v>
      </c>
      <c r="J265" s="28">
        <v>0.101421594444444</v>
      </c>
      <c r="K265" s="20">
        <f t="shared" si="818"/>
        <v>19525.535999999993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0.36158399999999996</v>
      </c>
      <c r="O265" s="7">
        <f t="shared" ref="O265" si="845">H265-M265-N265</f>
        <v>3.0630460055555626</v>
      </c>
    </row>
    <row r="266" spans="1:15" x14ac:dyDescent="0.7">
      <c r="A266" s="6"/>
      <c r="B266" s="6"/>
      <c r="C266" s="6">
        <v>21</v>
      </c>
      <c r="D266" s="7">
        <v>35.69</v>
      </c>
      <c r="E266" s="4">
        <v>1.2</v>
      </c>
      <c r="F266" s="7">
        <v>35.69</v>
      </c>
      <c r="G266" s="15">
        <f t="shared" ref="G266" si="846">F266*86400</f>
        <v>3083616</v>
      </c>
      <c r="H266" s="21">
        <f t="shared" ref="H266" si="847">G266/1000000</f>
        <v>3.0836160000000001</v>
      </c>
      <c r="I266" s="20">
        <f t="shared" si="817"/>
        <v>138762.72</v>
      </c>
      <c r="J266" s="28">
        <v>0.101801044444444</v>
      </c>
      <c r="K266" s="20">
        <f t="shared" si="818"/>
        <v>16651.526399999999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0.30836160000000001</v>
      </c>
      <c r="O266" s="7">
        <f t="shared" ref="O266" si="849">H266-M266-N266</f>
        <v>2.5832944222222296</v>
      </c>
    </row>
    <row r="267" spans="1:15" x14ac:dyDescent="0.7">
      <c r="A267" s="6"/>
      <c r="B267" s="6"/>
      <c r="C267" s="3">
        <v>22</v>
      </c>
      <c r="D267" s="7">
        <v>31.29</v>
      </c>
      <c r="E267" s="4">
        <v>10.3</v>
      </c>
      <c r="F267" s="7">
        <v>31.29</v>
      </c>
      <c r="G267" s="15">
        <f t="shared" ref="G267" si="850">F267*86400</f>
        <v>2703456</v>
      </c>
      <c r="H267" s="21">
        <f t="shared" ref="H267" si="851">G267/1000000</f>
        <v>2.7034560000000001</v>
      </c>
      <c r="I267" s="20">
        <f t="shared" si="817"/>
        <v>121655.51999999999</v>
      </c>
      <c r="J267" s="28">
        <v>0.10218049444444401</v>
      </c>
      <c r="K267" s="20">
        <f t="shared" si="818"/>
        <v>14598.662399999997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0.27034560000000002</v>
      </c>
      <c r="O267" s="7">
        <f t="shared" ref="O267" si="853">H267-M267-N267</f>
        <v>2.2404004388888965</v>
      </c>
    </row>
    <row r="268" spans="1:15" x14ac:dyDescent="0.7">
      <c r="A268" s="6"/>
      <c r="B268" s="6"/>
      <c r="C268" s="6">
        <v>23</v>
      </c>
      <c r="D268" s="7">
        <v>26.85</v>
      </c>
      <c r="E268" s="4">
        <v>0</v>
      </c>
      <c r="F268" s="7">
        <v>26.85</v>
      </c>
      <c r="G268" s="15">
        <f t="shared" ref="G268" si="854">F268*86400</f>
        <v>2319840</v>
      </c>
      <c r="H268" s="21">
        <f t="shared" ref="H268" si="855">G268/1000000</f>
        <v>2.3198400000000001</v>
      </c>
      <c r="I268" s="20">
        <f t="shared" si="817"/>
        <v>104392.8</v>
      </c>
      <c r="J268" s="28">
        <v>0.102559944444444</v>
      </c>
      <c r="K268" s="20">
        <f t="shared" si="818"/>
        <v>12527.136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0.23198400000000002</v>
      </c>
      <c r="O268" s="7">
        <f t="shared" ref="O268" si="857">H268-M268-N268</f>
        <v>1.8943960555555635</v>
      </c>
    </row>
    <row r="269" spans="1:15" x14ac:dyDescent="0.7">
      <c r="A269" s="6"/>
      <c r="B269" s="6"/>
      <c r="C269" s="6">
        <v>24</v>
      </c>
      <c r="D269" s="7">
        <v>30.92</v>
      </c>
      <c r="E269" s="4">
        <v>0</v>
      </c>
      <c r="F269" s="7">
        <v>30.92</v>
      </c>
      <c r="G269" s="15">
        <f t="shared" ref="G269" si="858">F269*86400</f>
        <v>2671488</v>
      </c>
      <c r="H269" s="21">
        <f t="shared" ref="H269" si="859">G269/1000000</f>
        <v>2.6714880000000001</v>
      </c>
      <c r="I269" s="20">
        <f t="shared" si="817"/>
        <v>120216.95999999999</v>
      </c>
      <c r="J269" s="28">
        <v>0.102939394444444</v>
      </c>
      <c r="K269" s="20">
        <f t="shared" si="818"/>
        <v>14426.035199999998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0.26714880000000002</v>
      </c>
      <c r="O269" s="7">
        <f t="shared" ref="O269" si="861">H269-M269-N269</f>
        <v>2.2101292722222299</v>
      </c>
    </row>
    <row r="270" spans="1:15" x14ac:dyDescent="0.7">
      <c r="A270" s="6"/>
      <c r="B270" s="6"/>
      <c r="C270" s="3">
        <v>25</v>
      </c>
      <c r="D270" s="7">
        <v>30.240000000000002</v>
      </c>
      <c r="E270" s="4">
        <v>0</v>
      </c>
      <c r="F270" s="7">
        <v>30.240000000000002</v>
      </c>
      <c r="G270" s="15">
        <f t="shared" ref="G270" si="862">F270*86400</f>
        <v>2612736</v>
      </c>
      <c r="H270" s="21">
        <f t="shared" ref="H270" si="863">G270/1000000</f>
        <v>2.6127359999999999</v>
      </c>
      <c r="I270" s="20">
        <f t="shared" si="817"/>
        <v>117573.12</v>
      </c>
      <c r="J270" s="28">
        <v>0.103318844444444</v>
      </c>
      <c r="K270" s="20">
        <f t="shared" si="818"/>
        <v>14108.774399999998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0.26127359999999999</v>
      </c>
      <c r="O270" s="7">
        <f t="shared" ref="O270" si="865">H270-M270-N270</f>
        <v>2.1565024888888966</v>
      </c>
    </row>
    <row r="271" spans="1:15" x14ac:dyDescent="0.7">
      <c r="A271" s="6"/>
      <c r="B271" s="6"/>
      <c r="C271" s="6">
        <v>26</v>
      </c>
      <c r="D271" s="7">
        <v>36.08</v>
      </c>
      <c r="E271" s="4">
        <v>0</v>
      </c>
      <c r="F271" s="7">
        <v>36.08</v>
      </c>
      <c r="G271" s="15">
        <f t="shared" ref="G271" si="866">F271*86400</f>
        <v>3117312</v>
      </c>
      <c r="H271" s="21">
        <f t="shared" ref="H271" si="867">G271/1000000</f>
        <v>3.1173120000000001</v>
      </c>
      <c r="I271" s="20">
        <f t="shared" si="817"/>
        <v>140279.04000000001</v>
      </c>
      <c r="J271" s="28">
        <v>0.10369829444444401</v>
      </c>
      <c r="K271" s="20">
        <f t="shared" si="818"/>
        <v>16833.484800000002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0.31173120000000004</v>
      </c>
      <c r="O271" s="7">
        <f t="shared" ref="O271" si="869">H271-M271-N271</f>
        <v>2.6098709055555633</v>
      </c>
    </row>
    <row r="272" spans="1:15" x14ac:dyDescent="0.7">
      <c r="A272" s="6"/>
      <c r="B272" s="6"/>
      <c r="C272" s="6">
        <v>27</v>
      </c>
      <c r="D272" s="7">
        <v>20.3</v>
      </c>
      <c r="E272" s="4">
        <v>0</v>
      </c>
      <c r="F272" s="7">
        <v>20.3</v>
      </c>
      <c r="G272" s="15">
        <f t="shared" ref="G272" si="870">F272*86400</f>
        <v>1753920</v>
      </c>
      <c r="H272" s="21">
        <f t="shared" ref="H272" si="871">G272/1000000</f>
        <v>1.7539199999999999</v>
      </c>
      <c r="I272" s="20">
        <f t="shared" si="817"/>
        <v>78926.399999999994</v>
      </c>
      <c r="J272" s="28">
        <v>0.104077744444444</v>
      </c>
      <c r="K272" s="20">
        <f t="shared" si="818"/>
        <v>9471.1679999999997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0.17539199999999999</v>
      </c>
      <c r="O272" s="7">
        <f t="shared" ref="O272" si="873">H272-M272-N272</f>
        <v>1.38206812222223</v>
      </c>
    </row>
    <row r="273" spans="1:15" x14ac:dyDescent="0.7">
      <c r="A273" s="12"/>
      <c r="B273" s="12"/>
      <c r="C273" s="43">
        <v>28</v>
      </c>
      <c r="D273" s="30">
        <v>20.34</v>
      </c>
      <c r="E273" s="4">
        <v>0</v>
      </c>
      <c r="F273" s="30">
        <v>20.34</v>
      </c>
      <c r="G273" s="31">
        <f t="shared" ref="G273" si="874">F273*86400</f>
        <v>1757376</v>
      </c>
      <c r="H273" s="32">
        <f t="shared" ref="H273" si="875">G273/1000000</f>
        <v>1.757376</v>
      </c>
      <c r="I273" s="20">
        <f t="shared" si="817"/>
        <v>79081.919999999998</v>
      </c>
      <c r="J273" s="34">
        <v>0.104457194444444</v>
      </c>
      <c r="K273" s="20">
        <f t="shared" si="818"/>
        <v>9489.8303999999989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0.17573760000000002</v>
      </c>
      <c r="O273" s="30">
        <f t="shared" ref="O273" si="877">H273-M273-N273</f>
        <v>1.3844285388888966</v>
      </c>
    </row>
    <row r="274" spans="1:15" s="37" customFormat="1" x14ac:dyDescent="0.7">
      <c r="A274" s="6"/>
      <c r="B274" s="6"/>
      <c r="C274" s="6">
        <v>29</v>
      </c>
      <c r="D274" s="7">
        <v>20.3</v>
      </c>
      <c r="E274" s="4">
        <v>0</v>
      </c>
      <c r="F274" s="7">
        <v>20.3</v>
      </c>
      <c r="G274" s="35">
        <f t="shared" ref="G274" si="878">F274*86400</f>
        <v>1753920</v>
      </c>
      <c r="H274" s="20">
        <f t="shared" ref="H274" si="879">G274/1000000</f>
        <v>1.7539199999999999</v>
      </c>
      <c r="I274" s="20">
        <f t="shared" si="817"/>
        <v>78926.399999999994</v>
      </c>
      <c r="J274" s="28">
        <v>0.104836644444444</v>
      </c>
      <c r="K274" s="20">
        <f t="shared" si="818"/>
        <v>9471.1679999999997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0.17539199999999999</v>
      </c>
      <c r="O274" s="7">
        <f t="shared" ref="O274" si="881">H274-M274-N274</f>
        <v>1.3805681555555633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19.96</v>
      </c>
      <c r="E275" s="19">
        <v>0</v>
      </c>
      <c r="F275" s="19">
        <v>19.96</v>
      </c>
      <c r="G275" s="26">
        <f t="shared" ref="G275" si="882">F275*86400</f>
        <v>1724544</v>
      </c>
      <c r="H275" s="27">
        <f t="shared" ref="H275" si="883">G275/1000000</f>
        <v>1.7245440000000001</v>
      </c>
      <c r="I275" s="22">
        <f t="shared" si="817"/>
        <v>77604.479999999996</v>
      </c>
      <c r="J275" s="39">
        <v>0.10521609444444401</v>
      </c>
      <c r="K275" s="22">
        <f t="shared" si="818"/>
        <v>9312.5375999999997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0.17245440000000001</v>
      </c>
      <c r="O275" s="19">
        <f t="shared" ref="O275" si="885">H275-M275-N275</f>
        <v>1.35337977222223</v>
      </c>
    </row>
    <row r="276" spans="1:15" x14ac:dyDescent="0.7">
      <c r="A276" s="3"/>
      <c r="B276" s="3" t="s">
        <v>24</v>
      </c>
      <c r="C276" s="3">
        <v>1</v>
      </c>
      <c r="D276" s="4">
        <v>23.52</v>
      </c>
      <c r="E276" s="4">
        <v>12.7</v>
      </c>
      <c r="F276" s="4">
        <v>23.52</v>
      </c>
      <c r="G276" s="15">
        <f t="shared" ref="G276" si="886">F276*86400</f>
        <v>2032128</v>
      </c>
      <c r="H276" s="21">
        <f t="shared" ref="H276" si="887">G276/1000000</f>
        <v>2.0321280000000002</v>
      </c>
      <c r="I276" s="21">
        <f t="shared" si="817"/>
        <v>91445.760000000009</v>
      </c>
      <c r="J276" s="25">
        <v>0.105595544444444</v>
      </c>
      <c r="K276" s="21">
        <f t="shared" si="818"/>
        <v>10973.4912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0.20321280000000003</v>
      </c>
      <c r="O276" s="4">
        <f t="shared" ref="O276" si="889">H276-M276-N276</f>
        <v>1.629455388888897</v>
      </c>
    </row>
    <row r="277" spans="1:15" x14ac:dyDescent="0.7">
      <c r="A277" s="6"/>
      <c r="B277" s="6"/>
      <c r="C277" s="6">
        <v>2</v>
      </c>
      <c r="D277" s="7">
        <v>6.28</v>
      </c>
      <c r="E277" s="4">
        <v>4.3</v>
      </c>
      <c r="F277" s="7">
        <v>6.28</v>
      </c>
      <c r="G277" s="15">
        <f t="shared" ref="G277" si="890">F277*86400</f>
        <v>542592</v>
      </c>
      <c r="H277" s="21">
        <f t="shared" ref="H277" si="891">G277/1000000</f>
        <v>0.54259199999999996</v>
      </c>
      <c r="I277" s="20">
        <f t="shared" si="817"/>
        <v>24416.639999999999</v>
      </c>
      <c r="J277" s="28">
        <v>0.105974994444444</v>
      </c>
      <c r="K277" s="20">
        <f t="shared" si="818"/>
        <v>2929.9967999999999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5.42592E-2</v>
      </c>
      <c r="O277" s="7">
        <f t="shared" ref="O277" si="893">H277-M277-N277</f>
        <v>0.28812300555556336</v>
      </c>
    </row>
    <row r="278" spans="1:15" x14ac:dyDescent="0.7">
      <c r="A278" s="6"/>
      <c r="B278" s="6"/>
      <c r="C278" s="6">
        <v>3</v>
      </c>
      <c r="D278" s="7">
        <v>22.41</v>
      </c>
      <c r="E278" s="4">
        <v>0</v>
      </c>
      <c r="F278" s="7">
        <v>22.41</v>
      </c>
      <c r="G278" s="15">
        <f t="shared" ref="G278" si="894">F278*86400</f>
        <v>1936224</v>
      </c>
      <c r="H278" s="21">
        <f t="shared" ref="H278" si="895">G278/1000000</f>
        <v>1.9362239999999999</v>
      </c>
      <c r="I278" s="20">
        <f t="shared" si="817"/>
        <v>87130.08</v>
      </c>
      <c r="J278" s="28">
        <v>0.106354444444444</v>
      </c>
      <c r="K278" s="20">
        <f t="shared" si="818"/>
        <v>10455.6096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0.1936224</v>
      </c>
      <c r="O278" s="7">
        <f t="shared" ref="O278" si="897">H278-M278-N278</f>
        <v>1.5416418222222301</v>
      </c>
    </row>
    <row r="279" spans="1:15" x14ac:dyDescent="0.7">
      <c r="A279" s="6"/>
      <c r="B279" s="6"/>
      <c r="C279" s="3">
        <v>4</v>
      </c>
      <c r="D279" s="7">
        <v>22.41</v>
      </c>
      <c r="E279" s="4">
        <v>0</v>
      </c>
      <c r="F279" s="7">
        <v>22.41</v>
      </c>
      <c r="G279" s="15">
        <f t="shared" ref="G279" si="898">F279*86400</f>
        <v>1936224</v>
      </c>
      <c r="H279" s="21">
        <f t="shared" ref="H279" si="899">G279/1000000</f>
        <v>1.9362239999999999</v>
      </c>
      <c r="I279" s="20">
        <f t="shared" si="817"/>
        <v>87130.08</v>
      </c>
      <c r="J279" s="28">
        <v>0.10673389444444401</v>
      </c>
      <c r="K279" s="20">
        <f t="shared" si="818"/>
        <v>10455.6096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0.1936224</v>
      </c>
      <c r="O279" s="7">
        <f t="shared" ref="O279" si="901">H279-M279-N279</f>
        <v>1.5408918388888968</v>
      </c>
    </row>
    <row r="280" spans="1:15" x14ac:dyDescent="0.7">
      <c r="A280" s="6"/>
      <c r="B280" s="6"/>
      <c r="C280" s="6">
        <v>5</v>
      </c>
      <c r="D280" s="7">
        <v>20.46</v>
      </c>
      <c r="E280" s="4">
        <v>0</v>
      </c>
      <c r="F280" s="7">
        <v>20.46</v>
      </c>
      <c r="G280" s="15">
        <f t="shared" ref="G280" si="902">F280*86400</f>
        <v>1767744</v>
      </c>
      <c r="H280" s="21">
        <f t="shared" ref="H280" si="903">G280/1000000</f>
        <v>1.767744</v>
      </c>
      <c r="I280" s="20">
        <f t="shared" si="817"/>
        <v>79548.479999999996</v>
      </c>
      <c r="J280" s="28">
        <v>0.10711334444444399</v>
      </c>
      <c r="K280" s="20">
        <f t="shared" si="818"/>
        <v>9545.8175999999985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0.1767744</v>
      </c>
      <c r="O280" s="7">
        <f t="shared" ref="O280" si="905">H280-M280-N280</f>
        <v>1.3885098555555635</v>
      </c>
    </row>
    <row r="281" spans="1:15" x14ac:dyDescent="0.7">
      <c r="A281" s="6"/>
      <c r="B281" s="6"/>
      <c r="C281" s="6">
        <v>6</v>
      </c>
      <c r="D281" s="7">
        <v>18.3</v>
      </c>
      <c r="E281" s="4">
        <v>0</v>
      </c>
      <c r="F281" s="7">
        <v>18.3</v>
      </c>
      <c r="G281" s="15">
        <f t="shared" ref="G281" si="906">F281*86400</f>
        <v>1581120</v>
      </c>
      <c r="H281" s="21">
        <f t="shared" ref="H281" si="907">G281/1000000</f>
        <v>1.5811200000000001</v>
      </c>
      <c r="I281" s="20">
        <f t="shared" si="817"/>
        <v>71150.399999999994</v>
      </c>
      <c r="J281" s="28">
        <v>0.107492794444444</v>
      </c>
      <c r="K281" s="20">
        <f t="shared" si="818"/>
        <v>8538.0479999999989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0.15811200000000003</v>
      </c>
      <c r="O281" s="7">
        <f t="shared" ref="O281" si="909">H281-M281-N281</f>
        <v>1.2197982722222303</v>
      </c>
    </row>
    <row r="282" spans="1:15" x14ac:dyDescent="0.7">
      <c r="A282" s="6"/>
      <c r="B282" s="6"/>
      <c r="C282" s="3">
        <v>7</v>
      </c>
      <c r="D282" s="7">
        <v>19.13</v>
      </c>
      <c r="E282" s="4">
        <v>0</v>
      </c>
      <c r="F282" s="7">
        <v>19.13</v>
      </c>
      <c r="G282" s="15">
        <f t="shared" ref="G282" si="910">F282*86400</f>
        <v>1652832</v>
      </c>
      <c r="H282" s="21">
        <f t="shared" ref="H282" si="911">G282/1000000</f>
        <v>1.6528320000000001</v>
      </c>
      <c r="I282" s="20">
        <f t="shared" si="817"/>
        <v>74377.440000000002</v>
      </c>
      <c r="J282" s="28">
        <v>0.107872244444444</v>
      </c>
      <c r="K282" s="20">
        <f t="shared" si="818"/>
        <v>8925.2927999999993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0.16528320000000002</v>
      </c>
      <c r="O282" s="7">
        <f t="shared" ref="O282" si="913">H282-M282-N282</f>
        <v>1.283589088888897</v>
      </c>
    </row>
    <row r="283" spans="1:15" x14ac:dyDescent="0.7">
      <c r="A283" s="6"/>
      <c r="B283" s="6"/>
      <c r="C283" s="6">
        <v>8</v>
      </c>
      <c r="D283" s="7">
        <v>18.45</v>
      </c>
      <c r="E283" s="4">
        <v>0</v>
      </c>
      <c r="F283" s="7">
        <v>18.45</v>
      </c>
      <c r="G283" s="15">
        <f t="shared" ref="G283" si="914">F283*86400</f>
        <v>1594080</v>
      </c>
      <c r="H283" s="21">
        <f t="shared" ref="H283" si="915">G283/1000000</f>
        <v>1.5940799999999999</v>
      </c>
      <c r="I283" s="20">
        <f t="shared" si="817"/>
        <v>71733.599999999991</v>
      </c>
      <c r="J283" s="28">
        <v>0.108251694444444</v>
      </c>
      <c r="K283" s="20">
        <f t="shared" si="818"/>
        <v>8608.0319999999992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0.15940799999999999</v>
      </c>
      <c r="O283" s="7">
        <f t="shared" ref="O283" si="917">H283-M283-N283</f>
        <v>1.2299623055555635</v>
      </c>
    </row>
    <row r="284" spans="1:15" x14ac:dyDescent="0.7">
      <c r="A284" s="6"/>
      <c r="B284" s="6"/>
      <c r="C284" s="6">
        <v>9</v>
      </c>
      <c r="D284" s="7">
        <v>19.79</v>
      </c>
      <c r="E284" s="4">
        <v>0</v>
      </c>
      <c r="F284" s="7">
        <v>19.79</v>
      </c>
      <c r="G284" s="15">
        <f t="shared" ref="G284" si="918">F284*86400</f>
        <v>1709856</v>
      </c>
      <c r="H284" s="21">
        <f t="shared" ref="H284" si="919">G284/1000000</f>
        <v>1.709856</v>
      </c>
      <c r="I284" s="20">
        <f t="shared" si="817"/>
        <v>76943.520000000004</v>
      </c>
      <c r="J284" s="28">
        <v>0.10863114444444399</v>
      </c>
      <c r="K284" s="20">
        <f t="shared" si="818"/>
        <v>9233.2224000000006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0.17098560000000002</v>
      </c>
      <c r="O284" s="7">
        <f t="shared" ref="O284" si="921">H284-M284-N284</f>
        <v>1.3334107222222302</v>
      </c>
    </row>
    <row r="285" spans="1:15" x14ac:dyDescent="0.7">
      <c r="A285" s="6"/>
      <c r="B285" s="6"/>
      <c r="C285" s="3">
        <v>10</v>
      </c>
      <c r="D285" s="7">
        <v>22.41</v>
      </c>
      <c r="E285" s="4">
        <v>0</v>
      </c>
      <c r="F285" s="7">
        <v>22.41</v>
      </c>
      <c r="G285" s="15">
        <f t="shared" ref="G285" si="922">F285*86400</f>
        <v>1936224</v>
      </c>
      <c r="H285" s="21">
        <f t="shared" ref="H285" si="923">G285/1000000</f>
        <v>1.9362239999999999</v>
      </c>
      <c r="I285" s="20">
        <f t="shared" si="817"/>
        <v>87130.08</v>
      </c>
      <c r="J285" s="28">
        <v>0.109010594444444</v>
      </c>
      <c r="K285" s="20">
        <f t="shared" si="818"/>
        <v>10455.6096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0.1936224</v>
      </c>
      <c r="O285" s="7">
        <f t="shared" ref="O285" si="925">H285-M285-N285</f>
        <v>1.5363919388888969</v>
      </c>
    </row>
    <row r="286" spans="1:15" x14ac:dyDescent="0.7">
      <c r="A286" s="6"/>
      <c r="B286" s="6"/>
      <c r="C286" s="6">
        <v>11</v>
      </c>
      <c r="D286" s="7">
        <v>0</v>
      </c>
      <c r="E286" s="4">
        <v>0</v>
      </c>
      <c r="F286" s="7">
        <v>0</v>
      </c>
      <c r="G286" s="15">
        <f t="shared" ref="G286" si="926">F286*86400</f>
        <v>0</v>
      </c>
      <c r="H286" s="21">
        <f t="shared" ref="H286" si="927">G286/1000000</f>
        <v>0</v>
      </c>
      <c r="I286" s="20">
        <f t="shared" si="817"/>
        <v>0</v>
      </c>
      <c r="J286" s="28">
        <v>0.109390044444444</v>
      </c>
      <c r="K286" s="20">
        <f t="shared" si="818"/>
        <v>0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0</v>
      </c>
      <c r="O286" s="7">
        <f t="shared" ref="O286" si="929">H286-M286-N286</f>
        <v>-0.20695964444443632</v>
      </c>
    </row>
    <row r="287" spans="1:15" x14ac:dyDescent="0.7">
      <c r="A287" s="6"/>
      <c r="B287" s="6"/>
      <c r="C287" s="6">
        <v>12</v>
      </c>
      <c r="D287" s="7">
        <v>19.329999999999998</v>
      </c>
      <c r="E287" s="4">
        <v>0</v>
      </c>
      <c r="F287" s="7">
        <v>19.329999999999998</v>
      </c>
      <c r="G287" s="15">
        <f t="shared" ref="G287" si="930">F287*86400</f>
        <v>1670111.9999999998</v>
      </c>
      <c r="H287" s="21">
        <f t="shared" ref="H287" si="931">G287/1000000</f>
        <v>1.6701119999999998</v>
      </c>
      <c r="I287" s="20">
        <f t="shared" si="817"/>
        <v>75155.039999999994</v>
      </c>
      <c r="J287" s="28">
        <v>0.109769494444444</v>
      </c>
      <c r="K287" s="20">
        <f t="shared" si="818"/>
        <v>9018.6047999999992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0.1670112</v>
      </c>
      <c r="O287" s="7">
        <f t="shared" ref="O287" si="933">H287-M287-N287</f>
        <v>1.2953911722222302</v>
      </c>
    </row>
    <row r="288" spans="1:15" x14ac:dyDescent="0.7">
      <c r="A288" s="6"/>
      <c r="B288" s="6"/>
      <c r="C288" s="3">
        <v>13</v>
      </c>
      <c r="D288" s="7">
        <v>16.25</v>
      </c>
      <c r="E288" s="4">
        <v>4</v>
      </c>
      <c r="F288" s="7">
        <v>16.25</v>
      </c>
      <c r="G288" s="15">
        <f t="shared" ref="G288" si="934">F288*86400</f>
        <v>1404000</v>
      </c>
      <c r="H288" s="21">
        <f t="shared" ref="H288" si="935">G288/1000000</f>
        <v>1.4039999999999999</v>
      </c>
      <c r="I288" s="20">
        <f t="shared" si="817"/>
        <v>63180</v>
      </c>
      <c r="J288" s="28">
        <v>0.11014894444444399</v>
      </c>
      <c r="K288" s="20">
        <f t="shared" si="818"/>
        <v>7581.5999999999995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0.1404</v>
      </c>
      <c r="O288" s="7">
        <f t="shared" ref="O288" si="937">H288-M288-N288</f>
        <v>1.0551403888888968</v>
      </c>
    </row>
    <row r="289" spans="1:15" x14ac:dyDescent="0.7">
      <c r="A289" s="6"/>
      <c r="B289" s="6"/>
      <c r="C289" s="6">
        <v>14</v>
      </c>
      <c r="D289" s="7">
        <v>19.68</v>
      </c>
      <c r="E289" s="4">
        <v>0</v>
      </c>
      <c r="F289" s="7">
        <v>19.68</v>
      </c>
      <c r="G289" s="15">
        <f t="shared" ref="G289" si="938">F289*86400</f>
        <v>1700352</v>
      </c>
      <c r="H289" s="21">
        <f t="shared" ref="H289" si="939">G289/1000000</f>
        <v>1.7003520000000001</v>
      </c>
      <c r="I289" s="20">
        <f t="shared" si="817"/>
        <v>76515.839999999997</v>
      </c>
      <c r="J289" s="28">
        <v>0.110528394444444</v>
      </c>
      <c r="K289" s="20">
        <f t="shared" si="818"/>
        <v>9181.9007999999994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0.17003520000000003</v>
      </c>
      <c r="O289" s="7">
        <f t="shared" ref="O289" si="941">H289-M289-N289</f>
        <v>1.3211072055555637</v>
      </c>
    </row>
    <row r="290" spans="1:15" x14ac:dyDescent="0.7">
      <c r="A290" s="6"/>
      <c r="B290" s="6"/>
      <c r="C290" s="6">
        <v>15</v>
      </c>
      <c r="D290" s="7">
        <v>21.58</v>
      </c>
      <c r="E290" s="4">
        <v>0.5</v>
      </c>
      <c r="F290" s="7">
        <v>21.58</v>
      </c>
      <c r="G290" s="15">
        <f t="shared" ref="G290" si="942">F290*86400</f>
        <v>1864511.9999999998</v>
      </c>
      <c r="H290" s="21">
        <f t="shared" ref="H290" si="943">G290/1000000</f>
        <v>1.8645119999999997</v>
      </c>
      <c r="I290" s="20">
        <f t="shared" si="817"/>
        <v>83903.039999999994</v>
      </c>
      <c r="J290" s="28">
        <v>0.110907844444444</v>
      </c>
      <c r="K290" s="20">
        <f t="shared" si="818"/>
        <v>10068.364799999999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0.18645119999999998</v>
      </c>
      <c r="O290" s="7">
        <f t="shared" ref="O290" si="945">H290-M290-N290</f>
        <v>1.4681012222222303</v>
      </c>
    </row>
    <row r="291" spans="1:15" x14ac:dyDescent="0.7">
      <c r="A291" s="6"/>
      <c r="B291" s="6"/>
      <c r="C291" s="3">
        <v>16</v>
      </c>
      <c r="D291" s="7">
        <v>18.63</v>
      </c>
      <c r="E291" s="4">
        <v>0</v>
      </c>
      <c r="F291" s="7">
        <v>18.63</v>
      </c>
      <c r="G291" s="15">
        <f t="shared" ref="G291" si="946">F291*86400</f>
        <v>1609632</v>
      </c>
      <c r="H291" s="21">
        <f t="shared" ref="H291" si="947">G291/1000000</f>
        <v>1.609632</v>
      </c>
      <c r="I291" s="20">
        <f t="shared" si="817"/>
        <v>72433.440000000002</v>
      </c>
      <c r="J291" s="28">
        <v>0.111287294444444</v>
      </c>
      <c r="K291" s="20">
        <f t="shared" si="818"/>
        <v>8692.0128000000004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0.1609632</v>
      </c>
      <c r="O291" s="7">
        <f t="shared" ref="O291" si="949">H291-M291-N291</f>
        <v>1.2379592388888971</v>
      </c>
    </row>
    <row r="292" spans="1:15" x14ac:dyDescent="0.7">
      <c r="A292" s="6"/>
      <c r="B292" s="6"/>
      <c r="C292" s="6">
        <v>17</v>
      </c>
      <c r="D292" s="7">
        <v>16.18</v>
      </c>
      <c r="E292" s="4">
        <v>0</v>
      </c>
      <c r="F292" s="7">
        <v>16.18</v>
      </c>
      <c r="G292" s="15">
        <f t="shared" ref="G292" si="950">F292*86400</f>
        <v>1397952</v>
      </c>
      <c r="H292" s="21">
        <f t="shared" ref="H292" si="951">G292/1000000</f>
        <v>1.3979520000000001</v>
      </c>
      <c r="I292" s="20">
        <f t="shared" si="817"/>
        <v>62907.839999999997</v>
      </c>
      <c r="J292" s="28">
        <v>0.11166674444444399</v>
      </c>
      <c r="K292" s="20">
        <f t="shared" si="818"/>
        <v>7548.9407999999994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0.13979520000000001</v>
      </c>
      <c r="O292" s="7">
        <f t="shared" ref="O292" si="953">H292-M292-N292</f>
        <v>1.046697255555564</v>
      </c>
    </row>
    <row r="293" spans="1:15" x14ac:dyDescent="0.7">
      <c r="A293" s="6"/>
      <c r="B293" s="6"/>
      <c r="C293" s="6">
        <v>18</v>
      </c>
      <c r="D293" s="7">
        <v>0</v>
      </c>
      <c r="E293" s="4">
        <v>0</v>
      </c>
      <c r="F293" s="7">
        <v>0</v>
      </c>
      <c r="G293" s="15">
        <f t="shared" ref="G293" si="954">F293*86400</f>
        <v>0</v>
      </c>
      <c r="H293" s="21">
        <f t="shared" ref="H293" si="955">G293/1000000</f>
        <v>0</v>
      </c>
      <c r="I293" s="20">
        <f t="shared" si="817"/>
        <v>0</v>
      </c>
      <c r="J293" s="28">
        <v>0.112046194444444</v>
      </c>
      <c r="K293" s="20">
        <f t="shared" si="818"/>
        <v>0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</v>
      </c>
      <c r="O293" s="7">
        <f t="shared" ref="O293" si="957">H293-M293-N293</f>
        <v>-0.212209527777769</v>
      </c>
    </row>
    <row r="294" spans="1:15" x14ac:dyDescent="0.7">
      <c r="A294" s="6"/>
      <c r="B294" s="6"/>
      <c r="C294" s="3">
        <v>19</v>
      </c>
      <c r="D294" s="7">
        <v>14.17</v>
      </c>
      <c r="E294" s="4">
        <v>0</v>
      </c>
      <c r="F294" s="7">
        <v>14.17</v>
      </c>
      <c r="G294" s="15">
        <f t="shared" ref="G294" si="958">F294*86400</f>
        <v>1224288</v>
      </c>
      <c r="H294" s="21">
        <f t="shared" ref="H294" si="959">G294/1000000</f>
        <v>1.224288</v>
      </c>
      <c r="I294" s="20">
        <f t="shared" si="817"/>
        <v>55092.959999999999</v>
      </c>
      <c r="J294" s="28">
        <v>0.112425644444444</v>
      </c>
      <c r="K294" s="20">
        <f t="shared" si="818"/>
        <v>6611.1551999999992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0.1224288</v>
      </c>
      <c r="O294" s="7">
        <f t="shared" ref="O294" si="961">H294-M294-N294</f>
        <v>0.88889968888889714</v>
      </c>
    </row>
    <row r="295" spans="1:15" x14ac:dyDescent="0.7">
      <c r="A295" s="6"/>
      <c r="B295" s="6"/>
      <c r="C295" s="6">
        <v>20</v>
      </c>
      <c r="D295" s="7">
        <v>11.29</v>
      </c>
      <c r="E295" s="4">
        <v>0.8</v>
      </c>
      <c r="F295" s="7">
        <v>11.29</v>
      </c>
      <c r="G295" s="15">
        <f t="shared" ref="G295" si="962">F295*86400</f>
        <v>975455.99999999988</v>
      </c>
      <c r="H295" s="21">
        <f t="shared" ref="H295" si="963">G295/1000000</f>
        <v>0.97545599999999988</v>
      </c>
      <c r="I295" s="20">
        <f t="shared" si="817"/>
        <v>43895.51999999999</v>
      </c>
      <c r="J295" s="28">
        <v>0.112805094444444</v>
      </c>
      <c r="K295" s="20">
        <f t="shared" si="818"/>
        <v>5267.4623999999985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9.7545599999999996E-2</v>
      </c>
      <c r="O295" s="7">
        <f t="shared" ref="O295" si="965">H295-M295-N295</f>
        <v>0.66420090555556388</v>
      </c>
    </row>
    <row r="296" spans="1:15" x14ac:dyDescent="0.7">
      <c r="A296" s="6"/>
      <c r="B296" s="6"/>
      <c r="C296" s="6">
        <v>21</v>
      </c>
      <c r="D296" s="7">
        <v>16.059999999999999</v>
      </c>
      <c r="E296" s="4">
        <v>0</v>
      </c>
      <c r="F296" s="7">
        <v>16.059999999999999</v>
      </c>
      <c r="G296" s="15">
        <f t="shared" ref="G296" si="966">F296*86400</f>
        <v>1387584</v>
      </c>
      <c r="H296" s="21">
        <f t="shared" ref="H296" si="967">G296/1000000</f>
        <v>1.3875839999999999</v>
      </c>
      <c r="I296" s="20">
        <f t="shared" si="817"/>
        <v>62441.279999999999</v>
      </c>
      <c r="J296" s="28">
        <v>0.11318454444444399</v>
      </c>
      <c r="K296" s="20">
        <f t="shared" si="818"/>
        <v>7492.9535999999998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0.1387584</v>
      </c>
      <c r="O296" s="7">
        <f t="shared" ref="O296" si="969">H296-M296-N296</f>
        <v>1.0343661222222309</v>
      </c>
    </row>
    <row r="297" spans="1:15" x14ac:dyDescent="0.7">
      <c r="A297" s="6"/>
      <c r="B297" s="6"/>
      <c r="C297" s="3">
        <v>22</v>
      </c>
      <c r="D297" s="7">
        <v>17.43</v>
      </c>
      <c r="E297" s="4">
        <v>0</v>
      </c>
      <c r="F297" s="7">
        <v>17.43</v>
      </c>
      <c r="G297" s="15">
        <f t="shared" ref="G297" si="970">F297*86400</f>
        <v>1505952</v>
      </c>
      <c r="H297" s="21">
        <f t="shared" ref="H297" si="971">G297/1000000</f>
        <v>1.505952</v>
      </c>
      <c r="I297" s="20">
        <f t="shared" si="817"/>
        <v>67767.839999999997</v>
      </c>
      <c r="J297" s="28">
        <v>0.113563994444444</v>
      </c>
      <c r="K297" s="20">
        <f t="shared" si="818"/>
        <v>8132.1407999999992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0.15059520000000001</v>
      </c>
      <c r="O297" s="7">
        <f t="shared" ref="O297" si="973">H297-M297-N297</f>
        <v>1.140147338888897</v>
      </c>
    </row>
    <row r="298" spans="1:15" x14ac:dyDescent="0.7">
      <c r="A298" s="6"/>
      <c r="B298" s="6"/>
      <c r="C298" s="6">
        <v>23</v>
      </c>
      <c r="D298" s="7">
        <v>18.3</v>
      </c>
      <c r="E298" s="4">
        <v>0</v>
      </c>
      <c r="F298" s="7">
        <v>18.3</v>
      </c>
      <c r="G298" s="15">
        <f t="shared" ref="G298" si="974">F298*86400</f>
        <v>1581120</v>
      </c>
      <c r="H298" s="21">
        <f t="shared" ref="H298" si="975">G298/1000000</f>
        <v>1.5811200000000001</v>
      </c>
      <c r="I298" s="20">
        <f t="shared" si="817"/>
        <v>71150.399999999994</v>
      </c>
      <c r="J298" s="28">
        <v>0.113943444444444</v>
      </c>
      <c r="K298" s="20">
        <f t="shared" si="818"/>
        <v>8538.0479999999989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0.15811200000000003</v>
      </c>
      <c r="O298" s="7">
        <f t="shared" ref="O298" si="977">H298-M298-N298</f>
        <v>1.2070485555555641</v>
      </c>
    </row>
    <row r="299" spans="1:15" x14ac:dyDescent="0.7">
      <c r="A299" s="6"/>
      <c r="B299" s="6"/>
      <c r="C299" s="6">
        <v>24</v>
      </c>
      <c r="D299" s="7">
        <v>17.84</v>
      </c>
      <c r="E299" s="4">
        <v>0</v>
      </c>
      <c r="F299" s="7">
        <v>17.84</v>
      </c>
      <c r="G299" s="15">
        <f t="shared" ref="G299" si="978">F299*86400</f>
        <v>1541376</v>
      </c>
      <c r="H299" s="21">
        <f t="shared" ref="H299" si="979">G299/1000000</f>
        <v>1.5413760000000001</v>
      </c>
      <c r="I299" s="20">
        <f t="shared" si="817"/>
        <v>69361.919999999998</v>
      </c>
      <c r="J299" s="28">
        <v>0.114322894444444</v>
      </c>
      <c r="K299" s="20">
        <f t="shared" si="818"/>
        <v>8323.4303999999993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0.15413760000000001</v>
      </c>
      <c r="O299" s="7">
        <f t="shared" ref="O299" si="981">H299-M299-N299</f>
        <v>1.170528972222231</v>
      </c>
    </row>
    <row r="300" spans="1:15" x14ac:dyDescent="0.7">
      <c r="A300" s="6"/>
      <c r="B300" s="6"/>
      <c r="C300" s="3">
        <v>25</v>
      </c>
      <c r="D300" s="7">
        <v>16.18</v>
      </c>
      <c r="E300" s="4">
        <v>0</v>
      </c>
      <c r="F300" s="7">
        <v>16.18</v>
      </c>
      <c r="G300" s="15">
        <f t="shared" ref="G300" si="982">F300*86400</f>
        <v>1397952</v>
      </c>
      <c r="H300" s="21">
        <f t="shared" ref="H300" si="983">G300/1000000</f>
        <v>1.3979520000000001</v>
      </c>
      <c r="I300" s="20">
        <f t="shared" si="817"/>
        <v>62907.839999999997</v>
      </c>
      <c r="J300" s="28">
        <v>0.11470234444444399</v>
      </c>
      <c r="K300" s="20">
        <f t="shared" si="818"/>
        <v>7548.9407999999994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0.13979520000000001</v>
      </c>
      <c r="O300" s="7">
        <f t="shared" ref="O300" si="985">H300-M300-N300</f>
        <v>1.0406973888888971</v>
      </c>
    </row>
    <row r="301" spans="1:15" x14ac:dyDescent="0.7">
      <c r="A301" s="6"/>
      <c r="B301" s="6"/>
      <c r="C301" s="6">
        <v>26</v>
      </c>
      <c r="D301" s="7">
        <v>8.76</v>
      </c>
      <c r="E301" s="4">
        <v>0</v>
      </c>
      <c r="F301" s="7">
        <v>8.76</v>
      </c>
      <c r="G301" s="15">
        <f t="shared" ref="G301" si="986">F301*86400</f>
        <v>756864</v>
      </c>
      <c r="H301" s="21">
        <f t="shared" ref="H301" si="987">G301/1000000</f>
        <v>0.75686399999999998</v>
      </c>
      <c r="I301" s="20">
        <f t="shared" si="817"/>
        <v>34058.879999999997</v>
      </c>
      <c r="J301" s="28">
        <v>0.115081794444444</v>
      </c>
      <c r="K301" s="20">
        <f t="shared" si="818"/>
        <v>4087.0655999999994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7.5686400000000001E-2</v>
      </c>
      <c r="O301" s="7">
        <f t="shared" ref="O301" si="989">H301-M301-N301</f>
        <v>0.46296820555556401</v>
      </c>
    </row>
    <row r="302" spans="1:15" x14ac:dyDescent="0.7">
      <c r="A302" s="6"/>
      <c r="B302" s="6"/>
      <c r="C302" s="6">
        <v>27</v>
      </c>
      <c r="D302" s="7">
        <v>8.76</v>
      </c>
      <c r="E302" s="4">
        <v>0</v>
      </c>
      <c r="F302" s="7">
        <v>8.76</v>
      </c>
      <c r="G302" s="15">
        <f t="shared" ref="G302" si="990">F302*86400</f>
        <v>756864</v>
      </c>
      <c r="H302" s="21">
        <f t="shared" ref="H302" si="991">G302/1000000</f>
        <v>0.75686399999999998</v>
      </c>
      <c r="I302" s="20">
        <f t="shared" si="817"/>
        <v>34058.879999999997</v>
      </c>
      <c r="J302" s="28">
        <v>0.115461244444444</v>
      </c>
      <c r="K302" s="20">
        <f t="shared" si="818"/>
        <v>4087.0655999999994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7.5686400000000001E-2</v>
      </c>
      <c r="O302" s="7">
        <f t="shared" ref="O302" si="993">H302-M302-N302</f>
        <v>0.46221822222223102</v>
      </c>
    </row>
    <row r="303" spans="1:15" x14ac:dyDescent="0.7">
      <c r="A303" s="6"/>
      <c r="B303" s="6"/>
      <c r="C303" s="3">
        <v>28</v>
      </c>
      <c r="D303" s="7">
        <v>8.67</v>
      </c>
      <c r="E303" s="4">
        <v>0</v>
      </c>
      <c r="F303" s="7">
        <v>8.67</v>
      </c>
      <c r="G303" s="15">
        <f t="shared" ref="G303" si="994">F303*86400</f>
        <v>749088</v>
      </c>
      <c r="H303" s="21">
        <f t="shared" ref="H303" si="995">G303/1000000</f>
        <v>0.74908799999999998</v>
      </c>
      <c r="I303" s="20">
        <f t="shared" si="817"/>
        <v>33708.959999999999</v>
      </c>
      <c r="J303" s="28">
        <v>0.115840694444444</v>
      </c>
      <c r="K303" s="20">
        <f t="shared" si="818"/>
        <v>4045.0751999999998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7.4908799999999998E-2</v>
      </c>
      <c r="O303" s="7">
        <f t="shared" ref="O303" si="997">H303-M303-N303</f>
        <v>0.45446983888889791</v>
      </c>
    </row>
    <row r="304" spans="1:15" x14ac:dyDescent="0.7">
      <c r="A304" s="12"/>
      <c r="B304" s="12"/>
      <c r="C304" s="12">
        <v>29</v>
      </c>
      <c r="D304" s="30">
        <v>8.6199999999999992</v>
      </c>
      <c r="E304" s="4">
        <v>4.8</v>
      </c>
      <c r="F304" s="30">
        <v>8.6199999999999992</v>
      </c>
      <c r="G304" s="31">
        <f t="shared" ref="G304:G367" si="998">F304*86400</f>
        <v>744767.99999999988</v>
      </c>
      <c r="H304" s="32">
        <f t="shared" ref="H304:H367" si="999">G304/1000000</f>
        <v>0.74476799999999987</v>
      </c>
      <c r="I304" s="20">
        <f t="shared" si="817"/>
        <v>33514.55999999999</v>
      </c>
      <c r="J304" s="34">
        <v>0.11622014444444401</v>
      </c>
      <c r="K304" s="20">
        <f t="shared" si="818"/>
        <v>4021.7471999999989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7.4476799999999996E-2</v>
      </c>
      <c r="O304" s="30">
        <f t="shared" ref="O304:O367" si="1001">H304-M304-N304</f>
        <v>0.44983185555556382</v>
      </c>
    </row>
    <row r="305" spans="1:15" s="37" customFormat="1" x14ac:dyDescent="0.7">
      <c r="A305" s="6"/>
      <c r="B305" s="6"/>
      <c r="C305" s="6">
        <v>30</v>
      </c>
      <c r="D305" s="7">
        <v>16.57</v>
      </c>
      <c r="E305" s="4">
        <v>0</v>
      </c>
      <c r="F305" s="7">
        <v>16.57</v>
      </c>
      <c r="G305" s="35">
        <f t="shared" si="998"/>
        <v>1431648</v>
      </c>
      <c r="H305" s="20">
        <f t="shared" si="999"/>
        <v>1.431648</v>
      </c>
      <c r="I305" s="20">
        <f t="shared" si="817"/>
        <v>64424.159999999996</v>
      </c>
      <c r="J305" s="28">
        <v>0.116599594444444</v>
      </c>
      <c r="K305" s="20">
        <f t="shared" si="818"/>
        <v>7730.8991999999989</v>
      </c>
      <c r="L305" s="17">
        <v>0.104609733333325</v>
      </c>
      <c r="M305" s="17">
        <f t="shared" si="1000"/>
        <v>0.221209327777769</v>
      </c>
      <c r="N305" s="20">
        <f t="shared" si="820"/>
        <v>0.14316480000000001</v>
      </c>
      <c r="O305" s="7">
        <f t="shared" si="1001"/>
        <v>1.067273872222231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15.85</v>
      </c>
      <c r="E306" s="19">
        <v>0</v>
      </c>
      <c r="F306" s="19">
        <v>15.85</v>
      </c>
      <c r="G306" s="26">
        <f t="shared" si="998"/>
        <v>1369440</v>
      </c>
      <c r="H306" s="27">
        <f t="shared" si="999"/>
        <v>1.36944</v>
      </c>
      <c r="I306" s="22">
        <f t="shared" si="817"/>
        <v>61624.799999999996</v>
      </c>
      <c r="J306" s="39">
        <v>0.116979044444444</v>
      </c>
      <c r="K306" s="22">
        <f t="shared" si="818"/>
        <v>7394.9759999999987</v>
      </c>
      <c r="L306" s="38">
        <v>0.104980266666658</v>
      </c>
      <c r="M306" s="38">
        <f t="shared" si="1000"/>
        <v>0.22195931111110201</v>
      </c>
      <c r="N306" s="22">
        <f t="shared" si="820"/>
        <v>0.13694400000000001</v>
      </c>
      <c r="O306" s="19">
        <f t="shared" si="1001"/>
        <v>1.010536688888898</v>
      </c>
    </row>
    <row r="307" spans="1:15" x14ac:dyDescent="0.7">
      <c r="A307" s="23"/>
      <c r="B307" s="23" t="s">
        <v>25</v>
      </c>
      <c r="C307" s="23">
        <v>1</v>
      </c>
      <c r="D307" s="24">
        <v>15.65</v>
      </c>
      <c r="E307" s="4">
        <v>0</v>
      </c>
      <c r="F307" s="24">
        <v>15.65</v>
      </c>
      <c r="G307" s="15">
        <f t="shared" si="998"/>
        <v>1352160</v>
      </c>
      <c r="H307" s="21">
        <f t="shared" si="999"/>
        <v>1.35216</v>
      </c>
      <c r="I307" s="21">
        <f t="shared" si="817"/>
        <v>60847.199999999997</v>
      </c>
      <c r="J307" s="25">
        <v>0.117358494444444</v>
      </c>
      <c r="K307" s="21">
        <f t="shared" si="818"/>
        <v>7301.6639999999998</v>
      </c>
      <c r="L307" s="16">
        <v>0.105350799999992</v>
      </c>
      <c r="M307" s="16">
        <f t="shared" si="1000"/>
        <v>0.22270929444443599</v>
      </c>
      <c r="N307" s="21">
        <f t="shared" si="820"/>
        <v>0.135216</v>
      </c>
      <c r="O307" s="4">
        <f t="shared" si="1001"/>
        <v>0.99423470555556404</v>
      </c>
    </row>
    <row r="308" spans="1:15" x14ac:dyDescent="0.7">
      <c r="A308" s="6"/>
      <c r="B308" s="6"/>
      <c r="C308" s="6">
        <v>2</v>
      </c>
      <c r="D308" s="7">
        <v>14.81</v>
      </c>
      <c r="E308" s="4">
        <v>0</v>
      </c>
      <c r="F308" s="7">
        <v>14.81</v>
      </c>
      <c r="G308" s="15">
        <f t="shared" si="998"/>
        <v>1279584</v>
      </c>
      <c r="H308" s="21">
        <f t="shared" si="999"/>
        <v>1.2795840000000001</v>
      </c>
      <c r="I308" s="20">
        <f t="shared" si="817"/>
        <v>57581.279999999999</v>
      </c>
      <c r="J308" s="28">
        <v>0.11773794444444401</v>
      </c>
      <c r="K308" s="20">
        <f t="shared" si="818"/>
        <v>6909.7536</v>
      </c>
      <c r="L308" s="17">
        <v>0.10572133333332499</v>
      </c>
      <c r="M308" s="17">
        <f t="shared" si="1000"/>
        <v>0.223459277777769</v>
      </c>
      <c r="N308" s="20">
        <f t="shared" si="820"/>
        <v>0.1279584</v>
      </c>
      <c r="O308" s="7">
        <f t="shared" si="1001"/>
        <v>0.92816632222223094</v>
      </c>
    </row>
    <row r="309" spans="1:15" x14ac:dyDescent="0.7">
      <c r="A309" s="6"/>
      <c r="B309" s="6"/>
      <c r="C309" s="6">
        <v>3</v>
      </c>
      <c r="D309" s="7">
        <v>14.280000000000001</v>
      </c>
      <c r="E309" s="4">
        <v>0</v>
      </c>
      <c r="F309" s="7">
        <v>14.280000000000001</v>
      </c>
      <c r="G309" s="15">
        <f t="shared" si="998"/>
        <v>1233792</v>
      </c>
      <c r="H309" s="21">
        <f t="shared" si="999"/>
        <v>1.233792</v>
      </c>
      <c r="I309" s="20">
        <f t="shared" si="817"/>
        <v>55520.639999999999</v>
      </c>
      <c r="J309" s="28">
        <v>0.118117394444444</v>
      </c>
      <c r="K309" s="20">
        <f t="shared" si="818"/>
        <v>6662.4767999999995</v>
      </c>
      <c r="L309" s="17">
        <v>0.106091866666658</v>
      </c>
      <c r="M309" s="17">
        <f t="shared" si="1000"/>
        <v>0.22420926111110201</v>
      </c>
      <c r="N309" s="20">
        <f t="shared" si="820"/>
        <v>0.12337920000000001</v>
      </c>
      <c r="O309" s="7">
        <f t="shared" si="1001"/>
        <v>0.88620353888889802</v>
      </c>
    </row>
    <row r="310" spans="1:15" x14ac:dyDescent="0.7">
      <c r="A310" s="6"/>
      <c r="B310" s="6"/>
      <c r="C310" s="3">
        <v>4</v>
      </c>
      <c r="D310" s="7">
        <v>14.530000000000001</v>
      </c>
      <c r="E310" s="4">
        <v>0</v>
      </c>
      <c r="F310" s="7">
        <v>14.530000000000001</v>
      </c>
      <c r="G310" s="15">
        <f t="shared" si="998"/>
        <v>1255392</v>
      </c>
      <c r="H310" s="21">
        <f t="shared" si="999"/>
        <v>1.2553920000000001</v>
      </c>
      <c r="I310" s="20">
        <f t="shared" si="817"/>
        <v>56492.639999999999</v>
      </c>
      <c r="J310" s="28">
        <v>0.118496844444444</v>
      </c>
      <c r="K310" s="20">
        <f t="shared" si="818"/>
        <v>6779.1167999999998</v>
      </c>
      <c r="L310" s="17">
        <v>0.10646239999999201</v>
      </c>
      <c r="M310" s="17">
        <f t="shared" si="1000"/>
        <v>0.22495924444443599</v>
      </c>
      <c r="N310" s="20">
        <f t="shared" si="820"/>
        <v>0.12553920000000002</v>
      </c>
      <c r="O310" s="7">
        <f t="shared" si="1001"/>
        <v>0.90489355555556417</v>
      </c>
    </row>
    <row r="311" spans="1:15" x14ac:dyDescent="0.7">
      <c r="A311" s="6"/>
      <c r="B311" s="6"/>
      <c r="C311" s="6">
        <v>5</v>
      </c>
      <c r="D311" s="7">
        <v>13.66</v>
      </c>
      <c r="E311" s="4">
        <v>0</v>
      </c>
      <c r="F311" s="7">
        <v>13.66</v>
      </c>
      <c r="G311" s="15">
        <f t="shared" si="998"/>
        <v>1180224</v>
      </c>
      <c r="H311" s="21">
        <f t="shared" si="999"/>
        <v>1.1802239999999999</v>
      </c>
      <c r="I311" s="20">
        <f t="shared" si="817"/>
        <v>53110.079999999994</v>
      </c>
      <c r="J311" s="28">
        <v>0.118876294444444</v>
      </c>
      <c r="K311" s="20">
        <f t="shared" si="818"/>
        <v>6373.2095999999992</v>
      </c>
      <c r="L311" s="17">
        <v>0.106832933333325</v>
      </c>
      <c r="M311" s="17">
        <f t="shared" si="1000"/>
        <v>0.225709227777769</v>
      </c>
      <c r="N311" s="20">
        <f t="shared" si="820"/>
        <v>0.1180224</v>
      </c>
      <c r="O311" s="7">
        <f t="shared" si="1001"/>
        <v>0.83649237222223094</v>
      </c>
    </row>
    <row r="312" spans="1:15" x14ac:dyDescent="0.7">
      <c r="A312" s="6"/>
      <c r="B312" s="6"/>
      <c r="C312" s="6">
        <v>6</v>
      </c>
      <c r="D312" s="7">
        <v>12.64</v>
      </c>
      <c r="E312" s="4">
        <v>0</v>
      </c>
      <c r="F312" s="7">
        <v>12.64</v>
      </c>
      <c r="G312" s="15">
        <f t="shared" si="998"/>
        <v>1092096</v>
      </c>
      <c r="H312" s="21">
        <f t="shared" si="999"/>
        <v>1.092096</v>
      </c>
      <c r="I312" s="20">
        <f t="shared" si="817"/>
        <v>49144.32</v>
      </c>
      <c r="J312" s="28">
        <v>0.11925574444444401</v>
      </c>
      <c r="K312" s="20">
        <f t="shared" si="818"/>
        <v>5897.3184000000001</v>
      </c>
      <c r="L312" s="17">
        <v>0.107203466666658</v>
      </c>
      <c r="M312" s="17">
        <f t="shared" si="1000"/>
        <v>0.22645921111110201</v>
      </c>
      <c r="N312" s="20">
        <f t="shared" si="820"/>
        <v>0.1092096</v>
      </c>
      <c r="O312" s="7">
        <f t="shared" si="1001"/>
        <v>0.75642718888889793</v>
      </c>
    </row>
    <row r="313" spans="1:15" x14ac:dyDescent="0.7">
      <c r="A313" s="6"/>
      <c r="B313" s="6"/>
      <c r="C313" s="3">
        <v>7</v>
      </c>
      <c r="D313" s="7">
        <v>12.350000000000001</v>
      </c>
      <c r="E313" s="4">
        <v>0</v>
      </c>
      <c r="F313" s="7">
        <v>12.350000000000001</v>
      </c>
      <c r="G313" s="15">
        <f t="shared" si="998"/>
        <v>1067040.0000000002</v>
      </c>
      <c r="H313" s="21">
        <f t="shared" si="999"/>
        <v>1.0670400000000002</v>
      </c>
      <c r="I313" s="20">
        <f t="shared" si="817"/>
        <v>48016.80000000001</v>
      </c>
      <c r="J313" s="28">
        <v>0.119635194444444</v>
      </c>
      <c r="K313" s="20">
        <f t="shared" si="818"/>
        <v>5762.0160000000014</v>
      </c>
      <c r="L313" s="17">
        <v>0.107573999999991</v>
      </c>
      <c r="M313" s="17">
        <f t="shared" si="1000"/>
        <v>0.22720919444443499</v>
      </c>
      <c r="N313" s="20">
        <f t="shared" si="820"/>
        <v>0.10670400000000002</v>
      </c>
      <c r="O313" s="7">
        <f t="shared" si="1001"/>
        <v>0.7331268055555652</v>
      </c>
    </row>
    <row r="314" spans="1:15" x14ac:dyDescent="0.7">
      <c r="A314" s="6"/>
      <c r="B314" s="6"/>
      <c r="C314" s="6">
        <v>8</v>
      </c>
      <c r="D314" s="7">
        <v>9.34</v>
      </c>
      <c r="E314" s="4">
        <v>0</v>
      </c>
      <c r="F314" s="7">
        <v>9.34</v>
      </c>
      <c r="G314" s="15">
        <f t="shared" si="998"/>
        <v>806976</v>
      </c>
      <c r="H314" s="21">
        <f t="shared" si="999"/>
        <v>0.80697600000000003</v>
      </c>
      <c r="I314" s="20">
        <f t="shared" si="817"/>
        <v>36313.919999999998</v>
      </c>
      <c r="J314" s="28">
        <v>0.120014644444444</v>
      </c>
      <c r="K314" s="20">
        <f t="shared" si="818"/>
        <v>4357.6704</v>
      </c>
      <c r="L314" s="17">
        <v>0.107944533333325</v>
      </c>
      <c r="M314" s="17">
        <f t="shared" si="1000"/>
        <v>0.227959177777769</v>
      </c>
      <c r="N314" s="20">
        <f t="shared" si="820"/>
        <v>8.0697600000000008E-2</v>
      </c>
      <c r="O314" s="7">
        <f t="shared" si="1001"/>
        <v>0.49831922222223102</v>
      </c>
    </row>
    <row r="315" spans="1:15" x14ac:dyDescent="0.7">
      <c r="A315" s="6"/>
      <c r="B315" s="6"/>
      <c r="C315" s="6">
        <v>9</v>
      </c>
      <c r="D315" s="7">
        <v>12.34</v>
      </c>
      <c r="E315" s="4">
        <v>0</v>
      </c>
      <c r="F315" s="7">
        <v>12.34</v>
      </c>
      <c r="G315" s="15">
        <f t="shared" si="998"/>
        <v>1066176</v>
      </c>
      <c r="H315" s="21">
        <f t="shared" si="999"/>
        <v>1.066176</v>
      </c>
      <c r="I315" s="20">
        <f t="shared" si="817"/>
        <v>47977.919999999998</v>
      </c>
      <c r="J315" s="28">
        <v>0.120394094444444</v>
      </c>
      <c r="K315" s="20">
        <f t="shared" si="818"/>
        <v>5757.3503999999994</v>
      </c>
      <c r="L315" s="17">
        <v>0.10831506666665799</v>
      </c>
      <c r="M315" s="17">
        <f t="shared" si="1000"/>
        <v>0.22870916111110201</v>
      </c>
      <c r="N315" s="20">
        <f t="shared" si="820"/>
        <v>0.10661760000000001</v>
      </c>
      <c r="O315" s="7">
        <f t="shared" si="1001"/>
        <v>0.73084923888889797</v>
      </c>
    </row>
    <row r="316" spans="1:15" x14ac:dyDescent="0.7">
      <c r="A316" s="6"/>
      <c r="B316" s="6"/>
      <c r="C316" s="3">
        <v>10</v>
      </c>
      <c r="D316" s="7">
        <v>12.43</v>
      </c>
      <c r="E316" s="4">
        <v>0</v>
      </c>
      <c r="F316" s="7">
        <v>12.43</v>
      </c>
      <c r="G316" s="15">
        <f t="shared" si="998"/>
        <v>1073952</v>
      </c>
      <c r="H316" s="21">
        <f t="shared" si="999"/>
        <v>1.073952</v>
      </c>
      <c r="I316" s="20">
        <f t="shared" si="817"/>
        <v>48327.839999999997</v>
      </c>
      <c r="J316" s="28">
        <v>0.12077354444444401</v>
      </c>
      <c r="K316" s="20">
        <f t="shared" si="818"/>
        <v>5799.340799999999</v>
      </c>
      <c r="L316" s="17">
        <v>0.108685599999991</v>
      </c>
      <c r="M316" s="17">
        <f t="shared" si="1000"/>
        <v>0.22945914444443499</v>
      </c>
      <c r="N316" s="20">
        <f t="shared" si="820"/>
        <v>0.10739520000000001</v>
      </c>
      <c r="O316" s="7">
        <f t="shared" si="1001"/>
        <v>0.73709765555556506</v>
      </c>
    </row>
    <row r="317" spans="1:15" x14ac:dyDescent="0.7">
      <c r="A317" s="6"/>
      <c r="B317" s="6"/>
      <c r="C317" s="6">
        <v>11</v>
      </c>
      <c r="D317" s="7">
        <v>10.989999999999998</v>
      </c>
      <c r="E317" s="4">
        <v>0</v>
      </c>
      <c r="F317" s="7">
        <v>10.989999999999998</v>
      </c>
      <c r="G317" s="15">
        <f t="shared" si="998"/>
        <v>949535.99999999988</v>
      </c>
      <c r="H317" s="21">
        <f t="shared" si="999"/>
        <v>0.94953599999999994</v>
      </c>
      <c r="I317" s="20">
        <f t="shared" si="817"/>
        <v>42729.119999999995</v>
      </c>
      <c r="J317" s="28">
        <v>0.121152994444444</v>
      </c>
      <c r="K317" s="20">
        <f t="shared" si="818"/>
        <v>5127.4943999999996</v>
      </c>
      <c r="L317" s="17">
        <v>0.10905613333332501</v>
      </c>
      <c r="M317" s="17">
        <f t="shared" si="1000"/>
        <v>0.230209127777769</v>
      </c>
      <c r="N317" s="20">
        <f t="shared" si="820"/>
        <v>9.4953599999999999E-2</v>
      </c>
      <c r="O317" s="7">
        <f t="shared" si="1001"/>
        <v>0.62437327222223094</v>
      </c>
    </row>
    <row r="318" spans="1:15" x14ac:dyDescent="0.7">
      <c r="A318" s="6"/>
      <c r="B318" s="6"/>
      <c r="C318" s="6">
        <v>12</v>
      </c>
      <c r="D318" s="7">
        <v>11.3</v>
      </c>
      <c r="E318" s="4">
        <v>0</v>
      </c>
      <c r="F318" s="7">
        <v>11.3</v>
      </c>
      <c r="G318" s="15">
        <f t="shared" si="998"/>
        <v>976320.00000000012</v>
      </c>
      <c r="H318" s="21">
        <f t="shared" si="999"/>
        <v>0.97632000000000008</v>
      </c>
      <c r="I318" s="20">
        <f t="shared" si="817"/>
        <v>43934.400000000001</v>
      </c>
      <c r="J318" s="28">
        <v>0.121532444444444</v>
      </c>
      <c r="K318" s="20">
        <f t="shared" si="818"/>
        <v>5272.1279999999997</v>
      </c>
      <c r="L318" s="17">
        <v>0.109426666666658</v>
      </c>
      <c r="M318" s="17">
        <f t="shared" si="1000"/>
        <v>0.23095911111110201</v>
      </c>
      <c r="N318" s="20">
        <f t="shared" si="820"/>
        <v>9.763200000000001E-2</v>
      </c>
      <c r="O318" s="7">
        <f t="shared" si="1001"/>
        <v>0.64772888888889801</v>
      </c>
    </row>
    <row r="319" spans="1:15" x14ac:dyDescent="0.7">
      <c r="A319" s="6"/>
      <c r="B319" s="6"/>
      <c r="C319" s="3">
        <v>13</v>
      </c>
      <c r="D319" s="7">
        <v>10.540000000000001</v>
      </c>
      <c r="E319" s="4">
        <v>0</v>
      </c>
      <c r="F319" s="7">
        <v>10.540000000000001</v>
      </c>
      <c r="G319" s="15">
        <f t="shared" si="998"/>
        <v>910656.00000000012</v>
      </c>
      <c r="H319" s="21">
        <f t="shared" si="999"/>
        <v>0.91065600000000013</v>
      </c>
      <c r="I319" s="20">
        <f t="shared" si="817"/>
        <v>40979.520000000004</v>
      </c>
      <c r="J319" s="28">
        <v>0.121911894444444</v>
      </c>
      <c r="K319" s="20">
        <f t="shared" si="818"/>
        <v>4917.5424000000003</v>
      </c>
      <c r="L319" s="17">
        <v>0.109797199999991</v>
      </c>
      <c r="M319" s="17">
        <f t="shared" si="1000"/>
        <v>0.23170909444443499</v>
      </c>
      <c r="N319" s="20">
        <f t="shared" si="820"/>
        <v>9.1065600000000024E-2</v>
      </c>
      <c r="O319" s="7">
        <f t="shared" si="1001"/>
        <v>0.58788130555556517</v>
      </c>
    </row>
    <row r="320" spans="1:15" x14ac:dyDescent="0.7">
      <c r="A320" s="6"/>
      <c r="B320" s="6"/>
      <c r="C320" s="6">
        <v>14</v>
      </c>
      <c r="D320" s="7">
        <v>10.540000000000001</v>
      </c>
      <c r="E320" s="4">
        <v>0</v>
      </c>
      <c r="F320" s="7">
        <v>10.540000000000001</v>
      </c>
      <c r="G320" s="15">
        <f t="shared" si="998"/>
        <v>910656.00000000012</v>
      </c>
      <c r="H320" s="21">
        <f t="shared" si="999"/>
        <v>0.91065600000000013</v>
      </c>
      <c r="I320" s="20">
        <f t="shared" si="817"/>
        <v>40979.520000000004</v>
      </c>
      <c r="J320" s="28">
        <v>0.12229134444444401</v>
      </c>
      <c r="K320" s="20">
        <f t="shared" si="818"/>
        <v>4917.5424000000003</v>
      </c>
      <c r="L320" s="17">
        <v>0.110167733333324</v>
      </c>
      <c r="M320" s="17">
        <f t="shared" si="1000"/>
        <v>0.232459077777768</v>
      </c>
      <c r="N320" s="20">
        <f t="shared" si="820"/>
        <v>9.1065600000000024E-2</v>
      </c>
      <c r="O320" s="7">
        <f t="shared" si="1001"/>
        <v>0.58713132222223208</v>
      </c>
    </row>
    <row r="321" spans="1:15" x14ac:dyDescent="0.7">
      <c r="A321" s="6"/>
      <c r="B321" s="6"/>
      <c r="C321" s="6">
        <v>15</v>
      </c>
      <c r="D321" s="7">
        <v>0</v>
      </c>
      <c r="E321" s="4">
        <v>0</v>
      </c>
      <c r="F321" s="7">
        <v>0</v>
      </c>
      <c r="G321" s="15">
        <f t="shared" si="998"/>
        <v>0</v>
      </c>
      <c r="H321" s="21">
        <f t="shared" si="999"/>
        <v>0</v>
      </c>
      <c r="I321" s="20">
        <f t="shared" si="817"/>
        <v>0</v>
      </c>
      <c r="J321" s="28">
        <v>0.122670794444444</v>
      </c>
      <c r="K321" s="20">
        <f t="shared" si="818"/>
        <v>0</v>
      </c>
      <c r="L321" s="17">
        <v>0.110538266666658</v>
      </c>
      <c r="M321" s="17">
        <f t="shared" si="1000"/>
        <v>0.23320906111110201</v>
      </c>
      <c r="N321" s="20">
        <f t="shared" si="820"/>
        <v>0</v>
      </c>
      <c r="O321" s="7">
        <f t="shared" si="1001"/>
        <v>-0.23320906111110201</v>
      </c>
    </row>
    <row r="322" spans="1:15" x14ac:dyDescent="0.7">
      <c r="A322" s="6"/>
      <c r="B322" s="6"/>
      <c r="C322" s="3">
        <v>16</v>
      </c>
      <c r="D322" s="7">
        <v>0</v>
      </c>
      <c r="E322" s="4">
        <v>0</v>
      </c>
      <c r="F322" s="7">
        <v>0</v>
      </c>
      <c r="G322" s="15">
        <f t="shared" si="998"/>
        <v>0</v>
      </c>
      <c r="H322" s="21">
        <f t="shared" si="999"/>
        <v>0</v>
      </c>
      <c r="I322" s="20">
        <f t="shared" si="817"/>
        <v>0</v>
      </c>
      <c r="J322" s="28">
        <v>0.123050244444444</v>
      </c>
      <c r="K322" s="20">
        <f t="shared" si="818"/>
        <v>0</v>
      </c>
      <c r="L322" s="17">
        <v>0.110908799999991</v>
      </c>
      <c r="M322" s="17">
        <f t="shared" si="1000"/>
        <v>0.23395904444443499</v>
      </c>
      <c r="N322" s="20">
        <f t="shared" si="820"/>
        <v>0</v>
      </c>
      <c r="O322" s="7">
        <f t="shared" si="1001"/>
        <v>-0.23395904444443499</v>
      </c>
    </row>
    <row r="323" spans="1:15" x14ac:dyDescent="0.7">
      <c r="A323" s="6"/>
      <c r="B323" s="6"/>
      <c r="C323" s="6">
        <v>17</v>
      </c>
      <c r="D323" s="7">
        <v>11.9</v>
      </c>
      <c r="E323" s="4">
        <v>0</v>
      </c>
      <c r="F323" s="7">
        <v>11.9</v>
      </c>
      <c r="G323" s="15">
        <f t="shared" si="998"/>
        <v>1028160</v>
      </c>
      <c r="H323" s="21">
        <f t="shared" si="999"/>
        <v>1.02816</v>
      </c>
      <c r="I323" s="20">
        <f t="shared" ref="I323:I367" si="1002">H323*1000000*0.045</f>
        <v>46267.199999999997</v>
      </c>
      <c r="J323" s="28">
        <v>0.123429694444444</v>
      </c>
      <c r="K323" s="20">
        <f t="shared" ref="K323:K367" si="1003">I323*0.12</f>
        <v>5552.0639999999994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0.102816</v>
      </c>
      <c r="O323" s="7">
        <f t="shared" si="1001"/>
        <v>0.69063497222223191</v>
      </c>
    </row>
    <row r="324" spans="1:15" x14ac:dyDescent="0.7">
      <c r="A324" s="6"/>
      <c r="B324" s="6"/>
      <c r="C324" s="6">
        <v>18</v>
      </c>
      <c r="D324" s="7">
        <v>11.28</v>
      </c>
      <c r="E324" s="4">
        <v>0</v>
      </c>
      <c r="F324" s="7">
        <v>11.28</v>
      </c>
      <c r="G324" s="15">
        <f t="shared" si="998"/>
        <v>974592</v>
      </c>
      <c r="H324" s="21">
        <f t="shared" si="999"/>
        <v>0.97459200000000001</v>
      </c>
      <c r="I324" s="20">
        <f t="shared" si="1002"/>
        <v>43856.639999999999</v>
      </c>
      <c r="J324" s="28">
        <v>0.12380914444444401</v>
      </c>
      <c r="K324" s="20">
        <f t="shared" si="1003"/>
        <v>5262.7968000000001</v>
      </c>
      <c r="L324" s="17">
        <v>0.11164986666665799</v>
      </c>
      <c r="M324" s="17">
        <f t="shared" si="1000"/>
        <v>0.23545901111110201</v>
      </c>
      <c r="N324" s="20">
        <f t="shared" si="1004"/>
        <v>9.745920000000001E-2</v>
      </c>
      <c r="O324" s="7">
        <f t="shared" si="1001"/>
        <v>0.64167378888889803</v>
      </c>
    </row>
    <row r="325" spans="1:15" x14ac:dyDescent="0.7">
      <c r="A325" s="6"/>
      <c r="B325" s="6"/>
      <c r="C325" s="3">
        <v>19</v>
      </c>
      <c r="D325" s="7">
        <v>11.11</v>
      </c>
      <c r="E325" s="4">
        <v>0</v>
      </c>
      <c r="F325" s="7">
        <v>11.11</v>
      </c>
      <c r="G325" s="15">
        <f t="shared" si="998"/>
        <v>959904</v>
      </c>
      <c r="H325" s="21">
        <f t="shared" si="999"/>
        <v>0.95990399999999998</v>
      </c>
      <c r="I325" s="20">
        <f t="shared" si="1002"/>
        <v>43195.68</v>
      </c>
      <c r="J325" s="28">
        <v>0.12418859444444399</v>
      </c>
      <c r="K325" s="20">
        <f t="shared" si="1003"/>
        <v>5183.4816000000001</v>
      </c>
      <c r="L325" s="17">
        <v>0.112020399999991</v>
      </c>
      <c r="M325" s="17">
        <f t="shared" si="1000"/>
        <v>0.23620899444443499</v>
      </c>
      <c r="N325" s="20">
        <f t="shared" si="1004"/>
        <v>9.5990400000000003E-2</v>
      </c>
      <c r="O325" s="7">
        <f t="shared" si="1001"/>
        <v>0.62770460555556495</v>
      </c>
    </row>
    <row r="326" spans="1:15" x14ac:dyDescent="0.7">
      <c r="A326" s="6"/>
      <c r="B326" s="6"/>
      <c r="C326" s="6">
        <v>20</v>
      </c>
      <c r="D326" s="7">
        <v>10.98</v>
      </c>
      <c r="E326" s="4">
        <v>0</v>
      </c>
      <c r="F326" s="7">
        <v>10.98</v>
      </c>
      <c r="G326" s="15">
        <f t="shared" si="998"/>
        <v>948672</v>
      </c>
      <c r="H326" s="21">
        <f t="shared" si="999"/>
        <v>0.94867199999999996</v>
      </c>
      <c r="I326" s="20">
        <f t="shared" si="1002"/>
        <v>42690.239999999998</v>
      </c>
      <c r="J326" s="28">
        <v>0.124568044444444</v>
      </c>
      <c r="K326" s="20">
        <f t="shared" si="1003"/>
        <v>5122.8287999999993</v>
      </c>
      <c r="L326" s="17">
        <v>0.11239093333332401</v>
      </c>
      <c r="M326" s="17">
        <f t="shared" si="1000"/>
        <v>0.236958977777768</v>
      </c>
      <c r="N326" s="20">
        <f t="shared" si="1004"/>
        <v>9.4867199999999999E-2</v>
      </c>
      <c r="O326" s="7">
        <f t="shared" si="1001"/>
        <v>0.61684582222223194</v>
      </c>
    </row>
    <row r="327" spans="1:15" x14ac:dyDescent="0.7">
      <c r="A327" s="6"/>
      <c r="B327" s="6"/>
      <c r="C327" s="6">
        <v>21</v>
      </c>
      <c r="D327" s="7">
        <v>10.91</v>
      </c>
      <c r="E327" s="4">
        <v>0</v>
      </c>
      <c r="F327" s="7">
        <v>10.91</v>
      </c>
      <c r="G327" s="15">
        <f t="shared" si="998"/>
        <v>942624</v>
      </c>
      <c r="H327" s="21">
        <f t="shared" si="999"/>
        <v>0.94262400000000002</v>
      </c>
      <c r="I327" s="20">
        <f t="shared" si="1002"/>
        <v>42418.080000000002</v>
      </c>
      <c r="J327" s="28">
        <v>0.124947494444444</v>
      </c>
      <c r="K327" s="20">
        <f t="shared" si="1003"/>
        <v>5090.1696000000002</v>
      </c>
      <c r="L327" s="17">
        <v>0.112761466666658</v>
      </c>
      <c r="M327" s="17">
        <f t="shared" si="1000"/>
        <v>0.23770896111110201</v>
      </c>
      <c r="N327" s="20">
        <f t="shared" si="1004"/>
        <v>9.426240000000001E-2</v>
      </c>
      <c r="O327" s="7">
        <f t="shared" si="1001"/>
        <v>0.61065263888889809</v>
      </c>
    </row>
    <row r="328" spans="1:15" x14ac:dyDescent="0.7">
      <c r="A328" s="6"/>
      <c r="B328" s="6"/>
      <c r="C328" s="3">
        <v>22</v>
      </c>
      <c r="D328" s="7">
        <v>10.58</v>
      </c>
      <c r="E328" s="4">
        <v>0</v>
      </c>
      <c r="F328" s="7">
        <v>10.58</v>
      </c>
      <c r="G328" s="15">
        <f t="shared" si="998"/>
        <v>914112</v>
      </c>
      <c r="H328" s="21">
        <f t="shared" si="999"/>
        <v>0.91411200000000004</v>
      </c>
      <c r="I328" s="20">
        <f t="shared" si="1002"/>
        <v>41135.040000000001</v>
      </c>
      <c r="J328" s="28">
        <v>0.12532694444444401</v>
      </c>
      <c r="K328" s="20">
        <f t="shared" si="1003"/>
        <v>4936.2047999999995</v>
      </c>
      <c r="L328" s="17">
        <v>0.113131999999991</v>
      </c>
      <c r="M328" s="17">
        <f t="shared" si="1000"/>
        <v>0.23845894444443499</v>
      </c>
      <c r="N328" s="20">
        <f t="shared" si="1004"/>
        <v>9.1411200000000012E-2</v>
      </c>
      <c r="O328" s="7">
        <f t="shared" si="1001"/>
        <v>0.58424185555556507</v>
      </c>
    </row>
    <row r="329" spans="1:15" x14ac:dyDescent="0.7">
      <c r="A329" s="6"/>
      <c r="B329" s="6"/>
      <c r="C329" s="6">
        <v>23</v>
      </c>
      <c r="D329" s="7">
        <v>10.31</v>
      </c>
      <c r="E329" s="4">
        <v>0</v>
      </c>
      <c r="F329" s="7">
        <v>10.31</v>
      </c>
      <c r="G329" s="15">
        <f t="shared" si="998"/>
        <v>890784</v>
      </c>
      <c r="H329" s="21">
        <f t="shared" si="999"/>
        <v>0.89078400000000002</v>
      </c>
      <c r="I329" s="20">
        <f t="shared" si="1002"/>
        <v>40085.279999999999</v>
      </c>
      <c r="J329" s="28">
        <v>0.12570639444444401</v>
      </c>
      <c r="K329" s="20">
        <f t="shared" si="1003"/>
        <v>4810.2335999999996</v>
      </c>
      <c r="L329" s="17">
        <v>0.113502533333324</v>
      </c>
      <c r="M329" s="17">
        <f t="shared" si="1000"/>
        <v>0.239208927777768</v>
      </c>
      <c r="N329" s="20">
        <f t="shared" si="1004"/>
        <v>8.9078400000000002E-2</v>
      </c>
      <c r="O329" s="7">
        <f t="shared" si="1001"/>
        <v>0.56249667222223199</v>
      </c>
    </row>
    <row r="330" spans="1:15" x14ac:dyDescent="0.7">
      <c r="A330" s="6"/>
      <c r="B330" s="6"/>
      <c r="C330" s="6">
        <v>24</v>
      </c>
      <c r="D330" s="7">
        <v>10.31</v>
      </c>
      <c r="E330" s="4">
        <v>0</v>
      </c>
      <c r="F330" s="7">
        <v>10.31</v>
      </c>
      <c r="G330" s="15">
        <f t="shared" si="998"/>
        <v>890784</v>
      </c>
      <c r="H330" s="21">
        <f t="shared" si="999"/>
        <v>0.89078400000000002</v>
      </c>
      <c r="I330" s="20">
        <f t="shared" si="1002"/>
        <v>40085.279999999999</v>
      </c>
      <c r="J330" s="28">
        <v>0.12608584444444401</v>
      </c>
      <c r="K330" s="20">
        <f t="shared" si="1003"/>
        <v>4810.2335999999996</v>
      </c>
      <c r="L330" s="17">
        <v>0.113873066666657</v>
      </c>
      <c r="M330" s="17">
        <f t="shared" si="1000"/>
        <v>0.23995891111110101</v>
      </c>
      <c r="N330" s="20">
        <f t="shared" si="1004"/>
        <v>8.9078400000000002E-2</v>
      </c>
      <c r="O330" s="7">
        <f t="shared" si="1001"/>
        <v>0.561746688888899</v>
      </c>
    </row>
    <row r="331" spans="1:15" x14ac:dyDescent="0.7">
      <c r="A331" s="6"/>
      <c r="B331" s="6"/>
      <c r="C331" s="3">
        <v>25</v>
      </c>
      <c r="D331" s="7">
        <v>8.82</v>
      </c>
      <c r="E331" s="4">
        <v>0</v>
      </c>
      <c r="F331" s="7">
        <v>8.82</v>
      </c>
      <c r="G331" s="15">
        <f t="shared" si="998"/>
        <v>762048</v>
      </c>
      <c r="H331" s="21">
        <f t="shared" si="999"/>
        <v>0.76204799999999995</v>
      </c>
      <c r="I331" s="20">
        <f t="shared" si="1002"/>
        <v>34292.159999999996</v>
      </c>
      <c r="J331" s="28">
        <v>0.12646529444444399</v>
      </c>
      <c r="K331" s="20">
        <f t="shared" si="1003"/>
        <v>4115.0591999999997</v>
      </c>
      <c r="L331" s="17">
        <v>0.11424359999999099</v>
      </c>
      <c r="M331" s="17">
        <f t="shared" si="1000"/>
        <v>0.240708894444435</v>
      </c>
      <c r="N331" s="20">
        <f t="shared" si="1004"/>
        <v>7.6204800000000003E-2</v>
      </c>
      <c r="O331" s="7">
        <f t="shared" si="1001"/>
        <v>0.44513430555556494</v>
      </c>
    </row>
    <row r="332" spans="1:15" x14ac:dyDescent="0.7">
      <c r="A332" s="6"/>
      <c r="B332" s="6"/>
      <c r="C332" s="6">
        <v>26</v>
      </c>
      <c r="D332" s="7">
        <v>8.4</v>
      </c>
      <c r="E332" s="4">
        <v>0</v>
      </c>
      <c r="F332" s="7">
        <v>8.4</v>
      </c>
      <c r="G332" s="15">
        <f t="shared" si="998"/>
        <v>725760</v>
      </c>
      <c r="H332" s="21">
        <f t="shared" si="999"/>
        <v>0.72575999999999996</v>
      </c>
      <c r="I332" s="20">
        <f t="shared" si="1002"/>
        <v>32659.199999999997</v>
      </c>
      <c r="J332" s="28">
        <v>0.12684474444444399</v>
      </c>
      <c r="K332" s="20">
        <f t="shared" si="1003"/>
        <v>3919.1039999999994</v>
      </c>
      <c r="L332" s="17">
        <v>0.114614133333324</v>
      </c>
      <c r="M332" s="17">
        <f t="shared" si="1000"/>
        <v>0.24145887777776798</v>
      </c>
      <c r="N332" s="20">
        <f t="shared" si="1004"/>
        <v>7.2576000000000002E-2</v>
      </c>
      <c r="O332" s="7">
        <f t="shared" si="1001"/>
        <v>0.41172512222223201</v>
      </c>
    </row>
    <row r="333" spans="1:15" x14ac:dyDescent="0.7">
      <c r="A333" s="6"/>
      <c r="B333" s="6"/>
      <c r="C333" s="6">
        <v>27</v>
      </c>
      <c r="D333" s="7">
        <v>7.85</v>
      </c>
      <c r="E333" s="4">
        <v>0</v>
      </c>
      <c r="F333" s="7">
        <v>7.85</v>
      </c>
      <c r="G333" s="15">
        <f t="shared" si="998"/>
        <v>678240</v>
      </c>
      <c r="H333" s="21">
        <f t="shared" si="999"/>
        <v>0.67823999999999995</v>
      </c>
      <c r="I333" s="20">
        <f t="shared" si="1002"/>
        <v>30520.799999999999</v>
      </c>
      <c r="J333" s="28">
        <v>0.12722419444444399</v>
      </c>
      <c r="K333" s="20">
        <f t="shared" si="1003"/>
        <v>3662.4959999999996</v>
      </c>
      <c r="L333" s="17">
        <v>0.11498466666665701</v>
      </c>
      <c r="M333" s="17">
        <f t="shared" si="1000"/>
        <v>0.24220886111110101</v>
      </c>
      <c r="N333" s="20">
        <f t="shared" si="1004"/>
        <v>6.7823999999999995E-2</v>
      </c>
      <c r="O333" s="7">
        <f t="shared" si="1001"/>
        <v>0.36820713888889894</v>
      </c>
    </row>
    <row r="334" spans="1:15" x14ac:dyDescent="0.7">
      <c r="A334" s="12"/>
      <c r="B334" s="12"/>
      <c r="C334" s="43">
        <v>28</v>
      </c>
      <c r="D334" s="30">
        <v>7.85</v>
      </c>
      <c r="E334" s="4">
        <v>0</v>
      </c>
      <c r="F334" s="30">
        <v>7.85</v>
      </c>
      <c r="G334" s="31">
        <f t="shared" si="998"/>
        <v>678240</v>
      </c>
      <c r="H334" s="32">
        <f t="shared" si="999"/>
        <v>0.67823999999999995</v>
      </c>
      <c r="I334" s="20">
        <f t="shared" si="1002"/>
        <v>30520.799999999999</v>
      </c>
      <c r="J334" s="34">
        <v>0.127603644444444</v>
      </c>
      <c r="K334" s="20">
        <f t="shared" si="1003"/>
        <v>3662.4959999999996</v>
      </c>
      <c r="L334" s="33">
        <v>0.115355199999991</v>
      </c>
      <c r="M334" s="33">
        <f t="shared" si="1000"/>
        <v>0.242958844444435</v>
      </c>
      <c r="N334" s="20">
        <f t="shared" si="1004"/>
        <v>6.7823999999999995E-2</v>
      </c>
      <c r="O334" s="30">
        <f t="shared" si="1001"/>
        <v>0.36745715555556496</v>
      </c>
    </row>
    <row r="335" spans="1:15" s="37" customFormat="1" x14ac:dyDescent="0.7">
      <c r="A335" s="6"/>
      <c r="B335" s="6"/>
      <c r="C335" s="6">
        <v>29</v>
      </c>
      <c r="D335" s="7">
        <v>7.85</v>
      </c>
      <c r="E335" s="4">
        <v>0</v>
      </c>
      <c r="F335" s="7">
        <v>7.85</v>
      </c>
      <c r="G335" s="35">
        <f t="shared" si="998"/>
        <v>678240</v>
      </c>
      <c r="H335" s="20">
        <f t="shared" si="999"/>
        <v>0.67823999999999995</v>
      </c>
      <c r="I335" s="20">
        <f t="shared" si="1002"/>
        <v>30520.799999999999</v>
      </c>
      <c r="J335" s="28">
        <v>0.127983094444444</v>
      </c>
      <c r="K335" s="20">
        <f t="shared" si="1003"/>
        <v>3662.4959999999996</v>
      </c>
      <c r="L335" s="17">
        <v>0.115725733333324</v>
      </c>
      <c r="M335" s="17">
        <f t="shared" si="1000"/>
        <v>0.24370882777776801</v>
      </c>
      <c r="N335" s="20">
        <f t="shared" si="1004"/>
        <v>6.7823999999999995E-2</v>
      </c>
      <c r="O335" s="7">
        <f t="shared" si="1001"/>
        <v>0.36670717222223193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7.85</v>
      </c>
      <c r="E336" s="19">
        <v>0</v>
      </c>
      <c r="F336" s="19">
        <v>7.85</v>
      </c>
      <c r="G336" s="26">
        <f t="shared" si="998"/>
        <v>678240</v>
      </c>
      <c r="H336" s="27">
        <f t="shared" si="999"/>
        <v>0.67823999999999995</v>
      </c>
      <c r="I336" s="22">
        <f t="shared" si="1002"/>
        <v>30520.799999999999</v>
      </c>
      <c r="J336" s="39">
        <v>0.128362544444444</v>
      </c>
      <c r="K336" s="22">
        <f t="shared" si="1003"/>
        <v>3662.4959999999996</v>
      </c>
      <c r="L336" s="38">
        <v>0.116096266666657</v>
      </c>
      <c r="M336" s="38">
        <f t="shared" si="1000"/>
        <v>0.24445881111110102</v>
      </c>
      <c r="N336" s="22">
        <f t="shared" si="1004"/>
        <v>6.7823999999999995E-2</v>
      </c>
      <c r="O336" s="19">
        <f t="shared" si="1001"/>
        <v>0.36595718888889894</v>
      </c>
    </row>
    <row r="337" spans="1:15" x14ac:dyDescent="0.7">
      <c r="A337" s="5"/>
      <c r="B337" s="3" t="s">
        <v>26</v>
      </c>
      <c r="C337" s="3">
        <v>1</v>
      </c>
      <c r="D337" s="4">
        <v>8.82</v>
      </c>
      <c r="E337" s="4">
        <v>0</v>
      </c>
      <c r="F337" s="4">
        <v>8.82</v>
      </c>
      <c r="G337" s="15">
        <f t="shared" si="998"/>
        <v>762048</v>
      </c>
      <c r="H337" s="21">
        <f t="shared" si="999"/>
        <v>0.76204799999999995</v>
      </c>
      <c r="I337" s="21">
        <f t="shared" si="1002"/>
        <v>34292.159999999996</v>
      </c>
      <c r="J337" s="25">
        <v>0.12874199444444401</v>
      </c>
      <c r="K337" s="21">
        <f t="shared" si="1003"/>
        <v>4115.0591999999997</v>
      </c>
      <c r="L337" s="16">
        <v>0.116466799999991</v>
      </c>
      <c r="M337" s="16">
        <f t="shared" si="1000"/>
        <v>0.245208794444435</v>
      </c>
      <c r="N337" s="21">
        <f t="shared" si="1004"/>
        <v>7.6204800000000003E-2</v>
      </c>
      <c r="O337" s="4">
        <f t="shared" si="1001"/>
        <v>0.44063440555556493</v>
      </c>
    </row>
    <row r="338" spans="1:15" x14ac:dyDescent="0.7">
      <c r="A338" s="8"/>
      <c r="B338" s="6"/>
      <c r="C338" s="6">
        <v>2</v>
      </c>
      <c r="D338" s="7">
        <v>8.15</v>
      </c>
      <c r="E338" s="4">
        <v>0</v>
      </c>
      <c r="F338" s="7">
        <v>8.15</v>
      </c>
      <c r="G338" s="15">
        <f t="shared" si="998"/>
        <v>704160</v>
      </c>
      <c r="H338" s="21">
        <f t="shared" si="999"/>
        <v>0.70416000000000001</v>
      </c>
      <c r="I338" s="20">
        <f t="shared" si="1002"/>
        <v>31687.199999999997</v>
      </c>
      <c r="J338" s="28">
        <v>0.12912144444444401</v>
      </c>
      <c r="K338" s="20">
        <f t="shared" si="1003"/>
        <v>3802.4639999999995</v>
      </c>
      <c r="L338" s="17">
        <v>0.11683733333332399</v>
      </c>
      <c r="M338" s="17">
        <f t="shared" si="1000"/>
        <v>0.24595877777776801</v>
      </c>
      <c r="N338" s="20">
        <f t="shared" si="1004"/>
        <v>7.0416000000000006E-2</v>
      </c>
      <c r="O338" s="7">
        <f t="shared" si="1001"/>
        <v>0.387785222222232</v>
      </c>
    </row>
    <row r="339" spans="1:15" x14ac:dyDescent="0.7">
      <c r="A339" s="8"/>
      <c r="B339" s="6"/>
      <c r="C339" s="6">
        <v>3</v>
      </c>
      <c r="D339" s="7">
        <v>8.82</v>
      </c>
      <c r="E339" s="4">
        <v>0</v>
      </c>
      <c r="F339" s="7">
        <v>8.82</v>
      </c>
      <c r="G339" s="15">
        <f t="shared" si="998"/>
        <v>762048</v>
      </c>
      <c r="H339" s="21">
        <f t="shared" si="999"/>
        <v>0.76204799999999995</v>
      </c>
      <c r="I339" s="20">
        <f t="shared" si="1002"/>
        <v>34292.159999999996</v>
      </c>
      <c r="J339" s="28">
        <v>0.12950089444444399</v>
      </c>
      <c r="K339" s="20">
        <f t="shared" si="1003"/>
        <v>4115.0591999999997</v>
      </c>
      <c r="L339" s="17">
        <v>0.117207866666657</v>
      </c>
      <c r="M339" s="17">
        <f t="shared" si="1000"/>
        <v>0.24670876111110099</v>
      </c>
      <c r="N339" s="20">
        <f t="shared" si="1004"/>
        <v>7.6204800000000003E-2</v>
      </c>
      <c r="O339" s="7">
        <f t="shared" si="1001"/>
        <v>0.43913443888889897</v>
      </c>
    </row>
    <row r="340" spans="1:15" x14ac:dyDescent="0.7">
      <c r="A340" s="8"/>
      <c r="B340" s="6"/>
      <c r="C340" s="6">
        <v>4</v>
      </c>
      <c r="D340" s="7">
        <v>8.15</v>
      </c>
      <c r="E340" s="4">
        <v>0</v>
      </c>
      <c r="F340" s="7">
        <v>8.15</v>
      </c>
      <c r="G340" s="15">
        <f t="shared" si="998"/>
        <v>704160</v>
      </c>
      <c r="H340" s="21">
        <f t="shared" si="999"/>
        <v>0.70416000000000001</v>
      </c>
      <c r="I340" s="20">
        <f t="shared" si="1002"/>
        <v>31687.199999999997</v>
      </c>
      <c r="J340" s="28">
        <v>0.12988034444444399</v>
      </c>
      <c r="K340" s="20">
        <f t="shared" si="1003"/>
        <v>3802.4639999999995</v>
      </c>
      <c r="L340" s="17">
        <v>0.11757839999998999</v>
      </c>
      <c r="M340" s="17">
        <f t="shared" si="1000"/>
        <v>0.247458744444434</v>
      </c>
      <c r="N340" s="20">
        <f t="shared" si="1004"/>
        <v>7.0416000000000006E-2</v>
      </c>
      <c r="O340" s="7">
        <f t="shared" si="1001"/>
        <v>0.38628525555556603</v>
      </c>
    </row>
    <row r="341" spans="1:15" x14ac:dyDescent="0.7">
      <c r="A341" s="8"/>
      <c r="B341" s="6"/>
      <c r="C341" s="6">
        <v>5</v>
      </c>
      <c r="D341" s="7">
        <v>8.39</v>
      </c>
      <c r="E341" s="4">
        <v>0</v>
      </c>
      <c r="F341" s="7">
        <v>8.39</v>
      </c>
      <c r="G341" s="15">
        <f t="shared" si="998"/>
        <v>724896</v>
      </c>
      <c r="H341" s="21">
        <f t="shared" si="999"/>
        <v>0.72489599999999998</v>
      </c>
      <c r="I341" s="20">
        <f t="shared" si="1002"/>
        <v>32620.32</v>
      </c>
      <c r="J341" s="28">
        <v>0.13025979444444399</v>
      </c>
      <c r="K341" s="20">
        <f t="shared" si="1003"/>
        <v>3914.4384</v>
      </c>
      <c r="L341" s="17">
        <v>0.117948933333324</v>
      </c>
      <c r="M341" s="17">
        <f t="shared" si="1000"/>
        <v>0.24820872777776798</v>
      </c>
      <c r="N341" s="20">
        <f t="shared" si="1004"/>
        <v>7.2489600000000001E-2</v>
      </c>
      <c r="O341" s="7">
        <f t="shared" si="1001"/>
        <v>0.40419767222223202</v>
      </c>
    </row>
    <row r="342" spans="1:15" x14ac:dyDescent="0.7">
      <c r="A342" s="8"/>
      <c r="B342" s="6"/>
      <c r="C342" s="6">
        <v>6</v>
      </c>
      <c r="D342" s="7">
        <v>8.39</v>
      </c>
      <c r="E342" s="4">
        <v>0</v>
      </c>
      <c r="F342" s="7">
        <v>8.39</v>
      </c>
      <c r="G342" s="15">
        <f t="shared" si="998"/>
        <v>724896</v>
      </c>
      <c r="H342" s="21">
        <f t="shared" si="999"/>
        <v>0.72489599999999998</v>
      </c>
      <c r="I342" s="20">
        <f t="shared" si="1002"/>
        <v>32620.32</v>
      </c>
      <c r="J342" s="28">
        <v>0.130639244444444</v>
      </c>
      <c r="K342" s="20">
        <f t="shared" si="1003"/>
        <v>3914.4384</v>
      </c>
      <c r="L342" s="17">
        <v>0.11831946666665701</v>
      </c>
      <c r="M342" s="17">
        <f t="shared" si="1000"/>
        <v>0.24895871111110102</v>
      </c>
      <c r="N342" s="20">
        <f t="shared" si="1004"/>
        <v>7.2489600000000001E-2</v>
      </c>
      <c r="O342" s="7">
        <f t="shared" si="1001"/>
        <v>0.40344768888889898</v>
      </c>
    </row>
    <row r="343" spans="1:15" x14ac:dyDescent="0.7">
      <c r="A343" s="8"/>
      <c r="B343" s="6"/>
      <c r="C343" s="6">
        <v>7</v>
      </c>
      <c r="D343" s="7">
        <v>8.5500000000000007</v>
      </c>
      <c r="E343" s="4">
        <v>0</v>
      </c>
      <c r="F343" s="7">
        <v>8.5500000000000007</v>
      </c>
      <c r="G343" s="15">
        <f t="shared" si="998"/>
        <v>738720.00000000012</v>
      </c>
      <c r="H343" s="21">
        <f t="shared" si="999"/>
        <v>0.73872000000000015</v>
      </c>
      <c r="I343" s="20">
        <f t="shared" si="1002"/>
        <v>33242.400000000001</v>
      </c>
      <c r="J343" s="28">
        <v>0.131018694444444</v>
      </c>
      <c r="K343" s="20">
        <f t="shared" si="1003"/>
        <v>3989.0880000000002</v>
      </c>
      <c r="L343" s="17">
        <v>0.11868999999999</v>
      </c>
      <c r="M343" s="17">
        <f t="shared" si="1000"/>
        <v>0.249708694444434</v>
      </c>
      <c r="N343" s="20">
        <f t="shared" si="1004"/>
        <v>7.3872000000000021E-2</v>
      </c>
      <c r="O343" s="7">
        <f t="shared" si="1001"/>
        <v>0.41513930555556611</v>
      </c>
    </row>
    <row r="344" spans="1:15" x14ac:dyDescent="0.7">
      <c r="A344" s="8"/>
      <c r="B344" s="6"/>
      <c r="C344" s="6">
        <v>8</v>
      </c>
      <c r="D344" s="7">
        <v>8.89</v>
      </c>
      <c r="E344" s="4">
        <v>0</v>
      </c>
      <c r="F344" s="7">
        <v>8.89</v>
      </c>
      <c r="G344" s="15">
        <f t="shared" si="998"/>
        <v>768096</v>
      </c>
      <c r="H344" s="21">
        <f t="shared" si="999"/>
        <v>0.768096</v>
      </c>
      <c r="I344" s="20">
        <f t="shared" si="1002"/>
        <v>34564.32</v>
      </c>
      <c r="J344" s="28">
        <v>0.131398144444444</v>
      </c>
      <c r="K344" s="20">
        <f t="shared" si="1003"/>
        <v>4147.7183999999997</v>
      </c>
      <c r="L344" s="17">
        <v>0.119060533333324</v>
      </c>
      <c r="M344" s="17">
        <f t="shared" si="1000"/>
        <v>0.25045867777776798</v>
      </c>
      <c r="N344" s="20">
        <f t="shared" si="1004"/>
        <v>7.6809600000000006E-2</v>
      </c>
      <c r="O344" s="7">
        <f t="shared" si="1001"/>
        <v>0.44082772222223199</v>
      </c>
    </row>
    <row r="345" spans="1:15" x14ac:dyDescent="0.7">
      <c r="A345" s="8"/>
      <c r="B345" s="6"/>
      <c r="C345" s="6">
        <v>9</v>
      </c>
      <c r="D345" s="7">
        <v>8.3230000000000004</v>
      </c>
      <c r="E345" s="4">
        <v>0</v>
      </c>
      <c r="F345" s="7">
        <v>8.3230000000000004</v>
      </c>
      <c r="G345" s="15">
        <f t="shared" si="998"/>
        <v>719107.20000000007</v>
      </c>
      <c r="H345" s="21">
        <f t="shared" si="999"/>
        <v>0.71910720000000006</v>
      </c>
      <c r="I345" s="20">
        <f t="shared" si="1002"/>
        <v>32359.824000000001</v>
      </c>
      <c r="J345" s="28">
        <v>0.13177759444444401</v>
      </c>
      <c r="K345" s="20">
        <f t="shared" si="1003"/>
        <v>3883.1788799999999</v>
      </c>
      <c r="L345" s="17">
        <v>0.119431066666657</v>
      </c>
      <c r="M345" s="17">
        <f t="shared" si="1000"/>
        <v>0.25120866111110102</v>
      </c>
      <c r="N345" s="20">
        <f t="shared" si="1004"/>
        <v>7.1910720000000011E-2</v>
      </c>
      <c r="O345" s="7">
        <f t="shared" si="1001"/>
        <v>0.395987818888899</v>
      </c>
    </row>
    <row r="346" spans="1:15" x14ac:dyDescent="0.7">
      <c r="A346" s="8"/>
      <c r="B346" s="6"/>
      <c r="C346" s="6">
        <v>10</v>
      </c>
      <c r="D346" s="7">
        <v>8.61</v>
      </c>
      <c r="E346" s="4">
        <v>0</v>
      </c>
      <c r="F346" s="7">
        <v>8.61</v>
      </c>
      <c r="G346" s="15">
        <f t="shared" si="998"/>
        <v>743904</v>
      </c>
      <c r="H346" s="21">
        <f t="shared" si="999"/>
        <v>0.74390400000000001</v>
      </c>
      <c r="I346" s="20">
        <f t="shared" si="1002"/>
        <v>33475.68</v>
      </c>
      <c r="J346" s="28">
        <v>0.13215704444444401</v>
      </c>
      <c r="K346" s="20">
        <f t="shared" si="1003"/>
        <v>4017.0816</v>
      </c>
      <c r="L346" s="17">
        <v>0.11980159999999</v>
      </c>
      <c r="M346" s="17">
        <f t="shared" si="1000"/>
        <v>0.251958644444434</v>
      </c>
      <c r="N346" s="20">
        <f t="shared" si="1004"/>
        <v>7.4390400000000009E-2</v>
      </c>
      <c r="O346" s="7">
        <f t="shared" si="1001"/>
        <v>0.41755495555556599</v>
      </c>
    </row>
    <row r="347" spans="1:15" x14ac:dyDescent="0.7">
      <c r="A347" s="8"/>
      <c r="B347" s="6"/>
      <c r="C347" s="6">
        <v>11</v>
      </c>
      <c r="D347" s="7">
        <v>8.32</v>
      </c>
      <c r="E347" s="4">
        <v>0</v>
      </c>
      <c r="F347" s="7">
        <v>8.32</v>
      </c>
      <c r="G347" s="15">
        <f t="shared" si="998"/>
        <v>718848</v>
      </c>
      <c r="H347" s="21">
        <f t="shared" si="999"/>
        <v>0.71884800000000004</v>
      </c>
      <c r="I347" s="20">
        <f t="shared" si="1002"/>
        <v>32348.16</v>
      </c>
      <c r="J347" s="28">
        <v>0.13253649444444399</v>
      </c>
      <c r="K347" s="20">
        <f t="shared" si="1003"/>
        <v>3881.7791999999999</v>
      </c>
      <c r="L347" s="17">
        <v>0.12017213333332399</v>
      </c>
      <c r="M347" s="17">
        <f t="shared" si="1000"/>
        <v>0.25270862777776798</v>
      </c>
      <c r="N347" s="20">
        <f t="shared" si="1004"/>
        <v>7.1884800000000013E-2</v>
      </c>
      <c r="O347" s="7">
        <f t="shared" si="1001"/>
        <v>0.39425457222223204</v>
      </c>
    </row>
    <row r="348" spans="1:15" x14ac:dyDescent="0.7">
      <c r="A348" s="8"/>
      <c r="B348" s="6"/>
      <c r="C348" s="6">
        <v>12</v>
      </c>
      <c r="D348" s="7">
        <v>8.32</v>
      </c>
      <c r="E348" s="4">
        <v>0</v>
      </c>
      <c r="F348" s="7">
        <v>8.32</v>
      </c>
      <c r="G348" s="15">
        <f t="shared" si="998"/>
        <v>718848</v>
      </c>
      <c r="H348" s="21">
        <f t="shared" si="999"/>
        <v>0.71884800000000004</v>
      </c>
      <c r="I348" s="20">
        <f t="shared" si="1002"/>
        <v>32348.16</v>
      </c>
      <c r="J348" s="28">
        <v>0.13291594444444399</v>
      </c>
      <c r="K348" s="20">
        <f t="shared" si="1003"/>
        <v>3881.7791999999999</v>
      </c>
      <c r="L348" s="17">
        <v>0.120542666666657</v>
      </c>
      <c r="M348" s="17">
        <f t="shared" si="1000"/>
        <v>0.25345861111110102</v>
      </c>
      <c r="N348" s="20">
        <f t="shared" si="1004"/>
        <v>7.1884800000000013E-2</v>
      </c>
      <c r="O348" s="7">
        <f t="shared" si="1001"/>
        <v>0.393504588888899</v>
      </c>
    </row>
    <row r="349" spans="1:15" x14ac:dyDescent="0.7">
      <c r="A349" s="8"/>
      <c r="B349" s="6"/>
      <c r="C349" s="6">
        <v>13</v>
      </c>
      <c r="D349" s="7">
        <v>8.32</v>
      </c>
      <c r="E349" s="4">
        <v>0</v>
      </c>
      <c r="F349" s="7">
        <v>8.32</v>
      </c>
      <c r="G349" s="15">
        <f t="shared" si="998"/>
        <v>718848</v>
      </c>
      <c r="H349" s="21">
        <f t="shared" si="999"/>
        <v>0.71884800000000004</v>
      </c>
      <c r="I349" s="20">
        <f t="shared" si="1002"/>
        <v>32348.16</v>
      </c>
      <c r="J349" s="28">
        <v>0.13329539444444399</v>
      </c>
      <c r="K349" s="20">
        <f t="shared" si="1003"/>
        <v>3881.7791999999999</v>
      </c>
      <c r="L349" s="17">
        <v>0.12091319999999001</v>
      </c>
      <c r="M349" s="17">
        <f t="shared" si="1000"/>
        <v>0.254208594444434</v>
      </c>
      <c r="N349" s="20">
        <f t="shared" si="1004"/>
        <v>7.1884800000000013E-2</v>
      </c>
      <c r="O349" s="7">
        <f t="shared" si="1001"/>
        <v>0.39275460555556602</v>
      </c>
    </row>
    <row r="350" spans="1:15" x14ac:dyDescent="0.7">
      <c r="A350" s="8"/>
      <c r="B350" s="6"/>
      <c r="C350" s="6">
        <v>14</v>
      </c>
      <c r="D350" s="7">
        <v>8.32</v>
      </c>
      <c r="E350" s="4">
        <v>0</v>
      </c>
      <c r="F350" s="7">
        <v>8.32</v>
      </c>
      <c r="G350" s="15">
        <f t="shared" si="998"/>
        <v>718848</v>
      </c>
      <c r="H350" s="21">
        <f t="shared" si="999"/>
        <v>0.71884800000000004</v>
      </c>
      <c r="I350" s="20">
        <f t="shared" si="1002"/>
        <v>32348.16</v>
      </c>
      <c r="J350" s="28">
        <v>0.133674844444444</v>
      </c>
      <c r="K350" s="20">
        <f t="shared" si="1003"/>
        <v>3881.7791999999999</v>
      </c>
      <c r="L350" s="17">
        <v>0.121283733333323</v>
      </c>
      <c r="M350" s="17">
        <f t="shared" si="1000"/>
        <v>0.25495857777776698</v>
      </c>
      <c r="N350" s="20">
        <f t="shared" si="1004"/>
        <v>7.1884800000000013E-2</v>
      </c>
      <c r="O350" s="7">
        <f t="shared" si="1001"/>
        <v>0.39200462222223303</v>
      </c>
    </row>
    <row r="351" spans="1:15" x14ac:dyDescent="0.7">
      <c r="A351" s="8"/>
      <c r="B351" s="6"/>
      <c r="C351" s="6">
        <v>15</v>
      </c>
      <c r="D351" s="7">
        <v>8.32</v>
      </c>
      <c r="E351" s="4">
        <v>0</v>
      </c>
      <c r="F351" s="7">
        <v>8.32</v>
      </c>
      <c r="G351" s="15">
        <f t="shared" si="998"/>
        <v>718848</v>
      </c>
      <c r="H351" s="21">
        <f t="shared" si="999"/>
        <v>0.71884800000000004</v>
      </c>
      <c r="I351" s="20">
        <f t="shared" si="1002"/>
        <v>32348.16</v>
      </c>
      <c r="J351" s="28">
        <v>0.134054294444444</v>
      </c>
      <c r="K351" s="20">
        <f t="shared" si="1003"/>
        <v>3881.7791999999999</v>
      </c>
      <c r="L351" s="17">
        <v>0.121654266666657</v>
      </c>
      <c r="M351" s="17">
        <f t="shared" si="1000"/>
        <v>0.25570856111110102</v>
      </c>
      <c r="N351" s="20">
        <f t="shared" si="1004"/>
        <v>7.1884800000000013E-2</v>
      </c>
      <c r="O351" s="7">
        <f t="shared" si="1001"/>
        <v>0.391254638888899</v>
      </c>
    </row>
    <row r="352" spans="1:15" x14ac:dyDescent="0.7">
      <c r="A352" s="8"/>
      <c r="B352" s="6"/>
      <c r="C352" s="6">
        <v>16</v>
      </c>
      <c r="D352" s="7">
        <v>7.96</v>
      </c>
      <c r="E352" s="4">
        <v>0</v>
      </c>
      <c r="F352" s="7">
        <v>7.96</v>
      </c>
      <c r="G352" s="15">
        <f t="shared" si="998"/>
        <v>687744</v>
      </c>
      <c r="H352" s="21">
        <f t="shared" si="999"/>
        <v>0.68774400000000002</v>
      </c>
      <c r="I352" s="20">
        <f t="shared" si="1002"/>
        <v>30948.48</v>
      </c>
      <c r="J352" s="28">
        <v>0.134433744444444</v>
      </c>
      <c r="K352" s="20">
        <f t="shared" si="1003"/>
        <v>3713.8175999999999</v>
      </c>
      <c r="L352" s="17">
        <v>0.12202479999999</v>
      </c>
      <c r="M352" s="17">
        <f t="shared" si="1000"/>
        <v>0.256458544444434</v>
      </c>
      <c r="N352" s="20">
        <f t="shared" si="1004"/>
        <v>6.8774399999999999E-2</v>
      </c>
      <c r="O352" s="7">
        <f t="shared" si="1001"/>
        <v>0.36251105555556601</v>
      </c>
    </row>
    <row r="353" spans="1:15" x14ac:dyDescent="0.7">
      <c r="A353" s="8"/>
      <c r="B353" s="6"/>
      <c r="C353" s="6">
        <v>17</v>
      </c>
      <c r="D353" s="7">
        <v>7.54</v>
      </c>
      <c r="E353" s="4">
        <v>0</v>
      </c>
      <c r="F353" s="7">
        <v>7.54</v>
      </c>
      <c r="G353" s="15">
        <f t="shared" si="998"/>
        <v>651456</v>
      </c>
      <c r="H353" s="21">
        <f t="shared" si="999"/>
        <v>0.65145600000000004</v>
      </c>
      <c r="I353" s="20">
        <f t="shared" si="1002"/>
        <v>29315.52</v>
      </c>
      <c r="J353" s="28">
        <v>0.13481319444444401</v>
      </c>
      <c r="K353" s="20">
        <f t="shared" si="1003"/>
        <v>3517.8624</v>
      </c>
      <c r="L353" s="17">
        <v>0.122395333333323</v>
      </c>
      <c r="M353" s="17">
        <f t="shared" si="1000"/>
        <v>0.25720852777776704</v>
      </c>
      <c r="N353" s="20">
        <f t="shared" si="1004"/>
        <v>6.5145600000000012E-2</v>
      </c>
      <c r="O353" s="7">
        <f t="shared" si="1001"/>
        <v>0.32910187222223297</v>
      </c>
    </row>
    <row r="354" spans="1:15" x14ac:dyDescent="0.7">
      <c r="A354" s="8"/>
      <c r="B354" s="6"/>
      <c r="C354" s="6">
        <v>18</v>
      </c>
      <c r="D354" s="7">
        <v>7.3</v>
      </c>
      <c r="E354" s="4">
        <v>0</v>
      </c>
      <c r="F354" s="7">
        <v>7.3</v>
      </c>
      <c r="G354" s="15">
        <f t="shared" si="998"/>
        <v>630720</v>
      </c>
      <c r="H354" s="21">
        <f t="shared" si="999"/>
        <v>0.63071999999999995</v>
      </c>
      <c r="I354" s="20">
        <f t="shared" si="1002"/>
        <v>28382.399999999998</v>
      </c>
      <c r="J354" s="28">
        <v>0.13519264444444401</v>
      </c>
      <c r="K354" s="20">
        <f t="shared" si="1003"/>
        <v>3405.8879999999995</v>
      </c>
      <c r="L354" s="17">
        <v>0.12276586666665699</v>
      </c>
      <c r="M354" s="17">
        <f t="shared" si="1000"/>
        <v>0.25795851111110102</v>
      </c>
      <c r="N354" s="20">
        <f t="shared" si="1004"/>
        <v>6.3072000000000003E-2</v>
      </c>
      <c r="O354" s="7">
        <f t="shared" si="1001"/>
        <v>0.30968948888889891</v>
      </c>
    </row>
    <row r="355" spans="1:15" x14ac:dyDescent="0.7">
      <c r="A355" s="8"/>
      <c r="B355" s="6"/>
      <c r="C355" s="6">
        <v>19</v>
      </c>
      <c r="D355" s="7">
        <v>7.3</v>
      </c>
      <c r="E355" s="4">
        <v>0</v>
      </c>
      <c r="F355" s="7">
        <v>7.3</v>
      </c>
      <c r="G355" s="15">
        <f t="shared" si="998"/>
        <v>630720</v>
      </c>
      <c r="H355" s="21">
        <f t="shared" si="999"/>
        <v>0.63071999999999995</v>
      </c>
      <c r="I355" s="20">
        <f t="shared" si="1002"/>
        <v>28382.399999999998</v>
      </c>
      <c r="J355" s="28">
        <v>0.13557209444444401</v>
      </c>
      <c r="K355" s="20">
        <f t="shared" si="1003"/>
        <v>3405.8879999999995</v>
      </c>
      <c r="L355" s="17">
        <v>0.12313639999999</v>
      </c>
      <c r="M355" s="17">
        <f t="shared" si="1000"/>
        <v>0.258708494444434</v>
      </c>
      <c r="N355" s="20">
        <f t="shared" si="1004"/>
        <v>6.3072000000000003E-2</v>
      </c>
      <c r="O355" s="7">
        <f t="shared" si="1001"/>
        <v>0.30893950555556593</v>
      </c>
    </row>
    <row r="356" spans="1:15" x14ac:dyDescent="0.7">
      <c r="A356" s="8"/>
      <c r="B356" s="6"/>
      <c r="C356" s="6">
        <v>20</v>
      </c>
      <c r="D356" s="7">
        <v>15.88</v>
      </c>
      <c r="E356" s="4">
        <v>0</v>
      </c>
      <c r="F356" s="7">
        <v>15.88</v>
      </c>
      <c r="G356" s="15">
        <f t="shared" si="998"/>
        <v>1372032</v>
      </c>
      <c r="H356" s="21">
        <f t="shared" si="999"/>
        <v>1.3720319999999999</v>
      </c>
      <c r="I356" s="20">
        <f t="shared" si="1002"/>
        <v>61741.439999999995</v>
      </c>
      <c r="J356" s="28">
        <v>0.13595154444444399</v>
      </c>
      <c r="K356" s="20">
        <f t="shared" si="1003"/>
        <v>7408.9727999999996</v>
      </c>
      <c r="L356" s="17">
        <v>0.12350693333332299</v>
      </c>
      <c r="M356" s="17">
        <f t="shared" si="1000"/>
        <v>0.25945847777776698</v>
      </c>
      <c r="N356" s="20">
        <f t="shared" si="1004"/>
        <v>0.1372032</v>
      </c>
      <c r="O356" s="7">
        <f t="shared" si="1001"/>
        <v>0.97537032222223286</v>
      </c>
    </row>
    <row r="357" spans="1:15" x14ac:dyDescent="0.7">
      <c r="A357" s="8"/>
      <c r="B357" s="6"/>
      <c r="C357" s="6">
        <v>21</v>
      </c>
      <c r="D357" s="7">
        <v>6.74</v>
      </c>
      <c r="E357" s="4">
        <v>0</v>
      </c>
      <c r="F357" s="7">
        <v>6.74</v>
      </c>
      <c r="G357" s="15">
        <f t="shared" si="998"/>
        <v>582336</v>
      </c>
      <c r="H357" s="21">
        <f t="shared" si="999"/>
        <v>0.58233599999999996</v>
      </c>
      <c r="I357" s="20">
        <f t="shared" si="1002"/>
        <v>26205.119999999999</v>
      </c>
      <c r="J357" s="28">
        <v>0.13633099444444399</v>
      </c>
      <c r="K357" s="20">
        <f t="shared" si="1003"/>
        <v>3144.6143999999999</v>
      </c>
      <c r="L357" s="17">
        <v>0.123877466666657</v>
      </c>
      <c r="M357" s="17">
        <f t="shared" si="1000"/>
        <v>0.26020846111110096</v>
      </c>
      <c r="N357" s="20">
        <f t="shared" si="1004"/>
        <v>5.8233599999999996E-2</v>
      </c>
      <c r="O357" s="7">
        <f t="shared" si="1001"/>
        <v>0.263893938888899</v>
      </c>
    </row>
    <row r="358" spans="1:15" x14ac:dyDescent="0.7">
      <c r="A358" s="8"/>
      <c r="B358" s="6"/>
      <c r="C358" s="6">
        <v>22</v>
      </c>
      <c r="D358" s="7">
        <v>6.86</v>
      </c>
      <c r="E358" s="4">
        <v>0</v>
      </c>
      <c r="F358" s="7">
        <v>6.86</v>
      </c>
      <c r="G358" s="15">
        <f t="shared" si="998"/>
        <v>592704</v>
      </c>
      <c r="H358" s="21">
        <f t="shared" si="999"/>
        <v>0.59270400000000001</v>
      </c>
      <c r="I358" s="20">
        <f t="shared" si="1002"/>
        <v>26671.68</v>
      </c>
      <c r="J358" s="28">
        <v>0.136710444444444</v>
      </c>
      <c r="K358" s="20">
        <f t="shared" si="1003"/>
        <v>3200.6016</v>
      </c>
      <c r="L358" s="17">
        <v>0.12424799999999001</v>
      </c>
      <c r="M358" s="17">
        <f t="shared" si="1000"/>
        <v>0.260958444444434</v>
      </c>
      <c r="N358" s="20">
        <f t="shared" si="1004"/>
        <v>5.9270400000000001E-2</v>
      </c>
      <c r="O358" s="7">
        <f t="shared" si="1001"/>
        <v>0.27247515555556601</v>
      </c>
    </row>
    <row r="359" spans="1:15" x14ac:dyDescent="0.7">
      <c r="A359" s="8"/>
      <c r="B359" s="6"/>
      <c r="C359" s="6">
        <v>23</v>
      </c>
      <c r="D359" s="7">
        <v>6.73</v>
      </c>
      <c r="E359" s="4">
        <v>0</v>
      </c>
      <c r="F359" s="7">
        <v>6.73</v>
      </c>
      <c r="G359" s="15">
        <f t="shared" si="998"/>
        <v>581472</v>
      </c>
      <c r="H359" s="21">
        <f t="shared" si="999"/>
        <v>0.58147199999999999</v>
      </c>
      <c r="I359" s="20">
        <f t="shared" si="1002"/>
        <v>26166.239999999998</v>
      </c>
      <c r="J359" s="28">
        <v>0.137089894444444</v>
      </c>
      <c r="K359" s="20">
        <f t="shared" si="1003"/>
        <v>3139.9487999999997</v>
      </c>
      <c r="L359" s="17">
        <v>0.124618533333323</v>
      </c>
      <c r="M359" s="17">
        <f t="shared" si="1000"/>
        <v>0.26170842777776698</v>
      </c>
      <c r="N359" s="20">
        <f t="shared" si="1004"/>
        <v>5.8147200000000003E-2</v>
      </c>
      <c r="O359" s="7">
        <f t="shared" si="1001"/>
        <v>0.261616372222233</v>
      </c>
    </row>
    <row r="360" spans="1:15" x14ac:dyDescent="0.7">
      <c r="A360" s="8"/>
      <c r="B360" s="6"/>
      <c r="C360" s="6">
        <v>24</v>
      </c>
      <c r="D360" s="7">
        <v>6.73</v>
      </c>
      <c r="E360" s="4">
        <v>0</v>
      </c>
      <c r="F360" s="7">
        <v>6.73</v>
      </c>
      <c r="G360" s="15">
        <f t="shared" si="998"/>
        <v>581472</v>
      </c>
      <c r="H360" s="21">
        <f t="shared" si="999"/>
        <v>0.58147199999999999</v>
      </c>
      <c r="I360" s="20">
        <f t="shared" si="1002"/>
        <v>26166.239999999998</v>
      </c>
      <c r="J360" s="28">
        <v>0.137469344444444</v>
      </c>
      <c r="K360" s="20">
        <f t="shared" si="1003"/>
        <v>3139.9487999999997</v>
      </c>
      <c r="L360" s="17">
        <v>0.124989066666656</v>
      </c>
      <c r="M360" s="17">
        <f t="shared" si="1000"/>
        <v>0.26245841111110002</v>
      </c>
      <c r="N360" s="20">
        <f t="shared" si="1004"/>
        <v>5.8147200000000003E-2</v>
      </c>
      <c r="O360" s="7">
        <f t="shared" si="1001"/>
        <v>0.26086638888889996</v>
      </c>
    </row>
    <row r="361" spans="1:15" x14ac:dyDescent="0.7">
      <c r="A361" s="8"/>
      <c r="B361" s="6"/>
      <c r="C361" s="6">
        <v>25</v>
      </c>
      <c r="D361" s="7">
        <v>6.65</v>
      </c>
      <c r="E361" s="4">
        <v>0</v>
      </c>
      <c r="F361" s="7">
        <v>6.65</v>
      </c>
      <c r="G361" s="15">
        <f t="shared" si="998"/>
        <v>574560</v>
      </c>
      <c r="H361" s="21">
        <f t="shared" si="999"/>
        <v>0.57455999999999996</v>
      </c>
      <c r="I361" s="20">
        <f t="shared" si="1002"/>
        <v>25855.200000000001</v>
      </c>
      <c r="J361" s="28">
        <v>0.13784879444444401</v>
      </c>
      <c r="K361" s="20">
        <f t="shared" si="1003"/>
        <v>3102.6239999999998</v>
      </c>
      <c r="L361" s="17">
        <v>0.12535959999999</v>
      </c>
      <c r="M361" s="17">
        <f t="shared" si="1000"/>
        <v>0.263208394444434</v>
      </c>
      <c r="N361" s="20">
        <f t="shared" si="1004"/>
        <v>5.7456E-2</v>
      </c>
      <c r="O361" s="7">
        <f t="shared" si="1001"/>
        <v>0.25389560555556595</v>
      </c>
    </row>
    <row r="362" spans="1:15" x14ac:dyDescent="0.7">
      <c r="A362" s="8"/>
      <c r="B362" s="6"/>
      <c r="C362" s="6">
        <v>26</v>
      </c>
      <c r="D362" s="7">
        <v>6.53</v>
      </c>
      <c r="E362" s="4">
        <v>0</v>
      </c>
      <c r="F362" s="7">
        <v>6.53</v>
      </c>
      <c r="G362" s="15">
        <f t="shared" si="998"/>
        <v>564192</v>
      </c>
      <c r="H362" s="21">
        <f t="shared" si="999"/>
        <v>0.56419200000000003</v>
      </c>
      <c r="I362" s="20">
        <f t="shared" si="1002"/>
        <v>25388.639999999999</v>
      </c>
      <c r="J362" s="28">
        <v>0.13822824444444401</v>
      </c>
      <c r="K362" s="20">
        <f t="shared" si="1003"/>
        <v>3046.6367999999998</v>
      </c>
      <c r="L362" s="17">
        <v>0.125730133333323</v>
      </c>
      <c r="M362" s="17">
        <f t="shared" si="1000"/>
        <v>0.26395837777776698</v>
      </c>
      <c r="N362" s="20">
        <f t="shared" si="1004"/>
        <v>5.6419200000000003E-2</v>
      </c>
      <c r="O362" s="7">
        <f t="shared" si="1001"/>
        <v>0.24381442222223304</v>
      </c>
    </row>
    <row r="363" spans="1:15" x14ac:dyDescent="0.7">
      <c r="A363" s="8"/>
      <c r="B363" s="6"/>
      <c r="C363" s="6">
        <v>27</v>
      </c>
      <c r="D363" s="7">
        <v>6.13</v>
      </c>
      <c r="E363" s="4">
        <v>0</v>
      </c>
      <c r="F363" s="7">
        <v>6.13</v>
      </c>
      <c r="G363" s="15">
        <f t="shared" si="998"/>
        <v>529632</v>
      </c>
      <c r="H363" s="21">
        <f t="shared" si="999"/>
        <v>0.52963199999999999</v>
      </c>
      <c r="I363" s="20">
        <f t="shared" si="1002"/>
        <v>23833.439999999999</v>
      </c>
      <c r="J363" s="28">
        <v>0.13860769444444401</v>
      </c>
      <c r="K363" s="20">
        <f t="shared" si="1003"/>
        <v>2860.0127999999995</v>
      </c>
      <c r="L363" s="17">
        <v>0.12610066666665601</v>
      </c>
      <c r="M363" s="17">
        <f t="shared" si="1000"/>
        <v>0.26470836111110002</v>
      </c>
      <c r="N363" s="20">
        <f t="shared" si="1004"/>
        <v>5.2963200000000002E-2</v>
      </c>
      <c r="O363" s="7">
        <f t="shared" si="1001"/>
        <v>0.21196043888889998</v>
      </c>
    </row>
    <row r="364" spans="1:15" x14ac:dyDescent="0.7">
      <c r="A364" s="8"/>
      <c r="B364" s="6"/>
      <c r="C364" s="6">
        <v>28</v>
      </c>
      <c r="D364" s="7">
        <v>6.09</v>
      </c>
      <c r="E364" s="4">
        <v>0</v>
      </c>
      <c r="F364" s="7">
        <v>6.09</v>
      </c>
      <c r="G364" s="15">
        <f t="shared" si="998"/>
        <v>526176</v>
      </c>
      <c r="H364" s="21">
        <f t="shared" si="999"/>
        <v>0.52617599999999998</v>
      </c>
      <c r="I364" s="20">
        <f t="shared" si="1002"/>
        <v>23677.919999999998</v>
      </c>
      <c r="J364" s="28">
        <v>0.13898714444444399</v>
      </c>
      <c r="K364" s="20">
        <f t="shared" si="1003"/>
        <v>2841.3503999999998</v>
      </c>
      <c r="L364" s="17">
        <v>0.12647119999999001</v>
      </c>
      <c r="M364" s="17">
        <f t="shared" si="1000"/>
        <v>0.265458344444434</v>
      </c>
      <c r="N364" s="20">
        <f t="shared" si="1004"/>
        <v>5.26176E-2</v>
      </c>
      <c r="O364" s="7">
        <f t="shared" si="1001"/>
        <v>0.20810005555556599</v>
      </c>
    </row>
    <row r="365" spans="1:15" x14ac:dyDescent="0.7">
      <c r="A365" s="45"/>
      <c r="B365" s="12"/>
      <c r="C365" s="12">
        <v>29</v>
      </c>
      <c r="D365" s="30">
        <v>6</v>
      </c>
      <c r="E365" s="4">
        <v>0</v>
      </c>
      <c r="F365" s="30">
        <v>6</v>
      </c>
      <c r="G365" s="31">
        <f t="shared" si="998"/>
        <v>518400</v>
      </c>
      <c r="H365" s="32">
        <f t="shared" si="999"/>
        <v>0.51839999999999997</v>
      </c>
      <c r="I365" s="20">
        <f t="shared" si="1002"/>
        <v>23328</v>
      </c>
      <c r="J365" s="34">
        <v>0.13936659444444399</v>
      </c>
      <c r="K365" s="20">
        <f t="shared" si="1003"/>
        <v>2799.3599999999997</v>
      </c>
      <c r="L365" s="33">
        <v>0.12684173333332299</v>
      </c>
      <c r="M365" s="33">
        <f t="shared" si="1000"/>
        <v>0.26620832777776698</v>
      </c>
      <c r="N365" s="20">
        <f t="shared" si="1004"/>
        <v>5.1839999999999997E-2</v>
      </c>
      <c r="O365" s="30">
        <f t="shared" si="1001"/>
        <v>0.20035167222223299</v>
      </c>
    </row>
    <row r="366" spans="1:15" s="37" customFormat="1" ht="24" customHeight="1" x14ac:dyDescent="0.7">
      <c r="A366" s="8"/>
      <c r="B366" s="6"/>
      <c r="C366" s="6">
        <v>30</v>
      </c>
      <c r="D366" s="7">
        <v>5.47</v>
      </c>
      <c r="E366" s="4">
        <v>0</v>
      </c>
      <c r="F366" s="7">
        <v>5.47</v>
      </c>
      <c r="G366" s="35">
        <f t="shared" si="998"/>
        <v>472608</v>
      </c>
      <c r="H366" s="20">
        <f t="shared" si="999"/>
        <v>0.47260799999999997</v>
      </c>
      <c r="I366" s="20">
        <f t="shared" si="1002"/>
        <v>21267.360000000001</v>
      </c>
      <c r="J366" s="28">
        <v>0.139746044444444</v>
      </c>
      <c r="K366" s="20">
        <f t="shared" si="1003"/>
        <v>2552.0832</v>
      </c>
      <c r="L366" s="17">
        <v>0.127212266666656</v>
      </c>
      <c r="M366" s="17">
        <f t="shared" si="1000"/>
        <v>0.26695831111110002</v>
      </c>
      <c r="N366" s="20">
        <f t="shared" si="1004"/>
        <v>4.7260799999999999E-2</v>
      </c>
      <c r="O366" s="7">
        <f t="shared" si="1001"/>
        <v>0.15838888888889996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5.36</v>
      </c>
      <c r="E367" s="19">
        <v>0</v>
      </c>
      <c r="F367" s="19">
        <v>5.36</v>
      </c>
      <c r="G367" s="26">
        <f t="shared" si="998"/>
        <v>463104</v>
      </c>
      <c r="H367" s="27">
        <f t="shared" si="999"/>
        <v>0.46310400000000002</v>
      </c>
      <c r="I367" s="22">
        <f t="shared" si="1002"/>
        <v>20839.68</v>
      </c>
      <c r="J367" s="39">
        <v>0.140125494444444</v>
      </c>
      <c r="K367" s="22">
        <f t="shared" si="1003"/>
        <v>2500.7615999999998</v>
      </c>
      <c r="L367" s="38">
        <v>0.12758279999999</v>
      </c>
      <c r="M367" s="38">
        <f t="shared" si="1000"/>
        <v>0.267708294444434</v>
      </c>
      <c r="N367" s="22">
        <f t="shared" si="1004"/>
        <v>4.6310400000000002E-2</v>
      </c>
      <c r="O367" s="19">
        <f t="shared" si="1001"/>
        <v>0.14908530555556601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2026-02-25T19:22:45Z</dcterms:modified>
</cp:coreProperties>
</file>