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0F5B0499-D7A2-4745-98C4-37229E652448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6" i="1" l="1"/>
  <c r="K186" i="1" s="1"/>
  <c r="I351" i="1"/>
  <c r="K351" i="1" s="1"/>
  <c r="M61" i="1"/>
  <c r="G61" i="1"/>
  <c r="H61" i="1" s="1"/>
  <c r="I61" i="1" s="1"/>
  <c r="K61" i="1" s="1"/>
  <c r="G62" i="1"/>
  <c r="H62" i="1" s="1"/>
  <c r="I62" i="1" s="1"/>
  <c r="K62" i="1" s="1"/>
  <c r="M62" i="1"/>
  <c r="G63" i="1"/>
  <c r="H63" i="1" s="1"/>
  <c r="N63" i="1" s="1"/>
  <c r="M63" i="1"/>
  <c r="G64" i="1"/>
  <c r="H64" i="1" s="1"/>
  <c r="I64" i="1" s="1"/>
  <c r="K64" i="1" s="1"/>
  <c r="M64" i="1"/>
  <c r="G65" i="1"/>
  <c r="H65" i="1" s="1"/>
  <c r="M65" i="1"/>
  <c r="G66" i="1"/>
  <c r="H66" i="1" s="1"/>
  <c r="N66" i="1" s="1"/>
  <c r="M66" i="1"/>
  <c r="G67" i="1"/>
  <c r="H67" i="1" s="1"/>
  <c r="M67" i="1"/>
  <c r="G68" i="1"/>
  <c r="H68" i="1" s="1"/>
  <c r="M68" i="1"/>
  <c r="G69" i="1"/>
  <c r="H69" i="1" s="1"/>
  <c r="M69" i="1"/>
  <c r="G70" i="1"/>
  <c r="H70" i="1" s="1"/>
  <c r="I70" i="1" s="1"/>
  <c r="K70" i="1" s="1"/>
  <c r="M70" i="1"/>
  <c r="G71" i="1"/>
  <c r="H71" i="1" s="1"/>
  <c r="M71" i="1"/>
  <c r="G72" i="1"/>
  <c r="H72" i="1" s="1"/>
  <c r="M72" i="1"/>
  <c r="G73" i="1"/>
  <c r="H73" i="1" s="1"/>
  <c r="M73" i="1"/>
  <c r="G74" i="1"/>
  <c r="H74" i="1" s="1"/>
  <c r="N74" i="1" s="1"/>
  <c r="M74" i="1"/>
  <c r="G75" i="1"/>
  <c r="H75" i="1" s="1"/>
  <c r="I75" i="1" s="1"/>
  <c r="K75" i="1" s="1"/>
  <c r="M75" i="1"/>
  <c r="G76" i="1"/>
  <c r="H76" i="1" s="1"/>
  <c r="N76" i="1" s="1"/>
  <c r="M76" i="1"/>
  <c r="G77" i="1"/>
  <c r="H77" i="1" s="1"/>
  <c r="N77" i="1" s="1"/>
  <c r="M77" i="1"/>
  <c r="G78" i="1"/>
  <c r="H78" i="1" s="1"/>
  <c r="N78" i="1" s="1"/>
  <c r="M78" i="1"/>
  <c r="G79" i="1"/>
  <c r="H79" i="1" s="1"/>
  <c r="I79" i="1" s="1"/>
  <c r="K79" i="1" s="1"/>
  <c r="M79" i="1"/>
  <c r="G80" i="1"/>
  <c r="H80" i="1" s="1"/>
  <c r="M80" i="1"/>
  <c r="G81" i="1"/>
  <c r="H81" i="1" s="1"/>
  <c r="M81" i="1"/>
  <c r="G82" i="1"/>
  <c r="H82" i="1" s="1"/>
  <c r="N82" i="1" s="1"/>
  <c r="M82" i="1"/>
  <c r="G83" i="1"/>
  <c r="H83" i="1" s="1"/>
  <c r="M83" i="1"/>
  <c r="G84" i="1"/>
  <c r="H84" i="1" s="1"/>
  <c r="I84" i="1" s="1"/>
  <c r="K84" i="1" s="1"/>
  <c r="M84" i="1"/>
  <c r="G85" i="1"/>
  <c r="H85" i="1" s="1"/>
  <c r="I85" i="1" s="1"/>
  <c r="K85" i="1" s="1"/>
  <c r="M85" i="1"/>
  <c r="G86" i="1"/>
  <c r="H86" i="1" s="1"/>
  <c r="I86" i="1" s="1"/>
  <c r="K86" i="1" s="1"/>
  <c r="M86" i="1"/>
  <c r="G87" i="1"/>
  <c r="H87" i="1" s="1"/>
  <c r="M87" i="1"/>
  <c r="G88" i="1"/>
  <c r="H88" i="1" s="1"/>
  <c r="N88" i="1" s="1"/>
  <c r="M88" i="1"/>
  <c r="G89" i="1"/>
  <c r="H89" i="1" s="1"/>
  <c r="M89" i="1"/>
  <c r="G90" i="1"/>
  <c r="H90" i="1" s="1"/>
  <c r="N90" i="1" s="1"/>
  <c r="M90" i="1"/>
  <c r="G91" i="1"/>
  <c r="H91" i="1" s="1"/>
  <c r="M91" i="1"/>
  <c r="G92" i="1"/>
  <c r="H92" i="1" s="1"/>
  <c r="M92" i="1"/>
  <c r="G93" i="1"/>
  <c r="H93" i="1" s="1"/>
  <c r="I93" i="1" s="1"/>
  <c r="K93" i="1" s="1"/>
  <c r="M93" i="1"/>
  <c r="G94" i="1"/>
  <c r="H94" i="1" s="1"/>
  <c r="N94" i="1" s="1"/>
  <c r="M94" i="1"/>
  <c r="G95" i="1"/>
  <c r="H95" i="1" s="1"/>
  <c r="N95" i="1" s="1"/>
  <c r="M95" i="1"/>
  <c r="G96" i="1"/>
  <c r="H96" i="1" s="1"/>
  <c r="M96" i="1"/>
  <c r="G97" i="1"/>
  <c r="H97" i="1" s="1"/>
  <c r="M97" i="1"/>
  <c r="G98" i="1"/>
  <c r="H98" i="1" s="1"/>
  <c r="I98" i="1" s="1"/>
  <c r="K98" i="1" s="1"/>
  <c r="M98" i="1"/>
  <c r="G99" i="1"/>
  <c r="H99" i="1" s="1"/>
  <c r="N99" i="1" s="1"/>
  <c r="M99" i="1"/>
  <c r="G100" i="1"/>
  <c r="H100" i="1" s="1"/>
  <c r="I100" i="1" s="1"/>
  <c r="K100" i="1" s="1"/>
  <c r="M100" i="1"/>
  <c r="G101" i="1"/>
  <c r="H101" i="1" s="1"/>
  <c r="I101" i="1" s="1"/>
  <c r="K101" i="1" s="1"/>
  <c r="M101" i="1"/>
  <c r="G102" i="1"/>
  <c r="H102" i="1" s="1"/>
  <c r="M102" i="1"/>
  <c r="G103" i="1"/>
  <c r="H103" i="1" s="1"/>
  <c r="N103" i="1" s="1"/>
  <c r="M103" i="1"/>
  <c r="G104" i="1"/>
  <c r="H104" i="1" s="1"/>
  <c r="N104" i="1" s="1"/>
  <c r="M104" i="1"/>
  <c r="G105" i="1"/>
  <c r="H105" i="1" s="1"/>
  <c r="M105" i="1"/>
  <c r="G106" i="1"/>
  <c r="H106" i="1" s="1"/>
  <c r="I106" i="1" s="1"/>
  <c r="K106" i="1" s="1"/>
  <c r="M106" i="1"/>
  <c r="G107" i="1"/>
  <c r="H107" i="1" s="1"/>
  <c r="M107" i="1"/>
  <c r="G108" i="1"/>
  <c r="H108" i="1" s="1"/>
  <c r="N108" i="1" s="1"/>
  <c r="M108" i="1"/>
  <c r="G109" i="1"/>
  <c r="H109" i="1" s="1"/>
  <c r="N109" i="1" s="1"/>
  <c r="M109" i="1"/>
  <c r="O109" i="1" s="1"/>
  <c r="G110" i="1"/>
  <c r="H110" i="1" s="1"/>
  <c r="N110" i="1" s="1"/>
  <c r="M110" i="1"/>
  <c r="G111" i="1"/>
  <c r="H111" i="1" s="1"/>
  <c r="I111" i="1" s="1"/>
  <c r="K111" i="1" s="1"/>
  <c r="M111" i="1"/>
  <c r="G112" i="1"/>
  <c r="H112" i="1" s="1"/>
  <c r="M112" i="1"/>
  <c r="G113" i="1"/>
  <c r="H113" i="1" s="1"/>
  <c r="M113" i="1"/>
  <c r="G114" i="1"/>
  <c r="H114" i="1" s="1"/>
  <c r="M114" i="1"/>
  <c r="G115" i="1"/>
  <c r="H115" i="1" s="1"/>
  <c r="M115" i="1"/>
  <c r="G116" i="1"/>
  <c r="H116" i="1" s="1"/>
  <c r="M116" i="1"/>
  <c r="G117" i="1"/>
  <c r="H117" i="1" s="1"/>
  <c r="I117" i="1" s="1"/>
  <c r="K117" i="1" s="1"/>
  <c r="M117" i="1"/>
  <c r="G118" i="1"/>
  <c r="H118" i="1" s="1"/>
  <c r="I118" i="1" s="1"/>
  <c r="K118" i="1" s="1"/>
  <c r="M118" i="1"/>
  <c r="G119" i="1"/>
  <c r="H119" i="1" s="1"/>
  <c r="I119" i="1" s="1"/>
  <c r="K119" i="1" s="1"/>
  <c r="M119" i="1"/>
  <c r="G120" i="1"/>
  <c r="H120" i="1" s="1"/>
  <c r="M120" i="1"/>
  <c r="G121" i="1"/>
  <c r="H121" i="1" s="1"/>
  <c r="M121" i="1"/>
  <c r="G122" i="1"/>
  <c r="H122" i="1" s="1"/>
  <c r="N122" i="1" s="1"/>
  <c r="M122" i="1"/>
  <c r="G123" i="1"/>
  <c r="H123" i="1" s="1"/>
  <c r="I123" i="1" s="1"/>
  <c r="K123" i="1" s="1"/>
  <c r="M123" i="1"/>
  <c r="G124" i="1"/>
  <c r="H124" i="1" s="1"/>
  <c r="N124" i="1" s="1"/>
  <c r="M124" i="1"/>
  <c r="G125" i="1"/>
  <c r="H125" i="1" s="1"/>
  <c r="M125" i="1"/>
  <c r="G126" i="1"/>
  <c r="H126" i="1" s="1"/>
  <c r="M126" i="1"/>
  <c r="G127" i="1"/>
  <c r="H127" i="1" s="1"/>
  <c r="I127" i="1" s="1"/>
  <c r="K127" i="1" s="1"/>
  <c r="M127" i="1"/>
  <c r="G128" i="1"/>
  <c r="H128" i="1" s="1"/>
  <c r="I128" i="1" s="1"/>
  <c r="K128" i="1" s="1"/>
  <c r="M128" i="1"/>
  <c r="G129" i="1"/>
  <c r="H129" i="1" s="1"/>
  <c r="M129" i="1"/>
  <c r="G130" i="1"/>
  <c r="H130" i="1" s="1"/>
  <c r="N130" i="1" s="1"/>
  <c r="M130" i="1"/>
  <c r="G131" i="1"/>
  <c r="H131" i="1" s="1"/>
  <c r="N131" i="1" s="1"/>
  <c r="M131" i="1"/>
  <c r="G132" i="1"/>
  <c r="H132" i="1" s="1"/>
  <c r="I132" i="1" s="1"/>
  <c r="K132" i="1" s="1"/>
  <c r="M132" i="1"/>
  <c r="G133" i="1"/>
  <c r="H133" i="1" s="1"/>
  <c r="I133" i="1" s="1"/>
  <c r="K133" i="1" s="1"/>
  <c r="M133" i="1"/>
  <c r="G134" i="1"/>
  <c r="H134" i="1" s="1"/>
  <c r="M134" i="1"/>
  <c r="G135" i="1"/>
  <c r="H135" i="1" s="1"/>
  <c r="M135" i="1"/>
  <c r="G136" i="1"/>
  <c r="H136" i="1" s="1"/>
  <c r="M136" i="1"/>
  <c r="G137" i="1"/>
  <c r="H137" i="1" s="1"/>
  <c r="M137" i="1"/>
  <c r="G138" i="1"/>
  <c r="H138" i="1" s="1"/>
  <c r="N138" i="1" s="1"/>
  <c r="M138" i="1"/>
  <c r="G139" i="1"/>
  <c r="H139" i="1" s="1"/>
  <c r="I139" i="1" s="1"/>
  <c r="K139" i="1" s="1"/>
  <c r="M139" i="1"/>
  <c r="G140" i="1"/>
  <c r="H140" i="1" s="1"/>
  <c r="N140" i="1" s="1"/>
  <c r="M140" i="1"/>
  <c r="G141" i="1"/>
  <c r="H141" i="1" s="1"/>
  <c r="M141" i="1"/>
  <c r="G142" i="1"/>
  <c r="H142" i="1" s="1"/>
  <c r="N142" i="1" s="1"/>
  <c r="M142" i="1"/>
  <c r="G143" i="1"/>
  <c r="H143" i="1" s="1"/>
  <c r="M143" i="1"/>
  <c r="G144" i="1"/>
  <c r="H144" i="1" s="1"/>
  <c r="I144" i="1" s="1"/>
  <c r="K144" i="1" s="1"/>
  <c r="M144" i="1"/>
  <c r="G145" i="1"/>
  <c r="H145" i="1" s="1"/>
  <c r="M145" i="1"/>
  <c r="G146" i="1"/>
  <c r="H146" i="1" s="1"/>
  <c r="M146" i="1"/>
  <c r="G147" i="1"/>
  <c r="H147" i="1" s="1"/>
  <c r="M147" i="1"/>
  <c r="G148" i="1"/>
  <c r="H148" i="1" s="1"/>
  <c r="M148" i="1"/>
  <c r="G149" i="1"/>
  <c r="H149" i="1" s="1"/>
  <c r="I149" i="1" s="1"/>
  <c r="K149" i="1" s="1"/>
  <c r="M149" i="1"/>
  <c r="G150" i="1"/>
  <c r="H150" i="1" s="1"/>
  <c r="N150" i="1" s="1"/>
  <c r="M150" i="1"/>
  <c r="G151" i="1"/>
  <c r="H151" i="1" s="1"/>
  <c r="I151" i="1" s="1"/>
  <c r="K151" i="1" s="1"/>
  <c r="M151" i="1"/>
  <c r="G152" i="1"/>
  <c r="H152" i="1" s="1"/>
  <c r="M152" i="1"/>
  <c r="G153" i="1"/>
  <c r="H153" i="1"/>
  <c r="M153" i="1"/>
  <c r="G154" i="1"/>
  <c r="H154" i="1" s="1"/>
  <c r="I154" i="1" s="1"/>
  <c r="K154" i="1" s="1"/>
  <c r="M154" i="1"/>
  <c r="G155" i="1"/>
  <c r="H155" i="1"/>
  <c r="N155" i="1" s="1"/>
  <c r="M155" i="1"/>
  <c r="G156" i="1"/>
  <c r="H156" i="1" s="1"/>
  <c r="N156" i="1" s="1"/>
  <c r="M156" i="1"/>
  <c r="G157" i="1"/>
  <c r="H157" i="1" s="1"/>
  <c r="M157" i="1"/>
  <c r="G158" i="1"/>
  <c r="H158" i="1" s="1"/>
  <c r="M158" i="1"/>
  <c r="G159" i="1"/>
  <c r="H159" i="1" s="1"/>
  <c r="M159" i="1"/>
  <c r="G160" i="1"/>
  <c r="H160" i="1" s="1"/>
  <c r="M160" i="1"/>
  <c r="G161" i="1"/>
  <c r="H161" i="1"/>
  <c r="M161" i="1"/>
  <c r="G162" i="1"/>
  <c r="H162" i="1" s="1"/>
  <c r="N162" i="1" s="1"/>
  <c r="M162" i="1"/>
  <c r="G163" i="1"/>
  <c r="H163" i="1" s="1"/>
  <c r="M163" i="1"/>
  <c r="G164" i="1"/>
  <c r="H164" i="1" s="1"/>
  <c r="N164" i="1" s="1"/>
  <c r="M164" i="1"/>
  <c r="G165" i="1"/>
  <c r="H165" i="1" s="1"/>
  <c r="I165" i="1" s="1"/>
  <c r="K165" i="1" s="1"/>
  <c r="M165" i="1"/>
  <c r="G166" i="1"/>
  <c r="H166" i="1" s="1"/>
  <c r="N166" i="1" s="1"/>
  <c r="M166" i="1"/>
  <c r="G167" i="1"/>
  <c r="H167" i="1" s="1"/>
  <c r="N167" i="1" s="1"/>
  <c r="M167" i="1"/>
  <c r="G168" i="1"/>
  <c r="H168" i="1" s="1"/>
  <c r="I168" i="1" s="1"/>
  <c r="K168" i="1" s="1"/>
  <c r="M168" i="1"/>
  <c r="G169" i="1"/>
  <c r="H169" i="1" s="1"/>
  <c r="M169" i="1"/>
  <c r="G170" i="1"/>
  <c r="H170" i="1" s="1"/>
  <c r="N170" i="1" s="1"/>
  <c r="M170" i="1"/>
  <c r="G171" i="1"/>
  <c r="H171" i="1" s="1"/>
  <c r="I171" i="1" s="1"/>
  <c r="K171" i="1" s="1"/>
  <c r="M171" i="1"/>
  <c r="G172" i="1"/>
  <c r="H172" i="1" s="1"/>
  <c r="N172" i="1" s="1"/>
  <c r="M172" i="1"/>
  <c r="G173" i="1"/>
  <c r="H173" i="1" s="1"/>
  <c r="M173" i="1"/>
  <c r="G174" i="1"/>
  <c r="H174" i="1" s="1"/>
  <c r="N174" i="1" s="1"/>
  <c r="M174" i="1"/>
  <c r="G175" i="1"/>
  <c r="H175" i="1" s="1"/>
  <c r="M175" i="1"/>
  <c r="G176" i="1"/>
  <c r="H176" i="1" s="1"/>
  <c r="M176" i="1"/>
  <c r="G177" i="1"/>
  <c r="H177" i="1" s="1"/>
  <c r="M177" i="1"/>
  <c r="G178" i="1"/>
  <c r="H178" i="1" s="1"/>
  <c r="M178" i="1"/>
  <c r="G179" i="1"/>
  <c r="H179" i="1"/>
  <c r="M179" i="1"/>
  <c r="G180" i="1"/>
  <c r="H180" i="1" s="1"/>
  <c r="M180" i="1"/>
  <c r="G181" i="1"/>
  <c r="H181" i="1" s="1"/>
  <c r="I181" i="1" s="1"/>
  <c r="K181" i="1" s="1"/>
  <c r="M181" i="1"/>
  <c r="G182" i="1"/>
  <c r="H182" i="1" s="1"/>
  <c r="N182" i="1" s="1"/>
  <c r="M182" i="1"/>
  <c r="G183" i="1"/>
  <c r="H183" i="1" s="1"/>
  <c r="M183" i="1"/>
  <c r="G184" i="1"/>
  <c r="H184" i="1" s="1"/>
  <c r="M184" i="1"/>
  <c r="G185" i="1"/>
  <c r="H185" i="1"/>
  <c r="M185" i="1"/>
  <c r="G186" i="1"/>
  <c r="H186" i="1" s="1"/>
  <c r="N186" i="1" s="1"/>
  <c r="M186" i="1"/>
  <c r="G187" i="1"/>
  <c r="H187" i="1"/>
  <c r="I187" i="1" s="1"/>
  <c r="K187" i="1" s="1"/>
  <c r="M187" i="1"/>
  <c r="G188" i="1"/>
  <c r="H188" i="1" s="1"/>
  <c r="N188" i="1" s="1"/>
  <c r="M188" i="1"/>
  <c r="G189" i="1"/>
  <c r="H189" i="1" s="1"/>
  <c r="M189" i="1"/>
  <c r="G190" i="1"/>
  <c r="H190" i="1" s="1"/>
  <c r="M190" i="1"/>
  <c r="G191" i="1"/>
  <c r="H191" i="1" s="1"/>
  <c r="M191" i="1"/>
  <c r="G192" i="1"/>
  <c r="H192" i="1" s="1"/>
  <c r="I192" i="1" s="1"/>
  <c r="K192" i="1" s="1"/>
  <c r="M192" i="1"/>
  <c r="G193" i="1"/>
  <c r="H193" i="1" s="1"/>
  <c r="M193" i="1"/>
  <c r="G194" i="1"/>
  <c r="H194" i="1" s="1"/>
  <c r="N194" i="1" s="1"/>
  <c r="M194" i="1"/>
  <c r="G195" i="1"/>
  <c r="H195" i="1" s="1"/>
  <c r="N195" i="1" s="1"/>
  <c r="M195" i="1"/>
  <c r="G196" i="1"/>
  <c r="H196" i="1" s="1"/>
  <c r="N196" i="1" s="1"/>
  <c r="M196" i="1"/>
  <c r="G197" i="1"/>
  <c r="H197" i="1" s="1"/>
  <c r="I197" i="1" s="1"/>
  <c r="K197" i="1" s="1"/>
  <c r="M197" i="1"/>
  <c r="G198" i="1"/>
  <c r="H198" i="1" s="1"/>
  <c r="M198" i="1"/>
  <c r="G199" i="1"/>
  <c r="H199" i="1" s="1"/>
  <c r="M199" i="1"/>
  <c r="G200" i="1"/>
  <c r="H200" i="1" s="1"/>
  <c r="M200" i="1"/>
  <c r="G201" i="1"/>
  <c r="H201" i="1"/>
  <c r="M201" i="1"/>
  <c r="G202" i="1"/>
  <c r="H202" i="1" s="1"/>
  <c r="M202" i="1"/>
  <c r="G203" i="1"/>
  <c r="H203" i="1" s="1"/>
  <c r="I203" i="1" s="1"/>
  <c r="K203" i="1" s="1"/>
  <c r="M203" i="1"/>
  <c r="G204" i="1"/>
  <c r="H204" i="1" s="1"/>
  <c r="N204" i="1" s="1"/>
  <c r="M204" i="1"/>
  <c r="G205" i="1"/>
  <c r="H205" i="1" s="1"/>
  <c r="I205" i="1" s="1"/>
  <c r="K205" i="1" s="1"/>
  <c r="M205" i="1"/>
  <c r="G206" i="1"/>
  <c r="H206" i="1" s="1"/>
  <c r="N206" i="1" s="1"/>
  <c r="M206" i="1"/>
  <c r="G207" i="1"/>
  <c r="H207" i="1" s="1"/>
  <c r="M207" i="1"/>
  <c r="G208" i="1"/>
  <c r="H208" i="1" s="1"/>
  <c r="N208" i="1" s="1"/>
  <c r="M208" i="1"/>
  <c r="G209" i="1"/>
  <c r="H209" i="1" s="1"/>
  <c r="M209" i="1"/>
  <c r="G210" i="1"/>
  <c r="H210" i="1" s="1"/>
  <c r="N210" i="1" s="1"/>
  <c r="M210" i="1"/>
  <c r="G211" i="1"/>
  <c r="H211" i="1" s="1"/>
  <c r="M211" i="1"/>
  <c r="G212" i="1"/>
  <c r="H212" i="1" s="1"/>
  <c r="M212" i="1"/>
  <c r="G213" i="1"/>
  <c r="H213" i="1" s="1"/>
  <c r="I213" i="1" s="1"/>
  <c r="K213" i="1" s="1"/>
  <c r="M213" i="1"/>
  <c r="G214" i="1"/>
  <c r="H214" i="1" s="1"/>
  <c r="I214" i="1" s="1"/>
  <c r="K214" i="1" s="1"/>
  <c r="M214" i="1"/>
  <c r="G215" i="1"/>
  <c r="H215" i="1" s="1"/>
  <c r="M215" i="1"/>
  <c r="G216" i="1"/>
  <c r="H216" i="1" s="1"/>
  <c r="M216" i="1"/>
  <c r="G217" i="1"/>
  <c r="H217" i="1" s="1"/>
  <c r="M217" i="1"/>
  <c r="G218" i="1"/>
  <c r="H218" i="1" s="1"/>
  <c r="M218" i="1"/>
  <c r="G219" i="1"/>
  <c r="H219" i="1" s="1"/>
  <c r="I219" i="1" s="1"/>
  <c r="K219" i="1" s="1"/>
  <c r="M219" i="1"/>
  <c r="G220" i="1"/>
  <c r="H220" i="1" s="1"/>
  <c r="M220" i="1"/>
  <c r="G221" i="1"/>
  <c r="H221" i="1" s="1"/>
  <c r="M221" i="1"/>
  <c r="G222" i="1"/>
  <c r="H222" i="1" s="1"/>
  <c r="N222" i="1" s="1"/>
  <c r="M222" i="1"/>
  <c r="G223" i="1"/>
  <c r="H223" i="1" s="1"/>
  <c r="I223" i="1" s="1"/>
  <c r="K223" i="1" s="1"/>
  <c r="M223" i="1"/>
  <c r="G224" i="1"/>
  <c r="H224" i="1" s="1"/>
  <c r="M224" i="1"/>
  <c r="G225" i="1"/>
  <c r="H225" i="1" s="1"/>
  <c r="M225" i="1"/>
  <c r="G226" i="1"/>
  <c r="H226" i="1" s="1"/>
  <c r="N226" i="1" s="1"/>
  <c r="M226" i="1"/>
  <c r="G227" i="1"/>
  <c r="H227" i="1" s="1"/>
  <c r="I227" i="1" s="1"/>
  <c r="K227" i="1" s="1"/>
  <c r="M227" i="1"/>
  <c r="G228" i="1"/>
  <c r="H228" i="1" s="1"/>
  <c r="N228" i="1" s="1"/>
  <c r="M228" i="1"/>
  <c r="G229" i="1"/>
  <c r="H229" i="1" s="1"/>
  <c r="I229" i="1" s="1"/>
  <c r="K229" i="1" s="1"/>
  <c r="M229" i="1"/>
  <c r="G230" i="1"/>
  <c r="H230" i="1" s="1"/>
  <c r="M230" i="1"/>
  <c r="G231" i="1"/>
  <c r="H231" i="1" s="1"/>
  <c r="I231" i="1" s="1"/>
  <c r="K231" i="1" s="1"/>
  <c r="M231" i="1"/>
  <c r="G232" i="1"/>
  <c r="H232" i="1" s="1"/>
  <c r="N232" i="1" s="1"/>
  <c r="M232" i="1"/>
  <c r="G233" i="1"/>
  <c r="H233" i="1" s="1"/>
  <c r="M233" i="1"/>
  <c r="G234" i="1"/>
  <c r="H234" i="1"/>
  <c r="M234" i="1"/>
  <c r="G235" i="1"/>
  <c r="H235" i="1" s="1"/>
  <c r="I235" i="1" s="1"/>
  <c r="K235" i="1" s="1"/>
  <c r="M235" i="1"/>
  <c r="G236" i="1"/>
  <c r="H236" i="1" s="1"/>
  <c r="I236" i="1" s="1"/>
  <c r="K236" i="1" s="1"/>
  <c r="M236" i="1"/>
  <c r="G237" i="1"/>
  <c r="H237" i="1" s="1"/>
  <c r="N237" i="1" s="1"/>
  <c r="M237" i="1"/>
  <c r="G238" i="1"/>
  <c r="H238" i="1" s="1"/>
  <c r="I238" i="1" s="1"/>
  <c r="K238" i="1" s="1"/>
  <c r="M238" i="1"/>
  <c r="G239" i="1"/>
  <c r="H239" i="1" s="1"/>
  <c r="N239" i="1" s="1"/>
  <c r="M239" i="1"/>
  <c r="G240" i="1"/>
  <c r="H240" i="1" s="1"/>
  <c r="M240" i="1"/>
  <c r="G241" i="1"/>
  <c r="H241" i="1" s="1"/>
  <c r="M241" i="1"/>
  <c r="G242" i="1"/>
  <c r="H242" i="1" s="1"/>
  <c r="M242" i="1"/>
  <c r="G243" i="1"/>
  <c r="H243" i="1" s="1"/>
  <c r="M243" i="1"/>
  <c r="G244" i="1"/>
  <c r="H244" i="1" s="1"/>
  <c r="M244" i="1"/>
  <c r="G245" i="1"/>
  <c r="H245" i="1" s="1"/>
  <c r="I245" i="1" s="1"/>
  <c r="K245" i="1" s="1"/>
  <c r="M245" i="1"/>
  <c r="G246" i="1"/>
  <c r="H246" i="1" s="1"/>
  <c r="I246" i="1" s="1"/>
  <c r="K246" i="1" s="1"/>
  <c r="M246" i="1"/>
  <c r="G247" i="1"/>
  <c r="H247" i="1" s="1"/>
  <c r="N247" i="1" s="1"/>
  <c r="M247" i="1"/>
  <c r="G248" i="1"/>
  <c r="H248" i="1" s="1"/>
  <c r="M248" i="1"/>
  <c r="G249" i="1"/>
  <c r="H249" i="1" s="1"/>
  <c r="M249" i="1"/>
  <c r="G250" i="1"/>
  <c r="H250" i="1" s="1"/>
  <c r="I250" i="1" s="1"/>
  <c r="K250" i="1" s="1"/>
  <c r="M250" i="1"/>
  <c r="G251" i="1"/>
  <c r="H251" i="1" s="1"/>
  <c r="I251" i="1" s="1"/>
  <c r="K251" i="1" s="1"/>
  <c r="M251" i="1"/>
  <c r="G252" i="1"/>
  <c r="H252" i="1" s="1"/>
  <c r="M252" i="1"/>
  <c r="G253" i="1"/>
  <c r="H253" i="1" s="1"/>
  <c r="N253" i="1" s="1"/>
  <c r="M253" i="1"/>
  <c r="G254" i="1"/>
  <c r="H254" i="1" s="1"/>
  <c r="M254" i="1"/>
  <c r="G255" i="1"/>
  <c r="H255" i="1" s="1"/>
  <c r="I255" i="1" s="1"/>
  <c r="K255" i="1" s="1"/>
  <c r="M255" i="1"/>
  <c r="G256" i="1"/>
  <c r="H256" i="1" s="1"/>
  <c r="N256" i="1" s="1"/>
  <c r="M256" i="1"/>
  <c r="G257" i="1"/>
  <c r="H257" i="1" s="1"/>
  <c r="M257" i="1"/>
  <c r="G258" i="1"/>
  <c r="H258" i="1" s="1"/>
  <c r="N258" i="1" s="1"/>
  <c r="M258" i="1"/>
  <c r="G259" i="1"/>
  <c r="H259" i="1" s="1"/>
  <c r="M259" i="1"/>
  <c r="G260" i="1"/>
  <c r="H260" i="1" s="1"/>
  <c r="I260" i="1" s="1"/>
  <c r="K260" i="1" s="1"/>
  <c r="M260" i="1"/>
  <c r="G261" i="1"/>
  <c r="H261" i="1" s="1"/>
  <c r="I261" i="1" s="1"/>
  <c r="K261" i="1" s="1"/>
  <c r="M261" i="1"/>
  <c r="G262" i="1"/>
  <c r="H262" i="1" s="1"/>
  <c r="M262" i="1"/>
  <c r="G263" i="1"/>
  <c r="H263" i="1" s="1"/>
  <c r="M263" i="1"/>
  <c r="G264" i="1"/>
  <c r="H264" i="1" s="1"/>
  <c r="N264" i="1" s="1"/>
  <c r="M264" i="1"/>
  <c r="G265" i="1"/>
  <c r="H265" i="1" s="1"/>
  <c r="I265" i="1" s="1"/>
  <c r="K265" i="1" s="1"/>
  <c r="M265" i="1"/>
  <c r="G266" i="1"/>
  <c r="H266" i="1" s="1"/>
  <c r="N266" i="1" s="1"/>
  <c r="M266" i="1"/>
  <c r="G267" i="1"/>
  <c r="H267" i="1" s="1"/>
  <c r="I267" i="1" s="1"/>
  <c r="K267" i="1" s="1"/>
  <c r="M267" i="1"/>
  <c r="G268" i="1"/>
  <c r="H268" i="1" s="1"/>
  <c r="I268" i="1" s="1"/>
  <c r="K268" i="1" s="1"/>
  <c r="M268" i="1"/>
  <c r="G269" i="1"/>
  <c r="H269" i="1" s="1"/>
  <c r="N269" i="1" s="1"/>
  <c r="M269" i="1"/>
  <c r="G270" i="1"/>
  <c r="H270" i="1" s="1"/>
  <c r="I270" i="1" s="1"/>
  <c r="K270" i="1" s="1"/>
  <c r="M270" i="1"/>
  <c r="G271" i="1"/>
  <c r="H271" i="1" s="1"/>
  <c r="I271" i="1" s="1"/>
  <c r="K271" i="1" s="1"/>
  <c r="M271" i="1"/>
  <c r="G272" i="1"/>
  <c r="H272" i="1" s="1"/>
  <c r="M272" i="1"/>
  <c r="G273" i="1"/>
  <c r="H273" i="1" s="1"/>
  <c r="M273" i="1"/>
  <c r="G274" i="1"/>
  <c r="H274" i="1" s="1"/>
  <c r="M274" i="1"/>
  <c r="G275" i="1"/>
  <c r="H275" i="1" s="1"/>
  <c r="M275" i="1"/>
  <c r="G276" i="1"/>
  <c r="H276" i="1" s="1"/>
  <c r="M276" i="1"/>
  <c r="G277" i="1"/>
  <c r="H277" i="1" s="1"/>
  <c r="I277" i="1" s="1"/>
  <c r="K277" i="1" s="1"/>
  <c r="M277" i="1"/>
  <c r="G278" i="1"/>
  <c r="H278" i="1" s="1"/>
  <c r="M278" i="1"/>
  <c r="G279" i="1"/>
  <c r="H279" i="1" s="1"/>
  <c r="N279" i="1" s="1"/>
  <c r="M279" i="1"/>
  <c r="G280" i="1"/>
  <c r="H280" i="1" s="1"/>
  <c r="M280" i="1"/>
  <c r="G281" i="1"/>
  <c r="H281" i="1" s="1"/>
  <c r="N281" i="1" s="1"/>
  <c r="M281" i="1"/>
  <c r="G282" i="1"/>
  <c r="H282" i="1" s="1"/>
  <c r="M282" i="1"/>
  <c r="G283" i="1"/>
  <c r="H283" i="1" s="1"/>
  <c r="M283" i="1"/>
  <c r="G284" i="1"/>
  <c r="H284" i="1" s="1"/>
  <c r="M284" i="1"/>
  <c r="G285" i="1"/>
  <c r="H285" i="1" s="1"/>
  <c r="N285" i="1" s="1"/>
  <c r="M285" i="1"/>
  <c r="G286" i="1"/>
  <c r="H286" i="1" s="1"/>
  <c r="I286" i="1" s="1"/>
  <c r="K286" i="1" s="1"/>
  <c r="M286" i="1"/>
  <c r="G287" i="1"/>
  <c r="H287" i="1" s="1"/>
  <c r="I287" i="1" s="1"/>
  <c r="K287" i="1" s="1"/>
  <c r="M287" i="1"/>
  <c r="G288" i="1"/>
  <c r="H288" i="1" s="1"/>
  <c r="N288" i="1" s="1"/>
  <c r="M288" i="1"/>
  <c r="G289" i="1"/>
  <c r="H289" i="1" s="1"/>
  <c r="N289" i="1" s="1"/>
  <c r="M289" i="1"/>
  <c r="G290" i="1"/>
  <c r="H290" i="1" s="1"/>
  <c r="N290" i="1" s="1"/>
  <c r="M290" i="1"/>
  <c r="G291" i="1"/>
  <c r="H291" i="1" s="1"/>
  <c r="M291" i="1"/>
  <c r="G292" i="1"/>
  <c r="H292" i="1" s="1"/>
  <c r="M292" i="1"/>
  <c r="G293" i="1"/>
  <c r="H293" i="1" s="1"/>
  <c r="M293" i="1"/>
  <c r="G294" i="1"/>
  <c r="H294" i="1" s="1"/>
  <c r="I294" i="1" s="1"/>
  <c r="K294" i="1" s="1"/>
  <c r="M294" i="1"/>
  <c r="G295" i="1"/>
  <c r="H295" i="1" s="1"/>
  <c r="N295" i="1" s="1"/>
  <c r="M295" i="1"/>
  <c r="G296" i="1"/>
  <c r="H296" i="1" s="1"/>
  <c r="N296" i="1" s="1"/>
  <c r="M296" i="1"/>
  <c r="G297" i="1"/>
  <c r="H297" i="1" s="1"/>
  <c r="N297" i="1" s="1"/>
  <c r="M297" i="1"/>
  <c r="G298" i="1"/>
  <c r="H298" i="1"/>
  <c r="M298" i="1"/>
  <c r="G299" i="1"/>
  <c r="H299" i="1" s="1"/>
  <c r="I299" i="1" s="1"/>
  <c r="K299" i="1" s="1"/>
  <c r="M299" i="1"/>
  <c r="G300" i="1"/>
  <c r="H300" i="1" s="1"/>
  <c r="M300" i="1"/>
  <c r="G301" i="1"/>
  <c r="H301" i="1" s="1"/>
  <c r="M301" i="1"/>
  <c r="G302" i="1"/>
  <c r="H302" i="1" s="1"/>
  <c r="M302" i="1"/>
  <c r="G303" i="1"/>
  <c r="H303" i="1" s="1"/>
  <c r="I303" i="1" s="1"/>
  <c r="K303" i="1" s="1"/>
  <c r="M303" i="1"/>
  <c r="G304" i="1"/>
  <c r="H304" i="1" s="1"/>
  <c r="M304" i="1"/>
  <c r="G305" i="1"/>
  <c r="H305" i="1" s="1"/>
  <c r="N305" i="1" s="1"/>
  <c r="M305" i="1"/>
  <c r="O305" i="1" s="1"/>
  <c r="G306" i="1"/>
  <c r="H306" i="1" s="1"/>
  <c r="I306" i="1" s="1"/>
  <c r="K306" i="1" s="1"/>
  <c r="M306" i="1"/>
  <c r="G307" i="1"/>
  <c r="H307" i="1" s="1"/>
  <c r="M307" i="1"/>
  <c r="G308" i="1"/>
  <c r="H308" i="1" s="1"/>
  <c r="M308" i="1"/>
  <c r="G309" i="1"/>
  <c r="H309" i="1" s="1"/>
  <c r="M309" i="1"/>
  <c r="G310" i="1"/>
  <c r="H310" i="1" s="1"/>
  <c r="M310" i="1"/>
  <c r="G311" i="1"/>
  <c r="H311" i="1" s="1"/>
  <c r="M311" i="1"/>
  <c r="G312" i="1"/>
  <c r="H312" i="1"/>
  <c r="N312" i="1" s="1"/>
  <c r="M312" i="1"/>
  <c r="G313" i="1"/>
  <c r="H313" i="1" s="1"/>
  <c r="I313" i="1" s="1"/>
  <c r="K313" i="1" s="1"/>
  <c r="M313" i="1"/>
  <c r="G314" i="1"/>
  <c r="H314" i="1" s="1"/>
  <c r="N314" i="1" s="1"/>
  <c r="M314" i="1"/>
  <c r="G315" i="1"/>
  <c r="H315" i="1" s="1"/>
  <c r="I315" i="1" s="1"/>
  <c r="K315" i="1" s="1"/>
  <c r="M315" i="1"/>
  <c r="G316" i="1"/>
  <c r="H316" i="1" s="1"/>
  <c r="I316" i="1" s="1"/>
  <c r="K316" i="1" s="1"/>
  <c r="M316" i="1"/>
  <c r="G317" i="1"/>
  <c r="H317" i="1" s="1"/>
  <c r="N317" i="1" s="1"/>
  <c r="M317" i="1"/>
  <c r="G318" i="1"/>
  <c r="H318" i="1" s="1"/>
  <c r="M318" i="1"/>
  <c r="G319" i="1"/>
  <c r="H319" i="1" s="1"/>
  <c r="M319" i="1"/>
  <c r="G320" i="1"/>
  <c r="H320" i="1" s="1"/>
  <c r="M320" i="1"/>
  <c r="G321" i="1"/>
  <c r="H321" i="1" s="1"/>
  <c r="M321" i="1"/>
  <c r="G322" i="1"/>
  <c r="H322" i="1" s="1"/>
  <c r="N322" i="1" s="1"/>
  <c r="M322" i="1"/>
  <c r="G323" i="1"/>
  <c r="H323" i="1" s="1"/>
  <c r="M323" i="1"/>
  <c r="G324" i="1"/>
  <c r="H324" i="1" s="1"/>
  <c r="I324" i="1" s="1"/>
  <c r="K324" i="1" s="1"/>
  <c r="M324" i="1"/>
  <c r="G325" i="1"/>
  <c r="H325" i="1" s="1"/>
  <c r="I325" i="1" s="1"/>
  <c r="K325" i="1" s="1"/>
  <c r="M325" i="1"/>
  <c r="G326" i="1"/>
  <c r="H326" i="1" s="1"/>
  <c r="I326" i="1" s="1"/>
  <c r="K326" i="1" s="1"/>
  <c r="M326" i="1"/>
  <c r="G327" i="1"/>
  <c r="H327" i="1" s="1"/>
  <c r="M327" i="1"/>
  <c r="G328" i="1"/>
  <c r="H328" i="1" s="1"/>
  <c r="M328" i="1"/>
  <c r="G329" i="1"/>
  <c r="H329" i="1" s="1"/>
  <c r="M329" i="1"/>
  <c r="G330" i="1"/>
  <c r="H330" i="1"/>
  <c r="M330" i="1"/>
  <c r="G331" i="1"/>
  <c r="H331" i="1" s="1"/>
  <c r="I331" i="1" s="1"/>
  <c r="K331" i="1" s="1"/>
  <c r="M331" i="1"/>
  <c r="G332" i="1"/>
  <c r="H332" i="1" s="1"/>
  <c r="I332" i="1" s="1"/>
  <c r="K332" i="1" s="1"/>
  <c r="M332" i="1"/>
  <c r="G333" i="1"/>
  <c r="H333" i="1" s="1"/>
  <c r="N333" i="1" s="1"/>
  <c r="M333" i="1"/>
  <c r="G334" i="1"/>
  <c r="H334" i="1" s="1"/>
  <c r="M334" i="1"/>
  <c r="G335" i="1"/>
  <c r="H335" i="1" s="1"/>
  <c r="N335" i="1" s="1"/>
  <c r="M335" i="1"/>
  <c r="G336" i="1"/>
  <c r="H336" i="1"/>
  <c r="N336" i="1" s="1"/>
  <c r="M336" i="1"/>
  <c r="G337" i="1"/>
  <c r="H337" i="1" s="1"/>
  <c r="M337" i="1"/>
  <c r="G338" i="1"/>
  <c r="H338" i="1" s="1"/>
  <c r="M338" i="1"/>
  <c r="G339" i="1"/>
  <c r="H339" i="1" s="1"/>
  <c r="M339" i="1"/>
  <c r="G340" i="1"/>
  <c r="H340" i="1" s="1"/>
  <c r="I340" i="1" s="1"/>
  <c r="K340" i="1" s="1"/>
  <c r="M340" i="1"/>
  <c r="G341" i="1"/>
  <c r="H341" i="1" s="1"/>
  <c r="I341" i="1" s="1"/>
  <c r="K341" i="1" s="1"/>
  <c r="M341" i="1"/>
  <c r="G342" i="1"/>
  <c r="H342" i="1" s="1"/>
  <c r="I342" i="1" s="1"/>
  <c r="K342" i="1" s="1"/>
  <c r="M342" i="1"/>
  <c r="G343" i="1"/>
  <c r="H343" i="1" s="1"/>
  <c r="I343" i="1" s="1"/>
  <c r="K343" i="1" s="1"/>
  <c r="M343" i="1"/>
  <c r="G344" i="1"/>
  <c r="H344" i="1" s="1"/>
  <c r="N344" i="1" s="1"/>
  <c r="M344" i="1"/>
  <c r="G345" i="1"/>
  <c r="H345" i="1" s="1"/>
  <c r="N345" i="1" s="1"/>
  <c r="M345" i="1"/>
  <c r="G346" i="1"/>
  <c r="H346" i="1" s="1"/>
  <c r="M346" i="1"/>
  <c r="G347" i="1"/>
  <c r="H347" i="1" s="1"/>
  <c r="M347" i="1"/>
  <c r="G348" i="1"/>
  <c r="H348" i="1" s="1"/>
  <c r="M348" i="1"/>
  <c r="G349" i="1"/>
  <c r="H349" i="1" s="1"/>
  <c r="N349" i="1" s="1"/>
  <c r="M349" i="1"/>
  <c r="O349" i="1"/>
  <c r="G350" i="1"/>
  <c r="H350" i="1" s="1"/>
  <c r="M350" i="1"/>
  <c r="G351" i="1"/>
  <c r="H351" i="1" s="1"/>
  <c r="M351" i="1"/>
  <c r="G352" i="1"/>
  <c r="H352" i="1" s="1"/>
  <c r="M352" i="1"/>
  <c r="G353" i="1"/>
  <c r="H353" i="1" s="1"/>
  <c r="I353" i="1" s="1"/>
  <c r="K353" i="1" s="1"/>
  <c r="M353" i="1"/>
  <c r="G354" i="1"/>
  <c r="H354" i="1" s="1"/>
  <c r="M354" i="1"/>
  <c r="G355" i="1"/>
  <c r="H355" i="1" s="1"/>
  <c r="M355" i="1"/>
  <c r="G356" i="1"/>
  <c r="H356" i="1" s="1"/>
  <c r="M356" i="1"/>
  <c r="G357" i="1"/>
  <c r="H357" i="1" s="1"/>
  <c r="M357" i="1"/>
  <c r="G358" i="1"/>
  <c r="H358" i="1" s="1"/>
  <c r="I358" i="1" s="1"/>
  <c r="K358" i="1" s="1"/>
  <c r="M358" i="1"/>
  <c r="G359" i="1"/>
  <c r="H359" i="1" s="1"/>
  <c r="I359" i="1" s="1"/>
  <c r="K359" i="1" s="1"/>
  <c r="M359" i="1"/>
  <c r="G360" i="1"/>
  <c r="H360" i="1" s="1"/>
  <c r="M360" i="1"/>
  <c r="G361" i="1"/>
  <c r="H361" i="1" s="1"/>
  <c r="I361" i="1" s="1"/>
  <c r="K361" i="1" s="1"/>
  <c r="M361" i="1"/>
  <c r="G362" i="1"/>
  <c r="H362" i="1" s="1"/>
  <c r="M362" i="1"/>
  <c r="G363" i="1"/>
  <c r="H363" i="1" s="1"/>
  <c r="I363" i="1" s="1"/>
  <c r="K363" i="1" s="1"/>
  <c r="M363" i="1"/>
  <c r="G364" i="1"/>
  <c r="H364" i="1" s="1"/>
  <c r="M364" i="1"/>
  <c r="G365" i="1"/>
  <c r="H365" i="1" s="1"/>
  <c r="M365" i="1"/>
  <c r="G366" i="1"/>
  <c r="H366" i="1" s="1"/>
  <c r="M366" i="1"/>
  <c r="G367" i="1"/>
  <c r="H367" i="1" s="1"/>
  <c r="N367" i="1" s="1"/>
  <c r="M367" i="1"/>
  <c r="M50" i="1"/>
  <c r="M51" i="1"/>
  <c r="M52" i="1"/>
  <c r="M53" i="1"/>
  <c r="M54" i="1"/>
  <c r="M55" i="1"/>
  <c r="M56" i="1"/>
  <c r="M57" i="1"/>
  <c r="M58" i="1"/>
  <c r="M59" i="1"/>
  <c r="M60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I182" i="1" l="1"/>
  <c r="K182" i="1" s="1"/>
  <c r="O279" i="1"/>
  <c r="O77" i="1"/>
  <c r="I130" i="1"/>
  <c r="K130" i="1" s="1"/>
  <c r="I77" i="1"/>
  <c r="K77" i="1" s="1"/>
  <c r="O237" i="1"/>
  <c r="I194" i="1"/>
  <c r="K194" i="1" s="1"/>
  <c r="O345" i="1"/>
  <c r="I247" i="1"/>
  <c r="K247" i="1" s="1"/>
  <c r="I239" i="1"/>
  <c r="K239" i="1" s="1"/>
  <c r="O222" i="1"/>
  <c r="I108" i="1"/>
  <c r="K108" i="1" s="1"/>
  <c r="N127" i="1"/>
  <c r="O127" i="1" s="1"/>
  <c r="O247" i="1"/>
  <c r="I226" i="1"/>
  <c r="K226" i="1" s="1"/>
  <c r="I150" i="1"/>
  <c r="K150" i="1" s="1"/>
  <c r="O131" i="1"/>
  <c r="I206" i="1"/>
  <c r="K206" i="1" s="1"/>
  <c r="I142" i="1"/>
  <c r="K142" i="1" s="1"/>
  <c r="I285" i="1"/>
  <c r="K285" i="1" s="1"/>
  <c r="I196" i="1"/>
  <c r="K196" i="1" s="1"/>
  <c r="I131" i="1"/>
  <c r="K131" i="1" s="1"/>
  <c r="I99" i="1"/>
  <c r="K99" i="1" s="1"/>
  <c r="N163" i="1"/>
  <c r="O163" i="1" s="1"/>
  <c r="I163" i="1"/>
  <c r="K163" i="1" s="1"/>
  <c r="I322" i="1"/>
  <c r="K322" i="1" s="1"/>
  <c r="N106" i="1"/>
  <c r="O106" i="1" s="1"/>
  <c r="I317" i="1"/>
  <c r="K317" i="1" s="1"/>
  <c r="I76" i="1"/>
  <c r="K76" i="1" s="1"/>
  <c r="N98" i="1"/>
  <c r="O98" i="1" s="1"/>
  <c r="I237" i="1"/>
  <c r="K237" i="1" s="1"/>
  <c r="N79" i="1"/>
  <c r="O99" i="1"/>
  <c r="I314" i="1"/>
  <c r="K314" i="1" s="1"/>
  <c r="I281" i="1"/>
  <c r="K281" i="1" s="1"/>
  <c r="I258" i="1"/>
  <c r="K258" i="1" s="1"/>
  <c r="I204" i="1"/>
  <c r="K204" i="1" s="1"/>
  <c r="I90" i="1"/>
  <c r="K90" i="1" s="1"/>
  <c r="N64" i="1"/>
  <c r="O64" i="1" s="1"/>
  <c r="N313" i="1"/>
  <c r="O333" i="1"/>
  <c r="O228" i="1"/>
  <c r="O95" i="1"/>
  <c r="I172" i="1"/>
  <c r="K172" i="1" s="1"/>
  <c r="N361" i="1"/>
  <c r="O361" i="1" s="1"/>
  <c r="N231" i="1"/>
  <c r="O231" i="1" s="1"/>
  <c r="N271" i="1"/>
  <c r="O271" i="1" s="1"/>
  <c r="O79" i="1"/>
  <c r="I109" i="1"/>
  <c r="K109" i="1" s="1"/>
  <c r="N199" i="1"/>
  <c r="O199" i="1" s="1"/>
  <c r="I199" i="1"/>
  <c r="K199" i="1" s="1"/>
  <c r="I346" i="1"/>
  <c r="K346" i="1" s="1"/>
  <c r="N346" i="1"/>
  <c r="N356" i="1"/>
  <c r="O356" i="1" s="1"/>
  <c r="I356" i="1"/>
  <c r="K356" i="1" s="1"/>
  <c r="N143" i="1"/>
  <c r="O143" i="1" s="1"/>
  <c r="I143" i="1"/>
  <c r="K143" i="1" s="1"/>
  <c r="I280" i="1"/>
  <c r="K280" i="1" s="1"/>
  <c r="N280" i="1"/>
  <c r="O280" i="1" s="1"/>
  <c r="N159" i="1"/>
  <c r="O159" i="1" s="1"/>
  <c r="I159" i="1"/>
  <c r="K159" i="1" s="1"/>
  <c r="I248" i="1"/>
  <c r="K248" i="1" s="1"/>
  <c r="N248" i="1"/>
  <c r="O248" i="1" s="1"/>
  <c r="N183" i="1"/>
  <c r="O183" i="1" s="1"/>
  <c r="I183" i="1"/>
  <c r="K183" i="1" s="1"/>
  <c r="N177" i="1"/>
  <c r="O177" i="1" s="1"/>
  <c r="I177" i="1"/>
  <c r="K177" i="1" s="1"/>
  <c r="N217" i="1"/>
  <c r="O217" i="1" s="1"/>
  <c r="I217" i="1"/>
  <c r="K217" i="1" s="1"/>
  <c r="N202" i="1"/>
  <c r="O202" i="1" s="1"/>
  <c r="I202" i="1"/>
  <c r="K202" i="1" s="1"/>
  <c r="I345" i="1"/>
  <c r="K345" i="1" s="1"/>
  <c r="N316" i="1"/>
  <c r="O316" i="1" s="1"/>
  <c r="N291" i="1"/>
  <c r="O291" i="1" s="1"/>
  <c r="I291" i="1"/>
  <c r="K291" i="1" s="1"/>
  <c r="N283" i="1"/>
  <c r="O283" i="1" s="1"/>
  <c r="I283" i="1"/>
  <c r="K283" i="1" s="1"/>
  <c r="N254" i="1"/>
  <c r="O254" i="1" s="1"/>
  <c r="I254" i="1"/>
  <c r="K254" i="1" s="1"/>
  <c r="N212" i="1"/>
  <c r="O212" i="1" s="1"/>
  <c r="I212" i="1"/>
  <c r="K212" i="1" s="1"/>
  <c r="N115" i="1"/>
  <c r="O115" i="1" s="1"/>
  <c r="I115" i="1"/>
  <c r="K115" i="1" s="1"/>
  <c r="N81" i="1"/>
  <c r="O81" i="1" s="1"/>
  <c r="I81" i="1"/>
  <c r="K81" i="1" s="1"/>
  <c r="N337" i="1"/>
  <c r="O337" i="1" s="1"/>
  <c r="I337" i="1"/>
  <c r="K337" i="1" s="1"/>
  <c r="N301" i="1"/>
  <c r="O301" i="1" s="1"/>
  <c r="I301" i="1"/>
  <c r="K301" i="1" s="1"/>
  <c r="N158" i="1"/>
  <c r="O158" i="1" s="1"/>
  <c r="I158" i="1"/>
  <c r="K158" i="1" s="1"/>
  <c r="N133" i="1"/>
  <c r="O133" i="1" s="1"/>
  <c r="N84" i="1"/>
  <c r="O84" i="1" s="1"/>
  <c r="N265" i="1"/>
  <c r="O265" i="1" s="1"/>
  <c r="N357" i="1"/>
  <c r="O357" i="1" s="1"/>
  <c r="I357" i="1"/>
  <c r="K357" i="1" s="1"/>
  <c r="N347" i="1"/>
  <c r="O347" i="1" s="1"/>
  <c r="I347" i="1"/>
  <c r="K347" i="1" s="1"/>
  <c r="N323" i="1"/>
  <c r="O323" i="1" s="1"/>
  <c r="N315" i="1"/>
  <c r="O315" i="1" s="1"/>
  <c r="N308" i="1"/>
  <c r="O308" i="1" s="1"/>
  <c r="N275" i="1"/>
  <c r="O275" i="1" s="1"/>
  <c r="I275" i="1"/>
  <c r="K275" i="1" s="1"/>
  <c r="I249" i="1"/>
  <c r="K249" i="1" s="1"/>
  <c r="N249" i="1"/>
  <c r="O249" i="1" s="1"/>
  <c r="N242" i="1"/>
  <c r="O242" i="1" s="1"/>
  <c r="I242" i="1"/>
  <c r="K242" i="1" s="1"/>
  <c r="N225" i="1"/>
  <c r="O225" i="1" s="1"/>
  <c r="I225" i="1"/>
  <c r="K225" i="1" s="1"/>
  <c r="I184" i="1"/>
  <c r="K184" i="1" s="1"/>
  <c r="N184" i="1"/>
  <c r="O184" i="1" s="1"/>
  <c r="O167" i="1"/>
  <c r="I167" i="1"/>
  <c r="K167" i="1" s="1"/>
  <c r="N118" i="1"/>
  <c r="O118" i="1" s="1"/>
  <c r="N73" i="1"/>
  <c r="I73" i="1"/>
  <c r="K73" i="1" s="1"/>
  <c r="I297" i="1"/>
  <c r="K297" i="1" s="1"/>
  <c r="N221" i="1"/>
  <c r="O221" i="1" s="1"/>
  <c r="I221" i="1"/>
  <c r="K221" i="1" s="1"/>
  <c r="N136" i="1"/>
  <c r="O136" i="1" s="1"/>
  <c r="I136" i="1"/>
  <c r="K136" i="1" s="1"/>
  <c r="N132" i="1"/>
  <c r="O132" i="1" s="1"/>
  <c r="N102" i="1"/>
  <c r="O102" i="1" s="1"/>
  <c r="I102" i="1"/>
  <c r="K102" i="1" s="1"/>
  <c r="N91" i="1"/>
  <c r="O91" i="1" s="1"/>
  <c r="I87" i="1"/>
  <c r="K87" i="1" s="1"/>
  <c r="N87" i="1"/>
  <c r="O87" i="1" s="1"/>
  <c r="I308" i="1"/>
  <c r="K308" i="1" s="1"/>
  <c r="I295" i="1"/>
  <c r="K295" i="1" s="1"/>
  <c r="I279" i="1"/>
  <c r="K279" i="1" s="1"/>
  <c r="I110" i="1"/>
  <c r="K110" i="1" s="1"/>
  <c r="I95" i="1"/>
  <c r="K95" i="1" s="1"/>
  <c r="N207" i="1"/>
  <c r="O207" i="1" s="1"/>
  <c r="N144" i="1"/>
  <c r="O144" i="1" s="1"/>
  <c r="N366" i="1"/>
  <c r="O366" i="1" s="1"/>
  <c r="I366" i="1"/>
  <c r="K366" i="1" s="1"/>
  <c r="N343" i="1"/>
  <c r="O343" i="1" s="1"/>
  <c r="N329" i="1"/>
  <c r="O329" i="1" s="1"/>
  <c r="I329" i="1"/>
  <c r="K329" i="1" s="1"/>
  <c r="N326" i="1"/>
  <c r="O326" i="1" s="1"/>
  <c r="N318" i="1"/>
  <c r="O318" i="1" s="1"/>
  <c r="I318" i="1"/>
  <c r="K318" i="1" s="1"/>
  <c r="O314" i="1"/>
  <c r="N311" i="1"/>
  <c r="O311" i="1" s="1"/>
  <c r="I311" i="1"/>
  <c r="K311" i="1" s="1"/>
  <c r="N307" i="1"/>
  <c r="O307" i="1" s="1"/>
  <c r="N303" i="1"/>
  <c r="O303" i="1" s="1"/>
  <c r="O296" i="1"/>
  <c r="I296" i="1"/>
  <c r="K296" i="1" s="1"/>
  <c r="N293" i="1"/>
  <c r="O293" i="1" s="1"/>
  <c r="I293" i="1"/>
  <c r="K293" i="1" s="1"/>
  <c r="N278" i="1"/>
  <c r="O278" i="1" s="1"/>
  <c r="N274" i="1"/>
  <c r="O274" i="1" s="1"/>
  <c r="I274" i="1"/>
  <c r="K274" i="1" s="1"/>
  <c r="N270" i="1"/>
  <c r="O270" i="1" s="1"/>
  <c r="N260" i="1"/>
  <c r="O260" i="1" s="1"/>
  <c r="O256" i="1"/>
  <c r="I256" i="1"/>
  <c r="K256" i="1" s="1"/>
  <c r="N252" i="1"/>
  <c r="O252" i="1" s="1"/>
  <c r="I252" i="1"/>
  <c r="K252" i="1" s="1"/>
  <c r="N245" i="1"/>
  <c r="O245" i="1" s="1"/>
  <c r="N241" i="1"/>
  <c r="O241" i="1" s="1"/>
  <c r="I241" i="1"/>
  <c r="K241" i="1" s="1"/>
  <c r="N190" i="1"/>
  <c r="O190" i="1" s="1"/>
  <c r="I190" i="1"/>
  <c r="K190" i="1" s="1"/>
  <c r="O170" i="1"/>
  <c r="I170" i="1"/>
  <c r="K170" i="1" s="1"/>
  <c r="N125" i="1"/>
  <c r="O125" i="1" s="1"/>
  <c r="I125" i="1"/>
  <c r="K125" i="1" s="1"/>
  <c r="N121" i="1"/>
  <c r="O121" i="1" s="1"/>
  <c r="I121" i="1"/>
  <c r="K121" i="1" s="1"/>
  <c r="N117" i="1"/>
  <c r="O117" i="1" s="1"/>
  <c r="N113" i="1"/>
  <c r="O113" i="1" s="1"/>
  <c r="I113" i="1"/>
  <c r="K113" i="1" s="1"/>
  <c r="N83" i="1"/>
  <c r="O83" i="1" s="1"/>
  <c r="I83" i="1"/>
  <c r="K83" i="1" s="1"/>
  <c r="N72" i="1"/>
  <c r="O72" i="1" s="1"/>
  <c r="I72" i="1"/>
  <c r="K72" i="1" s="1"/>
  <c r="N68" i="1"/>
  <c r="O68" i="1" s="1"/>
  <c r="I68" i="1"/>
  <c r="K68" i="1" s="1"/>
  <c r="I367" i="1"/>
  <c r="K367" i="1" s="1"/>
  <c r="I335" i="1"/>
  <c r="K335" i="1" s="1"/>
  <c r="I323" i="1"/>
  <c r="K323" i="1" s="1"/>
  <c r="I307" i="1"/>
  <c r="K307" i="1" s="1"/>
  <c r="I278" i="1"/>
  <c r="K278" i="1" s="1"/>
  <c r="I228" i="1"/>
  <c r="K228" i="1" s="1"/>
  <c r="I195" i="1"/>
  <c r="K195" i="1" s="1"/>
  <c r="I175" i="1"/>
  <c r="K175" i="1" s="1"/>
  <c r="I162" i="1"/>
  <c r="K162" i="1" s="1"/>
  <c r="I91" i="1"/>
  <c r="K91" i="1" s="1"/>
  <c r="I74" i="1"/>
  <c r="K74" i="1" s="1"/>
  <c r="N348" i="1"/>
  <c r="O348" i="1" s="1"/>
  <c r="I348" i="1"/>
  <c r="K348" i="1" s="1"/>
  <c r="N209" i="1"/>
  <c r="O209" i="1" s="1"/>
  <c r="I209" i="1"/>
  <c r="K209" i="1" s="1"/>
  <c r="N165" i="1"/>
  <c r="O165" i="1" s="1"/>
  <c r="N364" i="1"/>
  <c r="O364" i="1" s="1"/>
  <c r="I364" i="1"/>
  <c r="K364" i="1" s="1"/>
  <c r="N334" i="1"/>
  <c r="O334" i="1" s="1"/>
  <c r="I320" i="1"/>
  <c r="K320" i="1" s="1"/>
  <c r="N309" i="1"/>
  <c r="O309" i="1" s="1"/>
  <c r="I309" i="1"/>
  <c r="K309" i="1" s="1"/>
  <c r="N276" i="1"/>
  <c r="O276" i="1" s="1"/>
  <c r="N354" i="1"/>
  <c r="O354" i="1" s="1"/>
  <c r="O344" i="1"/>
  <c r="I344" i="1"/>
  <c r="K344" i="1" s="1"/>
  <c r="N330" i="1"/>
  <c r="O330" i="1" s="1"/>
  <c r="I330" i="1"/>
  <c r="K330" i="1" s="1"/>
  <c r="N215" i="1"/>
  <c r="O215" i="1" s="1"/>
  <c r="N198" i="1"/>
  <c r="O198" i="1" s="1"/>
  <c r="I198" i="1"/>
  <c r="K198" i="1" s="1"/>
  <c r="N141" i="1"/>
  <c r="O141" i="1" s="1"/>
  <c r="N137" i="1"/>
  <c r="O137" i="1" s="1"/>
  <c r="I137" i="1"/>
  <c r="K137" i="1" s="1"/>
  <c r="O103" i="1"/>
  <c r="I103" i="1"/>
  <c r="K103" i="1" s="1"/>
  <c r="N92" i="1"/>
  <c r="O92" i="1" s="1"/>
  <c r="I92" i="1"/>
  <c r="K92" i="1" s="1"/>
  <c r="I80" i="1"/>
  <c r="K80" i="1" s="1"/>
  <c r="N80" i="1"/>
  <c r="O80" i="1" s="1"/>
  <c r="N69" i="1"/>
  <c r="O69" i="1" s="1"/>
  <c r="I69" i="1"/>
  <c r="K69" i="1" s="1"/>
  <c r="O336" i="1"/>
  <c r="I336" i="1"/>
  <c r="K336" i="1" s="1"/>
  <c r="N214" i="1"/>
  <c r="O214" i="1" s="1"/>
  <c r="O269" i="1"/>
  <c r="I224" i="1"/>
  <c r="K224" i="1" s="1"/>
  <c r="N224" i="1"/>
  <c r="O224" i="1" s="1"/>
  <c r="N153" i="1"/>
  <c r="O153" i="1" s="1"/>
  <c r="I153" i="1"/>
  <c r="K153" i="1" s="1"/>
  <c r="N139" i="1"/>
  <c r="O139" i="1" s="1"/>
  <c r="I334" i="1"/>
  <c r="K334" i="1" s="1"/>
  <c r="I290" i="1"/>
  <c r="K290" i="1" s="1"/>
  <c r="I207" i="1"/>
  <c r="K207" i="1" s="1"/>
  <c r="I174" i="1"/>
  <c r="K174" i="1" s="1"/>
  <c r="I141" i="1"/>
  <c r="K141" i="1" s="1"/>
  <c r="N320" i="1"/>
  <c r="O320" i="1" s="1"/>
  <c r="N287" i="1"/>
  <c r="O287" i="1" s="1"/>
  <c r="N358" i="1"/>
  <c r="O358" i="1" s="1"/>
  <c r="N338" i="1"/>
  <c r="O338" i="1" s="1"/>
  <c r="I338" i="1"/>
  <c r="K338" i="1" s="1"/>
  <c r="N298" i="1"/>
  <c r="O298" i="1" s="1"/>
  <c r="N219" i="1"/>
  <c r="O219" i="1" s="1"/>
  <c r="N149" i="1"/>
  <c r="O149" i="1" s="1"/>
  <c r="N324" i="1"/>
  <c r="O324" i="1" s="1"/>
  <c r="O312" i="1"/>
  <c r="I312" i="1"/>
  <c r="K312" i="1" s="1"/>
  <c r="I272" i="1"/>
  <c r="K272" i="1" s="1"/>
  <c r="N272" i="1"/>
  <c r="O272" i="1" s="1"/>
  <c r="N262" i="1"/>
  <c r="O262" i="1" s="1"/>
  <c r="I262" i="1"/>
  <c r="K262" i="1" s="1"/>
  <c r="N250" i="1"/>
  <c r="O250" i="1" s="1"/>
  <c r="N205" i="1"/>
  <c r="O205" i="1" s="1"/>
  <c r="I152" i="1"/>
  <c r="K152" i="1" s="1"/>
  <c r="N152" i="1"/>
  <c r="O152" i="1" s="1"/>
  <c r="N145" i="1"/>
  <c r="O145" i="1" s="1"/>
  <c r="I145" i="1"/>
  <c r="K145" i="1" s="1"/>
  <c r="N111" i="1"/>
  <c r="O111" i="1" s="1"/>
  <c r="I96" i="1"/>
  <c r="K96" i="1" s="1"/>
  <c r="N96" i="1"/>
  <c r="O96" i="1" s="1"/>
  <c r="N70" i="1"/>
  <c r="O70" i="1" s="1"/>
  <c r="N62" i="1"/>
  <c r="O62" i="1" s="1"/>
  <c r="N168" i="1"/>
  <c r="O168" i="1" s="1"/>
  <c r="N218" i="1"/>
  <c r="O218" i="1" s="1"/>
  <c r="O208" i="1"/>
  <c r="I208" i="1"/>
  <c r="K208" i="1" s="1"/>
  <c r="N201" i="1"/>
  <c r="O201" i="1" s="1"/>
  <c r="I201" i="1"/>
  <c r="K201" i="1" s="1"/>
  <c r="N171" i="1"/>
  <c r="O171" i="1" s="1"/>
  <c r="N161" i="1"/>
  <c r="O161" i="1" s="1"/>
  <c r="I161" i="1"/>
  <c r="K161" i="1" s="1"/>
  <c r="N148" i="1"/>
  <c r="O148" i="1" s="1"/>
  <c r="I148" i="1"/>
  <c r="K148" i="1" s="1"/>
  <c r="N126" i="1"/>
  <c r="O126" i="1" s="1"/>
  <c r="I126" i="1"/>
  <c r="K126" i="1" s="1"/>
  <c r="N107" i="1"/>
  <c r="O107" i="1" s="1"/>
  <c r="O88" i="1"/>
  <c r="I88" i="1"/>
  <c r="K88" i="1" s="1"/>
  <c r="N61" i="1"/>
  <c r="O61" i="1" s="1"/>
  <c r="I298" i="1"/>
  <c r="K298" i="1" s="1"/>
  <c r="I269" i="1"/>
  <c r="K269" i="1" s="1"/>
  <c r="I218" i="1"/>
  <c r="K218" i="1" s="1"/>
  <c r="O367" i="1"/>
  <c r="I360" i="1"/>
  <c r="K360" i="1" s="1"/>
  <c r="N360" i="1"/>
  <c r="O360" i="1" s="1"/>
  <c r="N350" i="1"/>
  <c r="O350" i="1" s="1"/>
  <c r="N340" i="1"/>
  <c r="O340" i="1" s="1"/>
  <c r="N327" i="1"/>
  <c r="O327" i="1" s="1"/>
  <c r="I327" i="1"/>
  <c r="K327" i="1" s="1"/>
  <c r="I319" i="1"/>
  <c r="K319" i="1" s="1"/>
  <c r="I304" i="1"/>
  <c r="K304" i="1" s="1"/>
  <c r="N304" i="1"/>
  <c r="O304" i="1" s="1"/>
  <c r="N294" i="1"/>
  <c r="O294" i="1" s="1"/>
  <c r="N286" i="1"/>
  <c r="O286" i="1" s="1"/>
  <c r="I282" i="1"/>
  <c r="K282" i="1" s="1"/>
  <c r="N246" i="1"/>
  <c r="O246" i="1" s="1"/>
  <c r="N238" i="1"/>
  <c r="O238" i="1" s="1"/>
  <c r="N211" i="1"/>
  <c r="O211" i="1" s="1"/>
  <c r="I211" i="1"/>
  <c r="K211" i="1" s="1"/>
  <c r="N191" i="1"/>
  <c r="O191" i="1" s="1"/>
  <c r="N187" i="1"/>
  <c r="O187" i="1" s="1"/>
  <c r="N129" i="1"/>
  <c r="O129" i="1" s="1"/>
  <c r="I129" i="1"/>
  <c r="K129" i="1" s="1"/>
  <c r="N114" i="1"/>
  <c r="O114" i="1" s="1"/>
  <c r="I114" i="1"/>
  <c r="K114" i="1" s="1"/>
  <c r="N65" i="1"/>
  <c r="O65" i="1" s="1"/>
  <c r="I65" i="1"/>
  <c r="K65" i="1" s="1"/>
  <c r="I354" i="1"/>
  <c r="K354" i="1" s="1"/>
  <c r="I215" i="1"/>
  <c r="K215" i="1" s="1"/>
  <c r="I164" i="1"/>
  <c r="K164" i="1" s="1"/>
  <c r="N363" i="1"/>
  <c r="O363" i="1" s="1"/>
  <c r="N353" i="1"/>
  <c r="O353" i="1" s="1"/>
  <c r="I234" i="1"/>
  <c r="K234" i="1" s="1"/>
  <c r="N180" i="1"/>
  <c r="O180" i="1" s="1"/>
  <c r="I180" i="1"/>
  <c r="K180" i="1" s="1"/>
  <c r="N147" i="1"/>
  <c r="O147" i="1" s="1"/>
  <c r="I147" i="1"/>
  <c r="K147" i="1" s="1"/>
  <c r="N359" i="1"/>
  <c r="O359" i="1" s="1"/>
  <c r="I352" i="1"/>
  <c r="K352" i="1" s="1"/>
  <c r="N352" i="1"/>
  <c r="O352" i="1" s="1"/>
  <c r="N339" i="1"/>
  <c r="O339" i="1" s="1"/>
  <c r="I339" i="1"/>
  <c r="K339" i="1" s="1"/>
  <c r="O266" i="1"/>
  <c r="I266" i="1"/>
  <c r="K266" i="1" s="1"/>
  <c r="N220" i="1"/>
  <c r="O220" i="1" s="1"/>
  <c r="I220" i="1"/>
  <c r="K220" i="1" s="1"/>
  <c r="N213" i="1"/>
  <c r="O213" i="1" s="1"/>
  <c r="N203" i="1"/>
  <c r="O203" i="1"/>
  <c r="N193" i="1"/>
  <c r="O193" i="1" s="1"/>
  <c r="I193" i="1"/>
  <c r="K193" i="1" s="1"/>
  <c r="N173" i="1"/>
  <c r="O173" i="1" s="1"/>
  <c r="N146" i="1"/>
  <c r="O146" i="1" s="1"/>
  <c r="I146" i="1"/>
  <c r="K146" i="1" s="1"/>
  <c r="N135" i="1"/>
  <c r="O135" i="1" s="1"/>
  <c r="I135" i="1"/>
  <c r="K135" i="1" s="1"/>
  <c r="I350" i="1"/>
  <c r="K350" i="1" s="1"/>
  <c r="N192" i="1"/>
  <c r="O192" i="1" s="1"/>
  <c r="N365" i="1"/>
  <c r="O365" i="1" s="1"/>
  <c r="I365" i="1"/>
  <c r="K365" i="1" s="1"/>
  <c r="O335" i="1"/>
  <c r="I328" i="1"/>
  <c r="K328" i="1" s="1"/>
  <c r="N328" i="1"/>
  <c r="O328" i="1" s="1"/>
  <c r="N325" i="1"/>
  <c r="O325" i="1" s="1"/>
  <c r="N321" i="1"/>
  <c r="O321" i="1" s="1"/>
  <c r="I321" i="1"/>
  <c r="K321" i="1" s="1"/>
  <c r="N310" i="1"/>
  <c r="O310" i="1" s="1"/>
  <c r="I310" i="1"/>
  <c r="K310" i="1" s="1"/>
  <c r="N306" i="1"/>
  <c r="O306" i="1" s="1"/>
  <c r="N302" i="1"/>
  <c r="O302" i="1" s="1"/>
  <c r="I302" i="1"/>
  <c r="K302" i="1" s="1"/>
  <c r="O295" i="1"/>
  <c r="N292" i="1"/>
  <c r="O292" i="1" s="1"/>
  <c r="I292" i="1"/>
  <c r="K292" i="1" s="1"/>
  <c r="O288" i="1"/>
  <c r="I288" i="1"/>
  <c r="K288" i="1" s="1"/>
  <c r="N284" i="1"/>
  <c r="O284" i="1" s="1"/>
  <c r="I284" i="1"/>
  <c r="K284" i="1" s="1"/>
  <c r="N277" i="1"/>
  <c r="O277" i="1" s="1"/>
  <c r="N273" i="1"/>
  <c r="O273" i="1" s="1"/>
  <c r="I273" i="1"/>
  <c r="K273" i="1" s="1"/>
  <c r="N263" i="1"/>
  <c r="O263" i="1" s="1"/>
  <c r="I263" i="1"/>
  <c r="K263" i="1" s="1"/>
  <c r="N259" i="1"/>
  <c r="O259" i="1" s="1"/>
  <c r="N255" i="1"/>
  <c r="O255" i="1" s="1"/>
  <c r="N251" i="1"/>
  <c r="O251" i="1" s="1"/>
  <c r="N244" i="1"/>
  <c r="O244" i="1" s="1"/>
  <c r="I244" i="1"/>
  <c r="K244" i="1" s="1"/>
  <c r="N240" i="1"/>
  <c r="O240" i="1" s="1"/>
  <c r="I240" i="1"/>
  <c r="K240" i="1" s="1"/>
  <c r="N233" i="1"/>
  <c r="O233" i="1" s="1"/>
  <c r="I233" i="1"/>
  <c r="K233" i="1" s="1"/>
  <c r="N230" i="1"/>
  <c r="O230" i="1" s="1"/>
  <c r="I230" i="1"/>
  <c r="K230" i="1" s="1"/>
  <c r="N227" i="1"/>
  <c r="O227" i="1" s="1"/>
  <c r="O195" i="1"/>
  <c r="N189" i="1"/>
  <c r="O189" i="1" s="1"/>
  <c r="I189" i="1"/>
  <c r="K189" i="1" s="1"/>
  <c r="N179" i="1"/>
  <c r="O179" i="1" s="1"/>
  <c r="I179" i="1"/>
  <c r="K179" i="1" s="1"/>
  <c r="N169" i="1"/>
  <c r="O169" i="1" s="1"/>
  <c r="I169" i="1"/>
  <c r="K169" i="1" s="1"/>
  <c r="O155" i="1"/>
  <c r="I362" i="1"/>
  <c r="K362" i="1" s="1"/>
  <c r="I349" i="1"/>
  <c r="K349" i="1" s="1"/>
  <c r="I333" i="1"/>
  <c r="K333" i="1" s="1"/>
  <c r="I305" i="1"/>
  <c r="K305" i="1" s="1"/>
  <c r="I289" i="1"/>
  <c r="K289" i="1" s="1"/>
  <c r="I276" i="1"/>
  <c r="K276" i="1" s="1"/>
  <c r="I259" i="1"/>
  <c r="K259" i="1" s="1"/>
  <c r="I191" i="1"/>
  <c r="K191" i="1" s="1"/>
  <c r="I173" i="1"/>
  <c r="K173" i="1" s="1"/>
  <c r="I155" i="1"/>
  <c r="K155" i="1" s="1"/>
  <c r="I140" i="1"/>
  <c r="K140" i="1" s="1"/>
  <c r="I122" i="1"/>
  <c r="K122" i="1" s="1"/>
  <c r="I107" i="1"/>
  <c r="K107" i="1" s="1"/>
  <c r="I66" i="1"/>
  <c r="K66" i="1" s="1"/>
  <c r="N362" i="1"/>
  <c r="O362" i="1" s="1"/>
  <c r="N319" i="1"/>
  <c r="O319" i="1" s="1"/>
  <c r="N282" i="1"/>
  <c r="O282" i="1" s="1"/>
  <c r="N234" i="1"/>
  <c r="O234" i="1" s="1"/>
  <c r="N175" i="1"/>
  <c r="O175" i="1" s="1"/>
  <c r="N128" i="1"/>
  <c r="O128" i="1" s="1"/>
  <c r="N355" i="1"/>
  <c r="O355" i="1" s="1"/>
  <c r="N342" i="1"/>
  <c r="O342" i="1" s="1"/>
  <c r="N332" i="1"/>
  <c r="O332" i="1" s="1"/>
  <c r="O317" i="1"/>
  <c r="N300" i="1"/>
  <c r="O300" i="1" s="1"/>
  <c r="O289" i="1"/>
  <c r="O285" i="1"/>
  <c r="N268" i="1"/>
  <c r="O268" i="1" s="1"/>
  <c r="O253" i="1"/>
  <c r="N236" i="1"/>
  <c r="O236" i="1" s="1"/>
  <c r="N223" i="1"/>
  <c r="O223" i="1" s="1"/>
  <c r="O210" i="1"/>
  <c r="N185" i="1"/>
  <c r="O185" i="1" s="1"/>
  <c r="I185" i="1"/>
  <c r="K185" i="1" s="1"/>
  <c r="N176" i="1"/>
  <c r="O176" i="1" s="1"/>
  <c r="I176" i="1"/>
  <c r="K176" i="1" s="1"/>
  <c r="N157" i="1"/>
  <c r="O157" i="1" s="1"/>
  <c r="N154" i="1"/>
  <c r="O154" i="1" s="1"/>
  <c r="I120" i="1"/>
  <c r="K120" i="1" s="1"/>
  <c r="N116" i="1"/>
  <c r="O116" i="1" s="1"/>
  <c r="N105" i="1"/>
  <c r="O105" i="1" s="1"/>
  <c r="I105" i="1"/>
  <c r="K105" i="1" s="1"/>
  <c r="N101" i="1"/>
  <c r="O101" i="1" s="1"/>
  <c r="N86" i="1"/>
  <c r="O86" i="1" s="1"/>
  <c r="I222" i="1"/>
  <c r="K222" i="1" s="1"/>
  <c r="I138" i="1"/>
  <c r="K138" i="1" s="1"/>
  <c r="I116" i="1"/>
  <c r="K116" i="1" s="1"/>
  <c r="I94" i="1"/>
  <c r="K94" i="1" s="1"/>
  <c r="O264" i="1"/>
  <c r="I264" i="1"/>
  <c r="K264" i="1" s="1"/>
  <c r="N261" i="1"/>
  <c r="O261" i="1" s="1"/>
  <c r="N257" i="1"/>
  <c r="O257" i="1" s="1"/>
  <c r="I257" i="1"/>
  <c r="K257" i="1" s="1"/>
  <c r="N243" i="1"/>
  <c r="O243" i="1" s="1"/>
  <c r="O239" i="1"/>
  <c r="O232" i="1"/>
  <c r="I232" i="1"/>
  <c r="K232" i="1" s="1"/>
  <c r="N229" i="1"/>
  <c r="O229" i="1" s="1"/>
  <c r="O226" i="1"/>
  <c r="I216" i="1"/>
  <c r="K216" i="1" s="1"/>
  <c r="N197" i="1"/>
  <c r="O197" i="1" s="1"/>
  <c r="O194" i="1"/>
  <c r="I160" i="1"/>
  <c r="K160" i="1" s="1"/>
  <c r="N160" i="1"/>
  <c r="O160" i="1" s="1"/>
  <c r="N134" i="1"/>
  <c r="O134" i="1" s="1"/>
  <c r="N112" i="1"/>
  <c r="O112" i="1" s="1"/>
  <c r="I112" i="1"/>
  <c r="K112" i="1" s="1"/>
  <c r="N97" i="1"/>
  <c r="O97" i="1" s="1"/>
  <c r="I97" i="1"/>
  <c r="K97" i="1" s="1"/>
  <c r="N75" i="1"/>
  <c r="O75" i="1" s="1"/>
  <c r="N71" i="1"/>
  <c r="O71" i="1" s="1"/>
  <c r="I71" i="1"/>
  <c r="K71" i="1" s="1"/>
  <c r="N67" i="1"/>
  <c r="O67" i="1" s="1"/>
  <c r="O63" i="1"/>
  <c r="I63" i="1"/>
  <c r="K63" i="1" s="1"/>
  <c r="I253" i="1"/>
  <c r="K253" i="1" s="1"/>
  <c r="I243" i="1"/>
  <c r="K243" i="1" s="1"/>
  <c r="I157" i="1"/>
  <c r="K157" i="1" s="1"/>
  <c r="I82" i="1"/>
  <c r="K82" i="1" s="1"/>
  <c r="N216" i="1"/>
  <c r="O216" i="1" s="1"/>
  <c r="N151" i="1"/>
  <c r="O151" i="1" s="1"/>
  <c r="N120" i="1"/>
  <c r="O120" i="1" s="1"/>
  <c r="N341" i="1"/>
  <c r="O341" i="1" s="1"/>
  <c r="N331" i="1"/>
  <c r="O331" i="1" s="1"/>
  <c r="O313" i="1"/>
  <c r="N299" i="1"/>
  <c r="O299" i="1" s="1"/>
  <c r="O281" i="1"/>
  <c r="N267" i="1"/>
  <c r="O267" i="1" s="1"/>
  <c r="N235" i="1"/>
  <c r="O235" i="1" s="1"/>
  <c r="N200" i="1"/>
  <c r="O200" i="1" s="1"/>
  <c r="I200" i="1"/>
  <c r="K200" i="1" s="1"/>
  <c r="N181" i="1"/>
  <c r="O181" i="1" s="1"/>
  <c r="N178" i="1"/>
  <c r="O178" i="1" s="1"/>
  <c r="N123" i="1"/>
  <c r="O123" i="1" s="1"/>
  <c r="N119" i="1"/>
  <c r="O119" i="1" s="1"/>
  <c r="O104" i="1"/>
  <c r="I104" i="1"/>
  <c r="K104" i="1" s="1"/>
  <c r="N100" i="1"/>
  <c r="O100" i="1" s="1"/>
  <c r="N93" i="1"/>
  <c r="O93" i="1" s="1"/>
  <c r="N89" i="1"/>
  <c r="O89" i="1" s="1"/>
  <c r="I89" i="1"/>
  <c r="K89" i="1" s="1"/>
  <c r="N85" i="1"/>
  <c r="O85" i="1" s="1"/>
  <c r="I355" i="1"/>
  <c r="K355" i="1" s="1"/>
  <c r="I300" i="1"/>
  <c r="K300" i="1" s="1"/>
  <c r="I210" i="1"/>
  <c r="K210" i="1" s="1"/>
  <c r="I188" i="1"/>
  <c r="K188" i="1" s="1"/>
  <c r="I178" i="1"/>
  <c r="K178" i="1" s="1"/>
  <c r="I166" i="1"/>
  <c r="K166" i="1" s="1"/>
  <c r="I156" i="1"/>
  <c r="K156" i="1" s="1"/>
  <c r="I134" i="1"/>
  <c r="K134" i="1" s="1"/>
  <c r="I124" i="1"/>
  <c r="K124" i="1" s="1"/>
  <c r="I78" i="1"/>
  <c r="K78" i="1" s="1"/>
  <c r="I67" i="1"/>
  <c r="K67" i="1" s="1"/>
  <c r="N351" i="1"/>
  <c r="O351" i="1" s="1"/>
  <c r="O346" i="1"/>
  <c r="O162" i="1"/>
  <c r="O297" i="1"/>
  <c r="O186" i="1"/>
  <c r="O322" i="1"/>
  <c r="O290" i="1"/>
  <c r="O258" i="1"/>
  <c r="O73" i="1"/>
  <c r="O122" i="1"/>
  <c r="O90" i="1"/>
  <c r="O74" i="1"/>
  <c r="O138" i="1"/>
  <c r="O140" i="1"/>
  <c r="O124" i="1"/>
  <c r="O108" i="1"/>
  <c r="O76" i="1"/>
  <c r="O204" i="1"/>
  <c r="O196" i="1"/>
  <c r="O188" i="1"/>
  <c r="O172" i="1"/>
  <c r="O164" i="1"/>
  <c r="O156" i="1"/>
  <c r="O130" i="1"/>
  <c r="O82" i="1"/>
  <c r="O66" i="1"/>
  <c r="O206" i="1"/>
  <c r="O182" i="1"/>
  <c r="O174" i="1"/>
  <c r="O166" i="1"/>
  <c r="O150" i="1"/>
  <c r="O142" i="1"/>
  <c r="O110" i="1"/>
  <c r="O94" i="1"/>
  <c r="O78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3" i="1"/>
  <c r="H3" i="1" s="1"/>
  <c r="N6" i="1" l="1"/>
  <c r="I6" i="1"/>
  <c r="N38" i="1"/>
  <c r="O38" i="1" s="1"/>
  <c r="I38" i="1"/>
  <c r="K38" i="1" s="1"/>
  <c r="N43" i="1"/>
  <c r="O43" i="1" s="1"/>
  <c r="I43" i="1"/>
  <c r="K43" i="1" s="1"/>
  <c r="I19" i="1"/>
  <c r="N19" i="1"/>
  <c r="N30" i="1"/>
  <c r="I30" i="1"/>
  <c r="N50" i="1"/>
  <c r="O50" i="1" s="1"/>
  <c r="I50" i="1"/>
  <c r="K50" i="1" s="1"/>
  <c r="N26" i="1"/>
  <c r="I26" i="1"/>
  <c r="I25" i="1"/>
  <c r="N25" i="1"/>
  <c r="N54" i="1"/>
  <c r="O54" i="1" s="1"/>
  <c r="I54" i="1"/>
  <c r="K54" i="1" s="1"/>
  <c r="I56" i="1"/>
  <c r="K56" i="1" s="1"/>
  <c r="N56" i="1"/>
  <c r="O56" i="1" s="1"/>
  <c r="I24" i="1"/>
  <c r="N24" i="1"/>
  <c r="N53" i="1"/>
  <c r="O53" i="1" s="1"/>
  <c r="I53" i="1"/>
  <c r="K53" i="1" s="1"/>
  <c r="N55" i="1"/>
  <c r="O55" i="1" s="1"/>
  <c r="I55" i="1"/>
  <c r="K55" i="1" s="1"/>
  <c r="N23" i="1"/>
  <c r="I23" i="1"/>
  <c r="N14" i="1"/>
  <c r="I14" i="1"/>
  <c r="N13" i="1"/>
  <c r="I13" i="1"/>
  <c r="I59" i="1"/>
  <c r="K59" i="1" s="1"/>
  <c r="N59" i="1"/>
  <c r="O59" i="1" s="1"/>
  <c r="N35" i="1"/>
  <c r="O35" i="1" s="1"/>
  <c r="I35" i="1"/>
  <c r="K35" i="1" s="1"/>
  <c r="N11" i="1"/>
  <c r="I11" i="1"/>
  <c r="N34" i="1"/>
  <c r="O34" i="1" s="1"/>
  <c r="I34" i="1"/>
  <c r="K34" i="1" s="1"/>
  <c r="N10" i="1"/>
  <c r="I10" i="1"/>
  <c r="N49" i="1"/>
  <c r="O49" i="1" s="1"/>
  <c r="I49" i="1"/>
  <c r="K49" i="1" s="1"/>
  <c r="I33" i="1"/>
  <c r="N33" i="1"/>
  <c r="N9" i="1"/>
  <c r="I9" i="1"/>
  <c r="I40" i="1"/>
  <c r="K40" i="1" s="1"/>
  <c r="N40" i="1"/>
  <c r="O40" i="1" s="1"/>
  <c r="I16" i="1"/>
  <c r="N16" i="1"/>
  <c r="N21" i="1"/>
  <c r="I21" i="1"/>
  <c r="N39" i="1"/>
  <c r="O39" i="1" s="1"/>
  <c r="I39" i="1"/>
  <c r="K39" i="1" s="1"/>
  <c r="N7" i="1"/>
  <c r="I7" i="1"/>
  <c r="N45" i="1"/>
  <c r="O45" i="1" s="1"/>
  <c r="I45" i="1"/>
  <c r="K45" i="1" s="1"/>
  <c r="N51" i="1"/>
  <c r="O51" i="1" s="1"/>
  <c r="I51" i="1"/>
  <c r="K51" i="1" s="1"/>
  <c r="N27" i="1"/>
  <c r="I27" i="1"/>
  <c r="N3" i="1"/>
  <c r="I3" i="1"/>
  <c r="N58" i="1"/>
  <c r="O58" i="1" s="1"/>
  <c r="I58" i="1"/>
  <c r="K58" i="1" s="1"/>
  <c r="N42" i="1"/>
  <c r="O42" i="1" s="1"/>
  <c r="I42" i="1"/>
  <c r="K42" i="1" s="1"/>
  <c r="N18" i="1"/>
  <c r="I18" i="1"/>
  <c r="N29" i="1"/>
  <c r="I29" i="1"/>
  <c r="I57" i="1"/>
  <c r="K57" i="1" s="1"/>
  <c r="N57" i="1"/>
  <c r="O57" i="1" s="1"/>
  <c r="I41" i="1"/>
  <c r="K41" i="1" s="1"/>
  <c r="N41" i="1"/>
  <c r="O41" i="1" s="1"/>
  <c r="I17" i="1"/>
  <c r="N17" i="1"/>
  <c r="N22" i="1"/>
  <c r="I22" i="1"/>
  <c r="I48" i="1"/>
  <c r="K48" i="1" s="1"/>
  <c r="N48" i="1"/>
  <c r="O48" i="1" s="1"/>
  <c r="I32" i="1"/>
  <c r="N32" i="1"/>
  <c r="N8" i="1"/>
  <c r="I8" i="1"/>
  <c r="N47" i="1"/>
  <c r="O47" i="1" s="1"/>
  <c r="I47" i="1"/>
  <c r="K47" i="1" s="1"/>
  <c r="N31" i="1"/>
  <c r="I31" i="1"/>
  <c r="N15" i="1"/>
  <c r="I15" i="1"/>
  <c r="N46" i="1"/>
  <c r="O46" i="1" s="1"/>
  <c r="I46" i="1"/>
  <c r="K46" i="1" s="1"/>
  <c r="N60" i="1"/>
  <c r="O60" i="1" s="1"/>
  <c r="I60" i="1"/>
  <c r="K60" i="1" s="1"/>
  <c r="N52" i="1"/>
  <c r="O52" i="1" s="1"/>
  <c r="I52" i="1"/>
  <c r="K52" i="1" s="1"/>
  <c r="N44" i="1"/>
  <c r="O44" i="1" s="1"/>
  <c r="I44" i="1"/>
  <c r="K44" i="1" s="1"/>
  <c r="N36" i="1"/>
  <c r="O36" i="1" s="1"/>
  <c r="I36" i="1"/>
  <c r="K36" i="1" s="1"/>
  <c r="N28" i="1"/>
  <c r="I28" i="1"/>
  <c r="N20" i="1"/>
  <c r="I20" i="1"/>
  <c r="N12" i="1"/>
  <c r="I12" i="1"/>
  <c r="N4" i="1"/>
  <c r="I4" i="1"/>
  <c r="N37" i="1"/>
  <c r="O37" i="1" s="1"/>
  <c r="I37" i="1"/>
  <c r="K37" i="1" s="1"/>
  <c r="N5" i="1"/>
  <c r="I5" i="1"/>
  <c r="K4" i="1" l="1"/>
  <c r="L4" i="1" s="1"/>
  <c r="J4" i="1"/>
  <c r="K10" i="1"/>
  <c r="L10" i="1" s="1"/>
  <c r="J10" i="1"/>
  <c r="K32" i="1"/>
  <c r="J32" i="1"/>
  <c r="M32" i="1" s="1"/>
  <c r="O32" i="1" s="1"/>
  <c r="K21" i="1"/>
  <c r="L21" i="1" s="1"/>
  <c r="J21" i="1"/>
  <c r="K18" i="1"/>
  <c r="J18" i="1"/>
  <c r="M18" i="1" s="1"/>
  <c r="O18" i="1" s="1"/>
  <c r="K24" i="1"/>
  <c r="J24" i="1"/>
  <c r="M24" i="1" s="1"/>
  <c r="O24" i="1" s="1"/>
  <c r="K5" i="1"/>
  <c r="L5" i="1" s="1"/>
  <c r="J5" i="1"/>
  <c r="M5" i="1" s="1"/>
  <c r="O5" i="1" s="1"/>
  <c r="K33" i="1"/>
  <c r="J33" i="1"/>
  <c r="M33" i="1" s="1"/>
  <c r="O33" i="1" s="1"/>
  <c r="K20" i="1"/>
  <c r="L20" i="1" s="1"/>
  <c r="J20" i="1"/>
  <c r="K27" i="1"/>
  <c r="L27" i="1" s="1"/>
  <c r="J27" i="1"/>
  <c r="K7" i="1"/>
  <c r="L7" i="1" s="1"/>
  <c r="J7" i="1"/>
  <c r="M7" i="1" s="1"/>
  <c r="O7" i="1" s="1"/>
  <c r="K16" i="1"/>
  <c r="J16" i="1"/>
  <c r="M16" i="1" s="1"/>
  <c r="O16" i="1" s="1"/>
  <c r="K30" i="1"/>
  <c r="L30" i="1" s="1"/>
  <c r="J30" i="1"/>
  <c r="K31" i="1"/>
  <c r="J31" i="1"/>
  <c r="M31" i="1" s="1"/>
  <c r="O31" i="1" s="1"/>
  <c r="K23" i="1"/>
  <c r="L23" i="1" s="1"/>
  <c r="J23" i="1"/>
  <c r="M23" i="1" s="1"/>
  <c r="O23" i="1" s="1"/>
  <c r="K3" i="1"/>
  <c r="L3" i="1" s="1"/>
  <c r="J3" i="1"/>
  <c r="M3" i="1" s="1"/>
  <c r="O3" i="1" s="1"/>
  <c r="K25" i="1"/>
  <c r="J25" i="1"/>
  <c r="M25" i="1" s="1"/>
  <c r="O25" i="1" s="1"/>
  <c r="K11" i="1"/>
  <c r="L11" i="1" s="1"/>
  <c r="J11" i="1"/>
  <c r="M11" i="1" s="1"/>
  <c r="O11" i="1" s="1"/>
  <c r="K13" i="1"/>
  <c r="J13" i="1"/>
  <c r="M13" i="1" s="1"/>
  <c r="O13" i="1" s="1"/>
  <c r="K29" i="1"/>
  <c r="L29" i="1" s="1"/>
  <c r="J29" i="1"/>
  <c r="M29" i="1" s="1"/>
  <c r="O29" i="1" s="1"/>
  <c r="K9" i="1"/>
  <c r="L9" i="1" s="1"/>
  <c r="J9" i="1"/>
  <c r="K17" i="1"/>
  <c r="J17" i="1"/>
  <c r="M17" i="1" s="1"/>
  <c r="O17" i="1" s="1"/>
  <c r="K12" i="1"/>
  <c r="J12" i="1"/>
  <c r="M12" i="1" s="1"/>
  <c r="O12" i="1" s="1"/>
  <c r="K28" i="1"/>
  <c r="L28" i="1" s="1"/>
  <c r="J28" i="1"/>
  <c r="M28" i="1" s="1"/>
  <c r="O28" i="1" s="1"/>
  <c r="K8" i="1"/>
  <c r="L8" i="1" s="1"/>
  <c r="J8" i="1"/>
  <c r="K22" i="1"/>
  <c r="L22" i="1" s="1"/>
  <c r="J22" i="1"/>
  <c r="M22" i="1" s="1"/>
  <c r="O22" i="1" s="1"/>
  <c r="K26" i="1"/>
  <c r="J26" i="1"/>
  <c r="M26" i="1" s="1"/>
  <c r="O26" i="1" s="1"/>
  <c r="K6" i="1"/>
  <c r="L6" i="1" s="1"/>
  <c r="J6" i="1"/>
  <c r="M6" i="1" s="1"/>
  <c r="O6" i="1" s="1"/>
  <c r="K15" i="1"/>
  <c r="J15" i="1"/>
  <c r="M15" i="1" s="1"/>
  <c r="O15" i="1" s="1"/>
  <c r="K14" i="1"/>
  <c r="J14" i="1"/>
  <c r="M14" i="1" s="1"/>
  <c r="O14" i="1" s="1"/>
  <c r="K19" i="1"/>
  <c r="J19" i="1"/>
  <c r="M19" i="1" s="1"/>
  <c r="O19" i="1" s="1"/>
  <c r="M27" i="1" l="1"/>
  <c r="O27" i="1" s="1"/>
  <c r="M10" i="1"/>
  <c r="O10" i="1" s="1"/>
  <c r="M20" i="1"/>
  <c r="O20" i="1" s="1"/>
  <c r="M4" i="1"/>
  <c r="O4" i="1" s="1"/>
  <c r="M8" i="1"/>
  <c r="O8" i="1" s="1"/>
  <c r="M9" i="1"/>
  <c r="O9" i="1" s="1"/>
  <c r="M30" i="1"/>
  <c r="O30" i="1" s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<sst xmlns="http://schemas.openxmlformats.org/spreadsheetml/2006/main" count="39" uniqueCount="27">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</sst>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topLeftCell="A325" zoomScale="78" zoomScaleNormal="55" workbookViewId="0">
      <selection activeCell="E372" sqref="E372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49" t="s">
        <v>0</v>
      </c>
      <c r="B1" s="49" t="s">
        <v>1</v>
      </c>
      <c r="C1" s="49" t="s">
        <v>2</v>
      </c>
      <c r="D1" s="51" t="s">
        <v>3</v>
      </c>
      <c r="E1" s="53" t="s">
        <v>4</v>
      </c>
      <c r="F1" s="47" t="s">
        <v>5</v>
      </c>
      <c r="G1" s="61" t="s">
        <v>6</v>
      </c>
      <c r="H1" s="61" t="s">
        <v>7</v>
      </c>
      <c r="I1" s="63" t="s">
        <v>8</v>
      </c>
      <c r="J1" s="65" t="s">
        <v>9</v>
      </c>
      <c r="K1" s="65" t="s">
        <v>10</v>
      </c>
      <c r="L1" s="65" t="s">
        <v>11</v>
      </c>
      <c r="M1" s="55" t="s">
        <v>12</v>
      </c>
      <c r="N1" s="57" t="s">
        <v>13</v>
      </c>
      <c r="O1" s="59" t="s">
        <v>14</v>
      </c>
    </row>
    <row r="2" spans="1:15" s="13" customFormat="1" ht="34.799999999999997" customHeight="1" thickBot="1" x14ac:dyDescent="0.75">
      <c r="A2" s="50"/>
      <c r="B2" s="50"/>
      <c r="C2" s="50"/>
      <c r="D2" s="52"/>
      <c r="E2" s="54"/>
      <c r="F2" s="48"/>
      <c r="G2" s="62"/>
      <c r="H2" s="62"/>
      <c r="I2" s="64"/>
      <c r="J2" s="66"/>
      <c r="K2" s="66"/>
      <c r="L2" s="66"/>
      <c r="M2" s="56"/>
      <c r="N2" s="58"/>
      <c r="O2" s="60"/>
    </row>
    <row r="3" spans="1:15" x14ac:dyDescent="0.7">
      <c r="A3" s="2">
        <v>2549</v>
      </c>
      <c r="B3" s="3" t="s">
        <v>15</v>
      </c>
      <c r="C3" s="3">
        <v>1</v>
      </c>
      <c r="D3" s="4">
        <v>16.18</v>
      </c>
      <c r="E3" s="4">
        <v>0</v>
      </c>
      <c r="F3" s="4">
        <v>16.18</v>
      </c>
      <c r="G3" s="15">
        <f>F3*86400</f>
        <v>1397952</v>
      </c>
      <c r="H3" s="21">
        <f>G3/1000000</f>
        <v>1.3979520000000001</v>
      </c>
      <c r="I3" s="20">
        <f>H3*1000000*0.045</f>
        <v>62907.839999999997</v>
      </c>
      <c r="J3" s="40">
        <f t="shared" ref="J3:J23" si="0">I3/1000000</f>
        <v>6.2907839999999993E-2</v>
      </c>
      <c r="K3" s="20">
        <f>I3*0.12</f>
        <v>7548.9407999999994</v>
      </c>
      <c r="L3" s="20">
        <f t="shared" ref="L3:L11" si="1">K3/1000000</f>
        <v>7.548940799999999E-3</v>
      </c>
      <c r="M3" s="20">
        <f t="shared" ref="M3:M23" si="2">J3+L3</f>
        <v>7.0456780799999993E-2</v>
      </c>
      <c r="N3" s="20">
        <f>H3*0.1</f>
        <v>0.13979520000000001</v>
      </c>
      <c r="O3" s="20">
        <f t="shared" ref="O3:O23" si="3">H3-M3-N3</f>
        <v>1.1877000192</v>
      </c>
    </row>
    <row r="4" spans="1:15" x14ac:dyDescent="0.7">
      <c r="A4" s="6"/>
      <c r="B4" s="6"/>
      <c r="C4" s="6">
        <v>2</v>
      </c>
      <c r="D4" s="7">
        <v>16.18</v>
      </c>
      <c r="E4" s="4">
        <v>0</v>
      </c>
      <c r="F4" s="7">
        <v>16.18</v>
      </c>
      <c r="G4" s="15">
        <f t="shared" ref="G4:G61" si="4">F4*86400</f>
        <v>1397952</v>
      </c>
      <c r="H4" s="21">
        <f t="shared" ref="H4:H61" si="5">G4/1000000</f>
        <v>1.3979520000000001</v>
      </c>
      <c r="I4" s="20">
        <f t="shared" ref="I4:I66" si="6">H4*1000000*0.045</f>
        <v>62907.839999999997</v>
      </c>
      <c r="J4" s="40">
        <f t="shared" si="0"/>
        <v>6.2907839999999993E-2</v>
      </c>
      <c r="K4" s="20">
        <f t="shared" ref="K4:K66" si="7">I4*0.12</f>
        <v>7548.9407999999994</v>
      </c>
      <c r="L4" s="20">
        <f t="shared" si="1"/>
        <v>7.548940799999999E-3</v>
      </c>
      <c r="M4" s="20">
        <f t="shared" si="2"/>
        <v>7.0456780799999993E-2</v>
      </c>
      <c r="N4" s="20">
        <f t="shared" ref="N4:N66" si="8">H4*0.1</f>
        <v>0.13979520000000001</v>
      </c>
      <c r="O4" s="20">
        <f t="shared" si="3"/>
        <v>1.1877000192</v>
      </c>
    </row>
    <row r="5" spans="1:15" x14ac:dyDescent="0.7">
      <c r="A5" s="6"/>
      <c r="B5" s="6"/>
      <c r="C5" s="6">
        <v>3</v>
      </c>
      <c r="D5" s="7">
        <v>15.754</v>
      </c>
      <c r="E5" s="4">
        <v>0</v>
      </c>
      <c r="F5" s="7">
        <v>15.754</v>
      </c>
      <c r="G5" s="15">
        <f t="shared" si="4"/>
        <v>1361145.5999999999</v>
      </c>
      <c r="H5" s="21">
        <f t="shared" si="5"/>
        <v>1.3611456</v>
      </c>
      <c r="I5" s="20">
        <f t="shared" si="6"/>
        <v>61251.551999999989</v>
      </c>
      <c r="J5" s="40">
        <f t="shared" si="0"/>
        <v>6.1251551999999987E-2</v>
      </c>
      <c r="K5" s="20">
        <f t="shared" si="7"/>
        <v>7350.1862399999982</v>
      </c>
      <c r="L5" s="20">
        <f t="shared" si="1"/>
        <v>7.350186239999998E-3</v>
      </c>
      <c r="M5" s="20">
        <f t="shared" si="2"/>
        <v>6.8601738239999988E-2</v>
      </c>
      <c r="N5" s="20">
        <f t="shared" si="8"/>
        <v>0.13611456</v>
      </c>
      <c r="O5" s="20">
        <f t="shared" si="3"/>
        <v>1.15642930176</v>
      </c>
    </row>
    <row r="6" spans="1:15" x14ac:dyDescent="0.7">
      <c r="A6" s="6"/>
      <c r="B6" s="6"/>
      <c r="C6" s="6">
        <v>4</v>
      </c>
      <c r="D6" s="7">
        <v>15.34</v>
      </c>
      <c r="E6" s="4">
        <v>0</v>
      </c>
      <c r="F6" s="7">
        <v>15.34</v>
      </c>
      <c r="G6" s="15">
        <f t="shared" si="4"/>
        <v>1325376</v>
      </c>
      <c r="H6" s="21">
        <f t="shared" si="5"/>
        <v>1.3253760000000001</v>
      </c>
      <c r="I6" s="20">
        <f t="shared" si="6"/>
        <v>59641.919999999998</v>
      </c>
      <c r="J6" s="40">
        <f t="shared" si="0"/>
        <v>5.9641920000000001E-2</v>
      </c>
      <c r="K6" s="20">
        <f t="shared" si="7"/>
        <v>7157.0303999999996</v>
      </c>
      <c r="L6" s="20">
        <f t="shared" si="1"/>
        <v>7.1570303999999993E-3</v>
      </c>
      <c r="M6" s="20">
        <f t="shared" si="2"/>
        <v>6.6798950400000001E-2</v>
      </c>
      <c r="N6" s="20">
        <f t="shared" si="8"/>
        <v>0.13253760000000001</v>
      </c>
      <c r="O6" s="20">
        <f t="shared" si="3"/>
        <v>1.1260394496000001</v>
      </c>
    </row>
    <row r="7" spans="1:15" x14ac:dyDescent="0.7">
      <c r="A7" s="6"/>
      <c r="B7" s="6"/>
      <c r="C7" s="6">
        <v>5</v>
      </c>
      <c r="D7" s="7">
        <v>13.832000000000001</v>
      </c>
      <c r="E7" s="4">
        <v>0</v>
      </c>
      <c r="F7" s="7">
        <v>13.832000000000001</v>
      </c>
      <c r="G7" s="15">
        <f t="shared" si="4"/>
        <v>1195084.8</v>
      </c>
      <c r="H7" s="21">
        <f t="shared" si="5"/>
        <v>1.1950848000000001</v>
      </c>
      <c r="I7" s="20">
        <f t="shared" si="6"/>
        <v>53778.815999999999</v>
      </c>
      <c r="J7" s="40">
        <f t="shared" si="0"/>
        <v>5.3778816E-2</v>
      </c>
      <c r="K7" s="20">
        <f t="shared" si="7"/>
        <v>6453.4579199999998</v>
      </c>
      <c r="L7" s="20">
        <f t="shared" si="1"/>
        <v>6.4534579199999999E-3</v>
      </c>
      <c r="M7" s="20">
        <f t="shared" si="2"/>
        <v>6.0232273920000003E-2</v>
      </c>
      <c r="N7" s="20">
        <f t="shared" si="8"/>
        <v>0.11950848000000001</v>
      </c>
      <c r="O7" s="20">
        <f t="shared" si="3"/>
        <v>1.0153440460800001</v>
      </c>
    </row>
    <row r="8" spans="1:15" x14ac:dyDescent="0.7">
      <c r="A8" s="6"/>
      <c r="B8" s="6"/>
      <c r="C8" s="6">
        <v>6</v>
      </c>
      <c r="D8" s="7">
        <v>13.411999999999999</v>
      </c>
      <c r="E8" s="4">
        <v>0</v>
      </c>
      <c r="F8" s="7">
        <v>13.411999999999999</v>
      </c>
      <c r="G8" s="15">
        <f t="shared" si="4"/>
        <v>1158796.7999999998</v>
      </c>
      <c r="H8" s="21">
        <f t="shared" si="5"/>
        <v>1.1587967999999997</v>
      </c>
      <c r="I8" s="20">
        <f t="shared" si="6"/>
        <v>52145.855999999992</v>
      </c>
      <c r="J8" s="40">
        <f t="shared" si="0"/>
        <v>5.214585599999999E-2</v>
      </c>
      <c r="K8" s="20">
        <f t="shared" si="7"/>
        <v>6257.5027199999986</v>
      </c>
      <c r="L8" s="20">
        <f t="shared" si="1"/>
        <v>6.2575027199999987E-3</v>
      </c>
      <c r="M8" s="20">
        <f t="shared" si="2"/>
        <v>5.8403358719999993E-2</v>
      </c>
      <c r="N8" s="20">
        <f t="shared" si="8"/>
        <v>0.11587967999999998</v>
      </c>
      <c r="O8" s="20">
        <f t="shared" si="3"/>
        <v>0.9845137612799999</v>
      </c>
    </row>
    <row r="9" spans="1:15" x14ac:dyDescent="0.7">
      <c r="A9" s="6"/>
      <c r="B9" s="6"/>
      <c r="C9" s="6">
        <v>7</v>
      </c>
      <c r="D9" s="7">
        <v>13.103999999999999</v>
      </c>
      <c r="E9" s="4">
        <v>0</v>
      </c>
      <c r="F9" s="7">
        <v>13.103999999999999</v>
      </c>
      <c r="G9" s="15">
        <f t="shared" si="4"/>
        <v>1132185.5999999999</v>
      </c>
      <c r="H9" s="21">
        <f t="shared" si="5"/>
        <v>1.1321855999999999</v>
      </c>
      <c r="I9" s="20">
        <f t="shared" si="6"/>
        <v>50948.351999999992</v>
      </c>
      <c r="J9" s="40">
        <f t="shared" si="0"/>
        <v>5.0948351999999988E-2</v>
      </c>
      <c r="K9" s="20">
        <f t="shared" si="7"/>
        <v>6113.8022399999991</v>
      </c>
      <c r="L9" s="20">
        <f t="shared" si="1"/>
        <v>6.1138022399999988E-3</v>
      </c>
      <c r="M9" s="20">
        <f t="shared" si="2"/>
        <v>5.7062154239999989E-2</v>
      </c>
      <c r="N9" s="20">
        <f t="shared" si="8"/>
        <v>0.11321856</v>
      </c>
      <c r="O9" s="20">
        <f t="shared" si="3"/>
        <v>0.96190488575999988</v>
      </c>
    </row>
    <row r="10" spans="1:15" x14ac:dyDescent="0.7">
      <c r="A10" s="6"/>
      <c r="B10" s="6"/>
      <c r="C10" s="6">
        <v>8</v>
      </c>
      <c r="D10" s="7">
        <v>12.795999999999999</v>
      </c>
      <c r="E10" s="4">
        <v>0</v>
      </c>
      <c r="F10" s="7">
        <v>12.795999999999999</v>
      </c>
      <c r="G10" s="15">
        <f t="shared" si="4"/>
        <v>1105574.3999999999</v>
      </c>
      <c r="H10" s="21">
        <f t="shared" si="5"/>
        <v>1.1055743999999998</v>
      </c>
      <c r="I10" s="20">
        <f t="shared" si="6"/>
        <v>49750.847999999991</v>
      </c>
      <c r="J10" s="40">
        <f t="shared" si="0"/>
        <v>4.9750847999999993E-2</v>
      </c>
      <c r="K10" s="20">
        <f t="shared" si="7"/>
        <v>5970.1017599999986</v>
      </c>
      <c r="L10" s="20">
        <f t="shared" si="1"/>
        <v>5.9701017599999989E-3</v>
      </c>
      <c r="M10" s="20">
        <f t="shared" si="2"/>
        <v>5.5720949759999992E-2</v>
      </c>
      <c r="N10" s="20">
        <f t="shared" si="8"/>
        <v>0.11055743999999999</v>
      </c>
      <c r="O10" s="20">
        <f t="shared" si="3"/>
        <v>0.93929601023999987</v>
      </c>
    </row>
    <row r="11" spans="1:15" x14ac:dyDescent="0.7">
      <c r="A11" s="6"/>
      <c r="B11" s="6"/>
      <c r="C11" s="6">
        <v>9</v>
      </c>
      <c r="D11" s="7">
        <v>11.771000000000001</v>
      </c>
      <c r="E11" s="4">
        <v>0</v>
      </c>
      <c r="F11" s="7">
        <v>11.771000000000001</v>
      </c>
      <c r="G11" s="15">
        <f t="shared" si="4"/>
        <v>1017014.4</v>
      </c>
      <c r="H11" s="21">
        <f t="shared" si="5"/>
        <v>1.0170144000000001</v>
      </c>
      <c r="I11" s="20">
        <f t="shared" si="6"/>
        <v>45765.648000000001</v>
      </c>
      <c r="J11" s="40">
        <f t="shared" si="0"/>
        <v>4.5765647999999999E-2</v>
      </c>
      <c r="K11" s="20">
        <f t="shared" si="7"/>
        <v>5491.8777600000003</v>
      </c>
      <c r="L11" s="20">
        <f t="shared" si="1"/>
        <v>5.4918777600000005E-3</v>
      </c>
      <c r="M11" s="20">
        <f t="shared" si="2"/>
        <v>5.1257525759999999E-2</v>
      </c>
      <c r="N11" s="20">
        <f t="shared" si="8"/>
        <v>0.10170144000000002</v>
      </c>
      <c r="O11" s="20">
        <f t="shared" si="3"/>
        <v>0.86405543424000009</v>
      </c>
    </row>
    <row r="12" spans="1:15" x14ac:dyDescent="0.7">
      <c r="A12" s="6"/>
      <c r="B12" s="6"/>
      <c r="C12" s="6">
        <v>10</v>
      </c>
      <c r="D12" s="7">
        <v>11.627000000000001</v>
      </c>
      <c r="E12" s="4">
        <v>0</v>
      </c>
      <c r="F12" s="7">
        <v>11.627000000000001</v>
      </c>
      <c r="G12" s="15">
        <f t="shared" si="4"/>
        <v>1004572.8</v>
      </c>
      <c r="H12" s="21">
        <f t="shared" si="5"/>
        <v>1.0045728</v>
      </c>
      <c r="I12" s="20">
        <f t="shared" si="6"/>
        <v>45205.775999999998</v>
      </c>
      <c r="J12" s="40">
        <f t="shared" si="0"/>
        <v>4.5205775999999996E-2</v>
      </c>
      <c r="K12" s="20">
        <f t="shared" si="7"/>
        <v>5424.6931199999999</v>
      </c>
      <c r="L12" s="20">
        <v>0</v>
      </c>
      <c r="M12" s="20">
        <f t="shared" si="2"/>
        <v>4.5205775999999996E-2</v>
      </c>
      <c r="N12" s="20">
        <f t="shared" si="8"/>
        <v>0.10045728000000001</v>
      </c>
      <c r="O12" s="20">
        <f t="shared" si="3"/>
        <v>0.85890974400000009</v>
      </c>
    </row>
    <row r="13" spans="1:15" x14ac:dyDescent="0.7">
      <c r="A13" s="6"/>
      <c r="B13" s="6"/>
      <c r="C13" s="6">
        <v>11</v>
      </c>
      <c r="D13" s="7">
        <v>11.153</v>
      </c>
      <c r="E13" s="4">
        <v>0</v>
      </c>
      <c r="F13" s="7">
        <v>11.153</v>
      </c>
      <c r="G13" s="15">
        <f t="shared" si="4"/>
        <v>963619.20000000007</v>
      </c>
      <c r="H13" s="21">
        <f t="shared" si="5"/>
        <v>0.96361920000000012</v>
      </c>
      <c r="I13" s="20">
        <f t="shared" si="6"/>
        <v>43362.864000000001</v>
      </c>
      <c r="J13" s="40">
        <f t="shared" si="0"/>
        <v>4.3362864000000001E-2</v>
      </c>
      <c r="K13" s="20">
        <f t="shared" si="7"/>
        <v>5203.5436799999998</v>
      </c>
      <c r="L13" s="20">
        <v>0</v>
      </c>
      <c r="M13" s="20">
        <f t="shared" si="2"/>
        <v>4.3362864000000001E-2</v>
      </c>
      <c r="N13" s="20">
        <f t="shared" si="8"/>
        <v>9.6361920000000018E-2</v>
      </c>
      <c r="O13" s="20">
        <f t="shared" si="3"/>
        <v>0.82389441600000013</v>
      </c>
    </row>
    <row r="14" spans="1:15" x14ac:dyDescent="0.7">
      <c r="A14" s="6"/>
      <c r="B14" s="6"/>
      <c r="C14" s="6">
        <v>12</v>
      </c>
      <c r="D14" s="7">
        <v>10.028</v>
      </c>
      <c r="E14" s="4">
        <v>0</v>
      </c>
      <c r="F14" s="7">
        <v>10.028</v>
      </c>
      <c r="G14" s="15">
        <f t="shared" si="4"/>
        <v>866419.20000000007</v>
      </c>
      <c r="H14" s="21">
        <f t="shared" si="5"/>
        <v>0.86641920000000006</v>
      </c>
      <c r="I14" s="20">
        <f t="shared" si="6"/>
        <v>38988.864000000001</v>
      </c>
      <c r="J14" s="40">
        <f t="shared" si="0"/>
        <v>3.8988863999999998E-2</v>
      </c>
      <c r="K14" s="20">
        <f t="shared" si="7"/>
        <v>4678.6636799999997</v>
      </c>
      <c r="L14" s="20">
        <v>0</v>
      </c>
      <c r="M14" s="20">
        <f t="shared" si="2"/>
        <v>3.8988863999999998E-2</v>
      </c>
      <c r="N14" s="20">
        <f t="shared" si="8"/>
        <v>8.6641920000000011E-2</v>
      </c>
      <c r="O14" s="20">
        <f t="shared" si="3"/>
        <v>0.74078841600000001</v>
      </c>
    </row>
    <row r="15" spans="1:15" x14ac:dyDescent="0.7">
      <c r="A15" s="6"/>
      <c r="B15" s="6"/>
      <c r="C15" s="6">
        <v>13</v>
      </c>
      <c r="D15" s="7">
        <v>11.162000000000001</v>
      </c>
      <c r="E15" s="4">
        <v>0</v>
      </c>
      <c r="F15" s="7">
        <v>11.162000000000001</v>
      </c>
      <c r="G15" s="15">
        <f t="shared" si="4"/>
        <v>964396.8</v>
      </c>
      <c r="H15" s="21">
        <f t="shared" si="5"/>
        <v>0.96439680000000005</v>
      </c>
      <c r="I15" s="20">
        <f t="shared" si="6"/>
        <v>43397.856</v>
      </c>
      <c r="J15" s="40">
        <f t="shared" si="0"/>
        <v>4.3397855999999999E-2</v>
      </c>
      <c r="K15" s="20">
        <f t="shared" si="7"/>
        <v>5207.7427200000002</v>
      </c>
      <c r="L15" s="20">
        <v>0</v>
      </c>
      <c r="M15" s="20">
        <f t="shared" si="2"/>
        <v>4.3397855999999999E-2</v>
      </c>
      <c r="N15" s="20">
        <f t="shared" si="8"/>
        <v>9.6439680000000014E-2</v>
      </c>
      <c r="O15" s="20">
        <f t="shared" si="3"/>
        <v>0.82455926400000001</v>
      </c>
    </row>
    <row r="16" spans="1:15" x14ac:dyDescent="0.7">
      <c r="A16" s="6"/>
      <c r="B16" s="6"/>
      <c r="C16" s="6">
        <v>14</v>
      </c>
      <c r="D16" s="7">
        <v>11.042999999999999</v>
      </c>
      <c r="E16" s="4">
        <v>0</v>
      </c>
      <c r="F16" s="7">
        <v>11.042999999999999</v>
      </c>
      <c r="G16" s="15">
        <f t="shared" si="4"/>
        <v>954115.2</v>
      </c>
      <c r="H16" s="21">
        <f t="shared" si="5"/>
        <v>0.95411519999999994</v>
      </c>
      <c r="I16" s="20">
        <f t="shared" si="6"/>
        <v>42935.183999999994</v>
      </c>
      <c r="J16" s="40">
        <f t="shared" si="0"/>
        <v>4.2935183999999994E-2</v>
      </c>
      <c r="K16" s="20">
        <f t="shared" si="7"/>
        <v>5152.2220799999986</v>
      </c>
      <c r="L16" s="20">
        <v>0</v>
      </c>
      <c r="M16" s="20">
        <f t="shared" si="2"/>
        <v>4.2935183999999994E-2</v>
      </c>
      <c r="N16" s="20">
        <f t="shared" si="8"/>
        <v>9.541152E-2</v>
      </c>
      <c r="O16" s="20">
        <f t="shared" si="3"/>
        <v>0.81576849600000001</v>
      </c>
    </row>
    <row r="17" spans="1:15" x14ac:dyDescent="0.7">
      <c r="A17" s="6"/>
      <c r="B17" s="6"/>
      <c r="C17" s="6">
        <v>15</v>
      </c>
      <c r="D17" s="7">
        <v>10.545999999999999</v>
      </c>
      <c r="E17" s="4">
        <v>0</v>
      </c>
      <c r="F17" s="7">
        <v>10.545999999999999</v>
      </c>
      <c r="G17" s="15">
        <f t="shared" si="4"/>
        <v>911174.39999999991</v>
      </c>
      <c r="H17" s="21">
        <f t="shared" si="5"/>
        <v>0.91117439999999994</v>
      </c>
      <c r="I17" s="20">
        <f t="shared" si="6"/>
        <v>41002.847999999991</v>
      </c>
      <c r="J17" s="40">
        <f t="shared" si="0"/>
        <v>4.1002847999999988E-2</v>
      </c>
      <c r="K17" s="20">
        <f t="shared" si="7"/>
        <v>4920.3417599999984</v>
      </c>
      <c r="L17" s="20">
        <v>0</v>
      </c>
      <c r="M17" s="20">
        <f t="shared" si="2"/>
        <v>4.1002847999999988E-2</v>
      </c>
      <c r="N17" s="20">
        <f t="shared" si="8"/>
        <v>9.1117439999999994E-2</v>
      </c>
      <c r="O17" s="20">
        <f t="shared" si="3"/>
        <v>0.77905411199999997</v>
      </c>
    </row>
    <row r="18" spans="1:15" x14ac:dyDescent="0.7">
      <c r="A18" s="6"/>
      <c r="B18" s="6"/>
      <c r="C18" s="6">
        <v>16</v>
      </c>
      <c r="D18" s="7">
        <v>10.19</v>
      </c>
      <c r="E18" s="4">
        <v>0</v>
      </c>
      <c r="F18" s="7">
        <v>10.19</v>
      </c>
      <c r="G18" s="15">
        <f t="shared" si="4"/>
        <v>880416</v>
      </c>
      <c r="H18" s="21">
        <f t="shared" si="5"/>
        <v>0.88041599999999998</v>
      </c>
      <c r="I18" s="20">
        <f t="shared" si="6"/>
        <v>39618.720000000001</v>
      </c>
      <c r="J18" s="40">
        <f t="shared" si="0"/>
        <v>3.9618720000000003E-2</v>
      </c>
      <c r="K18" s="20">
        <f t="shared" si="7"/>
        <v>4754.2464</v>
      </c>
      <c r="L18" s="20">
        <v>0</v>
      </c>
      <c r="M18" s="20">
        <f t="shared" si="2"/>
        <v>3.9618720000000003E-2</v>
      </c>
      <c r="N18" s="20">
        <f t="shared" si="8"/>
        <v>8.8041599999999998E-2</v>
      </c>
      <c r="O18" s="20">
        <f t="shared" si="3"/>
        <v>0.75275567999999993</v>
      </c>
    </row>
    <row r="19" spans="1:15" x14ac:dyDescent="0.7">
      <c r="A19" s="6"/>
      <c r="B19" s="6"/>
      <c r="C19" s="6">
        <v>17</v>
      </c>
      <c r="D19" s="7">
        <v>10.19</v>
      </c>
      <c r="E19" s="4">
        <v>0</v>
      </c>
      <c r="F19" s="7">
        <v>10.19</v>
      </c>
      <c r="G19" s="15">
        <f t="shared" si="4"/>
        <v>880416</v>
      </c>
      <c r="H19" s="21">
        <f t="shared" si="5"/>
        <v>0.88041599999999998</v>
      </c>
      <c r="I19" s="20">
        <f t="shared" si="6"/>
        <v>39618.720000000001</v>
      </c>
      <c r="J19" s="40">
        <f t="shared" si="0"/>
        <v>3.9618720000000003E-2</v>
      </c>
      <c r="K19" s="20">
        <f t="shared" si="7"/>
        <v>4754.2464</v>
      </c>
      <c r="L19" s="20">
        <v>0</v>
      </c>
      <c r="M19" s="20">
        <f t="shared" si="2"/>
        <v>3.9618720000000003E-2</v>
      </c>
      <c r="N19" s="20">
        <f t="shared" si="8"/>
        <v>8.8041599999999998E-2</v>
      </c>
      <c r="O19" s="20">
        <f t="shared" si="3"/>
        <v>0.75275567999999993</v>
      </c>
    </row>
    <row r="20" spans="1:15" x14ac:dyDescent="0.7">
      <c r="A20" s="6"/>
      <c r="B20" s="6"/>
      <c r="C20" s="6">
        <v>18</v>
      </c>
      <c r="D20" s="7">
        <v>10.18</v>
      </c>
      <c r="E20" s="4">
        <v>0</v>
      </c>
      <c r="F20" s="7">
        <v>10.18</v>
      </c>
      <c r="G20" s="15">
        <f t="shared" si="4"/>
        <v>879552</v>
      </c>
      <c r="H20" s="21">
        <f t="shared" si="5"/>
        <v>0.879552</v>
      </c>
      <c r="I20" s="20">
        <f t="shared" si="6"/>
        <v>39579.839999999997</v>
      </c>
      <c r="J20" s="40">
        <f t="shared" si="0"/>
        <v>3.9579839999999998E-2</v>
      </c>
      <c r="K20" s="20">
        <f t="shared" si="7"/>
        <v>4749.5807999999997</v>
      </c>
      <c r="L20" s="20">
        <f t="shared" ref="L20:L23" si="9">K20/1000000</f>
        <v>4.7495808E-3</v>
      </c>
      <c r="M20" s="20">
        <f t="shared" si="2"/>
        <v>4.4329420799999998E-2</v>
      </c>
      <c r="N20" s="20">
        <f t="shared" si="8"/>
        <v>8.7955200000000011E-2</v>
      </c>
      <c r="O20" s="20">
        <f t="shared" si="3"/>
        <v>0.74726737919999997</v>
      </c>
    </row>
    <row r="21" spans="1:15" x14ac:dyDescent="0.7">
      <c r="A21" s="6"/>
      <c r="B21" s="6"/>
      <c r="C21" s="6">
        <v>19</v>
      </c>
      <c r="D21" s="7">
        <v>10.19</v>
      </c>
      <c r="E21" s="4">
        <v>0</v>
      </c>
      <c r="F21" s="7">
        <v>10.19</v>
      </c>
      <c r="G21" s="15">
        <f t="shared" si="4"/>
        <v>880416</v>
      </c>
      <c r="H21" s="21">
        <f t="shared" si="5"/>
        <v>0.88041599999999998</v>
      </c>
      <c r="I21" s="20">
        <f t="shared" si="6"/>
        <v>39618.720000000001</v>
      </c>
      <c r="J21" s="40">
        <f t="shared" si="0"/>
        <v>3.9618720000000003E-2</v>
      </c>
      <c r="K21" s="20">
        <f t="shared" si="7"/>
        <v>4754.2464</v>
      </c>
      <c r="L21" s="20">
        <f t="shared" si="9"/>
        <v>4.7542464000000003E-3</v>
      </c>
      <c r="M21" s="20">
        <f t="shared" si="2"/>
        <v>4.4372966400000005E-2</v>
      </c>
      <c r="N21" s="20">
        <f t="shared" si="8"/>
        <v>8.8041599999999998E-2</v>
      </c>
      <c r="O21" s="20">
        <f t="shared" si="3"/>
        <v>0.74800143360000004</v>
      </c>
    </row>
    <row r="22" spans="1:15" x14ac:dyDescent="0.7">
      <c r="A22" s="6"/>
      <c r="B22" s="6"/>
      <c r="C22" s="6">
        <v>20</v>
      </c>
      <c r="D22" s="7">
        <v>9.68</v>
      </c>
      <c r="E22" s="4">
        <v>0</v>
      </c>
      <c r="F22" s="7">
        <v>9.68</v>
      </c>
      <c r="G22" s="15">
        <f t="shared" si="4"/>
        <v>836352</v>
      </c>
      <c r="H22" s="21">
        <f t="shared" si="5"/>
        <v>0.83635199999999998</v>
      </c>
      <c r="I22" s="20">
        <f t="shared" si="6"/>
        <v>37635.839999999997</v>
      </c>
      <c r="J22" s="40">
        <f t="shared" si="0"/>
        <v>3.7635839999999997E-2</v>
      </c>
      <c r="K22" s="20">
        <f t="shared" si="7"/>
        <v>4516.3007999999991</v>
      </c>
      <c r="L22" s="20">
        <f t="shared" si="9"/>
        <v>4.5163007999999994E-3</v>
      </c>
      <c r="M22" s="20">
        <f t="shared" si="2"/>
        <v>4.2152140799999994E-2</v>
      </c>
      <c r="N22" s="20">
        <f t="shared" si="8"/>
        <v>8.3635200000000007E-2</v>
      </c>
      <c r="O22" s="20">
        <f t="shared" si="3"/>
        <v>0.7105646592</v>
      </c>
    </row>
    <row r="23" spans="1:15" x14ac:dyDescent="0.7">
      <c r="A23" s="6"/>
      <c r="B23" s="6"/>
      <c r="C23" s="6">
        <v>21</v>
      </c>
      <c r="D23" s="7">
        <v>9.68</v>
      </c>
      <c r="E23" s="4">
        <v>0</v>
      </c>
      <c r="F23" s="7">
        <v>9.68</v>
      </c>
      <c r="G23" s="15">
        <f t="shared" si="4"/>
        <v>836352</v>
      </c>
      <c r="H23" s="21">
        <f t="shared" si="5"/>
        <v>0.83635199999999998</v>
      </c>
      <c r="I23" s="20">
        <f t="shared" si="6"/>
        <v>37635.839999999997</v>
      </c>
      <c r="J23" s="40">
        <f t="shared" si="0"/>
        <v>3.7635839999999997E-2</v>
      </c>
      <c r="K23" s="20">
        <f t="shared" si="7"/>
        <v>4516.3007999999991</v>
      </c>
      <c r="L23" s="20">
        <f t="shared" si="9"/>
        <v>4.5163007999999994E-3</v>
      </c>
      <c r="M23" s="20">
        <f t="shared" si="2"/>
        <v>4.2152140799999994E-2</v>
      </c>
      <c r="N23" s="20">
        <f t="shared" si="8"/>
        <v>8.3635200000000007E-2</v>
      </c>
      <c r="O23" s="20">
        <f t="shared" si="3"/>
        <v>0.7105646592</v>
      </c>
    </row>
    <row r="24" spans="1:15" x14ac:dyDescent="0.7">
      <c r="A24" s="6"/>
      <c r="B24" s="6"/>
      <c r="C24" s="6">
        <v>22</v>
      </c>
      <c r="D24" s="7">
        <v>9.3019999999999996</v>
      </c>
      <c r="E24" s="4">
        <v>0</v>
      </c>
      <c r="F24" s="7">
        <v>9.3019999999999996</v>
      </c>
      <c r="G24" s="15">
        <f t="shared" si="4"/>
        <v>803692.79999999993</v>
      </c>
      <c r="H24" s="21">
        <f t="shared" si="5"/>
        <v>0.80369279999999998</v>
      </c>
      <c r="I24" s="20">
        <f t="shared" si="6"/>
        <v>36166.175999999992</v>
      </c>
      <c r="J24" s="40">
        <f t="shared" ref="J24:J33" si="10">I24/1000000</f>
        <v>3.6166175999999994E-2</v>
      </c>
      <c r="K24" s="20">
        <f t="shared" si="7"/>
        <v>4339.9411199999986</v>
      </c>
      <c r="L24" s="20">
        <v>0</v>
      </c>
      <c r="M24" s="20">
        <f t="shared" ref="M24:M42" si="11">J24+L24</f>
        <v>3.6166175999999994E-2</v>
      </c>
      <c r="N24" s="20">
        <f t="shared" si="8"/>
        <v>8.0369280000000001E-2</v>
      </c>
      <c r="O24" s="20">
        <f t="shared" ref="O24:O42" si="12">H24-M24-N24</f>
        <v>0.68715734400000006</v>
      </c>
    </row>
    <row r="25" spans="1:15" x14ac:dyDescent="0.7">
      <c r="A25" s="6"/>
      <c r="B25" s="6"/>
      <c r="C25" s="6">
        <v>23</v>
      </c>
      <c r="D25" s="7">
        <v>9.7170000000000005</v>
      </c>
      <c r="E25" s="4">
        <v>0</v>
      </c>
      <c r="F25" s="7">
        <v>9.7170000000000005</v>
      </c>
      <c r="G25" s="15">
        <f t="shared" si="4"/>
        <v>839548.8</v>
      </c>
      <c r="H25" s="21">
        <f t="shared" si="5"/>
        <v>0.83954880000000009</v>
      </c>
      <c r="I25" s="20">
        <f t="shared" si="6"/>
        <v>37779.696000000004</v>
      </c>
      <c r="J25" s="40">
        <f t="shared" si="10"/>
        <v>3.7779696000000001E-2</v>
      </c>
      <c r="K25" s="20">
        <f t="shared" si="7"/>
        <v>4533.5635200000006</v>
      </c>
      <c r="L25" s="20">
        <v>0</v>
      </c>
      <c r="M25" s="20">
        <f t="shared" si="11"/>
        <v>3.7779696000000001E-2</v>
      </c>
      <c r="N25" s="20">
        <f t="shared" si="8"/>
        <v>8.3954880000000009E-2</v>
      </c>
      <c r="O25" s="20">
        <f t="shared" si="12"/>
        <v>0.71781422400000006</v>
      </c>
    </row>
    <row r="26" spans="1:15" x14ac:dyDescent="0.7">
      <c r="A26" s="6"/>
      <c r="B26" s="6"/>
      <c r="C26" s="6">
        <v>24</v>
      </c>
      <c r="D26" s="7">
        <v>9.9979999999999993</v>
      </c>
      <c r="E26" s="4">
        <v>0</v>
      </c>
      <c r="F26" s="7">
        <v>9.9979999999999993</v>
      </c>
      <c r="G26" s="15">
        <f t="shared" si="4"/>
        <v>863827.2</v>
      </c>
      <c r="H26" s="21">
        <f t="shared" si="5"/>
        <v>0.86382719999999991</v>
      </c>
      <c r="I26" s="20">
        <f t="shared" si="6"/>
        <v>38872.223999999995</v>
      </c>
      <c r="J26" s="40">
        <f t="shared" si="10"/>
        <v>3.8872223999999997E-2</v>
      </c>
      <c r="K26" s="20">
        <f t="shared" si="7"/>
        <v>4664.6668799999989</v>
      </c>
      <c r="L26" s="20">
        <v>0</v>
      </c>
      <c r="M26" s="20">
        <f t="shared" si="11"/>
        <v>3.8872223999999997E-2</v>
      </c>
      <c r="N26" s="20">
        <f t="shared" si="8"/>
        <v>8.6382719999999996E-2</v>
      </c>
      <c r="O26" s="20">
        <f t="shared" si="12"/>
        <v>0.73857225599999987</v>
      </c>
    </row>
    <row r="27" spans="1:15" x14ac:dyDescent="0.7">
      <c r="A27" s="6"/>
      <c r="B27" s="6"/>
      <c r="C27" s="6">
        <v>25</v>
      </c>
      <c r="D27" s="7">
        <v>9.84</v>
      </c>
      <c r="E27" s="4">
        <v>0</v>
      </c>
      <c r="F27" s="7">
        <v>9.84</v>
      </c>
      <c r="G27" s="15">
        <f t="shared" si="4"/>
        <v>850176</v>
      </c>
      <c r="H27" s="21">
        <f t="shared" si="5"/>
        <v>0.85017600000000004</v>
      </c>
      <c r="I27" s="20">
        <f t="shared" si="6"/>
        <v>38257.919999999998</v>
      </c>
      <c r="J27" s="40">
        <f t="shared" si="10"/>
        <v>3.8257920000000001E-2</v>
      </c>
      <c r="K27" s="20">
        <f t="shared" si="7"/>
        <v>4590.9503999999997</v>
      </c>
      <c r="L27" s="20">
        <f t="shared" ref="L27:L30" si="13">K27/1000000</f>
        <v>4.5909504E-3</v>
      </c>
      <c r="M27" s="20">
        <f t="shared" si="11"/>
        <v>4.2848870400000003E-2</v>
      </c>
      <c r="N27" s="20">
        <f t="shared" si="8"/>
        <v>8.5017600000000013E-2</v>
      </c>
      <c r="O27" s="20">
        <f t="shared" si="12"/>
        <v>0.72230952960000006</v>
      </c>
    </row>
    <row r="28" spans="1:15" x14ac:dyDescent="0.7">
      <c r="A28" s="6"/>
      <c r="B28" s="6"/>
      <c r="C28" s="6">
        <v>26</v>
      </c>
      <c r="D28" s="7">
        <v>10.407999999999999</v>
      </c>
      <c r="E28" s="4">
        <v>0</v>
      </c>
      <c r="F28" s="7">
        <v>10.407999999999999</v>
      </c>
      <c r="G28" s="15">
        <f t="shared" si="4"/>
        <v>899251.19999999995</v>
      </c>
      <c r="H28" s="21">
        <f t="shared" si="5"/>
        <v>0.89925119999999992</v>
      </c>
      <c r="I28" s="20">
        <f t="shared" si="6"/>
        <v>40466.303999999996</v>
      </c>
      <c r="J28" s="40">
        <f t="shared" si="10"/>
        <v>4.0466303999999995E-2</v>
      </c>
      <c r="K28" s="20">
        <f t="shared" si="7"/>
        <v>4855.9564799999998</v>
      </c>
      <c r="L28" s="20">
        <f t="shared" si="13"/>
        <v>4.8559564799999996E-3</v>
      </c>
      <c r="M28" s="20">
        <f t="shared" si="11"/>
        <v>4.5322260479999994E-2</v>
      </c>
      <c r="N28" s="20">
        <f t="shared" si="8"/>
        <v>8.9925119999999997E-2</v>
      </c>
      <c r="O28" s="20">
        <f t="shared" si="12"/>
        <v>0.76400381951999996</v>
      </c>
    </row>
    <row r="29" spans="1:15" x14ac:dyDescent="0.7">
      <c r="A29" s="6"/>
      <c r="B29" s="6"/>
      <c r="C29" s="6">
        <v>27</v>
      </c>
      <c r="D29" s="7">
        <v>10.589</v>
      </c>
      <c r="E29" s="4">
        <v>0</v>
      </c>
      <c r="F29" s="7">
        <v>10.589</v>
      </c>
      <c r="G29" s="15">
        <f t="shared" si="4"/>
        <v>914889.60000000009</v>
      </c>
      <c r="H29" s="21">
        <f t="shared" si="5"/>
        <v>0.91488960000000008</v>
      </c>
      <c r="I29" s="20">
        <f t="shared" si="6"/>
        <v>41170.031999999999</v>
      </c>
      <c r="J29" s="40">
        <f t="shared" si="10"/>
        <v>4.1170032000000002E-2</v>
      </c>
      <c r="K29" s="20">
        <f t="shared" si="7"/>
        <v>4940.4038399999999</v>
      </c>
      <c r="L29" s="20">
        <f t="shared" si="13"/>
        <v>4.9404038399999996E-3</v>
      </c>
      <c r="M29" s="20">
        <f t="shared" si="11"/>
        <v>4.6110435840000005E-2</v>
      </c>
      <c r="N29" s="20">
        <f t="shared" si="8"/>
        <v>9.1488960000000008E-2</v>
      </c>
      <c r="O29" s="20">
        <f t="shared" si="12"/>
        <v>0.77729020416000005</v>
      </c>
    </row>
    <row r="30" spans="1:15" x14ac:dyDescent="0.7">
      <c r="A30" s="6"/>
      <c r="B30" s="6"/>
      <c r="C30" s="6">
        <v>28</v>
      </c>
      <c r="D30" s="7">
        <v>9.7620000000000005</v>
      </c>
      <c r="E30" s="4">
        <v>0</v>
      </c>
      <c r="F30" s="7">
        <v>9.7620000000000005</v>
      </c>
      <c r="G30" s="15">
        <f t="shared" si="4"/>
        <v>843436.8</v>
      </c>
      <c r="H30" s="21">
        <f t="shared" si="5"/>
        <v>0.8434368000000001</v>
      </c>
      <c r="I30" s="20">
        <f t="shared" si="6"/>
        <v>37954.656000000003</v>
      </c>
      <c r="J30" s="40">
        <f t="shared" si="10"/>
        <v>3.7954656000000003E-2</v>
      </c>
      <c r="K30" s="20">
        <f t="shared" si="7"/>
        <v>4554.55872</v>
      </c>
      <c r="L30" s="20">
        <f t="shared" si="13"/>
        <v>4.5545587199999999E-3</v>
      </c>
      <c r="M30" s="20">
        <f t="shared" si="11"/>
        <v>4.2509214720000001E-2</v>
      </c>
      <c r="N30" s="20">
        <f t="shared" si="8"/>
        <v>8.4343680000000018E-2</v>
      </c>
      <c r="O30" s="20">
        <f t="shared" si="12"/>
        <v>0.71658390528000004</v>
      </c>
    </row>
    <row r="31" spans="1:15" x14ac:dyDescent="0.7">
      <c r="A31" s="6"/>
      <c r="B31" s="6"/>
      <c r="C31" s="6">
        <v>29</v>
      </c>
      <c r="D31" s="7">
        <v>9.4710000000000001</v>
      </c>
      <c r="E31" s="4">
        <v>0</v>
      </c>
      <c r="F31" s="7">
        <v>9.4710000000000001</v>
      </c>
      <c r="G31" s="15">
        <f t="shared" si="4"/>
        <v>818294.4</v>
      </c>
      <c r="H31" s="21">
        <f t="shared" si="5"/>
        <v>0.81829439999999998</v>
      </c>
      <c r="I31" s="20">
        <f t="shared" si="6"/>
        <v>36823.248</v>
      </c>
      <c r="J31" s="40">
        <f t="shared" si="10"/>
        <v>3.6823248000000003E-2</v>
      </c>
      <c r="K31" s="20">
        <f t="shared" si="7"/>
        <v>4418.7897599999997</v>
      </c>
      <c r="L31" s="20">
        <v>0</v>
      </c>
      <c r="M31" s="20">
        <f t="shared" si="11"/>
        <v>3.6823248000000003E-2</v>
      </c>
      <c r="N31" s="20">
        <f t="shared" si="8"/>
        <v>8.1829440000000003E-2</v>
      </c>
      <c r="O31" s="20">
        <f t="shared" si="12"/>
        <v>0.69964171199999992</v>
      </c>
    </row>
    <row r="32" spans="1:15" x14ac:dyDescent="0.7">
      <c r="A32" s="6"/>
      <c r="B32" s="6"/>
      <c r="C32" s="6">
        <v>30</v>
      </c>
      <c r="D32" s="7">
        <v>9.8879999999999999</v>
      </c>
      <c r="E32" s="4">
        <v>0</v>
      </c>
      <c r="F32" s="7">
        <v>9.8879999999999999</v>
      </c>
      <c r="G32" s="15">
        <f t="shared" si="4"/>
        <v>854323.19999999995</v>
      </c>
      <c r="H32" s="21">
        <f t="shared" si="5"/>
        <v>0.85432319999999995</v>
      </c>
      <c r="I32" s="20">
        <f t="shared" si="6"/>
        <v>38444.543999999994</v>
      </c>
      <c r="J32" s="40">
        <f t="shared" si="10"/>
        <v>3.8444543999999997E-2</v>
      </c>
      <c r="K32" s="20">
        <f t="shared" si="7"/>
        <v>4613.3452799999995</v>
      </c>
      <c r="L32" s="20">
        <v>0</v>
      </c>
      <c r="M32" s="20">
        <f t="shared" si="11"/>
        <v>3.8444543999999997E-2</v>
      </c>
      <c r="N32" s="20">
        <f t="shared" si="8"/>
        <v>8.5432320000000006E-2</v>
      </c>
      <c r="O32" s="20">
        <f t="shared" si="12"/>
        <v>0.73044633599999997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10.000999999999999</v>
      </c>
      <c r="E33" s="19">
        <v>0</v>
      </c>
      <c r="F33" s="10">
        <v>10.000999999999999</v>
      </c>
      <c r="G33" s="26">
        <f t="shared" si="4"/>
        <v>864086.39999999991</v>
      </c>
      <c r="H33" s="27">
        <f t="shared" si="5"/>
        <v>0.86408639999999992</v>
      </c>
      <c r="I33" s="22">
        <f t="shared" si="6"/>
        <v>38883.887999999992</v>
      </c>
      <c r="J33" s="41">
        <f t="shared" si="10"/>
        <v>3.8883887999999991E-2</v>
      </c>
      <c r="K33" s="22">
        <f t="shared" si="7"/>
        <v>4666.0665599999984</v>
      </c>
      <c r="L33" s="22">
        <v>0</v>
      </c>
      <c r="M33" s="22">
        <f t="shared" si="11"/>
        <v>3.8883887999999991E-2</v>
      </c>
      <c r="N33" s="22">
        <f t="shared" si="8"/>
        <v>8.6408639999999995E-2</v>
      </c>
      <c r="O33" s="22">
        <f t="shared" si="12"/>
        <v>0.73879387199999991</v>
      </c>
    </row>
    <row r="34" spans="1:15" x14ac:dyDescent="0.7">
      <c r="A34" s="3"/>
      <c r="B34" s="3" t="s">
        <v>16</v>
      </c>
      <c r="C34" s="3">
        <v>1</v>
      </c>
      <c r="D34" s="4">
        <v>9.3620000000000001</v>
      </c>
      <c r="E34" s="4">
        <v>0</v>
      </c>
      <c r="F34" s="4">
        <v>9.3620000000000001</v>
      </c>
      <c r="G34" s="15">
        <f t="shared" si="4"/>
        <v>808876.8</v>
      </c>
      <c r="H34" s="21">
        <f t="shared" si="5"/>
        <v>0.80887680000000006</v>
      </c>
      <c r="I34" s="21">
        <f t="shared" si="6"/>
        <v>36399.455999999998</v>
      </c>
      <c r="J34" s="25">
        <v>1.3301E-2</v>
      </c>
      <c r="K34" s="21">
        <f t="shared" si="7"/>
        <v>4367.9347199999993</v>
      </c>
      <c r="L34" s="16">
        <v>0</v>
      </c>
      <c r="M34" s="16">
        <f t="shared" si="11"/>
        <v>1.3301E-2</v>
      </c>
      <c r="N34" s="21">
        <f t="shared" si="8"/>
        <v>8.0887680000000017E-2</v>
      </c>
      <c r="O34" s="4">
        <f t="shared" si="12"/>
        <v>0.71468812000000004</v>
      </c>
    </row>
    <row r="35" spans="1:15" x14ac:dyDescent="0.7">
      <c r="A35" s="6"/>
      <c r="B35" s="6"/>
      <c r="C35" s="6">
        <v>2</v>
      </c>
      <c r="D35" s="7">
        <v>9.1739999999999995</v>
      </c>
      <c r="E35" s="4">
        <v>0</v>
      </c>
      <c r="F35" s="7">
        <v>9.1739999999999995</v>
      </c>
      <c r="G35" s="15">
        <f t="shared" si="4"/>
        <v>792633.6</v>
      </c>
      <c r="H35" s="21">
        <f t="shared" si="5"/>
        <v>0.79263359999999994</v>
      </c>
      <c r="I35" s="20">
        <f t="shared" si="6"/>
        <v>35668.511999999995</v>
      </c>
      <c r="J35" s="28">
        <v>1.3717999999999999E-2</v>
      </c>
      <c r="K35" s="20">
        <f t="shared" si="7"/>
        <v>4280.2214399999993</v>
      </c>
      <c r="L35" s="17">
        <v>8.5389999999999997E-3</v>
      </c>
      <c r="M35" s="17">
        <f t="shared" si="11"/>
        <v>2.2256999999999999E-2</v>
      </c>
      <c r="N35" s="20">
        <f t="shared" si="8"/>
        <v>7.9263360000000005E-2</v>
      </c>
      <c r="O35" s="7">
        <f t="shared" si="12"/>
        <v>0.69111323999999996</v>
      </c>
    </row>
    <row r="36" spans="1:15" x14ac:dyDescent="0.7">
      <c r="A36" s="6"/>
      <c r="B36" s="6"/>
      <c r="C36" s="6">
        <v>3</v>
      </c>
      <c r="D36" s="7">
        <v>8.8049999999999997</v>
      </c>
      <c r="E36" s="4">
        <v>0</v>
      </c>
      <c r="F36" s="7">
        <v>8.8049999999999997</v>
      </c>
      <c r="G36" s="15">
        <f t="shared" si="4"/>
        <v>760752</v>
      </c>
      <c r="H36" s="21">
        <f t="shared" si="5"/>
        <v>0.76075199999999998</v>
      </c>
      <c r="I36" s="20">
        <f t="shared" si="6"/>
        <v>34233.839999999997</v>
      </c>
      <c r="J36" s="28">
        <v>1.3702000000000001E-2</v>
      </c>
      <c r="K36" s="20">
        <f t="shared" si="7"/>
        <v>4108.0607999999993</v>
      </c>
      <c r="L36" s="17">
        <v>5.0959999999999998E-3</v>
      </c>
      <c r="M36" s="17">
        <f t="shared" si="11"/>
        <v>1.8798000000000002E-2</v>
      </c>
      <c r="N36" s="20">
        <f t="shared" si="8"/>
        <v>7.6075200000000009E-2</v>
      </c>
      <c r="O36" s="7">
        <f t="shared" si="12"/>
        <v>0.66587879999999999</v>
      </c>
    </row>
    <row r="37" spans="1:15" x14ac:dyDescent="0.7">
      <c r="A37" s="6"/>
      <c r="B37" s="6"/>
      <c r="C37" s="6">
        <v>4</v>
      </c>
      <c r="D37" s="7">
        <v>8.2859999999999996</v>
      </c>
      <c r="E37" s="4">
        <v>0</v>
      </c>
      <c r="F37" s="7">
        <v>8.2859999999999996</v>
      </c>
      <c r="G37" s="15">
        <f t="shared" si="4"/>
        <v>715910.39999999991</v>
      </c>
      <c r="H37" s="21">
        <f t="shared" si="5"/>
        <v>0.71591039999999995</v>
      </c>
      <c r="I37" s="20">
        <f t="shared" si="6"/>
        <v>32215.967999999993</v>
      </c>
      <c r="J37" s="28">
        <v>1.521E-2</v>
      </c>
      <c r="K37" s="20">
        <f t="shared" si="7"/>
        <v>3865.9161599999989</v>
      </c>
      <c r="L37" s="17">
        <v>6.0730000000000003E-3</v>
      </c>
      <c r="M37" s="17">
        <f t="shared" si="11"/>
        <v>2.1283E-2</v>
      </c>
      <c r="N37" s="20">
        <f t="shared" si="8"/>
        <v>7.1591039999999995E-2</v>
      </c>
      <c r="O37" s="7">
        <f t="shared" si="12"/>
        <v>0.62303635999999996</v>
      </c>
    </row>
    <row r="38" spans="1:15" x14ac:dyDescent="0.7">
      <c r="A38" s="6"/>
      <c r="B38" s="6"/>
      <c r="C38" s="6">
        <v>5</v>
      </c>
      <c r="D38" s="7">
        <v>8.1820000000000004</v>
      </c>
      <c r="E38" s="4">
        <v>0</v>
      </c>
      <c r="F38" s="7">
        <v>8.1820000000000004</v>
      </c>
      <c r="G38" s="15">
        <f t="shared" si="4"/>
        <v>706924.8</v>
      </c>
      <c r="H38" s="21">
        <f t="shared" si="5"/>
        <v>0.70692480000000002</v>
      </c>
      <c r="I38" s="20">
        <f t="shared" si="6"/>
        <v>31811.616000000002</v>
      </c>
      <c r="J38" s="28">
        <v>1.5396E-2</v>
      </c>
      <c r="K38" s="20">
        <f t="shared" si="7"/>
        <v>3817.39392</v>
      </c>
      <c r="L38" s="17">
        <v>6.2989999999999999E-3</v>
      </c>
      <c r="M38" s="17">
        <f t="shared" si="11"/>
        <v>2.1694999999999999E-2</v>
      </c>
      <c r="N38" s="20">
        <f t="shared" si="8"/>
        <v>7.0692480000000002E-2</v>
      </c>
      <c r="O38" s="7">
        <f t="shared" si="12"/>
        <v>0.61453731999999994</v>
      </c>
    </row>
    <row r="39" spans="1:15" x14ac:dyDescent="0.7">
      <c r="A39" s="6"/>
      <c r="B39" s="6"/>
      <c r="C39" s="6">
        <v>6</v>
      </c>
      <c r="D39" s="7">
        <v>8.9670000000000005</v>
      </c>
      <c r="E39" s="4">
        <v>0</v>
      </c>
      <c r="F39" s="7">
        <v>8.9670000000000005</v>
      </c>
      <c r="G39" s="15">
        <f t="shared" si="4"/>
        <v>774748.8</v>
      </c>
      <c r="H39" s="21">
        <f t="shared" si="5"/>
        <v>0.77474880000000002</v>
      </c>
      <c r="I39" s="20">
        <f t="shared" si="6"/>
        <v>34863.696000000004</v>
      </c>
      <c r="J39" s="28">
        <v>1.7770000000000001E-2</v>
      </c>
      <c r="K39" s="20">
        <f t="shared" si="7"/>
        <v>4183.6435200000005</v>
      </c>
      <c r="L39" s="17">
        <v>5.947E-3</v>
      </c>
      <c r="M39" s="17">
        <f t="shared" si="11"/>
        <v>2.3717000000000002E-2</v>
      </c>
      <c r="N39" s="20">
        <f t="shared" si="8"/>
        <v>7.747488000000001E-2</v>
      </c>
      <c r="O39" s="7">
        <f t="shared" si="12"/>
        <v>0.67355692</v>
      </c>
    </row>
    <row r="40" spans="1:15" x14ac:dyDescent="0.7">
      <c r="A40" s="6"/>
      <c r="B40" s="6"/>
      <c r="C40" s="6">
        <v>7</v>
      </c>
      <c r="D40" s="7">
        <v>14.074</v>
      </c>
      <c r="E40" s="4">
        <v>0</v>
      </c>
      <c r="F40" s="7">
        <v>14.074</v>
      </c>
      <c r="G40" s="15">
        <f t="shared" si="4"/>
        <v>1215993.6000000001</v>
      </c>
      <c r="H40" s="21">
        <f t="shared" si="5"/>
        <v>1.2159936</v>
      </c>
      <c r="I40" s="20">
        <f t="shared" si="6"/>
        <v>54719.712</v>
      </c>
      <c r="J40" s="28">
        <v>1.8159000000000002E-2</v>
      </c>
      <c r="K40" s="20">
        <f t="shared" si="7"/>
        <v>6566.3654399999996</v>
      </c>
      <c r="L40" s="17">
        <v>6.0689999999999997E-3</v>
      </c>
      <c r="M40" s="17">
        <f t="shared" si="11"/>
        <v>2.4228E-2</v>
      </c>
      <c r="N40" s="20">
        <f t="shared" si="8"/>
        <v>0.12159936</v>
      </c>
      <c r="O40" s="7">
        <f t="shared" si="12"/>
        <v>1.07016624</v>
      </c>
    </row>
    <row r="41" spans="1:15" x14ac:dyDescent="0.7">
      <c r="A41" s="6"/>
      <c r="B41" s="6"/>
      <c r="C41" s="6">
        <v>8</v>
      </c>
      <c r="D41" s="7">
        <v>14.5</v>
      </c>
      <c r="E41" s="4">
        <v>0</v>
      </c>
      <c r="F41" s="7">
        <v>14.5</v>
      </c>
      <c r="G41" s="15">
        <f t="shared" si="4"/>
        <v>1252800</v>
      </c>
      <c r="H41" s="21">
        <f t="shared" si="5"/>
        <v>1.2527999999999999</v>
      </c>
      <c r="I41" s="20">
        <f t="shared" si="6"/>
        <v>56376</v>
      </c>
      <c r="J41" s="28">
        <v>1.5637000000000002E-2</v>
      </c>
      <c r="K41" s="20">
        <f t="shared" si="7"/>
        <v>6765.12</v>
      </c>
      <c r="L41" s="17">
        <v>6.2630000000000003E-3</v>
      </c>
      <c r="M41" s="17">
        <f t="shared" si="11"/>
        <v>2.1900000000000003E-2</v>
      </c>
      <c r="N41" s="20">
        <f t="shared" si="8"/>
        <v>0.12528</v>
      </c>
      <c r="O41" s="7">
        <f t="shared" si="12"/>
        <v>1.1056199999999998</v>
      </c>
    </row>
    <row r="42" spans="1:15" x14ac:dyDescent="0.7">
      <c r="A42" s="6"/>
      <c r="B42" s="6"/>
      <c r="C42" s="6">
        <v>9</v>
      </c>
      <c r="D42" s="7">
        <v>10.077</v>
      </c>
      <c r="E42" s="4">
        <v>0</v>
      </c>
      <c r="F42" s="7">
        <v>10.077</v>
      </c>
      <c r="G42" s="15">
        <f t="shared" si="4"/>
        <v>870652.8</v>
      </c>
      <c r="H42" s="21">
        <f t="shared" si="5"/>
        <v>0.8706528</v>
      </c>
      <c r="I42" s="20">
        <f t="shared" si="6"/>
        <v>39179.376000000004</v>
      </c>
      <c r="J42" s="28">
        <v>1.4685E-2</v>
      </c>
      <c r="K42" s="20">
        <f t="shared" si="7"/>
        <v>4701.5251200000002</v>
      </c>
      <c r="L42" s="17">
        <v>6.8100000000000001E-3</v>
      </c>
      <c r="M42" s="17">
        <f t="shared" si="11"/>
        <v>2.1495E-2</v>
      </c>
      <c r="N42" s="20">
        <f t="shared" si="8"/>
        <v>8.7065280000000009E-2</v>
      </c>
      <c r="O42" s="7">
        <f t="shared" si="12"/>
        <v>0.76209251999999994</v>
      </c>
    </row>
    <row r="43" spans="1:15" x14ac:dyDescent="0.7">
      <c r="A43" s="6"/>
      <c r="B43" s="6"/>
      <c r="C43" s="6">
        <v>10</v>
      </c>
      <c r="D43" s="7">
        <v>10.119999999999999</v>
      </c>
      <c r="E43" s="4">
        <v>0</v>
      </c>
      <c r="F43" s="7">
        <v>10.119999999999999</v>
      </c>
      <c r="G43" s="15">
        <f t="shared" si="4"/>
        <v>874367.99999999988</v>
      </c>
      <c r="H43" s="21">
        <f t="shared" si="5"/>
        <v>0.87436799999999992</v>
      </c>
      <c r="I43" s="20">
        <f t="shared" si="6"/>
        <v>39346.55999999999</v>
      </c>
      <c r="J43" s="28">
        <v>1.7183694444444401E-2</v>
      </c>
      <c r="K43" s="20">
        <f t="shared" si="7"/>
        <v>4721.587199999999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8.7436799999999995E-2</v>
      </c>
      <c r="O43" s="7">
        <f t="shared" ref="O43:O58" si="15">H43-M43-N43</f>
        <v>0.76221750555555556</v>
      </c>
    </row>
    <row r="44" spans="1:15" x14ac:dyDescent="0.7">
      <c r="A44" s="6"/>
      <c r="B44" s="6"/>
      <c r="C44" s="6">
        <v>11</v>
      </c>
      <c r="D44" s="7">
        <v>9.3019999999999996</v>
      </c>
      <c r="E44" s="4">
        <v>0</v>
      </c>
      <c r="F44" s="7">
        <v>9.3019999999999996</v>
      </c>
      <c r="G44" s="15">
        <f t="shared" si="4"/>
        <v>803692.79999999993</v>
      </c>
      <c r="H44" s="21">
        <f t="shared" si="5"/>
        <v>0.80369279999999998</v>
      </c>
      <c r="I44" s="20">
        <f t="shared" si="6"/>
        <v>36166.175999999992</v>
      </c>
      <c r="J44" s="28">
        <v>1.7563144444444401E-2</v>
      </c>
      <c r="K44" s="20">
        <f t="shared" si="7"/>
        <v>4339.9411199999986</v>
      </c>
      <c r="L44" s="17">
        <v>7.9005333333333292E-3</v>
      </c>
      <c r="M44" s="17">
        <f t="shared" si="14"/>
        <v>2.5463677777777728E-2</v>
      </c>
      <c r="N44" s="20">
        <f t="shared" si="8"/>
        <v>8.0369280000000001E-2</v>
      </c>
      <c r="O44" s="7">
        <f t="shared" si="15"/>
        <v>0.6978598422222223</v>
      </c>
    </row>
    <row r="45" spans="1:15" x14ac:dyDescent="0.7">
      <c r="A45" s="6"/>
      <c r="B45" s="6"/>
      <c r="C45" s="6">
        <v>12</v>
      </c>
      <c r="D45" s="7">
        <v>9.3019999999999996</v>
      </c>
      <c r="E45" s="4">
        <v>0</v>
      </c>
      <c r="F45" s="7">
        <v>9.3019999999999996</v>
      </c>
      <c r="G45" s="15">
        <f t="shared" si="4"/>
        <v>803692.79999999993</v>
      </c>
      <c r="H45" s="21">
        <f t="shared" si="5"/>
        <v>0.80369279999999998</v>
      </c>
      <c r="I45" s="20">
        <f t="shared" si="6"/>
        <v>36166.175999999992</v>
      </c>
      <c r="J45" s="28">
        <v>1.7942594444444401E-2</v>
      </c>
      <c r="K45" s="20">
        <f t="shared" si="7"/>
        <v>4339.9411199999986</v>
      </c>
      <c r="L45" s="17">
        <v>8.2710666666666703E-3</v>
      </c>
      <c r="M45" s="17">
        <f t="shared" si="14"/>
        <v>2.6213661111111071E-2</v>
      </c>
      <c r="N45" s="20">
        <f t="shared" si="8"/>
        <v>8.0369280000000001E-2</v>
      </c>
      <c r="O45" s="7">
        <f t="shared" si="15"/>
        <v>0.69710985888888888</v>
      </c>
    </row>
    <row r="46" spans="1:15" x14ac:dyDescent="0.7">
      <c r="A46" s="6"/>
      <c r="B46" s="6"/>
      <c r="C46" s="6">
        <v>13</v>
      </c>
      <c r="D46" s="7">
        <v>8.9220000000000006</v>
      </c>
      <c r="E46" s="4">
        <v>0</v>
      </c>
      <c r="F46" s="7">
        <v>8.9220000000000006</v>
      </c>
      <c r="G46" s="15">
        <f t="shared" si="4"/>
        <v>770860.8</v>
      </c>
      <c r="H46" s="21">
        <f t="shared" si="5"/>
        <v>0.77086080000000001</v>
      </c>
      <c r="I46" s="20">
        <f t="shared" si="6"/>
        <v>34688.736000000004</v>
      </c>
      <c r="J46" s="28">
        <v>1.8322044444444401E-2</v>
      </c>
      <c r="K46" s="20">
        <f t="shared" si="7"/>
        <v>4162.6483200000002</v>
      </c>
      <c r="L46" s="17">
        <v>8.6415999999999993E-3</v>
      </c>
      <c r="M46" s="17">
        <f t="shared" si="14"/>
        <v>2.69636444444444E-2</v>
      </c>
      <c r="N46" s="20">
        <f t="shared" si="8"/>
        <v>7.7086080000000001E-2</v>
      </c>
      <c r="O46" s="7">
        <f t="shared" si="15"/>
        <v>0.66681107555555563</v>
      </c>
    </row>
    <row r="47" spans="1:15" x14ac:dyDescent="0.7">
      <c r="A47" s="6"/>
      <c r="B47" s="6"/>
      <c r="C47" s="6">
        <v>14</v>
      </c>
      <c r="D47" s="7">
        <v>8.6216000000000008</v>
      </c>
      <c r="E47" s="4">
        <v>0</v>
      </c>
      <c r="F47" s="7">
        <v>8.6216000000000008</v>
      </c>
      <c r="G47" s="15">
        <f t="shared" si="4"/>
        <v>744906.24000000011</v>
      </c>
      <c r="H47" s="21">
        <f t="shared" si="5"/>
        <v>0.74490624000000005</v>
      </c>
      <c r="I47" s="20">
        <f t="shared" si="6"/>
        <v>33520.7808</v>
      </c>
      <c r="J47" s="28">
        <v>1.87014944444444E-2</v>
      </c>
      <c r="K47" s="20">
        <f t="shared" si="7"/>
        <v>4022.493696</v>
      </c>
      <c r="L47" s="17">
        <v>9.01213333333333E-3</v>
      </c>
      <c r="M47" s="17">
        <f t="shared" si="14"/>
        <v>2.7713627777777729E-2</v>
      </c>
      <c r="N47" s="20">
        <f t="shared" si="8"/>
        <v>7.4490624000000005E-2</v>
      </c>
      <c r="O47" s="7">
        <f t="shared" si="15"/>
        <v>0.64270198822222224</v>
      </c>
    </row>
    <row r="48" spans="1:15" x14ac:dyDescent="0.7">
      <c r="A48" s="6"/>
      <c r="B48" s="6"/>
      <c r="C48" s="6">
        <v>15</v>
      </c>
      <c r="D48" s="7">
        <v>8.423</v>
      </c>
      <c r="E48" s="4">
        <v>0</v>
      </c>
      <c r="F48" s="7">
        <v>8.423</v>
      </c>
      <c r="G48" s="15">
        <f t="shared" si="4"/>
        <v>727747.2</v>
      </c>
      <c r="H48" s="21">
        <f t="shared" si="5"/>
        <v>0.72774719999999993</v>
      </c>
      <c r="I48" s="20">
        <f t="shared" si="6"/>
        <v>32748.623999999996</v>
      </c>
      <c r="J48" s="28">
        <v>1.90809444444444E-2</v>
      </c>
      <c r="K48" s="20">
        <f t="shared" si="7"/>
        <v>3929.8348799999994</v>
      </c>
      <c r="L48" s="17">
        <v>9.3826666666666694E-3</v>
      </c>
      <c r="M48" s="17">
        <f t="shared" si="14"/>
        <v>2.8463611111111072E-2</v>
      </c>
      <c r="N48" s="20">
        <f t="shared" si="8"/>
        <v>7.2774720000000001E-2</v>
      </c>
      <c r="O48" s="7">
        <f t="shared" si="15"/>
        <v>0.6265088688888889</v>
      </c>
    </row>
    <row r="49" spans="1:15" x14ac:dyDescent="0.7">
      <c r="A49" s="6"/>
      <c r="B49" s="6"/>
      <c r="C49" s="6">
        <v>16</v>
      </c>
      <c r="D49" s="7">
        <v>8.32</v>
      </c>
      <c r="E49" s="4">
        <v>0</v>
      </c>
      <c r="F49" s="7">
        <v>8.32</v>
      </c>
      <c r="G49" s="15">
        <f t="shared" si="4"/>
        <v>718848</v>
      </c>
      <c r="H49" s="21">
        <f t="shared" si="5"/>
        <v>0.71884800000000004</v>
      </c>
      <c r="I49" s="20">
        <f t="shared" si="6"/>
        <v>32348.16</v>
      </c>
      <c r="J49" s="28">
        <v>1.94603944444444E-2</v>
      </c>
      <c r="K49" s="20">
        <f t="shared" si="7"/>
        <v>3881.7791999999999</v>
      </c>
      <c r="L49" s="17">
        <v>9.7532000000000001E-3</v>
      </c>
      <c r="M49" s="17">
        <f t="shared" si="14"/>
        <v>2.92135944444444E-2</v>
      </c>
      <c r="N49" s="20">
        <f t="shared" si="8"/>
        <v>7.1884800000000013E-2</v>
      </c>
      <c r="O49" s="7">
        <f t="shared" si="15"/>
        <v>0.61774960555555569</v>
      </c>
    </row>
    <row r="50" spans="1:15" x14ac:dyDescent="0.7">
      <c r="A50" s="6"/>
      <c r="B50" s="6"/>
      <c r="C50" s="6">
        <v>17</v>
      </c>
      <c r="D50" s="7">
        <v>8.32</v>
      </c>
      <c r="E50" s="4">
        <v>0</v>
      </c>
      <c r="F50" s="7">
        <v>8.32</v>
      </c>
      <c r="G50" s="15">
        <f t="shared" si="4"/>
        <v>718848</v>
      </c>
      <c r="H50" s="21">
        <f t="shared" si="5"/>
        <v>0.71884800000000004</v>
      </c>
      <c r="I50" s="20">
        <f t="shared" si="6"/>
        <v>32348.16</v>
      </c>
      <c r="J50" s="28">
        <v>1.98398444444444E-2</v>
      </c>
      <c r="K50" s="20">
        <f t="shared" si="7"/>
        <v>3881.7791999999999</v>
      </c>
      <c r="L50" s="17">
        <v>1.01237333333333E-2</v>
      </c>
      <c r="M50" s="17">
        <f t="shared" si="14"/>
        <v>2.9963577777777702E-2</v>
      </c>
      <c r="N50" s="20">
        <f t="shared" si="8"/>
        <v>7.1884800000000013E-2</v>
      </c>
      <c r="O50" s="7">
        <f t="shared" si="15"/>
        <v>0.61699962222222238</v>
      </c>
    </row>
    <row r="51" spans="1:15" x14ac:dyDescent="0.7">
      <c r="A51" s="6"/>
      <c r="B51" s="6"/>
      <c r="C51" s="6">
        <v>18</v>
      </c>
      <c r="D51" s="7">
        <v>8.32</v>
      </c>
      <c r="E51" s="4">
        <v>0</v>
      </c>
      <c r="F51" s="7">
        <v>8.32</v>
      </c>
      <c r="G51" s="15">
        <f t="shared" si="4"/>
        <v>718848</v>
      </c>
      <c r="H51" s="21">
        <f t="shared" si="5"/>
        <v>0.71884800000000004</v>
      </c>
      <c r="I51" s="20">
        <f t="shared" si="6"/>
        <v>32348.16</v>
      </c>
      <c r="J51" s="28">
        <v>2.02192944444444E-2</v>
      </c>
      <c r="K51" s="20">
        <f t="shared" si="7"/>
        <v>3881.7791999999999</v>
      </c>
      <c r="L51" s="17">
        <v>1.04942666666667E-2</v>
      </c>
      <c r="M51" s="17">
        <f t="shared" si="14"/>
        <v>3.07135611111111E-2</v>
      </c>
      <c r="N51" s="20">
        <f t="shared" si="8"/>
        <v>7.1884800000000013E-2</v>
      </c>
      <c r="O51" s="7">
        <f t="shared" si="15"/>
        <v>0.61624963888888895</v>
      </c>
    </row>
    <row r="52" spans="1:15" x14ac:dyDescent="0.7">
      <c r="A52" s="6"/>
      <c r="B52" s="6"/>
      <c r="C52" s="6">
        <v>19</v>
      </c>
      <c r="D52" s="7">
        <v>7.67</v>
      </c>
      <c r="E52" s="4">
        <v>0</v>
      </c>
      <c r="F52" s="7">
        <v>7.67</v>
      </c>
      <c r="G52" s="15">
        <f t="shared" si="4"/>
        <v>662688</v>
      </c>
      <c r="H52" s="21">
        <f t="shared" si="5"/>
        <v>0.66268800000000005</v>
      </c>
      <c r="I52" s="20">
        <f t="shared" si="6"/>
        <v>29820.959999999999</v>
      </c>
      <c r="J52" s="28">
        <v>2.05987444444444E-2</v>
      </c>
      <c r="K52" s="20">
        <f t="shared" si="7"/>
        <v>3578.5151999999998</v>
      </c>
      <c r="L52" s="17">
        <v>1.0864800000000001E-2</v>
      </c>
      <c r="M52" s="17">
        <f t="shared" si="14"/>
        <v>3.1463544444444401E-2</v>
      </c>
      <c r="N52" s="20">
        <f t="shared" si="8"/>
        <v>6.6268800000000003E-2</v>
      </c>
      <c r="O52" s="7">
        <f t="shared" si="15"/>
        <v>0.5649556555555556</v>
      </c>
    </row>
    <row r="53" spans="1:15" x14ac:dyDescent="0.7">
      <c r="A53" s="6"/>
      <c r="B53" s="6"/>
      <c r="C53" s="6">
        <v>20</v>
      </c>
      <c r="D53" s="7">
        <v>7.2050000000000001</v>
      </c>
      <c r="E53" s="4">
        <v>0</v>
      </c>
      <c r="F53" s="7">
        <v>7.2050000000000001</v>
      </c>
      <c r="G53" s="15">
        <f t="shared" si="4"/>
        <v>622512</v>
      </c>
      <c r="H53" s="21">
        <f t="shared" si="5"/>
        <v>0.62251199999999995</v>
      </c>
      <c r="I53" s="20">
        <f t="shared" si="6"/>
        <v>28013.039999999997</v>
      </c>
      <c r="J53" s="28">
        <v>2.09781944444444E-2</v>
      </c>
      <c r="K53" s="20">
        <f t="shared" si="7"/>
        <v>3361.5647999999997</v>
      </c>
      <c r="L53" s="17">
        <v>1.12353333333333E-2</v>
      </c>
      <c r="M53" s="17">
        <f t="shared" si="14"/>
        <v>3.2213527777777702E-2</v>
      </c>
      <c r="N53" s="20">
        <f t="shared" si="8"/>
        <v>6.22512E-2</v>
      </c>
      <c r="O53" s="7">
        <f t="shared" si="15"/>
        <v>0.52804727222222225</v>
      </c>
    </row>
    <row r="54" spans="1:15" x14ac:dyDescent="0.7">
      <c r="A54" s="6"/>
      <c r="B54" s="6"/>
      <c r="C54" s="6">
        <v>21</v>
      </c>
      <c r="D54" s="7">
        <v>7.2050000000000001</v>
      </c>
      <c r="E54" s="4">
        <v>0</v>
      </c>
      <c r="F54" s="7">
        <v>7.2050000000000001</v>
      </c>
      <c r="G54" s="15">
        <f t="shared" si="4"/>
        <v>622512</v>
      </c>
      <c r="H54" s="21">
        <f t="shared" si="5"/>
        <v>0.62251199999999995</v>
      </c>
      <c r="I54" s="20">
        <f t="shared" si="6"/>
        <v>28013.039999999997</v>
      </c>
      <c r="J54" s="28">
        <v>2.13576444444444E-2</v>
      </c>
      <c r="K54" s="20">
        <f t="shared" si="7"/>
        <v>3361.5647999999997</v>
      </c>
      <c r="L54" s="17">
        <v>1.16058666666667E-2</v>
      </c>
      <c r="M54" s="17">
        <f t="shared" si="14"/>
        <v>3.29635111111111E-2</v>
      </c>
      <c r="N54" s="20">
        <f t="shared" si="8"/>
        <v>6.22512E-2</v>
      </c>
      <c r="O54" s="7">
        <f t="shared" si="15"/>
        <v>0.52729728888888894</v>
      </c>
    </row>
    <row r="55" spans="1:15" x14ac:dyDescent="0.7">
      <c r="A55" s="6"/>
      <c r="B55" s="6"/>
      <c r="C55" s="6">
        <v>22</v>
      </c>
      <c r="D55" s="7">
        <v>7.8929999999999998</v>
      </c>
      <c r="E55" s="4">
        <v>0</v>
      </c>
      <c r="F55" s="7">
        <v>7.8929999999999998</v>
      </c>
      <c r="G55" s="15">
        <f t="shared" si="4"/>
        <v>681955.2</v>
      </c>
      <c r="H55" s="21">
        <f t="shared" si="5"/>
        <v>0.68195519999999998</v>
      </c>
      <c r="I55" s="20">
        <f t="shared" si="6"/>
        <v>30687.983999999997</v>
      </c>
      <c r="J55" s="28">
        <v>2.17370944444444E-2</v>
      </c>
      <c r="K55" s="20">
        <f t="shared" si="7"/>
        <v>3682.5580799999993</v>
      </c>
      <c r="L55" s="17">
        <v>1.19764E-2</v>
      </c>
      <c r="M55" s="17">
        <f t="shared" si="14"/>
        <v>3.3713494444444402E-2</v>
      </c>
      <c r="N55" s="20">
        <f t="shared" si="8"/>
        <v>6.8195519999999996E-2</v>
      </c>
      <c r="O55" s="7">
        <f t="shared" si="15"/>
        <v>0.58004618555555565</v>
      </c>
    </row>
    <row r="56" spans="1:15" x14ac:dyDescent="0.7">
      <c r="A56" s="6"/>
      <c r="B56" s="6"/>
      <c r="C56" s="6">
        <v>23</v>
      </c>
      <c r="D56" s="7">
        <v>7.2050000000000001</v>
      </c>
      <c r="E56" s="4">
        <v>0</v>
      </c>
      <c r="F56" s="7">
        <v>7.2050000000000001</v>
      </c>
      <c r="G56" s="15">
        <f t="shared" si="4"/>
        <v>622512</v>
      </c>
      <c r="H56" s="21">
        <f t="shared" si="5"/>
        <v>0.62251199999999995</v>
      </c>
      <c r="I56" s="20">
        <f t="shared" si="6"/>
        <v>28013.039999999997</v>
      </c>
      <c r="J56" s="28">
        <v>2.21165444444444E-2</v>
      </c>
      <c r="K56" s="20">
        <f t="shared" si="7"/>
        <v>3361.5647999999997</v>
      </c>
      <c r="L56" s="17">
        <v>1.2346933333333299E-2</v>
      </c>
      <c r="M56" s="17">
        <f t="shared" si="14"/>
        <v>3.4463477777777696E-2</v>
      </c>
      <c r="N56" s="20">
        <f t="shared" si="8"/>
        <v>6.22512E-2</v>
      </c>
      <c r="O56" s="7">
        <f t="shared" si="15"/>
        <v>0.52579732222222231</v>
      </c>
    </row>
    <row r="57" spans="1:15" x14ac:dyDescent="0.7">
      <c r="A57" s="6"/>
      <c r="B57" s="6"/>
      <c r="C57" s="6">
        <v>24</v>
      </c>
      <c r="D57" s="7">
        <v>6.9610000000000003</v>
      </c>
      <c r="E57" s="4">
        <v>0</v>
      </c>
      <c r="F57" s="7">
        <v>6.9610000000000003</v>
      </c>
      <c r="G57" s="15">
        <f t="shared" si="4"/>
        <v>601430.4</v>
      </c>
      <c r="H57" s="21">
        <f t="shared" si="5"/>
        <v>0.60143040000000003</v>
      </c>
      <c r="I57" s="20">
        <f t="shared" si="6"/>
        <v>27064.367999999999</v>
      </c>
      <c r="J57" s="28">
        <v>2.24959944444444E-2</v>
      </c>
      <c r="K57" s="20">
        <f t="shared" si="7"/>
        <v>3247.7241599999998</v>
      </c>
      <c r="L57" s="17">
        <v>1.2717466666666699E-2</v>
      </c>
      <c r="M57" s="17">
        <f t="shared" si="14"/>
        <v>3.5213461111111101E-2</v>
      </c>
      <c r="N57" s="20">
        <f t="shared" si="8"/>
        <v>6.0143040000000009E-2</v>
      </c>
      <c r="O57" s="7">
        <f t="shared" si="15"/>
        <v>0.50607389888888887</v>
      </c>
    </row>
    <row r="58" spans="1:15" x14ac:dyDescent="0.7">
      <c r="A58" s="6"/>
      <c r="B58" s="6"/>
      <c r="C58" s="6">
        <v>25</v>
      </c>
      <c r="D58" s="7">
        <v>7.2050000000000001</v>
      </c>
      <c r="E58" s="4">
        <v>0</v>
      </c>
      <c r="F58" s="7">
        <v>7.2050000000000001</v>
      </c>
      <c r="G58" s="15">
        <f t="shared" si="4"/>
        <v>622512</v>
      </c>
      <c r="H58" s="21">
        <f t="shared" si="5"/>
        <v>0.62251199999999995</v>
      </c>
      <c r="I58" s="20">
        <f t="shared" si="6"/>
        <v>28013.039999999997</v>
      </c>
      <c r="J58" s="28">
        <v>2.28754444444444E-2</v>
      </c>
      <c r="K58" s="20">
        <f t="shared" si="7"/>
        <v>3361.5647999999997</v>
      </c>
      <c r="L58" s="17">
        <v>1.3088000000000001E-2</v>
      </c>
      <c r="M58" s="17">
        <f t="shared" si="14"/>
        <v>3.5963444444444402E-2</v>
      </c>
      <c r="N58" s="20">
        <f t="shared" si="8"/>
        <v>6.22512E-2</v>
      </c>
      <c r="O58" s="7">
        <f t="shared" si="15"/>
        <v>0.52429735555555557</v>
      </c>
    </row>
    <row r="59" spans="1:15" x14ac:dyDescent="0.7">
      <c r="A59" s="6"/>
      <c r="B59" s="6"/>
      <c r="C59" s="6">
        <v>26</v>
      </c>
      <c r="D59" s="7">
        <v>7.8929999999999998</v>
      </c>
      <c r="E59" s="4">
        <v>0</v>
      </c>
      <c r="F59" s="7">
        <v>7.8929999999999998</v>
      </c>
      <c r="G59" s="15">
        <f t="shared" si="4"/>
        <v>681955.2</v>
      </c>
      <c r="H59" s="21">
        <f t="shared" si="5"/>
        <v>0.68195519999999998</v>
      </c>
      <c r="I59" s="20">
        <f t="shared" si="6"/>
        <v>30687.983999999997</v>
      </c>
      <c r="J59" s="28">
        <v>2.32548944444444E-2</v>
      </c>
      <c r="K59" s="20">
        <f t="shared" si="7"/>
        <v>3682.5580799999993</v>
      </c>
      <c r="L59" s="17">
        <v>1.34585333333333E-2</v>
      </c>
      <c r="M59" s="17">
        <f t="shared" ref="M59:M61" si="16">J59+L59</f>
        <v>3.6713427777777696E-2</v>
      </c>
      <c r="N59" s="20">
        <f t="shared" si="8"/>
        <v>6.8195519999999996E-2</v>
      </c>
      <c r="O59" s="7">
        <f t="shared" ref="O59:O61" si="17">H59-M59-N59</f>
        <v>0.57704625222222239</v>
      </c>
    </row>
    <row r="60" spans="1:15" x14ac:dyDescent="0.7">
      <c r="A60" s="6"/>
      <c r="B60" s="6"/>
      <c r="C60" s="6">
        <v>27</v>
      </c>
      <c r="D60" s="7">
        <v>8.109</v>
      </c>
      <c r="E60" s="4">
        <v>0</v>
      </c>
      <c r="F60" s="30">
        <v>8.109</v>
      </c>
      <c r="G60" s="31">
        <f t="shared" si="4"/>
        <v>700617.6</v>
      </c>
      <c r="H60" s="32">
        <f t="shared" si="5"/>
        <v>0.70061759999999995</v>
      </c>
      <c r="I60" s="20">
        <f t="shared" si="6"/>
        <v>31527.791999999998</v>
      </c>
      <c r="J60" s="34">
        <v>2.36343444444444E-2</v>
      </c>
      <c r="K60" s="20">
        <f t="shared" si="7"/>
        <v>3783.3350399999995</v>
      </c>
      <c r="L60" s="33">
        <v>1.38290666666667E-2</v>
      </c>
      <c r="M60" s="33">
        <f t="shared" si="16"/>
        <v>3.7463411111111102E-2</v>
      </c>
      <c r="N60" s="20">
        <f t="shared" si="8"/>
        <v>7.0061760000000001E-2</v>
      </c>
      <c r="O60" s="30">
        <f t="shared" si="17"/>
        <v>0.59309242888888891</v>
      </c>
    </row>
    <row r="61" spans="1:15" s="13" customFormat="1" ht="25.2" thickBot="1" x14ac:dyDescent="0.75">
      <c r="A61" s="9"/>
      <c r="B61" s="9" t="s">
        <v>16</v>
      </c>
      <c r="C61" s="9">
        <v>28</v>
      </c>
      <c r="D61" s="10">
        <v>7.8929999999999998</v>
      </c>
      <c r="E61" s="19">
        <v>0</v>
      </c>
      <c r="F61" s="10">
        <v>7.8929999999999998</v>
      </c>
      <c r="G61" s="36">
        <f t="shared" si="4"/>
        <v>681955.2</v>
      </c>
      <c r="H61" s="22">
        <f t="shared" si="5"/>
        <v>0.68195519999999998</v>
      </c>
      <c r="I61" s="22">
        <f t="shared" si="6"/>
        <v>30687.983999999997</v>
      </c>
      <c r="J61" s="29">
        <v>1.94603944444444E-2</v>
      </c>
      <c r="K61" s="22">
        <f t="shared" si="7"/>
        <v>3682.5580799999993</v>
      </c>
      <c r="L61" s="18">
        <v>1.41996E-2</v>
      </c>
      <c r="M61" s="18">
        <f t="shared" si="16"/>
        <v>3.3659994444444397E-2</v>
      </c>
      <c r="N61" s="22">
        <f t="shared" si="8"/>
        <v>6.8195519999999996E-2</v>
      </c>
      <c r="O61" s="10">
        <f t="shared" si="17"/>
        <v>0.58009968555555558</v>
      </c>
    </row>
    <row r="62" spans="1:15" x14ac:dyDescent="0.7">
      <c r="A62" s="3"/>
      <c r="B62" s="3" t="s">
        <v>17</v>
      </c>
      <c r="C62" s="3">
        <v>1</v>
      </c>
      <c r="D62" s="4">
        <v>7.67</v>
      </c>
      <c r="E62" s="4">
        <v>0</v>
      </c>
      <c r="F62" s="4">
        <v>7.67</v>
      </c>
      <c r="G62" s="15">
        <f t="shared" ref="G62" si="18">F62*86400</f>
        <v>662688</v>
      </c>
      <c r="H62" s="21">
        <f t="shared" ref="H62" si="19">G62/1000000</f>
        <v>0.66268800000000005</v>
      </c>
      <c r="I62" s="21">
        <f t="shared" si="6"/>
        <v>29820.959999999999</v>
      </c>
      <c r="J62" s="25">
        <v>2.4393244444444399E-2</v>
      </c>
      <c r="K62" s="21">
        <f t="shared" si="7"/>
        <v>3578.5151999999998</v>
      </c>
      <c r="L62" s="16">
        <v>1.45701333333332E-2</v>
      </c>
      <c r="M62" s="16">
        <f t="shared" ref="M62" si="20">J62+L62</f>
        <v>3.89633777777776E-2</v>
      </c>
      <c r="N62" s="21">
        <f t="shared" si="8"/>
        <v>6.6268800000000003E-2</v>
      </c>
      <c r="O62" s="4">
        <f t="shared" ref="O62" si="21">H62-M62-N62</f>
        <v>0.55745582222222245</v>
      </c>
    </row>
    <row r="63" spans="1:15" x14ac:dyDescent="0.7">
      <c r="A63" s="6"/>
      <c r="B63" s="6"/>
      <c r="C63" s="6">
        <v>2</v>
      </c>
      <c r="D63" s="7">
        <v>7.67</v>
      </c>
      <c r="E63" s="4">
        <v>0</v>
      </c>
      <c r="F63" s="7">
        <v>7.67</v>
      </c>
      <c r="G63" s="15">
        <f t="shared" ref="G63" si="22">F63*86400</f>
        <v>662688</v>
      </c>
      <c r="H63" s="21">
        <f t="shared" ref="H63" si="23">G63/1000000</f>
        <v>0.66268800000000005</v>
      </c>
      <c r="I63" s="20">
        <f t="shared" si="6"/>
        <v>29820.959999999999</v>
      </c>
      <c r="J63" s="28">
        <v>2.4772694444444399E-2</v>
      </c>
      <c r="K63" s="20">
        <f t="shared" si="7"/>
        <v>3578.5151999999998</v>
      </c>
      <c r="L63" s="17">
        <v>1.49406666666665E-2</v>
      </c>
      <c r="M63" s="17">
        <f t="shared" ref="M63" si="24">J63+L63</f>
        <v>3.9713361111110901E-2</v>
      </c>
      <c r="N63" s="20">
        <f t="shared" si="8"/>
        <v>6.6268800000000003E-2</v>
      </c>
      <c r="O63" s="7">
        <f t="shared" ref="O63" si="25">H63-M63-N63</f>
        <v>0.55670583888888914</v>
      </c>
    </row>
    <row r="64" spans="1:15" x14ac:dyDescent="0.7">
      <c r="A64" s="6"/>
      <c r="B64" s="6"/>
      <c r="C64" s="6">
        <v>3</v>
      </c>
      <c r="D64" s="7">
        <v>7.67</v>
      </c>
      <c r="E64" s="4">
        <v>0</v>
      </c>
      <c r="F64" s="7">
        <v>7.67</v>
      </c>
      <c r="G64" s="15">
        <f t="shared" ref="G64" si="26">F64*86400</f>
        <v>662688</v>
      </c>
      <c r="H64" s="21">
        <f t="shared" ref="H64" si="27">G64/1000000</f>
        <v>0.66268800000000005</v>
      </c>
      <c r="I64" s="20">
        <f t="shared" si="6"/>
        <v>29820.959999999999</v>
      </c>
      <c r="J64" s="28">
        <v>2.5152144444444399E-2</v>
      </c>
      <c r="K64" s="20">
        <f t="shared" si="7"/>
        <v>3578.5151999999998</v>
      </c>
      <c r="L64" s="17">
        <v>1.5311199999999799E-2</v>
      </c>
      <c r="M64" s="17">
        <f t="shared" ref="M64" si="28">J64+L64</f>
        <v>4.0463344444444202E-2</v>
      </c>
      <c r="N64" s="20">
        <f t="shared" si="8"/>
        <v>6.6268800000000003E-2</v>
      </c>
      <c r="O64" s="7">
        <f t="shared" ref="O64" si="29">H64-M64-N64</f>
        <v>0.55595585555555582</v>
      </c>
    </row>
    <row r="65" spans="1:15" x14ac:dyDescent="0.7">
      <c r="A65" s="6"/>
      <c r="B65" s="6"/>
      <c r="C65" s="6">
        <v>4</v>
      </c>
      <c r="D65" s="7">
        <v>7.67</v>
      </c>
      <c r="E65" s="4">
        <v>0</v>
      </c>
      <c r="F65" s="7">
        <v>7.67</v>
      </c>
      <c r="G65" s="15">
        <f t="shared" ref="G65" si="30">F65*86400</f>
        <v>662688</v>
      </c>
      <c r="H65" s="21">
        <f t="shared" ref="H65" si="31">G65/1000000</f>
        <v>0.66268800000000005</v>
      </c>
      <c r="I65" s="20">
        <f t="shared" si="6"/>
        <v>29820.959999999999</v>
      </c>
      <c r="J65" s="28">
        <v>2.5531594444444399E-2</v>
      </c>
      <c r="K65" s="20">
        <f t="shared" si="7"/>
        <v>3578.5151999999998</v>
      </c>
      <c r="L65" s="17">
        <v>1.56817333333331E-2</v>
      </c>
      <c r="M65" s="17">
        <f t="shared" ref="M65" si="32">J65+L65</f>
        <v>4.1213327777777503E-2</v>
      </c>
      <c r="N65" s="20">
        <f t="shared" si="8"/>
        <v>6.6268800000000003E-2</v>
      </c>
      <c r="O65" s="7">
        <f t="shared" ref="O65" si="33">H65-M65-N65</f>
        <v>0.55520587222222251</v>
      </c>
    </row>
    <row r="66" spans="1:15" x14ac:dyDescent="0.7">
      <c r="A66" s="6"/>
      <c r="B66" s="6"/>
      <c r="C66" s="6">
        <v>5</v>
      </c>
      <c r="D66" s="7">
        <v>7.67</v>
      </c>
      <c r="E66" s="4">
        <v>0</v>
      </c>
      <c r="F66" s="7">
        <v>7.67</v>
      </c>
      <c r="G66" s="15">
        <f t="shared" ref="G66" si="34">F66*86400</f>
        <v>662688</v>
      </c>
      <c r="H66" s="21">
        <f t="shared" ref="H66" si="35">G66/1000000</f>
        <v>0.66268800000000005</v>
      </c>
      <c r="I66" s="20">
        <f t="shared" si="6"/>
        <v>29820.959999999999</v>
      </c>
      <c r="J66" s="28">
        <v>2.5911044444444399E-2</v>
      </c>
      <c r="K66" s="20">
        <f t="shared" si="7"/>
        <v>3578.5151999999998</v>
      </c>
      <c r="L66" s="17">
        <v>1.6052266666666402E-2</v>
      </c>
      <c r="M66" s="17">
        <f t="shared" ref="M66" si="36">J66+L66</f>
        <v>4.1963311111110804E-2</v>
      </c>
      <c r="N66" s="20">
        <f t="shared" si="8"/>
        <v>6.6268800000000003E-2</v>
      </c>
      <c r="O66" s="7">
        <f t="shared" ref="O66" si="37">H66-M66-N66</f>
        <v>0.55445588888888919</v>
      </c>
    </row>
    <row r="67" spans="1:15" x14ac:dyDescent="0.7">
      <c r="A67" s="6"/>
      <c r="B67" s="6"/>
      <c r="C67" s="6">
        <v>6</v>
      </c>
      <c r="D67" s="7">
        <v>7.67</v>
      </c>
      <c r="E67" s="4">
        <v>0</v>
      </c>
      <c r="F67" s="7">
        <v>7.67</v>
      </c>
      <c r="G67" s="15">
        <f t="shared" ref="G67" si="38">F67*86400</f>
        <v>662688</v>
      </c>
      <c r="H67" s="21">
        <f t="shared" ref="H67" si="39">G67/1000000</f>
        <v>0.66268800000000005</v>
      </c>
      <c r="I67" s="20">
        <f t="shared" ref="I67:I130" si="40">H67*1000000*0.045</f>
        <v>29820.959999999999</v>
      </c>
      <c r="J67" s="28">
        <v>2.6290494444444399E-2</v>
      </c>
      <c r="K67" s="20">
        <f t="shared" ref="K67:K130" si="41">I67*0.12</f>
        <v>3578.5151999999998</v>
      </c>
      <c r="L67" s="17">
        <v>1.6422799999999699E-2</v>
      </c>
      <c r="M67" s="17">
        <f t="shared" ref="M67" si="42">J67+L67</f>
        <v>4.2713294444444098E-2</v>
      </c>
      <c r="N67" s="20">
        <f t="shared" ref="N67:N130" si="43">H67*0.1</f>
        <v>6.6268800000000003E-2</v>
      </c>
      <c r="O67" s="7">
        <f t="shared" ref="O67" si="44">H67-M67-N67</f>
        <v>0.55370590555555599</v>
      </c>
    </row>
    <row r="68" spans="1:15" x14ac:dyDescent="0.7">
      <c r="A68" s="6"/>
      <c r="B68" s="6"/>
      <c r="C68" s="6">
        <v>7</v>
      </c>
      <c r="D68" s="7">
        <v>7.67</v>
      </c>
      <c r="E68" s="4">
        <v>0</v>
      </c>
      <c r="F68" s="7">
        <v>7.67</v>
      </c>
      <c r="G68" s="15">
        <f t="shared" ref="G68" si="45">F68*86400</f>
        <v>662688</v>
      </c>
      <c r="H68" s="21">
        <f t="shared" ref="H68" si="46">G68/1000000</f>
        <v>0.66268800000000005</v>
      </c>
      <c r="I68" s="20">
        <f t="shared" si="40"/>
        <v>29820.959999999999</v>
      </c>
      <c r="J68" s="28">
        <v>2.6669944444444399E-2</v>
      </c>
      <c r="K68" s="20">
        <f t="shared" si="41"/>
        <v>3578.5151999999998</v>
      </c>
      <c r="L68" s="17">
        <v>1.6793333333333001E-2</v>
      </c>
      <c r="M68" s="17">
        <f t="shared" ref="M68" si="47">J68+L68</f>
        <v>4.34632777777774E-2</v>
      </c>
      <c r="N68" s="20">
        <f t="shared" si="43"/>
        <v>6.6268800000000003E-2</v>
      </c>
      <c r="O68" s="7">
        <f t="shared" ref="O68" si="48">H68-M68-N68</f>
        <v>0.55295592222222267</v>
      </c>
    </row>
    <row r="69" spans="1:15" x14ac:dyDescent="0.7">
      <c r="A69" s="6"/>
      <c r="B69" s="6"/>
      <c r="C69" s="6">
        <v>8</v>
      </c>
      <c r="D69" s="7">
        <v>7.2050000000000001</v>
      </c>
      <c r="E69" s="4">
        <v>0</v>
      </c>
      <c r="F69" s="7">
        <v>7.2050000000000001</v>
      </c>
      <c r="G69" s="15">
        <f t="shared" ref="G69" si="49">F69*86400</f>
        <v>622512</v>
      </c>
      <c r="H69" s="21">
        <f t="shared" ref="H69" si="50">G69/1000000</f>
        <v>0.62251199999999995</v>
      </c>
      <c r="I69" s="20">
        <f t="shared" si="40"/>
        <v>28013.039999999997</v>
      </c>
      <c r="J69" s="28">
        <v>2.7049394444444399E-2</v>
      </c>
      <c r="K69" s="20">
        <f t="shared" si="41"/>
        <v>3361.5647999999997</v>
      </c>
      <c r="L69" s="17">
        <v>1.7163866666666298E-2</v>
      </c>
      <c r="M69" s="17">
        <f t="shared" ref="M69" si="51">J69+L69</f>
        <v>4.4213261111110694E-2</v>
      </c>
      <c r="N69" s="20">
        <f t="shared" si="43"/>
        <v>6.22512E-2</v>
      </c>
      <c r="O69" s="7">
        <f t="shared" ref="O69" si="52">H69-M69-N69</f>
        <v>0.51604753888888932</v>
      </c>
    </row>
    <row r="70" spans="1:15" x14ac:dyDescent="0.7">
      <c r="A70" s="6"/>
      <c r="B70" s="6"/>
      <c r="C70" s="6">
        <v>9</v>
      </c>
      <c r="D70" s="7">
        <v>6.7080000000000002</v>
      </c>
      <c r="E70" s="4">
        <v>0</v>
      </c>
      <c r="F70" s="7">
        <v>6.7080000000000002</v>
      </c>
      <c r="G70" s="15">
        <f t="shared" ref="G70" si="53">F70*86400</f>
        <v>579571.20000000007</v>
      </c>
      <c r="H70" s="21">
        <f t="shared" ref="H70" si="54">G70/1000000</f>
        <v>0.57957120000000006</v>
      </c>
      <c r="I70" s="20">
        <f t="shared" si="40"/>
        <v>26080.704000000002</v>
      </c>
      <c r="J70" s="28">
        <v>2.7428844444444399E-2</v>
      </c>
      <c r="K70" s="20">
        <f t="shared" si="41"/>
        <v>3129.6844799999999</v>
      </c>
      <c r="L70" s="17">
        <v>1.75343999999996E-2</v>
      </c>
      <c r="M70" s="17">
        <f t="shared" ref="M70" si="55">J70+L70</f>
        <v>4.4963244444443995E-2</v>
      </c>
      <c r="N70" s="20">
        <f t="shared" si="43"/>
        <v>5.7957120000000008E-2</v>
      </c>
      <c r="O70" s="7">
        <f t="shared" ref="O70" si="56">H70-M70-N70</f>
        <v>0.47665083555555604</v>
      </c>
    </row>
    <row r="71" spans="1:15" x14ac:dyDescent="0.7">
      <c r="A71" s="6"/>
      <c r="B71" s="6"/>
      <c r="C71" s="6">
        <v>10</v>
      </c>
      <c r="D71" s="7">
        <v>6.7080000000000002</v>
      </c>
      <c r="E71" s="4">
        <v>0</v>
      </c>
      <c r="F71" s="7">
        <v>6.7080000000000002</v>
      </c>
      <c r="G71" s="15">
        <f t="shared" ref="G71" si="57">F71*86400</f>
        <v>579571.20000000007</v>
      </c>
      <c r="H71" s="21">
        <f t="shared" ref="H71" si="58">G71/1000000</f>
        <v>0.57957120000000006</v>
      </c>
      <c r="I71" s="20">
        <f t="shared" si="40"/>
        <v>26080.704000000002</v>
      </c>
      <c r="J71" s="28">
        <v>2.7808294444444399E-2</v>
      </c>
      <c r="K71" s="20">
        <f t="shared" si="41"/>
        <v>3129.6844799999999</v>
      </c>
      <c r="L71" s="17">
        <v>1.7904933333332901E-2</v>
      </c>
      <c r="M71" s="17">
        <f t="shared" ref="M71" si="59">J71+L71</f>
        <v>4.5713227777777296E-2</v>
      </c>
      <c r="N71" s="20">
        <f t="shared" si="43"/>
        <v>5.7957120000000008E-2</v>
      </c>
      <c r="O71" s="7">
        <f t="shared" ref="O71" si="60">H71-M71-N71</f>
        <v>0.47590085222222273</v>
      </c>
    </row>
    <row r="72" spans="1:15" x14ac:dyDescent="0.7">
      <c r="A72" s="6"/>
      <c r="B72" s="6"/>
      <c r="C72" s="6">
        <v>11</v>
      </c>
      <c r="D72" s="7">
        <v>6.577</v>
      </c>
      <c r="E72" s="4">
        <v>0</v>
      </c>
      <c r="F72" s="7">
        <v>6.577</v>
      </c>
      <c r="G72" s="15">
        <f t="shared" ref="G72" si="61">F72*86400</f>
        <v>568252.80000000005</v>
      </c>
      <c r="H72" s="21">
        <f t="shared" ref="H72" si="62">G72/1000000</f>
        <v>0.5682528</v>
      </c>
      <c r="I72" s="20">
        <f t="shared" si="40"/>
        <v>25571.376</v>
      </c>
      <c r="J72" s="28">
        <v>2.8187744444444399E-2</v>
      </c>
      <c r="K72" s="20">
        <f t="shared" si="41"/>
        <v>3068.5651199999998</v>
      </c>
      <c r="L72" s="17">
        <v>1.8275466666666199E-2</v>
      </c>
      <c r="M72" s="17">
        <f t="shared" ref="M72" si="63">J72+L72</f>
        <v>4.6463211111110597E-2</v>
      </c>
      <c r="N72" s="20">
        <f t="shared" si="43"/>
        <v>5.6825280000000006E-2</v>
      </c>
      <c r="O72" s="7">
        <f t="shared" ref="O72" si="64">H72-M72-N72</f>
        <v>0.4649643088888894</v>
      </c>
    </row>
    <row r="73" spans="1:15" x14ac:dyDescent="0.7">
      <c r="A73" s="6"/>
      <c r="B73" s="6"/>
      <c r="C73" s="6">
        <v>12</v>
      </c>
      <c r="D73" s="7">
        <v>6.4450000000000003</v>
      </c>
      <c r="E73" s="4">
        <v>0</v>
      </c>
      <c r="F73" s="7">
        <v>6.4450000000000003</v>
      </c>
      <c r="G73" s="15">
        <f t="shared" ref="G73" si="65">F73*86400</f>
        <v>556848</v>
      </c>
      <c r="H73" s="21">
        <f t="shared" ref="H73" si="66">G73/1000000</f>
        <v>0.55684800000000001</v>
      </c>
      <c r="I73" s="20">
        <f t="shared" si="40"/>
        <v>25058.16</v>
      </c>
      <c r="J73" s="28">
        <v>2.8567194444444399E-2</v>
      </c>
      <c r="K73" s="20">
        <f t="shared" si="41"/>
        <v>3006.9791999999998</v>
      </c>
      <c r="L73" s="17">
        <v>1.86459999999995E-2</v>
      </c>
      <c r="M73" s="17">
        <f t="shared" ref="M73" si="67">J73+L73</f>
        <v>4.7213194444443898E-2</v>
      </c>
      <c r="N73" s="20">
        <f t="shared" si="43"/>
        <v>5.5684800000000007E-2</v>
      </c>
      <c r="O73" s="7">
        <f t="shared" ref="O73" si="68">H73-M73-N73</f>
        <v>0.45395000555555609</v>
      </c>
    </row>
    <row r="74" spans="1:15" x14ac:dyDescent="0.7">
      <c r="A74" s="6"/>
      <c r="B74" s="6"/>
      <c r="C74" s="6">
        <v>13</v>
      </c>
      <c r="D74" s="7">
        <v>6.226</v>
      </c>
      <c r="E74" s="4">
        <v>0</v>
      </c>
      <c r="F74" s="7">
        <v>6.226</v>
      </c>
      <c r="G74" s="15">
        <f t="shared" ref="G74" si="69">F74*86400</f>
        <v>537926.40000000002</v>
      </c>
      <c r="H74" s="21">
        <f t="shared" ref="H74" si="70">G74/1000000</f>
        <v>0.53792640000000003</v>
      </c>
      <c r="I74" s="20">
        <f t="shared" si="40"/>
        <v>24206.688000000002</v>
      </c>
      <c r="J74" s="28">
        <v>2.8946644444444398E-2</v>
      </c>
      <c r="K74" s="20">
        <f t="shared" si="41"/>
        <v>2904.8025600000001</v>
      </c>
      <c r="L74" s="17">
        <v>1.9016533333332801E-2</v>
      </c>
      <c r="M74" s="17">
        <f t="shared" ref="M74" si="71">J74+L74</f>
        <v>4.7963177777777199E-2</v>
      </c>
      <c r="N74" s="20">
        <f t="shared" si="43"/>
        <v>5.3792640000000003E-2</v>
      </c>
      <c r="O74" s="7">
        <f t="shared" ref="O74" si="72">H74-M74-N74</f>
        <v>0.43617058222222282</v>
      </c>
    </row>
    <row r="75" spans="1:15" x14ac:dyDescent="0.7">
      <c r="A75" s="6"/>
      <c r="B75" s="6"/>
      <c r="C75" s="6">
        <v>14</v>
      </c>
      <c r="D75" s="7">
        <v>6.0279999999999996</v>
      </c>
      <c r="E75" s="4">
        <v>0</v>
      </c>
      <c r="F75" s="7">
        <v>6.0279999999999996</v>
      </c>
      <c r="G75" s="15">
        <f t="shared" ref="G75" si="73">F75*86400</f>
        <v>520819.19999999995</v>
      </c>
      <c r="H75" s="21">
        <f t="shared" ref="H75" si="74">G75/1000000</f>
        <v>0.52081919999999993</v>
      </c>
      <c r="I75" s="20">
        <f t="shared" si="40"/>
        <v>23436.863999999998</v>
      </c>
      <c r="J75" s="28">
        <v>2.9326094444444398E-2</v>
      </c>
      <c r="K75" s="20">
        <f t="shared" si="41"/>
        <v>2812.4236799999994</v>
      </c>
      <c r="L75" s="17">
        <v>1.9387066666666099E-2</v>
      </c>
      <c r="M75" s="17">
        <f t="shared" ref="M75" si="75">J75+L75</f>
        <v>4.8713161111110501E-2</v>
      </c>
      <c r="N75" s="20">
        <f t="shared" si="43"/>
        <v>5.2081919999999997E-2</v>
      </c>
      <c r="O75" s="7">
        <f t="shared" ref="O75" si="76">H75-M75-N75</f>
        <v>0.42002411888888941</v>
      </c>
    </row>
    <row r="76" spans="1:15" x14ac:dyDescent="0.7">
      <c r="A76" s="6"/>
      <c r="B76" s="6"/>
      <c r="C76" s="6">
        <v>15</v>
      </c>
      <c r="D76" s="7">
        <v>5.883</v>
      </c>
      <c r="E76" s="4">
        <v>0</v>
      </c>
      <c r="F76" s="7">
        <v>5.883</v>
      </c>
      <c r="G76" s="15">
        <f t="shared" ref="G76" si="77">F76*86400</f>
        <v>508291.2</v>
      </c>
      <c r="H76" s="21">
        <f t="shared" ref="H76" si="78">G76/1000000</f>
        <v>0.50829120000000005</v>
      </c>
      <c r="I76" s="20">
        <f t="shared" si="40"/>
        <v>22873.104000000003</v>
      </c>
      <c r="J76" s="28">
        <v>2.9705544444444398E-2</v>
      </c>
      <c r="K76" s="20">
        <f t="shared" si="41"/>
        <v>2744.7724800000001</v>
      </c>
      <c r="L76" s="17">
        <v>1.97575999999994E-2</v>
      </c>
      <c r="M76" s="17">
        <f t="shared" ref="M76" si="79">J76+L76</f>
        <v>4.9463144444443802E-2</v>
      </c>
      <c r="N76" s="20">
        <f t="shared" si="43"/>
        <v>5.0829120000000005E-2</v>
      </c>
      <c r="O76" s="7">
        <f t="shared" ref="O76" si="80">H76-M76-N76</f>
        <v>0.40799893555555627</v>
      </c>
    </row>
    <row r="77" spans="1:15" x14ac:dyDescent="0.7">
      <c r="A77" s="6"/>
      <c r="B77" s="6"/>
      <c r="C77" s="6">
        <v>16</v>
      </c>
      <c r="D77" s="7">
        <v>5.883</v>
      </c>
      <c r="E77" s="4">
        <v>0</v>
      </c>
      <c r="F77" s="7">
        <v>5.883</v>
      </c>
      <c r="G77" s="15">
        <f t="shared" ref="G77" si="81">F77*86400</f>
        <v>508291.2</v>
      </c>
      <c r="H77" s="21">
        <f t="shared" ref="H77" si="82">G77/1000000</f>
        <v>0.50829120000000005</v>
      </c>
      <c r="I77" s="20">
        <f t="shared" si="40"/>
        <v>22873.104000000003</v>
      </c>
      <c r="J77" s="28">
        <v>3.0084994444444398E-2</v>
      </c>
      <c r="K77" s="20">
        <f t="shared" si="41"/>
        <v>2744.7724800000001</v>
      </c>
      <c r="L77" s="17">
        <v>2.0128133333332701E-2</v>
      </c>
      <c r="M77" s="17">
        <f t="shared" ref="M77" si="83">J77+L77</f>
        <v>5.0213127777777103E-2</v>
      </c>
      <c r="N77" s="20">
        <f t="shared" si="43"/>
        <v>5.0829120000000005E-2</v>
      </c>
      <c r="O77" s="7">
        <f t="shared" ref="O77" si="84">H77-M77-N77</f>
        <v>0.40724895222222296</v>
      </c>
    </row>
    <row r="78" spans="1:15" x14ac:dyDescent="0.7">
      <c r="A78" s="6"/>
      <c r="B78" s="6"/>
      <c r="C78" s="6">
        <v>17</v>
      </c>
      <c r="D78" s="7">
        <v>5.883</v>
      </c>
      <c r="E78" s="4">
        <v>0</v>
      </c>
      <c r="F78" s="7">
        <v>5.883</v>
      </c>
      <c r="G78" s="15">
        <f t="shared" ref="G78" si="85">F78*86400</f>
        <v>508291.2</v>
      </c>
      <c r="H78" s="21">
        <f t="shared" ref="H78" si="86">G78/1000000</f>
        <v>0.50829120000000005</v>
      </c>
      <c r="I78" s="20">
        <f t="shared" si="40"/>
        <v>22873.104000000003</v>
      </c>
      <c r="J78" s="28">
        <v>3.0464444444444402E-2</v>
      </c>
      <c r="K78" s="20">
        <f t="shared" si="41"/>
        <v>2744.7724800000001</v>
      </c>
      <c r="L78" s="17">
        <v>2.0498666666665999E-2</v>
      </c>
      <c r="M78" s="17">
        <f t="shared" ref="M78" si="87">J78+L78</f>
        <v>5.0963111111110404E-2</v>
      </c>
      <c r="N78" s="20">
        <f t="shared" si="43"/>
        <v>5.0829120000000005E-2</v>
      </c>
      <c r="O78" s="7">
        <f t="shared" ref="O78" si="88">H78-M78-N78</f>
        <v>0.40649896888888964</v>
      </c>
    </row>
    <row r="79" spans="1:15" x14ac:dyDescent="0.7">
      <c r="A79" s="6"/>
      <c r="B79" s="6"/>
      <c r="C79" s="6">
        <v>18</v>
      </c>
      <c r="D79" s="7">
        <v>5.883</v>
      </c>
      <c r="E79" s="4">
        <v>0</v>
      </c>
      <c r="F79" s="7">
        <v>5.883</v>
      </c>
      <c r="G79" s="15">
        <f t="shared" ref="G79" si="89">F79*86400</f>
        <v>508291.2</v>
      </c>
      <c r="H79" s="21">
        <f t="shared" ref="H79" si="90">G79/1000000</f>
        <v>0.50829120000000005</v>
      </c>
      <c r="I79" s="20">
        <f t="shared" si="40"/>
        <v>22873.104000000003</v>
      </c>
      <c r="J79" s="28">
        <v>3.0843894444444402E-2</v>
      </c>
      <c r="K79" s="20">
        <f t="shared" si="41"/>
        <v>2744.7724800000001</v>
      </c>
      <c r="L79" s="17">
        <v>2.08691999999993E-2</v>
      </c>
      <c r="M79" s="17">
        <f t="shared" ref="M79" si="91">J79+L79</f>
        <v>5.1713094444443705E-2</v>
      </c>
      <c r="N79" s="20">
        <f t="shared" si="43"/>
        <v>5.0829120000000005E-2</v>
      </c>
      <c r="O79" s="7">
        <f t="shared" ref="O79" si="92">H79-M79-N79</f>
        <v>0.40574898555555633</v>
      </c>
    </row>
    <row r="80" spans="1:15" x14ac:dyDescent="0.7">
      <c r="A80" s="6"/>
      <c r="B80" s="6"/>
      <c r="C80" s="6">
        <v>19</v>
      </c>
      <c r="D80" s="7">
        <v>5.883</v>
      </c>
      <c r="E80" s="4">
        <v>0</v>
      </c>
      <c r="F80" s="7">
        <v>5.883</v>
      </c>
      <c r="G80" s="15">
        <f t="shared" ref="G80" si="93">F80*86400</f>
        <v>508291.2</v>
      </c>
      <c r="H80" s="21">
        <f t="shared" ref="H80" si="94">G80/1000000</f>
        <v>0.50829120000000005</v>
      </c>
      <c r="I80" s="20">
        <f t="shared" si="40"/>
        <v>22873.104000000003</v>
      </c>
      <c r="J80" s="28">
        <v>3.1223344444444402E-2</v>
      </c>
      <c r="K80" s="20">
        <f t="shared" si="41"/>
        <v>2744.7724800000001</v>
      </c>
      <c r="L80" s="17">
        <v>2.1239733333332601E-2</v>
      </c>
      <c r="M80" s="17">
        <f t="shared" ref="M80" si="95">J80+L80</f>
        <v>5.2463077777777006E-2</v>
      </c>
      <c r="N80" s="20">
        <f t="shared" si="43"/>
        <v>5.0829120000000005E-2</v>
      </c>
      <c r="O80" s="7">
        <f t="shared" ref="O80" si="96">H80-M80-N80</f>
        <v>0.40499900222222301</v>
      </c>
    </row>
    <row r="81" spans="1:15" x14ac:dyDescent="0.7">
      <c r="A81" s="6"/>
      <c r="B81" s="6"/>
      <c r="C81" s="6">
        <v>20</v>
      </c>
      <c r="D81" s="7">
        <v>5.883</v>
      </c>
      <c r="E81" s="4">
        <v>0</v>
      </c>
      <c r="F81" s="7">
        <v>5.883</v>
      </c>
      <c r="G81" s="15">
        <f t="shared" ref="G81" si="97">F81*86400</f>
        <v>508291.2</v>
      </c>
      <c r="H81" s="21">
        <f t="shared" ref="H81" si="98">G81/1000000</f>
        <v>0.50829120000000005</v>
      </c>
      <c r="I81" s="20">
        <f t="shared" si="40"/>
        <v>22873.104000000003</v>
      </c>
      <c r="J81" s="28">
        <v>3.1602794444444401E-2</v>
      </c>
      <c r="K81" s="20">
        <f t="shared" si="41"/>
        <v>2744.7724800000001</v>
      </c>
      <c r="L81" s="17">
        <v>2.1610266666665899E-2</v>
      </c>
      <c r="M81" s="17">
        <f t="shared" ref="M81" si="99">J81+L81</f>
        <v>5.3213061111110301E-2</v>
      </c>
      <c r="N81" s="20">
        <f t="shared" si="43"/>
        <v>5.0829120000000005E-2</v>
      </c>
      <c r="O81" s="7">
        <f t="shared" ref="O81" si="100">H81-M81-N81</f>
        <v>0.40424901888888976</v>
      </c>
    </row>
    <row r="82" spans="1:15" x14ac:dyDescent="0.7">
      <c r="A82" s="6"/>
      <c r="B82" s="6"/>
      <c r="C82" s="6">
        <v>21</v>
      </c>
      <c r="D82" s="7">
        <v>5.883</v>
      </c>
      <c r="E82" s="4">
        <v>0</v>
      </c>
      <c r="F82" s="7">
        <v>5.883</v>
      </c>
      <c r="G82" s="15">
        <f t="shared" ref="G82" si="101">F82*86400</f>
        <v>508291.2</v>
      </c>
      <c r="H82" s="21">
        <f t="shared" ref="H82" si="102">G82/1000000</f>
        <v>0.50829120000000005</v>
      </c>
      <c r="I82" s="20">
        <f t="shared" si="40"/>
        <v>22873.104000000003</v>
      </c>
      <c r="J82" s="28">
        <v>3.1982244444444398E-2</v>
      </c>
      <c r="K82" s="20">
        <f t="shared" si="41"/>
        <v>2744.7724800000001</v>
      </c>
      <c r="L82" s="17">
        <v>2.19807999999992E-2</v>
      </c>
      <c r="M82" s="17">
        <f t="shared" ref="M82" si="103">J82+L82</f>
        <v>5.3963044444443595E-2</v>
      </c>
      <c r="N82" s="20">
        <f t="shared" si="43"/>
        <v>5.0829120000000005E-2</v>
      </c>
      <c r="O82" s="7">
        <f t="shared" ref="O82" si="104">H82-M82-N82</f>
        <v>0.40349903555555644</v>
      </c>
    </row>
    <row r="83" spans="1:15" x14ac:dyDescent="0.7">
      <c r="A83" s="6"/>
      <c r="B83" s="6"/>
      <c r="C83" s="6">
        <v>22</v>
      </c>
      <c r="D83" s="7">
        <v>6.21</v>
      </c>
      <c r="E83" s="4">
        <v>0</v>
      </c>
      <c r="F83" s="7">
        <v>6.21</v>
      </c>
      <c r="G83" s="15">
        <f t="shared" ref="G83" si="105">F83*86400</f>
        <v>536544</v>
      </c>
      <c r="H83" s="21">
        <f t="shared" ref="H83" si="106">G83/1000000</f>
        <v>0.53654400000000002</v>
      </c>
      <c r="I83" s="20">
        <f t="shared" si="40"/>
        <v>24144.48</v>
      </c>
      <c r="J83" s="28">
        <v>3.2361694444444401E-2</v>
      </c>
      <c r="K83" s="20">
        <f t="shared" si="41"/>
        <v>2897.3375999999998</v>
      </c>
      <c r="L83" s="17">
        <v>2.2351333333332501E-2</v>
      </c>
      <c r="M83" s="17">
        <f t="shared" ref="M83" si="107">J83+L83</f>
        <v>5.4713027777776903E-2</v>
      </c>
      <c r="N83" s="20">
        <f t="shared" si="43"/>
        <v>5.3654400000000005E-2</v>
      </c>
      <c r="O83" s="7">
        <f t="shared" ref="O83" si="108">H83-M83-N83</f>
        <v>0.42817657222222311</v>
      </c>
    </row>
    <row r="84" spans="1:15" x14ac:dyDescent="0.7">
      <c r="A84" s="6"/>
      <c r="B84" s="6"/>
      <c r="C84" s="6">
        <v>23</v>
      </c>
      <c r="D84" s="7">
        <v>5.4729999999999999</v>
      </c>
      <c r="E84" s="4">
        <v>0</v>
      </c>
      <c r="F84" s="7">
        <v>5.4729999999999999</v>
      </c>
      <c r="G84" s="15">
        <f t="shared" ref="G84" si="109">F84*86400</f>
        <v>472867.2</v>
      </c>
      <c r="H84" s="21">
        <f t="shared" ref="H84" si="110">G84/1000000</f>
        <v>0.47286719999999999</v>
      </c>
      <c r="I84" s="20">
        <f t="shared" si="40"/>
        <v>21279.024000000001</v>
      </c>
      <c r="J84" s="28">
        <v>3.2741144444444398E-2</v>
      </c>
      <c r="K84" s="20">
        <f t="shared" si="41"/>
        <v>2553.48288</v>
      </c>
      <c r="L84" s="17">
        <v>2.2721866666665799E-2</v>
      </c>
      <c r="M84" s="17">
        <f t="shared" ref="M84" si="111">J84+L84</f>
        <v>5.5463011111110197E-2</v>
      </c>
      <c r="N84" s="20">
        <f t="shared" si="43"/>
        <v>4.7286720000000004E-2</v>
      </c>
      <c r="O84" s="7">
        <f t="shared" ref="O84" si="112">H84-M84-N84</f>
        <v>0.3701174688888898</v>
      </c>
    </row>
    <row r="85" spans="1:15" x14ac:dyDescent="0.7">
      <c r="A85" s="6"/>
      <c r="B85" s="6"/>
      <c r="C85" s="6">
        <v>24</v>
      </c>
      <c r="D85" s="7">
        <v>5.4729999999999999</v>
      </c>
      <c r="E85" s="4">
        <v>0</v>
      </c>
      <c r="F85" s="7">
        <v>5.4729999999999999</v>
      </c>
      <c r="G85" s="15">
        <f t="shared" ref="G85" si="113">F85*86400</f>
        <v>472867.2</v>
      </c>
      <c r="H85" s="21">
        <f t="shared" ref="H85" si="114">G85/1000000</f>
        <v>0.47286719999999999</v>
      </c>
      <c r="I85" s="20">
        <f t="shared" si="40"/>
        <v>21279.024000000001</v>
      </c>
      <c r="J85" s="28">
        <v>3.3120594444444401E-2</v>
      </c>
      <c r="K85" s="20">
        <f t="shared" si="41"/>
        <v>2553.48288</v>
      </c>
      <c r="L85" s="17">
        <v>2.30923999999991E-2</v>
      </c>
      <c r="M85" s="17">
        <f t="shared" ref="M85" si="115">J85+L85</f>
        <v>5.6212994444443498E-2</v>
      </c>
      <c r="N85" s="20">
        <f t="shared" si="43"/>
        <v>4.7286720000000004E-2</v>
      </c>
      <c r="O85" s="7">
        <f t="shared" ref="O85" si="116">H85-M85-N85</f>
        <v>0.36936748555555649</v>
      </c>
    </row>
    <row r="86" spans="1:15" x14ac:dyDescent="0.7">
      <c r="A86" s="6"/>
      <c r="B86" s="6"/>
      <c r="C86" s="6">
        <v>25</v>
      </c>
      <c r="D86" s="7">
        <v>5.7430000000000003</v>
      </c>
      <c r="E86" s="4">
        <v>0</v>
      </c>
      <c r="F86" s="7">
        <v>5.7430000000000003</v>
      </c>
      <c r="G86" s="15">
        <f t="shared" ref="G86" si="117">F86*86400</f>
        <v>496195.2</v>
      </c>
      <c r="H86" s="21">
        <f t="shared" ref="H86" si="118">G86/1000000</f>
        <v>0.4961952</v>
      </c>
      <c r="I86" s="20">
        <f t="shared" si="40"/>
        <v>22328.784</v>
      </c>
      <c r="J86" s="28">
        <v>3.3500044444444398E-2</v>
      </c>
      <c r="K86" s="20">
        <f t="shared" si="41"/>
        <v>2679.45408</v>
      </c>
      <c r="L86" s="17">
        <v>2.3462933333332402E-2</v>
      </c>
      <c r="M86" s="17">
        <f t="shared" ref="M86" si="119">J86+L86</f>
        <v>5.6962977777776799E-2</v>
      </c>
      <c r="N86" s="20">
        <f t="shared" si="43"/>
        <v>4.961952E-2</v>
      </c>
      <c r="O86" s="7">
        <f t="shared" ref="O86" si="120">H86-M86-N86</f>
        <v>0.38961270222222322</v>
      </c>
    </row>
    <row r="87" spans="1:15" x14ac:dyDescent="0.7">
      <c r="A87" s="6"/>
      <c r="B87" s="6"/>
      <c r="C87" s="6">
        <v>26</v>
      </c>
      <c r="D87" s="7">
        <v>5.4729999999999999</v>
      </c>
      <c r="E87" s="4">
        <v>0</v>
      </c>
      <c r="F87" s="7">
        <v>5.4729999999999999</v>
      </c>
      <c r="G87" s="15">
        <f t="shared" ref="G87" si="121">F87*86400</f>
        <v>472867.2</v>
      </c>
      <c r="H87" s="21">
        <f t="shared" ref="H87" si="122">G87/1000000</f>
        <v>0.47286719999999999</v>
      </c>
      <c r="I87" s="20">
        <f t="shared" si="40"/>
        <v>21279.024000000001</v>
      </c>
      <c r="J87" s="28">
        <v>3.3879494444444401E-2</v>
      </c>
      <c r="K87" s="20">
        <f t="shared" si="41"/>
        <v>2553.48288</v>
      </c>
      <c r="L87" s="17">
        <v>2.3833466666665699E-2</v>
      </c>
      <c r="M87" s="17">
        <f t="shared" ref="M87" si="123">J87+L87</f>
        <v>5.77129611111101E-2</v>
      </c>
      <c r="N87" s="20">
        <f t="shared" si="43"/>
        <v>4.7286720000000004E-2</v>
      </c>
      <c r="O87" s="7">
        <f t="shared" ref="O87" si="124">H87-M87-N87</f>
        <v>0.36786751888888991</v>
      </c>
    </row>
    <row r="88" spans="1:15" x14ac:dyDescent="0.7">
      <c r="A88" s="6"/>
      <c r="B88" s="6"/>
      <c r="C88" s="6">
        <v>27</v>
      </c>
      <c r="D88" s="7">
        <v>5.4729999999999999</v>
      </c>
      <c r="E88" s="4">
        <v>0</v>
      </c>
      <c r="F88" s="7">
        <v>5.4729999999999999</v>
      </c>
      <c r="G88" s="15">
        <f t="shared" ref="G88" si="125">F88*86400</f>
        <v>472867.2</v>
      </c>
      <c r="H88" s="21">
        <f t="shared" ref="H88" si="126">G88/1000000</f>
        <v>0.47286719999999999</v>
      </c>
      <c r="I88" s="20">
        <f t="shared" si="40"/>
        <v>21279.024000000001</v>
      </c>
      <c r="J88" s="28">
        <v>3.4258944444444397E-2</v>
      </c>
      <c r="K88" s="20">
        <f t="shared" si="41"/>
        <v>2553.48288</v>
      </c>
      <c r="L88" s="17">
        <v>2.4203999999999001E-2</v>
      </c>
      <c r="M88" s="17">
        <f t="shared" ref="M88" si="127">J88+L88</f>
        <v>5.8462944444443402E-2</v>
      </c>
      <c r="N88" s="20">
        <f t="shared" si="43"/>
        <v>4.7286720000000004E-2</v>
      </c>
      <c r="O88" s="7">
        <f t="shared" ref="O88" si="128">H88-M88-N88</f>
        <v>0.3671175355555566</v>
      </c>
    </row>
    <row r="89" spans="1:15" x14ac:dyDescent="0.7">
      <c r="A89" s="6"/>
      <c r="B89" s="6"/>
      <c r="C89" s="6">
        <v>28</v>
      </c>
      <c r="D89" s="7">
        <v>5.5810000000000004</v>
      </c>
      <c r="E89" s="4">
        <v>0</v>
      </c>
      <c r="F89" s="7">
        <v>5.5810000000000004</v>
      </c>
      <c r="G89" s="15">
        <f t="shared" ref="G89" si="129">F89*86400</f>
        <v>482198.4</v>
      </c>
      <c r="H89" s="21">
        <f t="shared" ref="H89" si="130">G89/1000000</f>
        <v>0.48219840000000003</v>
      </c>
      <c r="I89" s="20">
        <f t="shared" si="40"/>
        <v>21698.928</v>
      </c>
      <c r="J89" s="28">
        <v>3.4638394444444401E-2</v>
      </c>
      <c r="K89" s="20">
        <f t="shared" si="41"/>
        <v>2603.8713600000001</v>
      </c>
      <c r="L89" s="17">
        <v>2.4574533333332298E-2</v>
      </c>
      <c r="M89" s="17">
        <f t="shared" ref="M89" si="131">J89+L89</f>
        <v>5.9212927777776703E-2</v>
      </c>
      <c r="N89" s="20">
        <f t="shared" si="43"/>
        <v>4.8219840000000007E-2</v>
      </c>
      <c r="O89" s="7">
        <f t="shared" ref="O89" si="132">H89-M89-N89</f>
        <v>0.37476563222222331</v>
      </c>
    </row>
    <row r="90" spans="1:15" x14ac:dyDescent="0.7">
      <c r="A90" s="12"/>
      <c r="B90" s="12"/>
      <c r="C90" s="12">
        <v>29</v>
      </c>
      <c r="D90" s="30">
        <v>5.5810000000000004</v>
      </c>
      <c r="E90" s="4">
        <v>2.2000000000000002</v>
      </c>
      <c r="F90" s="30">
        <v>5.5810000000000004</v>
      </c>
      <c r="G90" s="31">
        <f t="shared" ref="G90" si="133">F90*86400</f>
        <v>482198.4</v>
      </c>
      <c r="H90" s="32">
        <f t="shared" ref="H90" si="134">G90/1000000</f>
        <v>0.48219840000000003</v>
      </c>
      <c r="I90" s="20">
        <f t="shared" si="40"/>
        <v>21698.928</v>
      </c>
      <c r="J90" s="34">
        <v>3.5017844444444397E-2</v>
      </c>
      <c r="K90" s="20">
        <f t="shared" si="41"/>
        <v>2603.8713600000001</v>
      </c>
      <c r="L90" s="33">
        <v>2.49450666666656E-2</v>
      </c>
      <c r="M90" s="33">
        <f t="shared" ref="M90" si="135">J90+L90</f>
        <v>5.9962911111109997E-2</v>
      </c>
      <c r="N90" s="20">
        <f t="shared" si="43"/>
        <v>4.8219840000000007E-2</v>
      </c>
      <c r="O90" s="30">
        <f t="shared" ref="O90" si="136">H90-M90-N90</f>
        <v>0.37401564888889</v>
      </c>
    </row>
    <row r="91" spans="1:15" s="37" customFormat="1" x14ac:dyDescent="0.7">
      <c r="A91" s="6"/>
      <c r="B91" s="6"/>
      <c r="C91" s="6">
        <v>30</v>
      </c>
      <c r="D91" s="7">
        <v>7.8929999999999998</v>
      </c>
      <c r="E91" s="4">
        <v>0.2</v>
      </c>
      <c r="F91" s="7">
        <v>7.8929999999999998</v>
      </c>
      <c r="G91" s="35">
        <f t="shared" ref="G91" si="137">F91*86400</f>
        <v>681955.2</v>
      </c>
      <c r="H91" s="20">
        <f t="shared" ref="H91" si="138">G91/1000000</f>
        <v>0.68195519999999998</v>
      </c>
      <c r="I91" s="20">
        <f t="shared" si="40"/>
        <v>30687.983999999997</v>
      </c>
      <c r="J91" s="28">
        <v>3.5397294444444401E-2</v>
      </c>
      <c r="K91" s="20">
        <f t="shared" si="41"/>
        <v>3682.5580799999993</v>
      </c>
      <c r="L91" s="17">
        <v>2.5315599999998901E-2</v>
      </c>
      <c r="M91" s="17">
        <f t="shared" ref="M91" si="139">J91+L91</f>
        <v>6.0712894444443305E-2</v>
      </c>
      <c r="N91" s="20">
        <f t="shared" si="43"/>
        <v>6.8195519999999996E-2</v>
      </c>
      <c r="O91" s="7">
        <f t="shared" ref="O91" si="140">H91-M91-N91</f>
        <v>0.55304678555555675</v>
      </c>
    </row>
    <row r="92" spans="1:15" s="13" customFormat="1" ht="25.2" thickBot="1" x14ac:dyDescent="0.75">
      <c r="A92" s="11"/>
      <c r="B92" s="11" t="s">
        <v>17</v>
      </c>
      <c r="C92" s="11">
        <v>31</v>
      </c>
      <c r="D92" s="19">
        <v>8.8239999999999998</v>
      </c>
      <c r="E92" s="19">
        <v>0</v>
      </c>
      <c r="F92" s="19">
        <v>8.8239999999999998</v>
      </c>
      <c r="G92" s="26">
        <f t="shared" ref="G92" si="141">F92*86400</f>
        <v>762393.59999999998</v>
      </c>
      <c r="H92" s="27">
        <f t="shared" ref="H92" si="142">G92/1000000</f>
        <v>0.7623936</v>
      </c>
      <c r="I92" s="22">
        <f t="shared" si="40"/>
        <v>34307.712</v>
      </c>
      <c r="J92" s="39">
        <v>3.5776744444444397E-2</v>
      </c>
      <c r="K92" s="22">
        <f t="shared" si="41"/>
        <v>4116.92544</v>
      </c>
      <c r="L92" s="38">
        <v>2.5686133333332199E-2</v>
      </c>
      <c r="M92" s="38">
        <f t="shared" ref="M92" si="143">J92+L92</f>
        <v>6.1462877777776592E-2</v>
      </c>
      <c r="N92" s="22">
        <f t="shared" si="43"/>
        <v>7.6239360000000006E-2</v>
      </c>
      <c r="O92" s="19">
        <f t="shared" ref="O92" si="144">H92-M92-N92</f>
        <v>0.62469136222222343</v>
      </c>
    </row>
    <row r="93" spans="1:15" x14ac:dyDescent="0.7">
      <c r="A93" s="3"/>
      <c r="B93" s="3" t="s">
        <v>18</v>
      </c>
      <c r="C93" s="3">
        <v>1</v>
      </c>
      <c r="D93" s="4">
        <v>8.8239999999999998</v>
      </c>
      <c r="E93" s="4">
        <v>0</v>
      </c>
      <c r="F93" s="4">
        <v>8.8239999999999998</v>
      </c>
      <c r="G93" s="15">
        <f t="shared" ref="G93" si="145">F93*86400</f>
        <v>762393.59999999998</v>
      </c>
      <c r="H93" s="21">
        <f t="shared" ref="H93" si="146">G93/1000000</f>
        <v>0.7623936</v>
      </c>
      <c r="I93" s="21">
        <f t="shared" si="40"/>
        <v>34307.712</v>
      </c>
      <c r="J93" s="25">
        <v>3.6156194444444401E-2</v>
      </c>
      <c r="K93" s="21">
        <f t="shared" si="41"/>
        <v>4116.92544</v>
      </c>
      <c r="L93" s="16">
        <v>2.60566666666655E-2</v>
      </c>
      <c r="M93" s="16">
        <f t="shared" ref="M93" si="147">J93+L93</f>
        <v>6.22128611111099E-2</v>
      </c>
      <c r="N93" s="21">
        <f t="shared" si="43"/>
        <v>7.6239360000000006E-2</v>
      </c>
      <c r="O93" s="4">
        <f t="shared" ref="O93" si="148">H93-M93-N93</f>
        <v>0.62394137888889012</v>
      </c>
    </row>
    <row r="94" spans="1:15" x14ac:dyDescent="0.7">
      <c r="A94" s="6"/>
      <c r="B94" s="6"/>
      <c r="C94" s="6">
        <v>2</v>
      </c>
      <c r="D94" s="7">
        <v>7.8390000000000004</v>
      </c>
      <c r="E94" s="4">
        <v>0</v>
      </c>
      <c r="F94" s="7">
        <v>7.8390000000000004</v>
      </c>
      <c r="G94" s="15">
        <f t="shared" ref="G94" si="149">F94*86400</f>
        <v>677289.60000000009</v>
      </c>
      <c r="H94" s="21">
        <f t="shared" ref="H94" si="150">G94/1000000</f>
        <v>0.67728960000000005</v>
      </c>
      <c r="I94" s="20">
        <f t="shared" si="40"/>
        <v>30478.032000000003</v>
      </c>
      <c r="J94" s="28">
        <v>3.6535644444444397E-2</v>
      </c>
      <c r="K94" s="20">
        <f t="shared" si="41"/>
        <v>3657.3638400000004</v>
      </c>
      <c r="L94" s="17">
        <v>2.6427199999998801E-2</v>
      </c>
      <c r="M94" s="17">
        <f t="shared" ref="M94" si="151">J94+L94</f>
        <v>6.2962844444443195E-2</v>
      </c>
      <c r="N94" s="20">
        <f t="shared" si="43"/>
        <v>6.7728960000000005E-2</v>
      </c>
      <c r="O94" s="7">
        <f t="shared" ref="O94" si="152">H94-M94-N94</f>
        <v>0.54659779555555676</v>
      </c>
    </row>
    <row r="95" spans="1:15" x14ac:dyDescent="0.7">
      <c r="A95" s="6"/>
      <c r="B95" s="6"/>
      <c r="C95" s="6">
        <v>3</v>
      </c>
      <c r="D95" s="7">
        <v>6.24</v>
      </c>
      <c r="E95" s="4">
        <v>0</v>
      </c>
      <c r="F95" s="7">
        <v>6.24</v>
      </c>
      <c r="G95" s="15">
        <f t="shared" ref="G95" si="153">F95*86400</f>
        <v>539136</v>
      </c>
      <c r="H95" s="21">
        <f t="shared" ref="H95" si="154">G95/1000000</f>
        <v>0.53913599999999995</v>
      </c>
      <c r="I95" s="20">
        <f t="shared" si="40"/>
        <v>24261.119999999999</v>
      </c>
      <c r="J95" s="28">
        <v>3.69150944444444E-2</v>
      </c>
      <c r="K95" s="20">
        <f t="shared" si="41"/>
        <v>2911.3343999999997</v>
      </c>
      <c r="L95" s="17">
        <v>2.6797733333332099E-2</v>
      </c>
      <c r="M95" s="17">
        <f t="shared" ref="M95" si="155">J95+L95</f>
        <v>6.3712827777776496E-2</v>
      </c>
      <c r="N95" s="20">
        <f t="shared" si="43"/>
        <v>5.3913599999999999E-2</v>
      </c>
      <c r="O95" s="7">
        <f t="shared" ref="O95" si="156">H95-M95-N95</f>
        <v>0.42150957222222346</v>
      </c>
    </row>
    <row r="96" spans="1:15" x14ac:dyDescent="0.7">
      <c r="A96" s="6"/>
      <c r="B96" s="6"/>
      <c r="C96" s="6">
        <v>4</v>
      </c>
      <c r="D96" s="7">
        <v>5.92</v>
      </c>
      <c r="E96" s="4">
        <v>0</v>
      </c>
      <c r="F96" s="7">
        <v>5.92</v>
      </c>
      <c r="G96" s="15">
        <f t="shared" ref="G96" si="157">F96*86400</f>
        <v>511488</v>
      </c>
      <c r="H96" s="21">
        <f t="shared" ref="H96" si="158">G96/1000000</f>
        <v>0.51148800000000005</v>
      </c>
      <c r="I96" s="20">
        <f t="shared" si="40"/>
        <v>23016.960000000003</v>
      </c>
      <c r="J96" s="28">
        <v>3.7294544444444397E-2</v>
      </c>
      <c r="K96" s="20">
        <f t="shared" si="41"/>
        <v>2762.0352000000003</v>
      </c>
      <c r="L96" s="17">
        <v>2.71682666666654E-2</v>
      </c>
      <c r="M96" s="17">
        <f t="shared" ref="M96" si="159">J96+L96</f>
        <v>6.4462811111109797E-2</v>
      </c>
      <c r="N96" s="20">
        <f t="shared" si="43"/>
        <v>5.1148800000000008E-2</v>
      </c>
      <c r="O96" s="7">
        <f t="shared" ref="O96" si="160">H96-M96-N96</f>
        <v>0.39587638888889026</v>
      </c>
    </row>
    <row r="97" spans="1:15" x14ac:dyDescent="0.7">
      <c r="A97" s="6"/>
      <c r="B97" s="6"/>
      <c r="C97" s="6">
        <v>5</v>
      </c>
      <c r="D97" s="7">
        <v>5.3949999999999996</v>
      </c>
      <c r="E97" s="4">
        <v>0</v>
      </c>
      <c r="F97" s="7">
        <v>5.3949999999999996</v>
      </c>
      <c r="G97" s="15">
        <f t="shared" ref="G97" si="161">F97*86400</f>
        <v>466127.99999999994</v>
      </c>
      <c r="H97" s="21">
        <f t="shared" ref="H97" si="162">G97/1000000</f>
        <v>0.46612799999999993</v>
      </c>
      <c r="I97" s="20">
        <f t="shared" si="40"/>
        <v>20975.759999999998</v>
      </c>
      <c r="J97" s="28">
        <v>3.76739944444444E-2</v>
      </c>
      <c r="K97" s="20">
        <f t="shared" si="41"/>
        <v>2517.0911999999998</v>
      </c>
      <c r="L97" s="17">
        <v>2.7538799999998701E-2</v>
      </c>
      <c r="M97" s="17">
        <f t="shared" ref="M97" si="163">J97+L97</f>
        <v>6.5212794444443098E-2</v>
      </c>
      <c r="N97" s="20">
        <f t="shared" si="43"/>
        <v>4.6612799999999996E-2</v>
      </c>
      <c r="O97" s="7">
        <f t="shared" ref="O97" si="164">H97-M97-N97</f>
        <v>0.35430240555555681</v>
      </c>
    </row>
    <row r="98" spans="1:15" x14ac:dyDescent="0.7">
      <c r="A98" s="6"/>
      <c r="B98" s="6"/>
      <c r="C98" s="6">
        <v>6</v>
      </c>
      <c r="D98" s="7">
        <v>5.2089999999999996</v>
      </c>
      <c r="E98" s="4">
        <v>0</v>
      </c>
      <c r="F98" s="7">
        <v>5.2089999999999996</v>
      </c>
      <c r="G98" s="15">
        <f t="shared" ref="G98" si="165">F98*86400</f>
        <v>450057.6</v>
      </c>
      <c r="H98" s="21">
        <f t="shared" ref="H98" si="166">G98/1000000</f>
        <v>0.4500576</v>
      </c>
      <c r="I98" s="20">
        <f t="shared" si="40"/>
        <v>20252.591999999997</v>
      </c>
      <c r="J98" s="28">
        <v>3.8053444444444397E-2</v>
      </c>
      <c r="K98" s="20">
        <f t="shared" si="41"/>
        <v>2430.3110399999996</v>
      </c>
      <c r="L98" s="17">
        <v>2.7909333333331999E-2</v>
      </c>
      <c r="M98" s="17">
        <f t="shared" ref="M98" si="167">J98+L98</f>
        <v>6.5962777777776399E-2</v>
      </c>
      <c r="N98" s="20">
        <f t="shared" si="43"/>
        <v>4.5005760000000006E-2</v>
      </c>
      <c r="O98" s="7">
        <f t="shared" ref="O98" si="168">H98-M98-N98</f>
        <v>0.33908906222222357</v>
      </c>
    </row>
    <row r="99" spans="1:15" x14ac:dyDescent="0.7">
      <c r="A99" s="6"/>
      <c r="B99" s="6"/>
      <c r="C99" s="6">
        <v>7</v>
      </c>
      <c r="D99" s="7">
        <v>5.4089999999999998</v>
      </c>
      <c r="E99" s="4">
        <v>0</v>
      </c>
      <c r="F99" s="7">
        <v>5.4089999999999998</v>
      </c>
      <c r="G99" s="15">
        <f t="shared" ref="G99" si="169">F99*86400</f>
        <v>467337.6</v>
      </c>
      <c r="H99" s="21">
        <f t="shared" ref="H99" si="170">G99/1000000</f>
        <v>0.46733759999999996</v>
      </c>
      <c r="I99" s="20">
        <f t="shared" si="40"/>
        <v>21030.191999999999</v>
      </c>
      <c r="J99" s="28">
        <v>3.84328944444444E-2</v>
      </c>
      <c r="K99" s="20">
        <f t="shared" si="41"/>
        <v>2523.6230399999999</v>
      </c>
      <c r="L99" s="17">
        <v>2.82798666666653E-2</v>
      </c>
      <c r="M99" s="17">
        <f t="shared" ref="M99" si="171">J99+L99</f>
        <v>6.67127611111097E-2</v>
      </c>
      <c r="N99" s="20">
        <f t="shared" si="43"/>
        <v>4.6733759999999999E-2</v>
      </c>
      <c r="O99" s="7">
        <f t="shared" ref="O99" si="172">H99-M99-N99</f>
        <v>0.35389107888889026</v>
      </c>
    </row>
    <row r="100" spans="1:15" x14ac:dyDescent="0.7">
      <c r="A100" s="6"/>
      <c r="B100" s="6"/>
      <c r="C100" s="6">
        <v>8</v>
      </c>
      <c r="D100" s="7">
        <v>5.4139999999999997</v>
      </c>
      <c r="E100" s="4">
        <v>0</v>
      </c>
      <c r="F100" s="7">
        <v>5.4139999999999997</v>
      </c>
      <c r="G100" s="15">
        <f t="shared" ref="G100" si="173">F100*86400</f>
        <v>467769.59999999998</v>
      </c>
      <c r="H100" s="21">
        <f t="shared" ref="H100" si="174">G100/1000000</f>
        <v>0.46776959999999995</v>
      </c>
      <c r="I100" s="20">
        <f t="shared" si="40"/>
        <v>21049.631999999998</v>
      </c>
      <c r="J100" s="28">
        <v>3.8812344444444397E-2</v>
      </c>
      <c r="K100" s="20">
        <f t="shared" si="41"/>
        <v>2525.9558399999996</v>
      </c>
      <c r="L100" s="17">
        <v>2.8650399999998601E-2</v>
      </c>
      <c r="M100" s="17">
        <f t="shared" ref="M100" si="175">J100+L100</f>
        <v>6.7462744444443001E-2</v>
      </c>
      <c r="N100" s="20">
        <f t="shared" si="43"/>
        <v>4.6776959999999999E-2</v>
      </c>
      <c r="O100" s="7">
        <f t="shared" ref="O100" si="176">H100-M100-N100</f>
        <v>0.35352989555555697</v>
      </c>
    </row>
    <row r="101" spans="1:15" x14ac:dyDescent="0.7">
      <c r="A101" s="6"/>
      <c r="B101" s="6"/>
      <c r="C101" s="6">
        <v>9</v>
      </c>
      <c r="D101" s="7">
        <v>5.2439999999999998</v>
      </c>
      <c r="E101" s="4">
        <v>0</v>
      </c>
      <c r="F101" s="7">
        <v>5.2439999999999998</v>
      </c>
      <c r="G101" s="15">
        <f t="shared" ref="G101" si="177">F101*86400</f>
        <v>453081.59999999998</v>
      </c>
      <c r="H101" s="21">
        <f t="shared" ref="H101" si="178">G101/1000000</f>
        <v>0.45308159999999997</v>
      </c>
      <c r="I101" s="20">
        <f t="shared" si="40"/>
        <v>20388.671999999999</v>
      </c>
      <c r="J101" s="28">
        <v>3.91917944444444E-2</v>
      </c>
      <c r="K101" s="20">
        <f t="shared" si="41"/>
        <v>2446.6406399999996</v>
      </c>
      <c r="L101" s="17">
        <v>2.9020933333331899E-2</v>
      </c>
      <c r="M101" s="17">
        <f t="shared" ref="M101" si="179">J101+L101</f>
        <v>6.8212727777776302E-2</v>
      </c>
      <c r="N101" s="20">
        <f t="shared" si="43"/>
        <v>4.530816E-2</v>
      </c>
      <c r="O101" s="7">
        <f t="shared" ref="O101" si="180">H101-M101-N101</f>
        <v>0.33956071222222367</v>
      </c>
    </row>
    <row r="102" spans="1:15" x14ac:dyDescent="0.7">
      <c r="A102" s="6"/>
      <c r="B102" s="6"/>
      <c r="C102" s="6">
        <v>10</v>
      </c>
      <c r="D102" s="7">
        <v>5.2439999999999998</v>
      </c>
      <c r="E102" s="4">
        <v>0</v>
      </c>
      <c r="F102" s="7">
        <v>5.2439999999999998</v>
      </c>
      <c r="G102" s="15">
        <f t="shared" ref="G102" si="181">F102*86400</f>
        <v>453081.59999999998</v>
      </c>
      <c r="H102" s="21">
        <f t="shared" ref="H102" si="182">G102/1000000</f>
        <v>0.45308159999999997</v>
      </c>
      <c r="I102" s="20">
        <f t="shared" si="40"/>
        <v>20388.671999999999</v>
      </c>
      <c r="J102" s="28">
        <v>3.9571244444444403E-2</v>
      </c>
      <c r="K102" s="20">
        <f t="shared" si="41"/>
        <v>2446.6406399999996</v>
      </c>
      <c r="L102" s="17">
        <v>2.93914666666652E-2</v>
      </c>
      <c r="M102" s="17">
        <f t="shared" ref="M102" si="183">J102+L102</f>
        <v>6.8962711111109604E-2</v>
      </c>
      <c r="N102" s="20">
        <f t="shared" si="43"/>
        <v>4.530816E-2</v>
      </c>
      <c r="O102" s="7">
        <f t="shared" ref="O102" si="184">H102-M102-N102</f>
        <v>0.33881072888889036</v>
      </c>
    </row>
    <row r="103" spans="1:15" x14ac:dyDescent="0.7">
      <c r="A103" s="6"/>
      <c r="B103" s="6"/>
      <c r="C103" s="6">
        <v>11</v>
      </c>
      <c r="D103" s="7">
        <v>5.2240000000000002</v>
      </c>
      <c r="E103" s="4">
        <v>0</v>
      </c>
      <c r="F103" s="7">
        <v>5.2240000000000002</v>
      </c>
      <c r="G103" s="15">
        <f t="shared" ref="G103" si="185">F103*86400</f>
        <v>451353.60000000003</v>
      </c>
      <c r="H103" s="21">
        <f t="shared" ref="H103" si="186">G103/1000000</f>
        <v>0.45135360000000002</v>
      </c>
      <c r="I103" s="20">
        <f t="shared" si="40"/>
        <v>20310.912</v>
      </c>
      <c r="J103" s="28">
        <v>3.99506944444444E-2</v>
      </c>
      <c r="K103" s="20">
        <f t="shared" si="41"/>
        <v>2437.30944</v>
      </c>
      <c r="L103" s="17">
        <v>2.9761999999998501E-2</v>
      </c>
      <c r="M103" s="17">
        <f t="shared" ref="M103" si="187">J103+L103</f>
        <v>6.9712694444442905E-2</v>
      </c>
      <c r="N103" s="20">
        <f t="shared" si="43"/>
        <v>4.5135360000000006E-2</v>
      </c>
      <c r="O103" s="7">
        <f t="shared" ref="O103" si="188">H103-M103-N103</f>
        <v>0.33650554555555712</v>
      </c>
    </row>
    <row r="104" spans="1:15" x14ac:dyDescent="0.7">
      <c r="A104" s="6"/>
      <c r="B104" s="6"/>
      <c r="C104" s="6">
        <v>12</v>
      </c>
      <c r="D104" s="7">
        <v>4.992</v>
      </c>
      <c r="E104" s="4">
        <v>0</v>
      </c>
      <c r="F104" s="7">
        <v>4.992</v>
      </c>
      <c r="G104" s="15">
        <f t="shared" ref="G104" si="189">F104*86400</f>
        <v>431308.79999999999</v>
      </c>
      <c r="H104" s="21">
        <f t="shared" ref="H104" si="190">G104/1000000</f>
        <v>0.43130879999999999</v>
      </c>
      <c r="I104" s="20">
        <f t="shared" si="40"/>
        <v>19408.895999999997</v>
      </c>
      <c r="J104" s="28">
        <v>4.0330144444444403E-2</v>
      </c>
      <c r="K104" s="20">
        <f t="shared" si="41"/>
        <v>2329.0675199999996</v>
      </c>
      <c r="L104" s="17">
        <v>3.0132533333331799E-2</v>
      </c>
      <c r="M104" s="17">
        <f t="shared" ref="M104" si="191">J104+L104</f>
        <v>7.0462677777776206E-2</v>
      </c>
      <c r="N104" s="20">
        <f t="shared" si="43"/>
        <v>4.3130880000000003E-2</v>
      </c>
      <c r="O104" s="7">
        <f t="shared" ref="O104" si="192">H104-M104-N104</f>
        <v>0.3177152422222238</v>
      </c>
    </row>
    <row r="105" spans="1:15" x14ac:dyDescent="0.7">
      <c r="A105" s="6"/>
      <c r="B105" s="6"/>
      <c r="C105" s="6">
        <v>13</v>
      </c>
      <c r="D105" s="7">
        <v>5.0229999999999997</v>
      </c>
      <c r="E105" s="4">
        <v>0</v>
      </c>
      <c r="F105" s="7">
        <v>5.0229999999999997</v>
      </c>
      <c r="G105" s="15">
        <f t="shared" ref="G105" si="193">F105*86400</f>
        <v>433987.19999999995</v>
      </c>
      <c r="H105" s="21">
        <f t="shared" ref="H105" si="194">G105/1000000</f>
        <v>0.43398719999999996</v>
      </c>
      <c r="I105" s="20">
        <f t="shared" si="40"/>
        <v>19529.423999999995</v>
      </c>
      <c r="J105" s="28">
        <v>4.07095944444444E-2</v>
      </c>
      <c r="K105" s="20">
        <f t="shared" si="41"/>
        <v>2343.5308799999993</v>
      </c>
      <c r="L105" s="17">
        <v>3.05030666666651E-2</v>
      </c>
      <c r="M105" s="17">
        <f t="shared" ref="M105" si="195">J105+L105</f>
        <v>7.1212661111109493E-2</v>
      </c>
      <c r="N105" s="20">
        <f t="shared" si="43"/>
        <v>4.3398720000000002E-2</v>
      </c>
      <c r="O105" s="7">
        <f t="shared" ref="O105" si="196">H105-M105-N105</f>
        <v>0.31937581888889044</v>
      </c>
    </row>
    <row r="106" spans="1:15" x14ac:dyDescent="0.7">
      <c r="A106" s="6"/>
      <c r="B106" s="6"/>
      <c r="C106" s="6">
        <v>14</v>
      </c>
      <c r="D106" s="7">
        <v>4.992</v>
      </c>
      <c r="E106" s="4">
        <v>0</v>
      </c>
      <c r="F106" s="7">
        <v>4.992</v>
      </c>
      <c r="G106" s="15">
        <f t="shared" ref="G106" si="197">F106*86400</f>
        <v>431308.79999999999</v>
      </c>
      <c r="H106" s="21">
        <f t="shared" ref="H106" si="198">G106/1000000</f>
        <v>0.43130879999999999</v>
      </c>
      <c r="I106" s="20">
        <f t="shared" si="40"/>
        <v>19408.895999999997</v>
      </c>
      <c r="J106" s="28">
        <v>4.1089044444444403E-2</v>
      </c>
      <c r="K106" s="20">
        <f t="shared" si="41"/>
        <v>2329.0675199999996</v>
      </c>
      <c r="L106" s="17">
        <v>3.0873599999998402E-2</v>
      </c>
      <c r="M106" s="17">
        <f t="shared" ref="M106" si="199">J106+L106</f>
        <v>7.1962644444442808E-2</v>
      </c>
      <c r="N106" s="20">
        <f t="shared" si="43"/>
        <v>4.3130880000000003E-2</v>
      </c>
      <c r="O106" s="7">
        <f t="shared" ref="O106" si="200">H106-M106-N106</f>
        <v>0.31621527555555717</v>
      </c>
    </row>
    <row r="107" spans="1:15" x14ac:dyDescent="0.7">
      <c r="A107" s="6"/>
      <c r="B107" s="6"/>
      <c r="C107" s="6">
        <v>15</v>
      </c>
      <c r="D107" s="7">
        <v>5.4109999999999996</v>
      </c>
      <c r="E107" s="4">
        <v>0</v>
      </c>
      <c r="F107" s="7">
        <v>5.4109999999999996</v>
      </c>
      <c r="G107" s="15">
        <f t="shared" ref="G107" si="201">F107*86400</f>
        <v>467510.39999999997</v>
      </c>
      <c r="H107" s="21">
        <f t="shared" ref="H107" si="202">G107/1000000</f>
        <v>0.46751039999999999</v>
      </c>
      <c r="I107" s="20">
        <f t="shared" si="40"/>
        <v>21037.967999999997</v>
      </c>
      <c r="J107" s="28">
        <v>4.14684944444444E-2</v>
      </c>
      <c r="K107" s="20">
        <f t="shared" si="41"/>
        <v>2524.5561599999996</v>
      </c>
      <c r="L107" s="17">
        <v>3.1244133333331699E-2</v>
      </c>
      <c r="M107" s="17">
        <f t="shared" ref="M107" si="203">J107+L107</f>
        <v>7.2712627777776095E-2</v>
      </c>
      <c r="N107" s="20">
        <f t="shared" si="43"/>
        <v>4.6751040000000001E-2</v>
      </c>
      <c r="O107" s="7">
        <f t="shared" ref="O107" si="204">H107-M107-N107</f>
        <v>0.34804673222222388</v>
      </c>
    </row>
    <row r="108" spans="1:15" x14ac:dyDescent="0.7">
      <c r="A108" s="6"/>
      <c r="B108" s="6"/>
      <c r="C108" s="6">
        <v>16</v>
      </c>
      <c r="D108" s="7">
        <v>12.833</v>
      </c>
      <c r="E108" s="4">
        <v>18.059999999999999</v>
      </c>
      <c r="F108" s="7">
        <v>12.833</v>
      </c>
      <c r="G108" s="15">
        <f t="shared" ref="G108" si="205">F108*86400</f>
        <v>1108771.2</v>
      </c>
      <c r="H108" s="21">
        <f t="shared" ref="H108" si="206">G108/1000000</f>
        <v>1.1087711999999998</v>
      </c>
      <c r="I108" s="20">
        <f t="shared" si="40"/>
        <v>49894.703999999998</v>
      </c>
      <c r="J108" s="28">
        <v>4.1847944444444403E-2</v>
      </c>
      <c r="K108" s="20">
        <f t="shared" si="41"/>
        <v>5987.3644799999993</v>
      </c>
      <c r="L108" s="17">
        <v>3.1614666666665001E-2</v>
      </c>
      <c r="M108" s="17">
        <f t="shared" ref="M108" si="207">J108+L108</f>
        <v>7.346261111110941E-2</v>
      </c>
      <c r="N108" s="20">
        <f t="shared" si="43"/>
        <v>0.11087712</v>
      </c>
      <c r="O108" s="7">
        <f t="shared" ref="O108" si="208">H108-M108-N108</f>
        <v>0.92443146888889038</v>
      </c>
    </row>
    <row r="109" spans="1:15" x14ac:dyDescent="0.7">
      <c r="A109" s="6"/>
      <c r="B109" s="6"/>
      <c r="C109" s="6">
        <v>17</v>
      </c>
      <c r="D109" s="7">
        <v>18.279</v>
      </c>
      <c r="E109" s="4">
        <v>0</v>
      </c>
      <c r="F109" s="7">
        <v>18.279</v>
      </c>
      <c r="G109" s="15">
        <f t="shared" ref="G109" si="209">F109*86400</f>
        <v>1579305.6</v>
      </c>
      <c r="H109" s="21">
        <f t="shared" ref="H109" si="210">G109/1000000</f>
        <v>1.5793056000000001</v>
      </c>
      <c r="I109" s="20">
        <f t="shared" si="40"/>
        <v>71068.752000000008</v>
      </c>
      <c r="J109" s="28">
        <v>4.2227394444444399E-2</v>
      </c>
      <c r="K109" s="20">
        <f t="shared" si="41"/>
        <v>8528.2502400000012</v>
      </c>
      <c r="L109" s="17">
        <v>3.1985199999998298E-2</v>
      </c>
      <c r="M109" s="17">
        <f t="shared" ref="M109" si="211">J109+L109</f>
        <v>7.4212594444442698E-2</v>
      </c>
      <c r="N109" s="20">
        <f t="shared" si="43"/>
        <v>0.15793056000000003</v>
      </c>
      <c r="O109" s="7">
        <f t="shared" ref="O109" si="212">H109-M109-N109</f>
        <v>1.3471624455555573</v>
      </c>
    </row>
    <row r="110" spans="1:15" x14ac:dyDescent="0.7">
      <c r="A110" s="6"/>
      <c r="B110" s="6"/>
      <c r="C110" s="6">
        <v>18</v>
      </c>
      <c r="D110" s="7">
        <v>14.166</v>
      </c>
      <c r="E110" s="4">
        <v>3.5</v>
      </c>
      <c r="F110" s="7">
        <v>14.166</v>
      </c>
      <c r="G110" s="15">
        <f t="shared" ref="G110" si="213">F110*86400</f>
        <v>1223942.4000000001</v>
      </c>
      <c r="H110" s="21">
        <f t="shared" ref="H110" si="214">G110/1000000</f>
        <v>1.2239424000000001</v>
      </c>
      <c r="I110" s="20">
        <f t="shared" si="40"/>
        <v>55077.408000000003</v>
      </c>
      <c r="J110" s="28">
        <v>4.2606844444444403E-2</v>
      </c>
      <c r="K110" s="20">
        <f t="shared" si="41"/>
        <v>6609.2889599999999</v>
      </c>
      <c r="L110" s="17">
        <v>3.2355733333331603E-2</v>
      </c>
      <c r="M110" s="17">
        <f t="shared" ref="M110" si="215">J110+L110</f>
        <v>7.4962577777776013E-2</v>
      </c>
      <c r="N110" s="20">
        <f t="shared" si="43"/>
        <v>0.12239424000000002</v>
      </c>
      <c r="O110" s="7">
        <f t="shared" ref="O110" si="216">H110-M110-N110</f>
        <v>1.0265855822222241</v>
      </c>
    </row>
    <row r="111" spans="1:15" x14ac:dyDescent="0.7">
      <c r="A111" s="6"/>
      <c r="B111" s="6"/>
      <c r="C111" s="6">
        <v>19</v>
      </c>
      <c r="D111" s="7">
        <v>14.16</v>
      </c>
      <c r="E111" s="4">
        <v>7.4</v>
      </c>
      <c r="F111" s="7">
        <v>14.16</v>
      </c>
      <c r="G111" s="15">
        <f t="shared" ref="G111" si="217">F111*86400</f>
        <v>1223424</v>
      </c>
      <c r="H111" s="21">
        <f t="shared" ref="H111" si="218">G111/1000000</f>
        <v>1.2234240000000001</v>
      </c>
      <c r="I111" s="20">
        <f t="shared" si="40"/>
        <v>55054.079999999994</v>
      </c>
      <c r="J111" s="28">
        <v>4.2986294444444399E-2</v>
      </c>
      <c r="K111" s="20">
        <f t="shared" si="41"/>
        <v>6606.489599999999</v>
      </c>
      <c r="L111" s="17">
        <v>3.2726266666664901E-2</v>
      </c>
      <c r="M111" s="17">
        <f t="shared" ref="M111" si="219">J111+L111</f>
        <v>7.57125611111093E-2</v>
      </c>
      <c r="N111" s="20">
        <f t="shared" si="43"/>
        <v>0.12234240000000002</v>
      </c>
      <c r="O111" s="7">
        <f t="shared" ref="O111" si="220">H111-M111-N111</f>
        <v>1.0253690388888907</v>
      </c>
    </row>
    <row r="112" spans="1:15" x14ac:dyDescent="0.7">
      <c r="A112" s="6"/>
      <c r="B112" s="6"/>
      <c r="C112" s="6">
        <v>20</v>
      </c>
      <c r="D112" s="7">
        <v>14.16</v>
      </c>
      <c r="E112" s="4">
        <v>0.2</v>
      </c>
      <c r="F112" s="7">
        <v>14.16</v>
      </c>
      <c r="G112" s="15">
        <f t="shared" ref="G112" si="221">F112*86400</f>
        <v>1223424</v>
      </c>
      <c r="H112" s="21">
        <f t="shared" ref="H112" si="222">G112/1000000</f>
        <v>1.2234240000000001</v>
      </c>
      <c r="I112" s="20">
        <f t="shared" si="40"/>
        <v>55054.079999999994</v>
      </c>
      <c r="J112" s="28">
        <v>4.3365744444444403E-2</v>
      </c>
      <c r="K112" s="20">
        <f t="shared" si="41"/>
        <v>6606.489599999999</v>
      </c>
      <c r="L112" s="17">
        <v>3.3096799999998198E-2</v>
      </c>
      <c r="M112" s="17">
        <f t="shared" ref="M112" si="223">J112+L112</f>
        <v>7.6462544444442601E-2</v>
      </c>
      <c r="N112" s="20">
        <f t="shared" si="43"/>
        <v>0.12234240000000002</v>
      </c>
      <c r="O112" s="7">
        <f t="shared" ref="O112" si="224">H112-M112-N112</f>
        <v>1.0246190555555574</v>
      </c>
    </row>
    <row r="113" spans="1:15" x14ac:dyDescent="0.7">
      <c r="A113" s="6"/>
      <c r="B113" s="6"/>
      <c r="C113" s="6">
        <v>21</v>
      </c>
      <c r="D113" s="7">
        <v>12.191000000000001</v>
      </c>
      <c r="E113" s="4">
        <v>0.2</v>
      </c>
      <c r="F113" s="7">
        <v>12.191000000000001</v>
      </c>
      <c r="G113" s="15">
        <f t="shared" ref="G113" si="225">F113*86400</f>
        <v>1053302.4000000001</v>
      </c>
      <c r="H113" s="21">
        <f t="shared" ref="H113" si="226">G113/1000000</f>
        <v>1.0533024000000002</v>
      </c>
      <c r="I113" s="20">
        <f t="shared" si="40"/>
        <v>47398.608000000007</v>
      </c>
      <c r="J113" s="28">
        <v>4.3745194444444399E-2</v>
      </c>
      <c r="K113" s="20">
        <f t="shared" si="41"/>
        <v>5687.8329600000006</v>
      </c>
      <c r="L113" s="17">
        <v>3.3467333333331503E-2</v>
      </c>
      <c r="M113" s="17">
        <f t="shared" ref="M113" si="227">J113+L113</f>
        <v>7.7212527777775902E-2</v>
      </c>
      <c r="N113" s="20">
        <f t="shared" si="43"/>
        <v>0.10533024000000002</v>
      </c>
      <c r="O113" s="7">
        <f t="shared" ref="O113" si="228">H113-M113-N113</f>
        <v>0.8707596322222243</v>
      </c>
    </row>
    <row r="114" spans="1:15" x14ac:dyDescent="0.7">
      <c r="A114" s="6"/>
      <c r="B114" s="6"/>
      <c r="C114" s="6">
        <v>22</v>
      </c>
      <c r="D114" s="7">
        <v>8.1280000000000001</v>
      </c>
      <c r="E114" s="4">
        <v>0.9</v>
      </c>
      <c r="F114" s="7">
        <v>8.1280000000000001</v>
      </c>
      <c r="G114" s="15">
        <f t="shared" ref="G114" si="229">F114*86400</f>
        <v>702259.19999999995</v>
      </c>
      <c r="H114" s="21">
        <f t="shared" ref="H114" si="230">G114/1000000</f>
        <v>0.70225919999999997</v>
      </c>
      <c r="I114" s="20">
        <f t="shared" si="40"/>
        <v>31601.663999999997</v>
      </c>
      <c r="J114" s="28">
        <v>4.4124644444444402E-2</v>
      </c>
      <c r="K114" s="20">
        <f t="shared" si="41"/>
        <v>3792.1996799999997</v>
      </c>
      <c r="L114" s="17">
        <v>3.3837866666664801E-2</v>
      </c>
      <c r="M114" s="17">
        <f t="shared" ref="M114" si="231">J114+L114</f>
        <v>7.7962511111109203E-2</v>
      </c>
      <c r="N114" s="20">
        <f t="shared" si="43"/>
        <v>7.0225919999999997E-2</v>
      </c>
      <c r="O114" s="7">
        <f t="shared" ref="O114" si="232">H114-M114-N114</f>
        <v>0.55407076888889084</v>
      </c>
    </row>
    <row r="115" spans="1:15" x14ac:dyDescent="0.7">
      <c r="A115" s="6"/>
      <c r="B115" s="6"/>
      <c r="C115" s="6">
        <v>23</v>
      </c>
      <c r="D115" s="7">
        <v>7.3010000000000002</v>
      </c>
      <c r="E115" s="4">
        <v>0</v>
      </c>
      <c r="F115" s="7">
        <v>7.3010000000000002</v>
      </c>
      <c r="G115" s="15">
        <f t="shared" ref="G115" si="233">F115*86400</f>
        <v>630806.4</v>
      </c>
      <c r="H115" s="21">
        <f t="shared" ref="H115" si="234">G115/1000000</f>
        <v>0.63080639999999999</v>
      </c>
      <c r="I115" s="20">
        <f t="shared" si="40"/>
        <v>28386.288</v>
      </c>
      <c r="J115" s="28">
        <v>4.4504094444444399E-2</v>
      </c>
      <c r="K115" s="20">
        <f t="shared" si="41"/>
        <v>3406.3545599999998</v>
      </c>
      <c r="L115" s="17">
        <v>3.4208399999998099E-2</v>
      </c>
      <c r="M115" s="17">
        <f t="shared" ref="M115" si="235">J115+L115</f>
        <v>7.8712494444442505E-2</v>
      </c>
      <c r="N115" s="20">
        <f t="shared" si="43"/>
        <v>6.3080640000000007E-2</v>
      </c>
      <c r="O115" s="7">
        <f t="shared" ref="O115" si="236">H115-M115-N115</f>
        <v>0.48901326555555746</v>
      </c>
    </row>
    <row r="116" spans="1:15" x14ac:dyDescent="0.7">
      <c r="A116" s="6"/>
      <c r="B116" s="6"/>
      <c r="C116" s="6">
        <v>24</v>
      </c>
      <c r="D116" s="7">
        <v>6.9</v>
      </c>
      <c r="E116" s="4">
        <v>0</v>
      </c>
      <c r="F116" s="7">
        <v>6.9</v>
      </c>
      <c r="G116" s="15">
        <f t="shared" ref="G116" si="237">F116*86400</f>
        <v>596160</v>
      </c>
      <c r="H116" s="21">
        <f t="shared" ref="H116" si="238">G116/1000000</f>
        <v>0.59616000000000002</v>
      </c>
      <c r="I116" s="20">
        <f t="shared" si="40"/>
        <v>26827.200000000001</v>
      </c>
      <c r="J116" s="28">
        <v>4.4883544444444402E-2</v>
      </c>
      <c r="K116" s="20">
        <f t="shared" si="41"/>
        <v>3219.2640000000001</v>
      </c>
      <c r="L116" s="17">
        <v>3.4578933333331403E-2</v>
      </c>
      <c r="M116" s="17">
        <f t="shared" ref="M116" si="239">J116+L116</f>
        <v>7.9462477777775806E-2</v>
      </c>
      <c r="N116" s="20">
        <f t="shared" si="43"/>
        <v>5.9616000000000002E-2</v>
      </c>
      <c r="O116" s="7">
        <f t="shared" ref="O116" si="240">H116-M116-N116</f>
        <v>0.4570815222222242</v>
      </c>
    </row>
    <row r="117" spans="1:15" x14ac:dyDescent="0.7">
      <c r="A117" s="6"/>
      <c r="B117" s="6"/>
      <c r="C117" s="6">
        <v>25</v>
      </c>
      <c r="D117" s="7">
        <v>6.9</v>
      </c>
      <c r="E117" s="4">
        <v>0</v>
      </c>
      <c r="F117" s="7">
        <v>6.9</v>
      </c>
      <c r="G117" s="15">
        <f t="shared" ref="G117" si="241">F117*86400</f>
        <v>596160</v>
      </c>
      <c r="H117" s="21">
        <f t="shared" ref="H117" si="242">G117/1000000</f>
        <v>0.59616000000000002</v>
      </c>
      <c r="I117" s="20">
        <f t="shared" si="40"/>
        <v>26827.200000000001</v>
      </c>
      <c r="J117" s="28">
        <v>4.5262994444444399E-2</v>
      </c>
      <c r="K117" s="20">
        <f t="shared" si="41"/>
        <v>3219.2640000000001</v>
      </c>
      <c r="L117" s="17">
        <v>3.4949466666664701E-2</v>
      </c>
      <c r="M117" s="17">
        <f t="shared" ref="M117" si="243">J117+L117</f>
        <v>8.0212461111109107E-2</v>
      </c>
      <c r="N117" s="20">
        <f t="shared" si="43"/>
        <v>5.9616000000000002E-2</v>
      </c>
      <c r="O117" s="7">
        <f t="shared" ref="O117" si="244">H117-M117-N117</f>
        <v>0.45633153888889089</v>
      </c>
    </row>
    <row r="118" spans="1:15" x14ac:dyDescent="0.7">
      <c r="A118" s="6"/>
      <c r="B118" s="6"/>
      <c r="C118" s="6">
        <v>26</v>
      </c>
      <c r="D118" s="7">
        <v>6.9</v>
      </c>
      <c r="E118" s="4">
        <v>9.5</v>
      </c>
      <c r="F118" s="7">
        <v>6.9</v>
      </c>
      <c r="G118" s="15">
        <f t="shared" ref="G118" si="245">F118*86400</f>
        <v>596160</v>
      </c>
      <c r="H118" s="21">
        <f t="shared" ref="H118" si="246">G118/1000000</f>
        <v>0.59616000000000002</v>
      </c>
      <c r="I118" s="20">
        <f t="shared" si="40"/>
        <v>26827.200000000001</v>
      </c>
      <c r="J118" s="28">
        <v>4.5642444444444402E-2</v>
      </c>
      <c r="K118" s="20">
        <f t="shared" si="41"/>
        <v>3219.2640000000001</v>
      </c>
      <c r="L118" s="17">
        <v>3.5319999999997999E-2</v>
      </c>
      <c r="M118" s="17">
        <f t="shared" ref="M118" si="247">J118+L118</f>
        <v>8.0962444444442394E-2</v>
      </c>
      <c r="N118" s="20">
        <f t="shared" si="43"/>
        <v>5.9616000000000002E-2</v>
      </c>
      <c r="O118" s="7">
        <f t="shared" ref="O118" si="248">H118-M118-N118</f>
        <v>0.45558155555555768</v>
      </c>
    </row>
    <row r="119" spans="1:15" x14ac:dyDescent="0.7">
      <c r="A119" s="6"/>
      <c r="B119" s="6"/>
      <c r="C119" s="6">
        <v>27</v>
      </c>
      <c r="D119" s="7">
        <v>13.164999999999999</v>
      </c>
      <c r="E119" s="4">
        <v>14.5</v>
      </c>
      <c r="F119" s="7">
        <v>13.164999999999999</v>
      </c>
      <c r="G119" s="15">
        <f t="shared" ref="G119" si="249">F119*86400</f>
        <v>1137456</v>
      </c>
      <c r="H119" s="21">
        <f t="shared" ref="H119" si="250">G119/1000000</f>
        <v>1.137456</v>
      </c>
      <c r="I119" s="20">
        <f t="shared" si="40"/>
        <v>51185.52</v>
      </c>
      <c r="J119" s="28">
        <v>4.6021894444444399E-2</v>
      </c>
      <c r="K119" s="20">
        <f t="shared" si="41"/>
        <v>6142.2623999999996</v>
      </c>
      <c r="L119" s="17">
        <v>3.5690533333331297E-2</v>
      </c>
      <c r="M119" s="17">
        <f t="shared" ref="M119" si="251">J119+L119</f>
        <v>8.1712427777775695E-2</v>
      </c>
      <c r="N119" s="20">
        <f t="shared" si="43"/>
        <v>0.1137456</v>
      </c>
      <c r="O119" s="7">
        <f t="shared" ref="O119" si="252">H119-M119-N119</f>
        <v>0.94199797222222437</v>
      </c>
    </row>
    <row r="120" spans="1:15" x14ac:dyDescent="0.7">
      <c r="A120" s="12"/>
      <c r="B120" s="12"/>
      <c r="C120" s="12">
        <v>28</v>
      </c>
      <c r="D120" s="30">
        <v>16.236999999999998</v>
      </c>
      <c r="E120" s="4">
        <v>26.5</v>
      </c>
      <c r="F120" s="30">
        <v>16.236999999999998</v>
      </c>
      <c r="G120" s="31">
        <f t="shared" ref="G120" si="253">F120*86400</f>
        <v>1402876.7999999998</v>
      </c>
      <c r="H120" s="32">
        <f t="shared" ref="H120" si="254">G120/1000000</f>
        <v>1.4028767999999998</v>
      </c>
      <c r="I120" s="20">
        <f t="shared" si="40"/>
        <v>63129.455999999991</v>
      </c>
      <c r="J120" s="34">
        <v>4.6401344444444402E-2</v>
      </c>
      <c r="K120" s="20">
        <f t="shared" si="41"/>
        <v>7575.5347199999987</v>
      </c>
      <c r="L120" s="33">
        <v>3.6061066666664601E-2</v>
      </c>
      <c r="M120" s="33">
        <f t="shared" ref="M120" si="255">J120+L120</f>
        <v>8.2462411111108996E-2</v>
      </c>
      <c r="N120" s="20">
        <f t="shared" si="43"/>
        <v>0.14028768</v>
      </c>
      <c r="O120" s="30">
        <f t="shared" ref="O120" si="256">H120-M120-N120</f>
        <v>1.1801267088888909</v>
      </c>
    </row>
    <row r="121" spans="1:15" s="37" customFormat="1" x14ac:dyDescent="0.7">
      <c r="A121" s="6"/>
      <c r="B121" s="6"/>
      <c r="C121" s="6">
        <v>29</v>
      </c>
      <c r="D121" s="7">
        <v>24.187000000000001</v>
      </c>
      <c r="E121" s="4">
        <v>15.6</v>
      </c>
      <c r="F121" s="7">
        <v>24.187000000000001</v>
      </c>
      <c r="G121" s="35">
        <f t="shared" ref="G121" si="257">F121*86400</f>
        <v>2089756.8</v>
      </c>
      <c r="H121" s="20">
        <f t="shared" ref="H121" si="258">G121/1000000</f>
        <v>2.0897568</v>
      </c>
      <c r="I121" s="20">
        <f t="shared" si="40"/>
        <v>94039.055999999997</v>
      </c>
      <c r="J121" s="28">
        <v>4.6780794444444398E-2</v>
      </c>
      <c r="K121" s="20">
        <f t="shared" si="41"/>
        <v>11284.68672</v>
      </c>
      <c r="L121" s="17">
        <v>3.6431599999997899E-2</v>
      </c>
      <c r="M121" s="17">
        <f t="shared" ref="M121" si="259">J121+L121</f>
        <v>8.3212394444442297E-2</v>
      </c>
      <c r="N121" s="20">
        <f t="shared" si="43"/>
        <v>0.20897568</v>
      </c>
      <c r="O121" s="7">
        <f t="shared" ref="O121" si="260">H121-M121-N121</f>
        <v>1.7975687255555575</v>
      </c>
    </row>
    <row r="122" spans="1:15" s="13" customFormat="1" ht="25.2" thickBot="1" x14ac:dyDescent="0.75">
      <c r="A122" s="11"/>
      <c r="B122" s="9" t="s">
        <v>18</v>
      </c>
      <c r="C122" s="11">
        <v>30</v>
      </c>
      <c r="D122" s="19">
        <v>26.646000000000001</v>
      </c>
      <c r="E122" s="19">
        <v>9</v>
      </c>
      <c r="F122" s="19">
        <v>26.646000000000001</v>
      </c>
      <c r="G122" s="26">
        <f t="shared" ref="G122" si="261">F122*86400</f>
        <v>2302214.4</v>
      </c>
      <c r="H122" s="27">
        <f t="shared" ref="H122" si="262">G122/1000000</f>
        <v>2.3022144</v>
      </c>
      <c r="I122" s="22">
        <f t="shared" si="40"/>
        <v>103599.64799999999</v>
      </c>
      <c r="J122" s="39">
        <v>4.7160244444444402E-2</v>
      </c>
      <c r="K122" s="22">
        <f t="shared" si="41"/>
        <v>12431.957759999998</v>
      </c>
      <c r="L122" s="38">
        <v>3.6802133333331197E-2</v>
      </c>
      <c r="M122" s="38">
        <f t="shared" ref="M122" si="263">J122+L122</f>
        <v>8.3962377777775599E-2</v>
      </c>
      <c r="N122" s="22">
        <f t="shared" si="43"/>
        <v>0.23022144</v>
      </c>
      <c r="O122" s="19">
        <f t="shared" ref="O122" si="264">H122-M122-N122</f>
        <v>1.9880305822222246</v>
      </c>
    </row>
    <row r="123" spans="1:15" x14ac:dyDescent="0.7">
      <c r="A123" s="3"/>
      <c r="B123" s="3" t="s">
        <v>19</v>
      </c>
      <c r="C123" s="3">
        <v>1</v>
      </c>
      <c r="D123" s="4">
        <v>30.48</v>
      </c>
      <c r="E123" s="4">
        <v>9</v>
      </c>
      <c r="F123" s="4">
        <v>30.48</v>
      </c>
      <c r="G123" s="15">
        <f t="shared" ref="G123" si="265">F123*86400</f>
        <v>2633472</v>
      </c>
      <c r="H123" s="21">
        <f t="shared" ref="H123" si="266">G123/1000000</f>
        <v>2.6334719999999998</v>
      </c>
      <c r="I123" s="21">
        <f t="shared" si="40"/>
        <v>118506.23999999999</v>
      </c>
      <c r="J123" s="25">
        <v>4.7539694444444398E-2</v>
      </c>
      <c r="K123" s="21">
        <f t="shared" si="41"/>
        <v>14220.748799999998</v>
      </c>
      <c r="L123" s="16">
        <v>3.7172666666664501E-2</v>
      </c>
      <c r="M123" s="16">
        <f t="shared" ref="M123" si="267">J123+L123</f>
        <v>8.47123611111089E-2</v>
      </c>
      <c r="N123" s="21">
        <f t="shared" si="43"/>
        <v>0.2633472</v>
      </c>
      <c r="O123" s="4">
        <f t="shared" ref="O123" si="268">H123-M123-N123</f>
        <v>2.285412438888891</v>
      </c>
    </row>
    <row r="124" spans="1:15" x14ac:dyDescent="0.7">
      <c r="A124" s="6"/>
      <c r="B124" s="3"/>
      <c r="C124" s="6">
        <v>2</v>
      </c>
      <c r="D124" s="7">
        <v>14.166</v>
      </c>
      <c r="E124" s="4">
        <v>0</v>
      </c>
      <c r="F124" s="7">
        <v>14.166</v>
      </c>
      <c r="G124" s="15">
        <f t="shared" ref="G124" si="269">F124*86400</f>
        <v>1223942.4000000001</v>
      </c>
      <c r="H124" s="21">
        <f t="shared" ref="H124" si="270">G124/1000000</f>
        <v>1.2239424000000001</v>
      </c>
      <c r="I124" s="20">
        <f t="shared" si="40"/>
        <v>55077.408000000003</v>
      </c>
      <c r="J124" s="28">
        <v>4.7919144444444402E-2</v>
      </c>
      <c r="K124" s="20">
        <f t="shared" si="41"/>
        <v>6609.2889599999999</v>
      </c>
      <c r="L124" s="17">
        <v>3.7543199999997799E-2</v>
      </c>
      <c r="M124" s="17">
        <f t="shared" ref="M124" si="271">J124+L124</f>
        <v>8.5462344444442201E-2</v>
      </c>
      <c r="N124" s="20">
        <f t="shared" si="43"/>
        <v>0.12239424000000002</v>
      </c>
      <c r="O124" s="7">
        <f t="shared" ref="O124" si="272">H124-M124-N124</f>
        <v>1.0160858155555579</v>
      </c>
    </row>
    <row r="125" spans="1:15" x14ac:dyDescent="0.7">
      <c r="A125" s="6"/>
      <c r="B125" s="6"/>
      <c r="C125" s="6">
        <v>3</v>
      </c>
      <c r="D125" s="7">
        <v>11.241</v>
      </c>
      <c r="E125" s="4">
        <v>0</v>
      </c>
      <c r="F125" s="7">
        <v>11.241</v>
      </c>
      <c r="G125" s="15">
        <f t="shared" ref="G125" si="273">F125*86400</f>
        <v>971222.4</v>
      </c>
      <c r="H125" s="21">
        <f t="shared" ref="H125" si="274">G125/1000000</f>
        <v>0.97122240000000004</v>
      </c>
      <c r="I125" s="20">
        <f t="shared" si="40"/>
        <v>43705.008000000002</v>
      </c>
      <c r="J125" s="28">
        <v>4.8298594444444398E-2</v>
      </c>
      <c r="K125" s="20">
        <f t="shared" si="41"/>
        <v>5244.6009599999998</v>
      </c>
      <c r="L125" s="17">
        <v>3.7913733333331097E-2</v>
      </c>
      <c r="M125" s="17">
        <f t="shared" ref="M125" si="275">J125+L125</f>
        <v>8.6212327777775488E-2</v>
      </c>
      <c r="N125" s="20">
        <f t="shared" si="43"/>
        <v>9.7122240000000012E-2</v>
      </c>
      <c r="O125" s="7">
        <f t="shared" ref="O125" si="276">H125-M125-N125</f>
        <v>0.78788783222222447</v>
      </c>
    </row>
    <row r="126" spans="1:15" x14ac:dyDescent="0.7">
      <c r="A126" s="6"/>
      <c r="B126" s="6"/>
      <c r="C126" s="6">
        <v>4</v>
      </c>
      <c r="D126" s="7">
        <v>11.343999999999999</v>
      </c>
      <c r="E126" s="4">
        <v>0</v>
      </c>
      <c r="F126" s="7">
        <v>11.343999999999999</v>
      </c>
      <c r="G126" s="15">
        <f t="shared" ref="G126" si="277">F126*86400</f>
        <v>980121.59999999998</v>
      </c>
      <c r="H126" s="21">
        <f t="shared" ref="H126" si="278">G126/1000000</f>
        <v>0.98012159999999993</v>
      </c>
      <c r="I126" s="20">
        <f t="shared" si="40"/>
        <v>44105.471999999994</v>
      </c>
      <c r="J126" s="28">
        <v>4.8678044444444402E-2</v>
      </c>
      <c r="K126" s="20">
        <f t="shared" si="41"/>
        <v>5292.6566399999992</v>
      </c>
      <c r="L126" s="17">
        <v>3.8284266666664402E-2</v>
      </c>
      <c r="M126" s="17">
        <f t="shared" ref="M126" si="279">J126+L126</f>
        <v>8.6962311111108803E-2</v>
      </c>
      <c r="N126" s="20">
        <f t="shared" si="43"/>
        <v>9.8012160000000001E-2</v>
      </c>
      <c r="O126" s="7">
        <f t="shared" ref="O126" si="280">H126-M126-N126</f>
        <v>0.79514712888889105</v>
      </c>
    </row>
    <row r="127" spans="1:15" x14ac:dyDescent="0.7">
      <c r="A127" s="6"/>
      <c r="B127" s="6"/>
      <c r="C127" s="6">
        <v>5</v>
      </c>
      <c r="D127" s="7">
        <v>9.6449999999999996</v>
      </c>
      <c r="E127" s="4">
        <v>0</v>
      </c>
      <c r="F127" s="7">
        <v>9.6449999999999996</v>
      </c>
      <c r="G127" s="15">
        <f t="shared" ref="G127" si="281">F127*86400</f>
        <v>833328</v>
      </c>
      <c r="H127" s="21">
        <f t="shared" ref="H127" si="282">G127/1000000</f>
        <v>0.83332799999999996</v>
      </c>
      <c r="I127" s="20">
        <f t="shared" si="40"/>
        <v>37499.760000000002</v>
      </c>
      <c r="J127" s="28">
        <v>4.9057494444444398E-2</v>
      </c>
      <c r="K127" s="20">
        <f t="shared" si="41"/>
        <v>4499.9712</v>
      </c>
      <c r="L127" s="17">
        <v>3.8654799999997699E-2</v>
      </c>
      <c r="M127" s="17">
        <f t="shared" ref="M127" si="283">J127+L127</f>
        <v>8.771229444444209E-2</v>
      </c>
      <c r="N127" s="20">
        <f t="shared" si="43"/>
        <v>8.3332799999999999E-2</v>
      </c>
      <c r="O127" s="7">
        <f t="shared" ref="O127" si="284">H127-M127-N127</f>
        <v>0.66228290555555791</v>
      </c>
    </row>
    <row r="128" spans="1:15" x14ac:dyDescent="0.7">
      <c r="A128" s="6"/>
      <c r="B128" s="6"/>
      <c r="C128" s="6">
        <v>6</v>
      </c>
      <c r="D128" s="7">
        <v>10.987</v>
      </c>
      <c r="E128" s="4">
        <v>35.5</v>
      </c>
      <c r="F128" s="7">
        <v>10.987</v>
      </c>
      <c r="G128" s="15">
        <f t="shared" ref="G128" si="285">F128*86400</f>
        <v>949276.8</v>
      </c>
      <c r="H128" s="21">
        <f t="shared" ref="H128" si="286">G128/1000000</f>
        <v>0.94927680000000003</v>
      </c>
      <c r="I128" s="20">
        <f t="shared" si="40"/>
        <v>42717.455999999998</v>
      </c>
      <c r="J128" s="28">
        <v>4.9436944444444401E-2</v>
      </c>
      <c r="K128" s="20">
        <f t="shared" si="41"/>
        <v>5126.0947200000001</v>
      </c>
      <c r="L128" s="17">
        <v>3.9025333333330997E-2</v>
      </c>
      <c r="M128" s="17">
        <f t="shared" ref="M128" si="287">J128+L128</f>
        <v>8.8462277777775405E-2</v>
      </c>
      <c r="N128" s="20">
        <f t="shared" si="43"/>
        <v>9.4927680000000014E-2</v>
      </c>
      <c r="O128" s="7">
        <f t="shared" ref="O128" si="288">H128-M128-N128</f>
        <v>0.7658868422222247</v>
      </c>
    </row>
    <row r="129" spans="1:15" x14ac:dyDescent="0.7">
      <c r="A129" s="6"/>
      <c r="B129" s="6"/>
      <c r="C129" s="6">
        <v>7</v>
      </c>
      <c r="D129" s="7">
        <v>18.373999999999999</v>
      </c>
      <c r="E129" s="4">
        <v>1.4</v>
      </c>
      <c r="F129" s="7">
        <v>18.373999999999999</v>
      </c>
      <c r="G129" s="15">
        <f t="shared" ref="G129" si="289">F129*86400</f>
        <v>1587513.5999999999</v>
      </c>
      <c r="H129" s="21">
        <f t="shared" ref="H129" si="290">G129/1000000</f>
        <v>1.5875135999999999</v>
      </c>
      <c r="I129" s="20">
        <f t="shared" si="40"/>
        <v>71438.111999999994</v>
      </c>
      <c r="J129" s="28">
        <v>4.9816394444444398E-2</v>
      </c>
      <c r="K129" s="20">
        <f t="shared" si="41"/>
        <v>8572.5734399999983</v>
      </c>
      <c r="L129" s="17">
        <v>3.9395866666664302E-2</v>
      </c>
      <c r="M129" s="17">
        <f t="shared" ref="M129" si="291">J129+L129</f>
        <v>8.9212261111108693E-2</v>
      </c>
      <c r="N129" s="20">
        <f t="shared" si="43"/>
        <v>0.15875136000000001</v>
      </c>
      <c r="O129" s="7">
        <f t="shared" ref="O129" si="292">H129-M129-N129</f>
        <v>1.3395499788888912</v>
      </c>
    </row>
    <row r="130" spans="1:15" x14ac:dyDescent="0.7">
      <c r="A130" s="6"/>
      <c r="B130" s="6"/>
      <c r="C130" s="6">
        <v>8</v>
      </c>
      <c r="D130" s="7">
        <v>15.684999999999999</v>
      </c>
      <c r="E130" s="4">
        <v>0</v>
      </c>
      <c r="F130" s="7">
        <v>15.684999999999999</v>
      </c>
      <c r="G130" s="15">
        <f t="shared" ref="G130" si="293">F130*86400</f>
        <v>1355184</v>
      </c>
      <c r="H130" s="21">
        <f t="shared" ref="H130" si="294">G130/1000000</f>
        <v>1.3551839999999999</v>
      </c>
      <c r="I130" s="20">
        <f t="shared" si="40"/>
        <v>60983.28</v>
      </c>
      <c r="J130" s="28">
        <v>5.0195844444444401E-2</v>
      </c>
      <c r="K130" s="20">
        <f t="shared" si="41"/>
        <v>7317.9935999999998</v>
      </c>
      <c r="L130" s="17">
        <v>3.97663999999976E-2</v>
      </c>
      <c r="M130" s="17">
        <f t="shared" ref="M130" si="295">J130+L130</f>
        <v>8.9962244444442008E-2</v>
      </c>
      <c r="N130" s="20">
        <f t="shared" si="43"/>
        <v>0.13551840000000001</v>
      </c>
      <c r="O130" s="7">
        <f t="shared" ref="O130" si="296">H130-M130-N130</f>
        <v>1.129703355555558</v>
      </c>
    </row>
    <row r="131" spans="1:15" x14ac:dyDescent="0.7">
      <c r="A131" s="6"/>
      <c r="B131" s="6"/>
      <c r="C131" s="6">
        <v>9</v>
      </c>
      <c r="D131" s="7">
        <v>11.788</v>
      </c>
      <c r="E131" s="4">
        <v>0</v>
      </c>
      <c r="F131" s="7">
        <v>11.788</v>
      </c>
      <c r="G131" s="15">
        <f t="shared" ref="G131" si="297">F131*86400</f>
        <v>1018483.2000000001</v>
      </c>
      <c r="H131" s="21">
        <f t="shared" ref="H131" si="298">G131/1000000</f>
        <v>1.0184832000000001</v>
      </c>
      <c r="I131" s="20">
        <f t="shared" ref="I131:I194" si="299">H131*1000000*0.045</f>
        <v>45831.744000000006</v>
      </c>
      <c r="J131" s="28">
        <v>5.0575294444444398E-2</v>
      </c>
      <c r="K131" s="20">
        <f t="shared" ref="K131:K194" si="300">I131*0.12</f>
        <v>5499.8092800000004</v>
      </c>
      <c r="L131" s="17">
        <v>4.0136933333330897E-2</v>
      </c>
      <c r="M131" s="17">
        <f t="shared" ref="M131" si="301">J131+L131</f>
        <v>9.0712227777775295E-2</v>
      </c>
      <c r="N131" s="20">
        <f t="shared" ref="N131:N194" si="302">H131*0.1</f>
        <v>0.10184832000000002</v>
      </c>
      <c r="O131" s="7">
        <f t="shared" ref="O131" si="303">H131-M131-N131</f>
        <v>0.82592265222222483</v>
      </c>
    </row>
    <row r="132" spans="1:15" x14ac:dyDescent="0.7">
      <c r="A132" s="6"/>
      <c r="B132" s="6"/>
      <c r="C132" s="6">
        <v>10</v>
      </c>
      <c r="D132" s="7">
        <v>12.191000000000001</v>
      </c>
      <c r="E132" s="4">
        <v>6.6</v>
      </c>
      <c r="F132" s="7">
        <v>12.191000000000001</v>
      </c>
      <c r="G132" s="15">
        <f t="shared" ref="G132" si="304">F132*86400</f>
        <v>1053302.4000000001</v>
      </c>
      <c r="H132" s="21">
        <f t="shared" ref="H132" si="305">G132/1000000</f>
        <v>1.0533024000000002</v>
      </c>
      <c r="I132" s="20">
        <f t="shared" si="299"/>
        <v>47398.608000000007</v>
      </c>
      <c r="J132" s="28">
        <v>5.0954744444444401E-2</v>
      </c>
      <c r="K132" s="20">
        <f t="shared" si="300"/>
        <v>5687.8329600000006</v>
      </c>
      <c r="L132" s="17">
        <v>4.0507466666664202E-2</v>
      </c>
      <c r="M132" s="17">
        <f t="shared" ref="M132" si="306">J132+L132</f>
        <v>9.146221111110861E-2</v>
      </c>
      <c r="N132" s="20">
        <f t="shared" si="302"/>
        <v>0.10533024000000002</v>
      </c>
      <c r="O132" s="7">
        <f t="shared" ref="O132" si="307">H132-M132-N132</f>
        <v>0.85650994888889154</v>
      </c>
    </row>
    <row r="133" spans="1:15" x14ac:dyDescent="0.7">
      <c r="A133" s="6"/>
      <c r="B133" s="6"/>
      <c r="C133" s="6">
        <v>11</v>
      </c>
      <c r="D133" s="7">
        <v>14.166</v>
      </c>
      <c r="E133" s="4">
        <v>34.200000000000003</v>
      </c>
      <c r="F133" s="7">
        <v>14.166</v>
      </c>
      <c r="G133" s="15">
        <f t="shared" ref="G133" si="308">F133*86400</f>
        <v>1223942.4000000001</v>
      </c>
      <c r="H133" s="21">
        <f t="shared" ref="H133" si="309">G133/1000000</f>
        <v>1.2239424000000001</v>
      </c>
      <c r="I133" s="20">
        <f t="shared" si="299"/>
        <v>55077.408000000003</v>
      </c>
      <c r="J133" s="28">
        <v>5.1334194444444398E-2</v>
      </c>
      <c r="K133" s="20">
        <f t="shared" si="300"/>
        <v>6609.2889599999999</v>
      </c>
      <c r="L133" s="17">
        <v>4.08779999999975E-2</v>
      </c>
      <c r="M133" s="17">
        <f t="shared" ref="M133" si="310">J133+L133</f>
        <v>9.2212194444441897E-2</v>
      </c>
      <c r="N133" s="20">
        <f t="shared" si="302"/>
        <v>0.12239424000000002</v>
      </c>
      <c r="O133" s="7">
        <f t="shared" ref="O133" si="311">H133-M133-N133</f>
        <v>1.0093359655555583</v>
      </c>
    </row>
    <row r="134" spans="1:15" x14ac:dyDescent="0.7">
      <c r="A134" s="6"/>
      <c r="B134" s="6"/>
      <c r="C134" s="6">
        <v>12</v>
      </c>
      <c r="D134" s="7">
        <v>15.189</v>
      </c>
      <c r="E134" s="4">
        <v>0</v>
      </c>
      <c r="F134" s="7">
        <v>15.189</v>
      </c>
      <c r="G134" s="15">
        <f t="shared" ref="G134" si="312">F134*86400</f>
        <v>1312329.6000000001</v>
      </c>
      <c r="H134" s="21">
        <f t="shared" ref="H134" si="313">G134/1000000</f>
        <v>1.3123296</v>
      </c>
      <c r="I134" s="20">
        <f t="shared" si="299"/>
        <v>59054.832000000002</v>
      </c>
      <c r="J134" s="28">
        <v>5.1713644444444401E-2</v>
      </c>
      <c r="K134" s="20">
        <f t="shared" si="300"/>
        <v>7086.5798400000003</v>
      </c>
      <c r="L134" s="17">
        <v>4.1248533333330797E-2</v>
      </c>
      <c r="M134" s="17">
        <f t="shared" ref="M134" si="314">J134+L134</f>
        <v>9.2962177777775198E-2</v>
      </c>
      <c r="N134" s="20">
        <f t="shared" si="302"/>
        <v>0.13123296000000001</v>
      </c>
      <c r="O134" s="7">
        <f t="shared" ref="O134" si="315">H134-M134-N134</f>
        <v>1.0881344622222249</v>
      </c>
    </row>
    <row r="135" spans="1:15" x14ac:dyDescent="0.7">
      <c r="A135" s="6"/>
      <c r="B135" s="6"/>
      <c r="C135" s="6">
        <v>13</v>
      </c>
      <c r="D135" s="7">
        <v>12.675000000000001</v>
      </c>
      <c r="E135" s="4">
        <v>0</v>
      </c>
      <c r="F135" s="7">
        <v>12.675000000000001</v>
      </c>
      <c r="G135" s="15">
        <f t="shared" ref="G135" si="316">F135*86400</f>
        <v>1095120</v>
      </c>
      <c r="H135" s="21">
        <f t="shared" ref="H135" si="317">G135/1000000</f>
        <v>1.0951200000000001</v>
      </c>
      <c r="I135" s="20">
        <f t="shared" si="299"/>
        <v>49280.4</v>
      </c>
      <c r="J135" s="28">
        <v>5.2093094444444397E-2</v>
      </c>
      <c r="K135" s="20">
        <f t="shared" si="300"/>
        <v>5913.6480000000001</v>
      </c>
      <c r="L135" s="17">
        <v>4.1619066666664102E-2</v>
      </c>
      <c r="M135" s="17">
        <f t="shared" ref="M135" si="318">J135+L135</f>
        <v>9.37121611111085E-2</v>
      </c>
      <c r="N135" s="20">
        <f t="shared" si="302"/>
        <v>0.10951200000000001</v>
      </c>
      <c r="O135" s="7">
        <f t="shared" ref="O135" si="319">H135-M135-N135</f>
        <v>0.89189583888889157</v>
      </c>
    </row>
    <row r="136" spans="1:15" x14ac:dyDescent="0.7">
      <c r="A136" s="6"/>
      <c r="B136" s="6"/>
      <c r="C136" s="6">
        <v>14</v>
      </c>
      <c r="D136" s="7">
        <v>16.768999999999998</v>
      </c>
      <c r="E136" s="4">
        <v>15.1</v>
      </c>
      <c r="F136" s="7">
        <v>16.768999999999998</v>
      </c>
      <c r="G136" s="15">
        <f t="shared" ref="G136" si="320">F136*86400</f>
        <v>1448841.5999999999</v>
      </c>
      <c r="H136" s="21">
        <f t="shared" ref="H136" si="321">G136/1000000</f>
        <v>1.4488416</v>
      </c>
      <c r="I136" s="20">
        <f t="shared" si="299"/>
        <v>65197.871999999988</v>
      </c>
      <c r="J136" s="28">
        <v>5.2472544444444401E-2</v>
      </c>
      <c r="K136" s="20">
        <f t="shared" si="300"/>
        <v>7823.7446399999981</v>
      </c>
      <c r="L136" s="17">
        <v>4.19895999999974E-2</v>
      </c>
      <c r="M136" s="17">
        <f t="shared" ref="M136" si="322">J136+L136</f>
        <v>9.4462144444441801E-2</v>
      </c>
      <c r="N136" s="20">
        <f t="shared" si="302"/>
        <v>0.14488416000000001</v>
      </c>
      <c r="O136" s="7">
        <f t="shared" ref="O136" si="323">H136-M136-N136</f>
        <v>1.2094952955555582</v>
      </c>
    </row>
    <row r="137" spans="1:15" x14ac:dyDescent="0.7">
      <c r="A137" s="6"/>
      <c r="B137" s="6"/>
      <c r="C137" s="6">
        <v>15</v>
      </c>
      <c r="D137" s="7">
        <v>22.988</v>
      </c>
      <c r="E137" s="4">
        <v>0.8</v>
      </c>
      <c r="F137" s="7">
        <v>22.988</v>
      </c>
      <c r="G137" s="15">
        <f t="shared" ref="G137" si="324">F137*86400</f>
        <v>1986163.2</v>
      </c>
      <c r="H137" s="21">
        <f t="shared" ref="H137" si="325">G137/1000000</f>
        <v>1.9861632</v>
      </c>
      <c r="I137" s="20">
        <f t="shared" si="299"/>
        <v>89377.343999999997</v>
      </c>
      <c r="J137" s="28">
        <v>5.2851994444444397E-2</v>
      </c>
      <c r="K137" s="20">
        <f t="shared" si="300"/>
        <v>10725.281279999999</v>
      </c>
      <c r="L137" s="17">
        <v>4.2360133333330698E-2</v>
      </c>
      <c r="M137" s="17">
        <f t="shared" ref="M137" si="326">J137+L137</f>
        <v>9.5212127777775102E-2</v>
      </c>
      <c r="N137" s="20">
        <f t="shared" si="302"/>
        <v>0.19861632000000001</v>
      </c>
      <c r="O137" s="7">
        <f t="shared" ref="O137" si="327">H137-M137-N137</f>
        <v>1.692334752222225</v>
      </c>
    </row>
    <row r="138" spans="1:15" x14ac:dyDescent="0.7">
      <c r="A138" s="6"/>
      <c r="B138" s="6"/>
      <c r="C138" s="6">
        <v>16</v>
      </c>
      <c r="D138" s="7">
        <v>27.905000000000001</v>
      </c>
      <c r="E138" s="4">
        <v>0.3</v>
      </c>
      <c r="F138" s="7">
        <v>27.905000000000001</v>
      </c>
      <c r="G138" s="15">
        <f t="shared" ref="G138" si="328">F138*86400</f>
        <v>2410992</v>
      </c>
      <c r="H138" s="21">
        <f t="shared" ref="H138" si="329">G138/1000000</f>
        <v>2.4109919999999998</v>
      </c>
      <c r="I138" s="20">
        <f t="shared" si="299"/>
        <v>108494.64</v>
      </c>
      <c r="J138" s="28">
        <v>5.3231444444444401E-2</v>
      </c>
      <c r="K138" s="20">
        <f t="shared" si="300"/>
        <v>13019.3568</v>
      </c>
      <c r="L138" s="17">
        <v>4.2730666666664002E-2</v>
      </c>
      <c r="M138" s="17">
        <f t="shared" ref="M138" si="330">J138+L138</f>
        <v>9.5962111111108403E-2</v>
      </c>
      <c r="N138" s="20">
        <f t="shared" si="302"/>
        <v>0.24109919999999999</v>
      </c>
      <c r="O138" s="7">
        <f t="shared" ref="O138" si="331">H138-M138-N138</f>
        <v>2.0739306888888915</v>
      </c>
    </row>
    <row r="139" spans="1:15" x14ac:dyDescent="0.7">
      <c r="A139" s="6"/>
      <c r="B139" s="6"/>
      <c r="C139" s="6">
        <v>17</v>
      </c>
      <c r="D139" s="7">
        <v>17.306999999999999</v>
      </c>
      <c r="E139" s="4">
        <v>0</v>
      </c>
      <c r="F139" s="7">
        <v>17.306999999999999</v>
      </c>
      <c r="G139" s="15">
        <f t="shared" ref="G139" si="332">F139*86400</f>
        <v>1495324.7999999998</v>
      </c>
      <c r="H139" s="21">
        <f t="shared" ref="H139" si="333">G139/1000000</f>
        <v>1.4953247999999999</v>
      </c>
      <c r="I139" s="20">
        <f t="shared" si="299"/>
        <v>67289.615999999995</v>
      </c>
      <c r="J139" s="28">
        <v>5.3610894444444397E-2</v>
      </c>
      <c r="K139" s="20">
        <f t="shared" si="300"/>
        <v>8074.7539199999992</v>
      </c>
      <c r="L139" s="17">
        <v>4.31011999999973E-2</v>
      </c>
      <c r="M139" s="17">
        <f t="shared" ref="M139" si="334">J139+L139</f>
        <v>9.6712094444441704E-2</v>
      </c>
      <c r="N139" s="20">
        <f t="shared" si="302"/>
        <v>0.14953248</v>
      </c>
      <c r="O139" s="7">
        <f t="shared" ref="O139" si="335">H139-M139-N139</f>
        <v>1.2490802255555582</v>
      </c>
    </row>
    <row r="140" spans="1:15" x14ac:dyDescent="0.7">
      <c r="A140" s="6"/>
      <c r="B140" s="6"/>
      <c r="C140" s="6">
        <v>18</v>
      </c>
      <c r="D140" s="7">
        <v>15.189</v>
      </c>
      <c r="E140" s="4">
        <v>6.4</v>
      </c>
      <c r="F140" s="7">
        <v>15.189</v>
      </c>
      <c r="G140" s="15">
        <f t="shared" ref="G140" si="336">F140*86400</f>
        <v>1312329.6000000001</v>
      </c>
      <c r="H140" s="21">
        <f t="shared" ref="H140" si="337">G140/1000000</f>
        <v>1.3123296</v>
      </c>
      <c r="I140" s="20">
        <f t="shared" si="299"/>
        <v>59054.832000000002</v>
      </c>
      <c r="J140" s="28">
        <v>5.3990344444444401E-2</v>
      </c>
      <c r="K140" s="20">
        <f t="shared" si="300"/>
        <v>7086.5798400000003</v>
      </c>
      <c r="L140" s="17">
        <v>4.3471733333330598E-2</v>
      </c>
      <c r="M140" s="17">
        <f t="shared" ref="M140" si="338">J140+L140</f>
        <v>9.7462077777774991E-2</v>
      </c>
      <c r="N140" s="20">
        <f t="shared" si="302"/>
        <v>0.13123296000000001</v>
      </c>
      <c r="O140" s="7">
        <f t="shared" ref="O140" si="339">H140-M140-N140</f>
        <v>1.083634562222225</v>
      </c>
    </row>
    <row r="141" spans="1:15" x14ac:dyDescent="0.7">
      <c r="A141" s="6"/>
      <c r="B141" s="6"/>
      <c r="C141" s="6">
        <v>19</v>
      </c>
      <c r="D141" s="7">
        <v>14.166</v>
      </c>
      <c r="E141" s="4">
        <v>0</v>
      </c>
      <c r="F141" s="7">
        <v>14.166</v>
      </c>
      <c r="G141" s="15">
        <f t="shared" ref="G141" si="340">F141*86400</f>
        <v>1223942.4000000001</v>
      </c>
      <c r="H141" s="21">
        <f t="shared" ref="H141" si="341">G141/1000000</f>
        <v>1.2239424000000001</v>
      </c>
      <c r="I141" s="20">
        <f t="shared" si="299"/>
        <v>55077.408000000003</v>
      </c>
      <c r="J141" s="28">
        <v>5.4369794444444397E-2</v>
      </c>
      <c r="K141" s="20">
        <f t="shared" si="300"/>
        <v>6609.2889599999999</v>
      </c>
      <c r="L141" s="17">
        <v>4.3842266666663902E-2</v>
      </c>
      <c r="M141" s="17">
        <f t="shared" ref="M141" si="342">J141+L141</f>
        <v>9.8212061111108306E-2</v>
      </c>
      <c r="N141" s="20">
        <f t="shared" si="302"/>
        <v>0.12239424000000002</v>
      </c>
      <c r="O141" s="7">
        <f t="shared" ref="O141" si="343">H141-M141-N141</f>
        <v>1.0033360988888917</v>
      </c>
    </row>
    <row r="142" spans="1:15" x14ac:dyDescent="0.7">
      <c r="A142" s="6"/>
      <c r="B142" s="6"/>
      <c r="C142" s="6">
        <v>20</v>
      </c>
      <c r="D142" s="7">
        <v>10.776</v>
      </c>
      <c r="E142" s="4">
        <v>0.8</v>
      </c>
      <c r="F142" s="7">
        <v>10.776</v>
      </c>
      <c r="G142" s="15">
        <f t="shared" ref="G142" si="344">F142*86400</f>
        <v>931046.40000000002</v>
      </c>
      <c r="H142" s="21">
        <f t="shared" ref="H142" si="345">G142/1000000</f>
        <v>0.93104640000000005</v>
      </c>
      <c r="I142" s="20">
        <f t="shared" si="299"/>
        <v>41897.087999999996</v>
      </c>
      <c r="J142" s="28">
        <v>5.47492444444444E-2</v>
      </c>
      <c r="K142" s="20">
        <f t="shared" si="300"/>
        <v>5027.6505599999991</v>
      </c>
      <c r="L142" s="17">
        <v>4.42127999999972E-2</v>
      </c>
      <c r="M142" s="17">
        <f t="shared" ref="M142" si="346">J142+L142</f>
        <v>9.8962044444441594E-2</v>
      </c>
      <c r="N142" s="20">
        <f t="shared" si="302"/>
        <v>9.3104640000000016E-2</v>
      </c>
      <c r="O142" s="7">
        <f t="shared" ref="O142" si="347">H142-M142-N142</f>
        <v>0.73897971555555841</v>
      </c>
    </row>
    <row r="143" spans="1:15" x14ac:dyDescent="0.7">
      <c r="A143" s="6"/>
      <c r="B143" s="6"/>
      <c r="C143" s="6">
        <v>21</v>
      </c>
      <c r="D143" s="7">
        <v>10.318</v>
      </c>
      <c r="E143" s="4">
        <v>11.2</v>
      </c>
      <c r="F143" s="7">
        <v>10.318</v>
      </c>
      <c r="G143" s="15">
        <f t="shared" ref="G143" si="348">F143*86400</f>
        <v>891475.2</v>
      </c>
      <c r="H143" s="21">
        <f t="shared" ref="H143" si="349">G143/1000000</f>
        <v>0.89147519999999991</v>
      </c>
      <c r="I143" s="20">
        <f t="shared" si="299"/>
        <v>40116.383999999998</v>
      </c>
      <c r="J143" s="28">
        <v>5.5128694444444397E-2</v>
      </c>
      <c r="K143" s="20">
        <f t="shared" si="300"/>
        <v>4813.9660799999992</v>
      </c>
      <c r="L143" s="17">
        <v>4.4583333333330498E-2</v>
      </c>
      <c r="M143" s="17">
        <f t="shared" ref="M143" si="350">J143+L143</f>
        <v>9.9712027777774895E-2</v>
      </c>
      <c r="N143" s="20">
        <f t="shared" si="302"/>
        <v>8.9147519999999994E-2</v>
      </c>
      <c r="O143" s="7">
        <f t="shared" ref="O143" si="351">H143-M143-N143</f>
        <v>0.702615652222225</v>
      </c>
    </row>
    <row r="144" spans="1:15" x14ac:dyDescent="0.7">
      <c r="A144" s="6"/>
      <c r="B144" s="6"/>
      <c r="C144" s="6">
        <v>22</v>
      </c>
      <c r="D144" s="7">
        <v>11.723000000000001</v>
      </c>
      <c r="E144" s="4">
        <v>23.4</v>
      </c>
      <c r="F144" s="7">
        <v>11.723000000000001</v>
      </c>
      <c r="G144" s="15">
        <f t="shared" ref="G144" si="352">F144*86400</f>
        <v>1012867.2000000001</v>
      </c>
      <c r="H144" s="21">
        <f t="shared" ref="H144" si="353">G144/1000000</f>
        <v>1.0128672000000001</v>
      </c>
      <c r="I144" s="20">
        <f t="shared" si="299"/>
        <v>45579.024000000005</v>
      </c>
      <c r="J144" s="28">
        <v>5.55081444444444E-2</v>
      </c>
      <c r="K144" s="20">
        <f t="shared" si="300"/>
        <v>5469.4828800000005</v>
      </c>
      <c r="L144" s="17">
        <v>4.4953866666663803E-2</v>
      </c>
      <c r="M144" s="17">
        <f t="shared" ref="M144" si="354">J144+L144</f>
        <v>0.1004620111111082</v>
      </c>
      <c r="N144" s="20">
        <f t="shared" si="302"/>
        <v>0.10128672000000001</v>
      </c>
      <c r="O144" s="7">
        <f t="shared" ref="O144" si="355">H144-M144-N144</f>
        <v>0.81111846888889183</v>
      </c>
    </row>
    <row r="145" spans="1:15" x14ac:dyDescent="0.7">
      <c r="A145" s="6"/>
      <c r="B145" s="6"/>
      <c r="C145" s="6">
        <v>23</v>
      </c>
      <c r="D145" s="7">
        <v>13.166</v>
      </c>
      <c r="E145" s="4">
        <v>17.5</v>
      </c>
      <c r="F145" s="7">
        <v>13.166</v>
      </c>
      <c r="G145" s="15">
        <f t="shared" ref="G145" si="356">F145*86400</f>
        <v>1137542.4000000001</v>
      </c>
      <c r="H145" s="21">
        <f t="shared" ref="H145" si="357">G145/1000000</f>
        <v>1.1375424000000001</v>
      </c>
      <c r="I145" s="20">
        <f t="shared" si="299"/>
        <v>51189.408000000003</v>
      </c>
      <c r="J145" s="28">
        <v>5.5887594444444397E-2</v>
      </c>
      <c r="K145" s="20">
        <f t="shared" si="300"/>
        <v>6142.7289600000004</v>
      </c>
      <c r="L145" s="17">
        <v>4.53243999999971E-2</v>
      </c>
      <c r="M145" s="17">
        <f t="shared" ref="M145" si="358">J145+L145</f>
        <v>0.1012119944444415</v>
      </c>
      <c r="N145" s="20">
        <f t="shared" si="302"/>
        <v>0.11375424000000001</v>
      </c>
      <c r="O145" s="7">
        <f t="shared" ref="O145" si="359">H145-M145-N145</f>
        <v>0.92257616555555866</v>
      </c>
    </row>
    <row r="146" spans="1:15" x14ac:dyDescent="0.7">
      <c r="A146" s="6"/>
      <c r="B146" s="6"/>
      <c r="C146" s="6">
        <v>24</v>
      </c>
      <c r="D146" s="7">
        <v>25.407</v>
      </c>
      <c r="E146" s="4">
        <v>68.3</v>
      </c>
      <c r="F146" s="7">
        <v>25.407</v>
      </c>
      <c r="G146" s="15">
        <f t="shared" ref="G146" si="360">F146*86400</f>
        <v>2195164.7999999998</v>
      </c>
      <c r="H146" s="21">
        <f t="shared" ref="H146" si="361">G146/1000000</f>
        <v>2.1951647999999997</v>
      </c>
      <c r="I146" s="20">
        <f t="shared" si="299"/>
        <v>98782.415999999983</v>
      </c>
      <c r="J146" s="28">
        <v>5.62670444444444E-2</v>
      </c>
      <c r="K146" s="20">
        <f t="shared" si="300"/>
        <v>11853.889919999998</v>
      </c>
      <c r="L146" s="17">
        <v>4.5694933333330398E-2</v>
      </c>
      <c r="M146" s="17">
        <f t="shared" ref="M146" si="362">J146+L146</f>
        <v>0.1019619777777748</v>
      </c>
      <c r="N146" s="20">
        <f t="shared" si="302"/>
        <v>0.21951647999999999</v>
      </c>
      <c r="O146" s="7">
        <f t="shared" ref="O146" si="363">H146-M146-N146</f>
        <v>1.8736863422222247</v>
      </c>
    </row>
    <row r="147" spans="1:15" x14ac:dyDescent="0.7">
      <c r="A147" s="6"/>
      <c r="B147" s="6"/>
      <c r="C147" s="6">
        <v>25</v>
      </c>
      <c r="D147" s="7">
        <v>35.850999999999999</v>
      </c>
      <c r="E147" s="4">
        <v>0.6</v>
      </c>
      <c r="F147" s="7">
        <v>35.850999999999999</v>
      </c>
      <c r="G147" s="15">
        <f t="shared" ref="G147" si="364">F147*86400</f>
        <v>3097526.4</v>
      </c>
      <c r="H147" s="21">
        <f t="shared" ref="H147" si="365">G147/1000000</f>
        <v>3.0975264</v>
      </c>
      <c r="I147" s="20">
        <f t="shared" si="299"/>
        <v>139388.68799999999</v>
      </c>
      <c r="J147" s="28">
        <v>5.6646494444444397E-2</v>
      </c>
      <c r="K147" s="20">
        <f t="shared" si="300"/>
        <v>16726.64256</v>
      </c>
      <c r="L147" s="17">
        <v>4.6065466666663703E-2</v>
      </c>
      <c r="M147" s="17">
        <f t="shared" ref="M147" si="366">J147+L147</f>
        <v>0.1027119611111081</v>
      </c>
      <c r="N147" s="20">
        <f t="shared" si="302"/>
        <v>0.30975264000000002</v>
      </c>
      <c r="O147" s="7">
        <f t="shared" ref="O147" si="367">H147-M147-N147</f>
        <v>2.6850617988888916</v>
      </c>
    </row>
    <row r="148" spans="1:15" x14ac:dyDescent="0.7">
      <c r="A148" s="6"/>
      <c r="B148" s="6"/>
      <c r="C148" s="6">
        <v>26</v>
      </c>
      <c r="D148" s="7">
        <v>25.407</v>
      </c>
      <c r="E148" s="4">
        <v>0</v>
      </c>
      <c r="F148" s="7">
        <v>25.407</v>
      </c>
      <c r="G148" s="15">
        <f t="shared" ref="G148" si="368">F148*86400</f>
        <v>2195164.7999999998</v>
      </c>
      <c r="H148" s="21">
        <f t="shared" ref="H148" si="369">G148/1000000</f>
        <v>2.1951647999999997</v>
      </c>
      <c r="I148" s="20">
        <f t="shared" si="299"/>
        <v>98782.415999999983</v>
      </c>
      <c r="J148" s="28">
        <v>5.70259444444444E-2</v>
      </c>
      <c r="K148" s="20">
        <f t="shared" si="300"/>
        <v>11853.889919999998</v>
      </c>
      <c r="L148" s="17">
        <v>4.6435999999996903E-2</v>
      </c>
      <c r="M148" s="17">
        <f t="shared" ref="M148" si="370">J148+L148</f>
        <v>0.1034619444444413</v>
      </c>
      <c r="N148" s="20">
        <f t="shared" si="302"/>
        <v>0.21951647999999999</v>
      </c>
      <c r="O148" s="7">
        <f t="shared" ref="O148" si="371">H148-M148-N148</f>
        <v>1.8721863755555586</v>
      </c>
    </row>
    <row r="149" spans="1:15" x14ac:dyDescent="0.7">
      <c r="A149" s="6"/>
      <c r="B149" s="6"/>
      <c r="C149" s="6">
        <v>27</v>
      </c>
      <c r="D149" s="7">
        <v>20.652000000000001</v>
      </c>
      <c r="E149" s="4">
        <v>0</v>
      </c>
      <c r="F149" s="7">
        <v>20.652000000000001</v>
      </c>
      <c r="G149" s="15">
        <f t="shared" ref="G149" si="372">F149*86400</f>
        <v>1784332.8</v>
      </c>
      <c r="H149" s="21">
        <f t="shared" ref="H149" si="373">G149/1000000</f>
        <v>1.7843328000000001</v>
      </c>
      <c r="I149" s="20">
        <f t="shared" si="299"/>
        <v>80294.975999999995</v>
      </c>
      <c r="J149" s="28">
        <v>5.7405394444444403E-2</v>
      </c>
      <c r="K149" s="20">
        <f t="shared" si="300"/>
        <v>9635.3971199999996</v>
      </c>
      <c r="L149" s="17">
        <v>4.6806533333330298E-2</v>
      </c>
      <c r="M149" s="17">
        <f t="shared" ref="M149" si="374">J149+L149</f>
        <v>0.1042119277777747</v>
      </c>
      <c r="N149" s="20">
        <f t="shared" si="302"/>
        <v>0.17843328000000003</v>
      </c>
      <c r="O149" s="7">
        <f t="shared" ref="O149" si="375">H149-M149-N149</f>
        <v>1.5016875922222255</v>
      </c>
    </row>
    <row r="150" spans="1:15" x14ac:dyDescent="0.7">
      <c r="A150" s="6"/>
      <c r="B150" s="6"/>
      <c r="C150" s="6">
        <v>28</v>
      </c>
      <c r="D150" s="7">
        <v>22.788</v>
      </c>
      <c r="E150" s="4">
        <v>0</v>
      </c>
      <c r="F150" s="7">
        <v>22.788</v>
      </c>
      <c r="G150" s="15">
        <f t="shared" ref="G150" si="376">F150*86400</f>
        <v>1968883.2</v>
      </c>
      <c r="H150" s="21">
        <f t="shared" ref="H150" si="377">G150/1000000</f>
        <v>1.9688832000000001</v>
      </c>
      <c r="I150" s="20">
        <f t="shared" si="299"/>
        <v>88599.743999999992</v>
      </c>
      <c r="J150" s="28">
        <v>5.77848444444444E-2</v>
      </c>
      <c r="K150" s="20">
        <f t="shared" si="300"/>
        <v>10631.969279999999</v>
      </c>
      <c r="L150" s="17">
        <v>4.7177066666663603E-2</v>
      </c>
      <c r="M150" s="17">
        <f t="shared" ref="M150" si="378">J150+L150</f>
        <v>0.104961911111108</v>
      </c>
      <c r="N150" s="20">
        <f t="shared" si="302"/>
        <v>0.19688832000000001</v>
      </c>
      <c r="O150" s="7">
        <f t="shared" ref="O150" si="379">H150-M150-N150</f>
        <v>1.6670329688888921</v>
      </c>
    </row>
    <row r="151" spans="1:15" x14ac:dyDescent="0.7">
      <c r="A151" s="12"/>
      <c r="B151" s="12"/>
      <c r="C151" s="12">
        <v>29</v>
      </c>
      <c r="D151" s="30">
        <v>17.099</v>
      </c>
      <c r="E151" s="4">
        <v>0</v>
      </c>
      <c r="F151" s="30">
        <v>17.099</v>
      </c>
      <c r="G151" s="31">
        <f t="shared" ref="G151" si="380">F151*86400</f>
        <v>1477353.6</v>
      </c>
      <c r="H151" s="32">
        <f t="shared" ref="H151" si="381">G151/1000000</f>
        <v>1.4773536</v>
      </c>
      <c r="I151" s="20">
        <f t="shared" si="299"/>
        <v>66480.911999999997</v>
      </c>
      <c r="J151" s="34">
        <v>5.8164294444444403E-2</v>
      </c>
      <c r="K151" s="20">
        <f t="shared" si="300"/>
        <v>7977.7094399999996</v>
      </c>
      <c r="L151" s="33">
        <v>4.7547599999996797E-2</v>
      </c>
      <c r="M151" s="33">
        <f t="shared" ref="M151" si="382">J151+L151</f>
        <v>0.10571189444444121</v>
      </c>
      <c r="N151" s="20">
        <f t="shared" si="302"/>
        <v>0.14773536000000001</v>
      </c>
      <c r="O151" s="30">
        <f t="shared" ref="O151" si="383">H151-M151-N151</f>
        <v>1.2239063455555588</v>
      </c>
    </row>
    <row r="152" spans="1:15" s="37" customFormat="1" x14ac:dyDescent="0.7">
      <c r="A152" s="6"/>
      <c r="B152" s="6"/>
      <c r="C152" s="6">
        <v>30</v>
      </c>
      <c r="D152" s="7">
        <v>18.732999999999997</v>
      </c>
      <c r="E152" s="4">
        <v>7.6</v>
      </c>
      <c r="F152" s="7">
        <v>18.732999999999997</v>
      </c>
      <c r="G152" s="35">
        <f t="shared" ref="G152" si="384">F152*86400</f>
        <v>1618531.1999999997</v>
      </c>
      <c r="H152" s="20">
        <f t="shared" ref="H152" si="385">G152/1000000</f>
        <v>1.6185311999999996</v>
      </c>
      <c r="I152" s="20">
        <f t="shared" si="299"/>
        <v>72833.90399999998</v>
      </c>
      <c r="J152" s="28">
        <v>5.85437444444444E-2</v>
      </c>
      <c r="K152" s="20">
        <f t="shared" si="300"/>
        <v>8740.0684799999981</v>
      </c>
      <c r="L152" s="17">
        <v>4.7918133333330198E-2</v>
      </c>
      <c r="M152" s="17">
        <f t="shared" ref="M152" si="386">J152+L152</f>
        <v>0.10646187777777461</v>
      </c>
      <c r="N152" s="20">
        <f t="shared" si="302"/>
        <v>0.16185311999999996</v>
      </c>
      <c r="O152" s="7">
        <f t="shared" ref="O152" si="387">H152-M152-N152</f>
        <v>1.350216202222225</v>
      </c>
    </row>
    <row r="153" spans="1:15" s="13" customFormat="1" ht="25.2" thickBot="1" x14ac:dyDescent="0.75">
      <c r="A153" s="11"/>
      <c r="B153" s="11" t="s">
        <v>19</v>
      </c>
      <c r="C153" s="11">
        <v>31</v>
      </c>
      <c r="D153" s="19">
        <v>18.399999999999999</v>
      </c>
      <c r="E153" s="19">
        <v>9.1</v>
      </c>
      <c r="F153" s="19">
        <v>18.399999999999999</v>
      </c>
      <c r="G153" s="26">
        <f t="shared" ref="G153" si="388">F153*86400</f>
        <v>1589759.9999999998</v>
      </c>
      <c r="H153" s="27">
        <f t="shared" ref="H153" si="389">G153/1000000</f>
        <v>1.5897599999999998</v>
      </c>
      <c r="I153" s="22">
        <f t="shared" si="299"/>
        <v>71539.199999999983</v>
      </c>
      <c r="J153" s="39">
        <v>5.8923194444444403E-2</v>
      </c>
      <c r="K153" s="22">
        <f t="shared" si="300"/>
        <v>8584.7039999999979</v>
      </c>
      <c r="L153" s="38">
        <v>4.8288666666663503E-2</v>
      </c>
      <c r="M153" s="38">
        <f t="shared" ref="M153" si="390">J153+L153</f>
        <v>0.10721186111110791</v>
      </c>
      <c r="N153" s="22">
        <f t="shared" si="302"/>
        <v>0.15897600000000001</v>
      </c>
      <c r="O153" s="19">
        <f t="shared" ref="O153" si="391">H153-M153-N153</f>
        <v>1.3235721388888919</v>
      </c>
    </row>
    <row r="154" spans="1:15" x14ac:dyDescent="0.7">
      <c r="A154" s="3"/>
      <c r="B154" s="3" t="s">
        <v>20</v>
      </c>
      <c r="C154" s="3">
        <v>1</v>
      </c>
      <c r="D154" s="4">
        <v>15.189</v>
      </c>
      <c r="E154" s="4">
        <v>12</v>
      </c>
      <c r="F154" s="4">
        <v>15.189</v>
      </c>
      <c r="G154" s="15">
        <f t="shared" ref="G154" si="392">F154*86400</f>
        <v>1312329.6000000001</v>
      </c>
      <c r="H154" s="21">
        <f t="shared" ref="H154" si="393">G154/1000000</f>
        <v>1.3123296</v>
      </c>
      <c r="I154" s="21">
        <f t="shared" si="299"/>
        <v>59054.832000000002</v>
      </c>
      <c r="J154" s="25">
        <v>5.93026444444444E-2</v>
      </c>
      <c r="K154" s="21">
        <f t="shared" si="300"/>
        <v>7086.5798400000003</v>
      </c>
      <c r="L154" s="16">
        <v>4.8659199999996697E-2</v>
      </c>
      <c r="M154" s="16">
        <f t="shared" ref="M154" si="394">J154+L154</f>
        <v>0.1079618444444411</v>
      </c>
      <c r="N154" s="21">
        <f t="shared" si="302"/>
        <v>0.13123296000000001</v>
      </c>
      <c r="O154" s="4">
        <f t="shared" ref="O154" si="395">H154-M154-N154</f>
        <v>1.073134795555559</v>
      </c>
    </row>
    <row r="155" spans="1:15" x14ac:dyDescent="0.7">
      <c r="A155" s="6"/>
      <c r="B155" s="6"/>
      <c r="C155" s="6">
        <v>2</v>
      </c>
      <c r="D155" s="7">
        <v>14.166</v>
      </c>
      <c r="E155" s="4">
        <v>6.6</v>
      </c>
      <c r="F155" s="7">
        <v>14.166</v>
      </c>
      <c r="G155" s="15">
        <f t="shared" ref="G155" si="396">F155*86400</f>
        <v>1223942.4000000001</v>
      </c>
      <c r="H155" s="21">
        <f t="shared" ref="H155" si="397">G155/1000000</f>
        <v>1.2239424000000001</v>
      </c>
      <c r="I155" s="20">
        <f t="shared" si="299"/>
        <v>55077.408000000003</v>
      </c>
      <c r="J155" s="28">
        <v>5.9682094444444403E-2</v>
      </c>
      <c r="K155" s="20">
        <f t="shared" si="300"/>
        <v>6609.2889599999999</v>
      </c>
      <c r="L155" s="17">
        <v>4.9029733333330001E-2</v>
      </c>
      <c r="M155" s="17">
        <f t="shared" ref="M155" si="398">J155+L155</f>
        <v>0.10871182777777441</v>
      </c>
      <c r="N155" s="20">
        <f t="shared" si="302"/>
        <v>0.12239424000000002</v>
      </c>
      <c r="O155" s="7">
        <f t="shared" ref="O155" si="399">H155-M155-N155</f>
        <v>0.99283633222222578</v>
      </c>
    </row>
    <row r="156" spans="1:15" x14ac:dyDescent="0.7">
      <c r="A156" s="6"/>
      <c r="B156" s="6"/>
      <c r="C156" s="6">
        <v>3</v>
      </c>
      <c r="D156" s="7">
        <v>20.652000000000001</v>
      </c>
      <c r="E156" s="4">
        <v>2.4</v>
      </c>
      <c r="F156" s="7">
        <v>20.652000000000001</v>
      </c>
      <c r="G156" s="15">
        <f t="shared" ref="G156" si="400">F156*86400</f>
        <v>1784332.8</v>
      </c>
      <c r="H156" s="21">
        <f t="shared" ref="H156" si="401">G156/1000000</f>
        <v>1.7843328000000001</v>
      </c>
      <c r="I156" s="20">
        <f t="shared" si="299"/>
        <v>80294.975999999995</v>
      </c>
      <c r="J156" s="28">
        <v>6.0061544444444399E-2</v>
      </c>
      <c r="K156" s="20">
        <f t="shared" si="300"/>
        <v>9635.3971199999996</v>
      </c>
      <c r="L156" s="17">
        <v>4.9400266666663299E-2</v>
      </c>
      <c r="M156" s="17">
        <f t="shared" ref="M156" si="402">J156+L156</f>
        <v>0.1094618111111077</v>
      </c>
      <c r="N156" s="20">
        <f t="shared" si="302"/>
        <v>0.17843328000000003</v>
      </c>
      <c r="O156" s="7">
        <f t="shared" ref="O156" si="403">H156-M156-N156</f>
        <v>1.4964377088888923</v>
      </c>
    </row>
    <row r="157" spans="1:15" x14ac:dyDescent="0.7">
      <c r="A157" s="6"/>
      <c r="B157" s="6"/>
      <c r="C157" s="3">
        <v>4</v>
      </c>
      <c r="D157" s="7">
        <v>20.652000000000001</v>
      </c>
      <c r="E157" s="4">
        <v>5.6</v>
      </c>
      <c r="F157" s="7">
        <v>20.652000000000001</v>
      </c>
      <c r="G157" s="15">
        <f t="shared" ref="G157" si="404">F157*86400</f>
        <v>1784332.8</v>
      </c>
      <c r="H157" s="21">
        <f t="shared" ref="H157" si="405">G157/1000000</f>
        <v>1.7843328000000001</v>
      </c>
      <c r="I157" s="20">
        <f t="shared" si="299"/>
        <v>80294.975999999995</v>
      </c>
      <c r="J157" s="28">
        <v>6.0440994444444403E-2</v>
      </c>
      <c r="K157" s="20">
        <f t="shared" si="300"/>
        <v>9635.3971199999996</v>
      </c>
      <c r="L157" s="17">
        <v>4.9770799999996701E-2</v>
      </c>
      <c r="M157" s="17">
        <f t="shared" ref="M157" si="406">J157+L157</f>
        <v>0.1102117944444411</v>
      </c>
      <c r="N157" s="20">
        <f t="shared" si="302"/>
        <v>0.17843328000000003</v>
      </c>
      <c r="O157" s="7">
        <f t="shared" ref="O157" si="407">H157-M157-N157</f>
        <v>1.495687725555559</v>
      </c>
    </row>
    <row r="158" spans="1:15" x14ac:dyDescent="0.7">
      <c r="A158" s="6"/>
      <c r="B158" s="6"/>
      <c r="C158" s="6">
        <v>5</v>
      </c>
      <c r="D158" s="7">
        <v>17.306999999999999</v>
      </c>
      <c r="E158" s="4">
        <v>6.8</v>
      </c>
      <c r="F158" s="7">
        <v>17.306999999999999</v>
      </c>
      <c r="G158" s="15">
        <f t="shared" ref="G158" si="408">F158*86400</f>
        <v>1495324.7999999998</v>
      </c>
      <c r="H158" s="21">
        <f t="shared" ref="H158" si="409">G158/1000000</f>
        <v>1.4953247999999999</v>
      </c>
      <c r="I158" s="20">
        <f t="shared" si="299"/>
        <v>67289.615999999995</v>
      </c>
      <c r="J158" s="28">
        <v>6.0820444444444399E-2</v>
      </c>
      <c r="K158" s="20">
        <f t="shared" si="300"/>
        <v>8074.7539199999992</v>
      </c>
      <c r="L158" s="17">
        <v>5.0141333333329902E-2</v>
      </c>
      <c r="M158" s="17">
        <f t="shared" ref="M158" si="410">J158+L158</f>
        <v>0.1109617777777743</v>
      </c>
      <c r="N158" s="20">
        <f t="shared" si="302"/>
        <v>0.14953248</v>
      </c>
      <c r="O158" s="7">
        <f t="shared" ref="O158" si="411">H158-M158-N158</f>
        <v>1.2348305422222257</v>
      </c>
    </row>
    <row r="159" spans="1:15" x14ac:dyDescent="0.7">
      <c r="A159" s="6"/>
      <c r="B159" s="6"/>
      <c r="C159" s="6">
        <v>6</v>
      </c>
      <c r="D159" s="7">
        <v>15.975000000000001</v>
      </c>
      <c r="E159" s="4">
        <v>10.4</v>
      </c>
      <c r="F159" s="7">
        <v>15.975000000000001</v>
      </c>
      <c r="G159" s="15">
        <f t="shared" ref="G159" si="412">F159*86400</f>
        <v>1380240.0000000002</v>
      </c>
      <c r="H159" s="21">
        <f t="shared" ref="H159" si="413">G159/1000000</f>
        <v>1.3802400000000001</v>
      </c>
      <c r="I159" s="20">
        <f t="shared" si="299"/>
        <v>62110.80000000001</v>
      </c>
      <c r="J159" s="28">
        <v>6.1199894444444403E-2</v>
      </c>
      <c r="K159" s="20">
        <f t="shared" si="300"/>
        <v>7453.2960000000012</v>
      </c>
      <c r="L159" s="17">
        <v>5.0511866666663199E-2</v>
      </c>
      <c r="M159" s="17">
        <f t="shared" ref="M159" si="414">J159+L159</f>
        <v>0.1117117611111076</v>
      </c>
      <c r="N159" s="20">
        <f t="shared" si="302"/>
        <v>0.13802400000000001</v>
      </c>
      <c r="O159" s="7">
        <f t="shared" ref="O159" si="415">H159-M159-N159</f>
        <v>1.1305042388888926</v>
      </c>
    </row>
    <row r="160" spans="1:15" x14ac:dyDescent="0.7">
      <c r="A160" s="6"/>
      <c r="B160" s="6"/>
      <c r="C160" s="3">
        <v>7</v>
      </c>
      <c r="D160" s="7">
        <v>14.583</v>
      </c>
      <c r="E160" s="4">
        <v>4.5999999999999996</v>
      </c>
      <c r="F160" s="7">
        <v>14.583</v>
      </c>
      <c r="G160" s="15">
        <f t="shared" ref="G160" si="416">F160*86400</f>
        <v>1259971.2</v>
      </c>
      <c r="H160" s="21">
        <f t="shared" ref="H160" si="417">G160/1000000</f>
        <v>1.2599711999999998</v>
      </c>
      <c r="I160" s="20">
        <f t="shared" si="299"/>
        <v>56698.703999999998</v>
      </c>
      <c r="J160" s="28">
        <v>6.1579344444444399E-2</v>
      </c>
      <c r="K160" s="20">
        <f t="shared" si="300"/>
        <v>6803.8444799999997</v>
      </c>
      <c r="L160" s="17">
        <v>5.0882399999996601E-2</v>
      </c>
      <c r="M160" s="17">
        <f t="shared" ref="M160" si="418">J160+L160</f>
        <v>0.112461744444441</v>
      </c>
      <c r="N160" s="20">
        <f t="shared" si="302"/>
        <v>0.12599711999999999</v>
      </c>
      <c r="O160" s="7">
        <f t="shared" ref="O160" si="419">H160-M160-N160</f>
        <v>1.0215123355555589</v>
      </c>
    </row>
    <row r="161" spans="1:15" x14ac:dyDescent="0.7">
      <c r="A161" s="6"/>
      <c r="B161" s="6"/>
      <c r="C161" s="6">
        <v>8</v>
      </c>
      <c r="D161" s="7">
        <v>13.850000000000001</v>
      </c>
      <c r="E161" s="4">
        <v>0.7</v>
      </c>
      <c r="F161" s="7">
        <v>13.850000000000001</v>
      </c>
      <c r="G161" s="15">
        <f t="shared" ref="G161" si="420">F161*86400</f>
        <v>1196640.0000000002</v>
      </c>
      <c r="H161" s="21">
        <f t="shared" ref="H161" si="421">G161/1000000</f>
        <v>1.1966400000000001</v>
      </c>
      <c r="I161" s="20">
        <f t="shared" si="299"/>
        <v>53848.80000000001</v>
      </c>
      <c r="J161" s="28">
        <v>6.1958794444444402E-2</v>
      </c>
      <c r="K161" s="20">
        <f t="shared" si="300"/>
        <v>6461.8560000000007</v>
      </c>
      <c r="L161" s="17">
        <v>5.1252933333329802E-2</v>
      </c>
      <c r="M161" s="17">
        <f t="shared" ref="M161" si="422">J161+L161</f>
        <v>0.1132117277777742</v>
      </c>
      <c r="N161" s="20">
        <f t="shared" si="302"/>
        <v>0.11966400000000002</v>
      </c>
      <c r="O161" s="7">
        <f t="shared" ref="O161" si="423">H161-M161-N161</f>
        <v>0.96376427222222594</v>
      </c>
    </row>
    <row r="162" spans="1:15" x14ac:dyDescent="0.7">
      <c r="A162" s="6"/>
      <c r="B162" s="6"/>
      <c r="C162" s="6">
        <v>9</v>
      </c>
      <c r="D162" s="7">
        <v>11.83</v>
      </c>
      <c r="E162" s="4">
        <v>0</v>
      </c>
      <c r="F162" s="7">
        <v>11.83</v>
      </c>
      <c r="G162" s="15">
        <f t="shared" ref="G162" si="424">F162*86400</f>
        <v>1022112</v>
      </c>
      <c r="H162" s="21">
        <f t="shared" ref="H162" si="425">G162/1000000</f>
        <v>1.0221119999999999</v>
      </c>
      <c r="I162" s="20">
        <f t="shared" si="299"/>
        <v>45995.039999999994</v>
      </c>
      <c r="J162" s="28">
        <v>6.2338244444444399E-2</v>
      </c>
      <c r="K162" s="20">
        <f t="shared" si="300"/>
        <v>5519.4047999999993</v>
      </c>
      <c r="L162" s="17">
        <v>5.16234666666631E-2</v>
      </c>
      <c r="M162" s="17">
        <f t="shared" ref="M162" si="426">J162+L162</f>
        <v>0.11396171111110751</v>
      </c>
      <c r="N162" s="20">
        <f t="shared" si="302"/>
        <v>0.1022112</v>
      </c>
      <c r="O162" s="7">
        <f t="shared" ref="O162" si="427">H162-M162-N162</f>
        <v>0.80593908888889243</v>
      </c>
    </row>
    <row r="163" spans="1:15" x14ac:dyDescent="0.7">
      <c r="A163" s="6"/>
      <c r="B163" s="6"/>
      <c r="C163" s="3">
        <v>10</v>
      </c>
      <c r="D163" s="7">
        <v>12.766999999999999</v>
      </c>
      <c r="E163" s="4">
        <v>0.6</v>
      </c>
      <c r="F163" s="7">
        <v>12.766999999999999</v>
      </c>
      <c r="G163" s="15">
        <f t="shared" ref="G163" si="428">F163*86400</f>
        <v>1103068.8</v>
      </c>
      <c r="H163" s="21">
        <f t="shared" ref="H163" si="429">G163/1000000</f>
        <v>1.1030688</v>
      </c>
      <c r="I163" s="20">
        <f t="shared" si="299"/>
        <v>49638.095999999998</v>
      </c>
      <c r="J163" s="28">
        <v>6.2717694444444402E-2</v>
      </c>
      <c r="K163" s="20">
        <f t="shared" si="300"/>
        <v>5956.5715199999995</v>
      </c>
      <c r="L163" s="17">
        <v>5.1993999999996397E-2</v>
      </c>
      <c r="M163" s="17">
        <f t="shared" ref="M163" si="430">J163+L163</f>
        <v>0.11471169444444079</v>
      </c>
      <c r="N163" s="20">
        <f t="shared" si="302"/>
        <v>0.11030688</v>
      </c>
      <c r="O163" s="7">
        <f t="shared" ref="O163" si="431">H163-M163-N163</f>
        <v>0.87805022555555912</v>
      </c>
    </row>
    <row r="164" spans="1:15" x14ac:dyDescent="0.7">
      <c r="A164" s="6"/>
      <c r="B164" s="6"/>
      <c r="C164" s="6">
        <v>11</v>
      </c>
      <c r="D164" s="7">
        <v>12.766999999999999</v>
      </c>
      <c r="E164" s="4">
        <v>3.1</v>
      </c>
      <c r="F164" s="7">
        <v>12.766999999999999</v>
      </c>
      <c r="G164" s="15">
        <f t="shared" ref="G164" si="432">F164*86400</f>
        <v>1103068.8</v>
      </c>
      <c r="H164" s="21">
        <f t="shared" ref="H164" si="433">G164/1000000</f>
        <v>1.1030688</v>
      </c>
      <c r="I164" s="20">
        <f t="shared" si="299"/>
        <v>49638.095999999998</v>
      </c>
      <c r="J164" s="28">
        <v>6.3097144444444406E-2</v>
      </c>
      <c r="K164" s="20">
        <f t="shared" si="300"/>
        <v>5956.5715199999995</v>
      </c>
      <c r="L164" s="17">
        <v>5.2364533333329702E-2</v>
      </c>
      <c r="M164" s="17">
        <f t="shared" ref="M164" si="434">J164+L164</f>
        <v>0.11546167777777411</v>
      </c>
      <c r="N164" s="20">
        <f t="shared" si="302"/>
        <v>0.11030688</v>
      </c>
      <c r="O164" s="7">
        <f t="shared" ref="O164" si="435">H164-M164-N164</f>
        <v>0.8773002422222258</v>
      </c>
    </row>
    <row r="165" spans="1:15" x14ac:dyDescent="0.7">
      <c r="A165" s="6"/>
      <c r="B165" s="6"/>
      <c r="C165" s="6">
        <v>12</v>
      </c>
      <c r="D165" s="7">
        <v>10.065</v>
      </c>
      <c r="E165" s="4">
        <v>0</v>
      </c>
      <c r="F165" s="7">
        <v>10.065</v>
      </c>
      <c r="G165" s="15">
        <f t="shared" ref="G165" si="436">F165*86400</f>
        <v>869616</v>
      </c>
      <c r="H165" s="21">
        <f t="shared" ref="H165" si="437">G165/1000000</f>
        <v>0.86961599999999994</v>
      </c>
      <c r="I165" s="20">
        <f t="shared" si="299"/>
        <v>39132.720000000001</v>
      </c>
      <c r="J165" s="28">
        <v>6.3476594444444395E-2</v>
      </c>
      <c r="K165" s="20">
        <f t="shared" si="300"/>
        <v>4695.9264000000003</v>
      </c>
      <c r="L165" s="17">
        <v>5.2735066666663E-2</v>
      </c>
      <c r="M165" s="17">
        <f t="shared" ref="M165" si="438">J165+L165</f>
        <v>0.11621166111110739</v>
      </c>
      <c r="N165" s="20">
        <f t="shared" si="302"/>
        <v>8.69616E-2</v>
      </c>
      <c r="O165" s="7">
        <f t="shared" ref="O165" si="439">H165-M165-N165</f>
        <v>0.66644273888889261</v>
      </c>
    </row>
    <row r="166" spans="1:15" x14ac:dyDescent="0.7">
      <c r="A166" s="6"/>
      <c r="B166" s="6"/>
      <c r="C166" s="3">
        <v>13</v>
      </c>
      <c r="D166" s="7">
        <v>9.3940000000000001</v>
      </c>
      <c r="E166" s="4">
        <v>2.2000000000000002</v>
      </c>
      <c r="F166" s="7">
        <v>9.3940000000000001</v>
      </c>
      <c r="G166" s="15">
        <f t="shared" ref="G166" si="440">F166*86400</f>
        <v>811641.6</v>
      </c>
      <c r="H166" s="21">
        <f t="shared" ref="H166" si="441">G166/1000000</f>
        <v>0.81164159999999996</v>
      </c>
      <c r="I166" s="20">
        <f t="shared" si="299"/>
        <v>36523.871999999996</v>
      </c>
      <c r="J166" s="28">
        <v>6.3856044444444399E-2</v>
      </c>
      <c r="K166" s="20">
        <f t="shared" si="300"/>
        <v>4382.8646399999998</v>
      </c>
      <c r="L166" s="17">
        <v>5.3105599999996297E-2</v>
      </c>
      <c r="M166" s="17">
        <f t="shared" ref="M166" si="442">J166+L166</f>
        <v>0.1169616444444407</v>
      </c>
      <c r="N166" s="20">
        <f t="shared" si="302"/>
        <v>8.1164159999999999E-2</v>
      </c>
      <c r="O166" s="7">
        <f t="shared" ref="O166" si="443">H166-M166-N166</f>
        <v>0.61351579555555924</v>
      </c>
    </row>
    <row r="167" spans="1:15" x14ac:dyDescent="0.7">
      <c r="A167" s="6"/>
      <c r="B167" s="6"/>
      <c r="C167" s="6">
        <v>14</v>
      </c>
      <c r="D167" s="7">
        <v>9.7350000000000012</v>
      </c>
      <c r="E167" s="4">
        <v>0</v>
      </c>
      <c r="F167" s="7">
        <v>9.7350000000000012</v>
      </c>
      <c r="G167" s="15">
        <f t="shared" ref="G167" si="444">F167*86400</f>
        <v>841104.00000000012</v>
      </c>
      <c r="H167" s="21">
        <f t="shared" ref="H167" si="445">G167/1000000</f>
        <v>0.84110400000000007</v>
      </c>
      <c r="I167" s="20">
        <f t="shared" si="299"/>
        <v>37849.68</v>
      </c>
      <c r="J167" s="28">
        <v>6.4235494444444402E-2</v>
      </c>
      <c r="K167" s="20">
        <f t="shared" si="300"/>
        <v>4541.9615999999996</v>
      </c>
      <c r="L167" s="17">
        <v>5.3476133333329602E-2</v>
      </c>
      <c r="M167" s="17">
        <f t="shared" ref="M167" si="446">J167+L167</f>
        <v>0.117711627777774</v>
      </c>
      <c r="N167" s="20">
        <f t="shared" si="302"/>
        <v>8.4110400000000016E-2</v>
      </c>
      <c r="O167" s="7">
        <f t="shared" ref="O167" si="447">H167-M167-N167</f>
        <v>0.63928197222222605</v>
      </c>
    </row>
    <row r="168" spans="1:15" x14ac:dyDescent="0.7">
      <c r="A168" s="6"/>
      <c r="B168" s="6"/>
      <c r="C168" s="6">
        <v>15</v>
      </c>
      <c r="D168" s="7">
        <v>11.273</v>
      </c>
      <c r="E168" s="4">
        <v>16.5</v>
      </c>
      <c r="F168" s="7">
        <v>11.273</v>
      </c>
      <c r="G168" s="15">
        <f t="shared" ref="G168" si="448">F168*86400</f>
        <v>973987.2</v>
      </c>
      <c r="H168" s="21">
        <f t="shared" ref="H168" si="449">G168/1000000</f>
        <v>0.97398719999999994</v>
      </c>
      <c r="I168" s="20">
        <f t="shared" si="299"/>
        <v>43829.423999999999</v>
      </c>
      <c r="J168" s="28">
        <v>6.4614944444444405E-2</v>
      </c>
      <c r="K168" s="20">
        <f t="shared" si="300"/>
        <v>5259.5308799999993</v>
      </c>
      <c r="L168" s="17">
        <v>5.38466666666629E-2</v>
      </c>
      <c r="M168" s="17">
        <f t="shared" ref="M168" si="450">J168+L168</f>
        <v>0.11846161111110731</v>
      </c>
      <c r="N168" s="20">
        <f t="shared" si="302"/>
        <v>9.7398719999999994E-2</v>
      </c>
      <c r="O168" s="7">
        <f t="shared" ref="O168" si="451">H168-M168-N168</f>
        <v>0.75812686888889269</v>
      </c>
    </row>
    <row r="169" spans="1:15" x14ac:dyDescent="0.7">
      <c r="A169" s="6"/>
      <c r="B169" s="6"/>
      <c r="C169" s="3">
        <v>16</v>
      </c>
      <c r="D169" s="7">
        <v>11.887</v>
      </c>
      <c r="E169" s="4">
        <v>0</v>
      </c>
      <c r="F169" s="7">
        <v>11.887</v>
      </c>
      <c r="G169" s="15">
        <f t="shared" ref="G169" si="452">F169*86400</f>
        <v>1027036.8</v>
      </c>
      <c r="H169" s="21">
        <f t="shared" ref="H169" si="453">G169/1000000</f>
        <v>1.0270368000000001</v>
      </c>
      <c r="I169" s="20">
        <f t="shared" si="299"/>
        <v>46216.656000000003</v>
      </c>
      <c r="J169" s="28">
        <v>6.4994394444444395E-2</v>
      </c>
      <c r="K169" s="20">
        <f t="shared" si="300"/>
        <v>5545.9987200000005</v>
      </c>
      <c r="L169" s="17">
        <v>5.4217199999996198E-2</v>
      </c>
      <c r="M169" s="17">
        <f t="shared" ref="M169" si="454">J169+L169</f>
        <v>0.1192115944444406</v>
      </c>
      <c r="N169" s="20">
        <f t="shared" si="302"/>
        <v>0.10270368000000002</v>
      </c>
      <c r="O169" s="7">
        <f t="shared" ref="O169" si="455">H169-M169-N169</f>
        <v>0.80512152555555949</v>
      </c>
    </row>
    <row r="170" spans="1:15" x14ac:dyDescent="0.7">
      <c r="A170" s="6"/>
      <c r="B170" s="6"/>
      <c r="C170" s="6">
        <v>17</v>
      </c>
      <c r="D170" s="7">
        <v>8.7260000000000009</v>
      </c>
      <c r="E170" s="4">
        <v>13.3</v>
      </c>
      <c r="F170" s="7">
        <v>8.7260000000000009</v>
      </c>
      <c r="G170" s="15">
        <f t="shared" ref="G170" si="456">F170*86400</f>
        <v>753926.4</v>
      </c>
      <c r="H170" s="21">
        <f t="shared" ref="H170" si="457">G170/1000000</f>
        <v>0.7539264</v>
      </c>
      <c r="I170" s="20">
        <f t="shared" si="299"/>
        <v>33926.688000000002</v>
      </c>
      <c r="J170" s="28">
        <v>6.5373844444444398E-2</v>
      </c>
      <c r="K170" s="20">
        <f t="shared" si="300"/>
        <v>4071.2025600000002</v>
      </c>
      <c r="L170" s="17">
        <v>5.4587733333329502E-2</v>
      </c>
      <c r="M170" s="17">
        <f t="shared" ref="M170" si="458">J170+L170</f>
        <v>0.1199615777777739</v>
      </c>
      <c r="N170" s="20">
        <f t="shared" si="302"/>
        <v>7.5392640000000011E-2</v>
      </c>
      <c r="O170" s="7">
        <f t="shared" ref="O170" si="459">H170-M170-N170</f>
        <v>0.55857218222222604</v>
      </c>
    </row>
    <row r="171" spans="1:15" x14ac:dyDescent="0.7">
      <c r="A171" s="6"/>
      <c r="B171" s="6"/>
      <c r="C171" s="6">
        <v>18</v>
      </c>
      <c r="D171" s="7">
        <v>8.6259999999999994</v>
      </c>
      <c r="E171" s="4">
        <v>0.3</v>
      </c>
      <c r="F171" s="7">
        <v>8.6259999999999994</v>
      </c>
      <c r="G171" s="15">
        <f t="shared" ref="G171" si="460">F171*86400</f>
        <v>745286.39999999991</v>
      </c>
      <c r="H171" s="21">
        <f t="shared" ref="H171" si="461">G171/1000000</f>
        <v>0.7452863999999999</v>
      </c>
      <c r="I171" s="20">
        <f t="shared" si="299"/>
        <v>33537.887999999992</v>
      </c>
      <c r="J171" s="28">
        <v>6.5753294444444402E-2</v>
      </c>
      <c r="K171" s="20">
        <f t="shared" si="300"/>
        <v>4024.5465599999989</v>
      </c>
      <c r="L171" s="17">
        <v>5.49582666666628E-2</v>
      </c>
      <c r="M171" s="17">
        <f t="shared" ref="M171" si="462">J171+L171</f>
        <v>0.1207115611111072</v>
      </c>
      <c r="N171" s="20">
        <f t="shared" si="302"/>
        <v>7.4528639999999993E-2</v>
      </c>
      <c r="O171" s="7">
        <f t="shared" ref="O171" si="463">H171-M171-N171</f>
        <v>0.55004619888889272</v>
      </c>
    </row>
    <row r="172" spans="1:15" x14ac:dyDescent="0.7">
      <c r="A172" s="6"/>
      <c r="B172" s="6"/>
      <c r="C172" s="3">
        <v>19</v>
      </c>
      <c r="D172" s="7">
        <v>10.196000000000002</v>
      </c>
      <c r="E172" s="4">
        <v>34</v>
      </c>
      <c r="F172" s="7">
        <v>10.196000000000002</v>
      </c>
      <c r="G172" s="15">
        <f t="shared" ref="G172" si="464">F172*86400</f>
        <v>880934.40000000014</v>
      </c>
      <c r="H172" s="21">
        <f t="shared" ref="H172" si="465">G172/1000000</f>
        <v>0.88093440000000012</v>
      </c>
      <c r="I172" s="20">
        <f t="shared" si="299"/>
        <v>39642.048000000003</v>
      </c>
      <c r="J172" s="28">
        <v>6.6132744444444405E-2</v>
      </c>
      <c r="K172" s="20">
        <f t="shared" si="300"/>
        <v>4757.04576</v>
      </c>
      <c r="L172" s="17">
        <v>5.5328799999996098E-2</v>
      </c>
      <c r="M172" s="17">
        <f t="shared" ref="M172" si="466">J172+L172</f>
        <v>0.1214615444444405</v>
      </c>
      <c r="N172" s="20">
        <f t="shared" si="302"/>
        <v>8.8093440000000023E-2</v>
      </c>
      <c r="O172" s="7">
        <f t="shared" ref="O172" si="467">H172-M172-N172</f>
        <v>0.67137941555555969</v>
      </c>
    </row>
    <row r="173" spans="1:15" x14ac:dyDescent="0.7">
      <c r="A173" s="6"/>
      <c r="B173" s="6"/>
      <c r="C173" s="6">
        <v>20</v>
      </c>
      <c r="D173" s="7">
        <v>19.558999999999997</v>
      </c>
      <c r="E173" s="4">
        <v>13.2</v>
      </c>
      <c r="F173" s="7">
        <v>19.558999999999997</v>
      </c>
      <c r="G173" s="15">
        <f t="shared" ref="G173" si="468">F173*86400</f>
        <v>1689897.5999999999</v>
      </c>
      <c r="H173" s="21">
        <f t="shared" ref="H173" si="469">G173/1000000</f>
        <v>1.6898975999999999</v>
      </c>
      <c r="I173" s="20">
        <f t="shared" si="299"/>
        <v>76045.391999999993</v>
      </c>
      <c r="J173" s="28">
        <v>6.6512194444444395E-2</v>
      </c>
      <c r="K173" s="20">
        <f t="shared" si="300"/>
        <v>9125.4470399999991</v>
      </c>
      <c r="L173" s="17">
        <v>5.5699333333329402E-2</v>
      </c>
      <c r="M173" s="17">
        <f t="shared" ref="M173" si="470">J173+L173</f>
        <v>0.1222115277777738</v>
      </c>
      <c r="N173" s="20">
        <f t="shared" si="302"/>
        <v>0.16898975999999999</v>
      </c>
      <c r="O173" s="7">
        <f t="shared" ref="O173" si="471">H173-M173-N173</f>
        <v>1.398696312222226</v>
      </c>
    </row>
    <row r="174" spans="1:15" x14ac:dyDescent="0.7">
      <c r="A174" s="6"/>
      <c r="B174" s="6"/>
      <c r="C174" s="6">
        <v>21</v>
      </c>
      <c r="D174" s="7">
        <v>21.802</v>
      </c>
      <c r="E174" s="4">
        <v>2</v>
      </c>
      <c r="F174" s="7">
        <v>21.802</v>
      </c>
      <c r="G174" s="15">
        <f t="shared" ref="G174" si="472">F174*86400</f>
        <v>1883692.8</v>
      </c>
      <c r="H174" s="21">
        <f t="shared" ref="H174" si="473">G174/1000000</f>
        <v>1.8836927999999999</v>
      </c>
      <c r="I174" s="20">
        <f t="shared" si="299"/>
        <v>84766.175999999992</v>
      </c>
      <c r="J174" s="28">
        <v>6.6891644444444398E-2</v>
      </c>
      <c r="K174" s="20">
        <f t="shared" si="300"/>
        <v>10171.94112</v>
      </c>
      <c r="L174" s="17">
        <v>5.60698666666627E-2</v>
      </c>
      <c r="M174" s="17">
        <f t="shared" ref="M174" si="474">J174+L174</f>
        <v>0.12296151111110709</v>
      </c>
      <c r="N174" s="20">
        <f t="shared" si="302"/>
        <v>0.18836928</v>
      </c>
      <c r="O174" s="7">
        <f t="shared" ref="O174" si="475">H174-M174-N174</f>
        <v>1.5723620088888928</v>
      </c>
    </row>
    <row r="175" spans="1:15" x14ac:dyDescent="0.7">
      <c r="A175" s="6"/>
      <c r="B175" s="6"/>
      <c r="C175" s="3">
        <v>22</v>
      </c>
      <c r="D175" s="7">
        <v>17.725999999999999</v>
      </c>
      <c r="E175" s="4">
        <v>7.2</v>
      </c>
      <c r="F175" s="7">
        <v>17.725999999999999</v>
      </c>
      <c r="G175" s="15">
        <f t="shared" ref="G175" si="476">F175*86400</f>
        <v>1531526.4</v>
      </c>
      <c r="H175" s="21">
        <f t="shared" ref="H175" si="477">G175/1000000</f>
        <v>1.5315264</v>
      </c>
      <c r="I175" s="20">
        <f t="shared" si="299"/>
        <v>68918.687999999995</v>
      </c>
      <c r="J175" s="28">
        <v>6.7271094444444401E-2</v>
      </c>
      <c r="K175" s="20">
        <f t="shared" si="300"/>
        <v>8270.2425599999988</v>
      </c>
      <c r="L175" s="17">
        <v>5.6440399999995998E-2</v>
      </c>
      <c r="M175" s="17">
        <f t="shared" ref="M175" si="478">J175+L175</f>
        <v>0.12371149444444041</v>
      </c>
      <c r="N175" s="20">
        <f t="shared" si="302"/>
        <v>0.15315264000000001</v>
      </c>
      <c r="O175" s="7">
        <f t="shared" ref="O175" si="479">H175-M175-N175</f>
        <v>1.2546622655555595</v>
      </c>
    </row>
    <row r="176" spans="1:15" x14ac:dyDescent="0.7">
      <c r="A176" s="6"/>
      <c r="B176" s="6"/>
      <c r="C176" s="6">
        <v>23</v>
      </c>
      <c r="D176" s="7">
        <v>15.513</v>
      </c>
      <c r="E176" s="4">
        <v>3.4</v>
      </c>
      <c r="F176" s="7">
        <v>15.513</v>
      </c>
      <c r="G176" s="15">
        <f t="shared" ref="G176" si="480">F176*86400</f>
        <v>1340323.2</v>
      </c>
      <c r="H176" s="21">
        <f t="shared" ref="H176" si="481">G176/1000000</f>
        <v>1.3403232</v>
      </c>
      <c r="I176" s="20">
        <f t="shared" si="299"/>
        <v>60314.543999999994</v>
      </c>
      <c r="J176" s="28">
        <v>6.7650544444444405E-2</v>
      </c>
      <c r="K176" s="20">
        <f t="shared" si="300"/>
        <v>7237.7452799999992</v>
      </c>
      <c r="L176" s="17">
        <v>5.6810933333329303E-2</v>
      </c>
      <c r="M176" s="17">
        <f t="shared" ref="M176" si="482">J176+L176</f>
        <v>0.12446147777777371</v>
      </c>
      <c r="N176" s="20">
        <f t="shared" si="302"/>
        <v>0.13403232000000001</v>
      </c>
      <c r="O176" s="7">
        <f t="shared" ref="O176" si="483">H176-M176-N176</f>
        <v>1.0818294022222263</v>
      </c>
    </row>
    <row r="177" spans="1:15" x14ac:dyDescent="0.7">
      <c r="A177" s="6"/>
      <c r="B177" s="6"/>
      <c r="C177" s="6">
        <v>24</v>
      </c>
      <c r="D177" s="7">
        <v>13.661</v>
      </c>
      <c r="E177" s="4">
        <v>0</v>
      </c>
      <c r="F177" s="7">
        <v>13.661</v>
      </c>
      <c r="G177" s="15">
        <f t="shared" ref="G177" si="484">F177*86400</f>
        <v>1180310.3999999999</v>
      </c>
      <c r="H177" s="21">
        <f t="shared" ref="H177" si="485">G177/1000000</f>
        <v>1.1803104</v>
      </c>
      <c r="I177" s="20">
        <f t="shared" si="299"/>
        <v>53113.967999999993</v>
      </c>
      <c r="J177" s="28">
        <v>6.8029994444444394E-2</v>
      </c>
      <c r="K177" s="20">
        <f t="shared" si="300"/>
        <v>6373.6761599999991</v>
      </c>
      <c r="L177" s="17">
        <v>5.71814666666626E-2</v>
      </c>
      <c r="M177" s="17">
        <f t="shared" ref="M177" si="486">J177+L177</f>
        <v>0.12521146111110698</v>
      </c>
      <c r="N177" s="20">
        <f t="shared" si="302"/>
        <v>0.11803104</v>
      </c>
      <c r="O177" s="7">
        <f t="shared" ref="O177" si="487">H177-M177-N177</f>
        <v>0.93706789888889297</v>
      </c>
    </row>
    <row r="178" spans="1:15" x14ac:dyDescent="0.7">
      <c r="A178" s="6"/>
      <c r="B178" s="6"/>
      <c r="C178" s="3">
        <v>25</v>
      </c>
      <c r="D178" s="7">
        <v>15.513</v>
      </c>
      <c r="E178" s="4">
        <v>33</v>
      </c>
      <c r="F178" s="7">
        <v>15.513</v>
      </c>
      <c r="G178" s="15">
        <f t="shared" ref="G178" si="488">F178*86400</f>
        <v>1340323.2</v>
      </c>
      <c r="H178" s="21">
        <f t="shared" ref="H178" si="489">G178/1000000</f>
        <v>1.3403232</v>
      </c>
      <c r="I178" s="20">
        <f t="shared" si="299"/>
        <v>60314.543999999994</v>
      </c>
      <c r="J178" s="28">
        <v>6.8409444444444398E-2</v>
      </c>
      <c r="K178" s="20">
        <f t="shared" si="300"/>
        <v>7237.7452799999992</v>
      </c>
      <c r="L178" s="17">
        <v>5.7551999999995898E-2</v>
      </c>
      <c r="M178" s="17">
        <f t="shared" ref="M178" si="490">J178+L178</f>
        <v>0.1259614444444403</v>
      </c>
      <c r="N178" s="20">
        <f t="shared" si="302"/>
        <v>0.13403232000000001</v>
      </c>
      <c r="O178" s="7">
        <f t="shared" ref="O178" si="491">H178-M178-N178</f>
        <v>1.0803294355555597</v>
      </c>
    </row>
    <row r="179" spans="1:15" x14ac:dyDescent="0.7">
      <c r="A179" s="6"/>
      <c r="B179" s="6"/>
      <c r="C179" s="6">
        <v>26</v>
      </c>
      <c r="D179" s="7">
        <v>19.559999999999999</v>
      </c>
      <c r="E179" s="4">
        <v>0</v>
      </c>
      <c r="F179" s="7">
        <v>19.559999999999999</v>
      </c>
      <c r="G179" s="15">
        <f t="shared" ref="G179" si="492">F179*86400</f>
        <v>1689984</v>
      </c>
      <c r="H179" s="21">
        <f t="shared" ref="H179" si="493">G179/1000000</f>
        <v>1.6899839999999999</v>
      </c>
      <c r="I179" s="20">
        <f t="shared" si="299"/>
        <v>76049.279999999999</v>
      </c>
      <c r="J179" s="28">
        <v>6.8788894444444401E-2</v>
      </c>
      <c r="K179" s="20">
        <f t="shared" si="300"/>
        <v>9125.9135999999999</v>
      </c>
      <c r="L179" s="17">
        <v>5.7922533333329203E-2</v>
      </c>
      <c r="M179" s="17">
        <f t="shared" ref="M179" si="494">J179+L179</f>
        <v>0.12671142777777361</v>
      </c>
      <c r="N179" s="20">
        <f t="shared" si="302"/>
        <v>0.16899839999999999</v>
      </c>
      <c r="O179" s="7">
        <f t="shared" ref="O179" si="495">H179-M179-N179</f>
        <v>1.3942741722222263</v>
      </c>
    </row>
    <row r="180" spans="1:15" x14ac:dyDescent="0.7">
      <c r="A180" s="6"/>
      <c r="B180" s="6"/>
      <c r="C180" s="6">
        <v>27</v>
      </c>
      <c r="D180" s="7">
        <v>17.46</v>
      </c>
      <c r="E180" s="4">
        <v>0</v>
      </c>
      <c r="F180" s="7">
        <v>17.46</v>
      </c>
      <c r="G180" s="15">
        <f t="shared" ref="G180" si="496">F180*86400</f>
        <v>1508544</v>
      </c>
      <c r="H180" s="21">
        <f t="shared" ref="H180" si="497">G180/1000000</f>
        <v>1.5085440000000001</v>
      </c>
      <c r="I180" s="20">
        <f t="shared" si="299"/>
        <v>67884.479999999996</v>
      </c>
      <c r="J180" s="28">
        <v>6.9168344444444405E-2</v>
      </c>
      <c r="K180" s="20">
        <f t="shared" si="300"/>
        <v>8146.1375999999991</v>
      </c>
      <c r="L180" s="17">
        <v>5.8293066666662501E-2</v>
      </c>
      <c r="M180" s="17">
        <f t="shared" ref="M180" si="498">J180+L180</f>
        <v>0.1274614111111069</v>
      </c>
      <c r="N180" s="20">
        <f t="shared" si="302"/>
        <v>0.15085440000000003</v>
      </c>
      <c r="O180" s="7">
        <f t="shared" ref="O180" si="499">H180-M180-N180</f>
        <v>1.2302281888888931</v>
      </c>
    </row>
    <row r="181" spans="1:15" x14ac:dyDescent="0.7">
      <c r="A181" s="12"/>
      <c r="B181" s="12"/>
      <c r="C181" s="43">
        <v>28</v>
      </c>
      <c r="D181" s="30">
        <v>15.433</v>
      </c>
      <c r="E181" s="4">
        <v>0</v>
      </c>
      <c r="F181" s="30">
        <v>15.433</v>
      </c>
      <c r="G181" s="31">
        <f t="shared" ref="G181" si="500">F181*86400</f>
        <v>1333411.2</v>
      </c>
      <c r="H181" s="32">
        <f t="shared" ref="H181" si="501">G181/1000000</f>
        <v>1.3334112</v>
      </c>
      <c r="I181" s="20">
        <f t="shared" si="299"/>
        <v>60003.503999999994</v>
      </c>
      <c r="J181" s="34">
        <v>6.9547794444444394E-2</v>
      </c>
      <c r="K181" s="20">
        <f t="shared" si="300"/>
        <v>7200.4204799999989</v>
      </c>
      <c r="L181" s="33">
        <v>5.8663599999995798E-2</v>
      </c>
      <c r="M181" s="33">
        <f t="shared" ref="M181" si="502">J181+L181</f>
        <v>0.12821139444444019</v>
      </c>
      <c r="N181" s="20">
        <f t="shared" si="302"/>
        <v>0.13334112000000001</v>
      </c>
      <c r="O181" s="30">
        <f t="shared" ref="O181" si="503">H181-M181-N181</f>
        <v>1.0718586855555599</v>
      </c>
    </row>
    <row r="182" spans="1:15" s="37" customFormat="1" x14ac:dyDescent="0.7">
      <c r="A182" s="6"/>
      <c r="B182" s="6"/>
      <c r="C182" s="6">
        <v>29</v>
      </c>
      <c r="D182" s="7">
        <v>15.112</v>
      </c>
      <c r="E182" s="4">
        <v>0.7</v>
      </c>
      <c r="F182" s="7">
        <v>15.112</v>
      </c>
      <c r="G182" s="35">
        <f t="shared" ref="G182" si="504">F182*86400</f>
        <v>1305676.8</v>
      </c>
      <c r="H182" s="20">
        <f t="shared" ref="H182" si="505">G182/1000000</f>
        <v>1.3056768000000001</v>
      </c>
      <c r="I182" s="20">
        <f t="shared" si="299"/>
        <v>58755.455999999998</v>
      </c>
      <c r="J182" s="28">
        <v>6.9927244444444397E-2</v>
      </c>
      <c r="K182" s="20">
        <f t="shared" si="300"/>
        <v>7050.6547199999995</v>
      </c>
      <c r="L182" s="17">
        <v>5.9034133333329103E-2</v>
      </c>
      <c r="M182" s="17">
        <f t="shared" ref="M182" si="506">J182+L182</f>
        <v>0.1289613777777735</v>
      </c>
      <c r="N182" s="20">
        <f t="shared" si="302"/>
        <v>0.13056768000000002</v>
      </c>
      <c r="O182" s="7">
        <f t="shared" ref="O182" si="507">H182-M182-N182</f>
        <v>1.0461477422222267</v>
      </c>
    </row>
    <row r="183" spans="1:15" s="13" customFormat="1" ht="25.2" thickBot="1" x14ac:dyDescent="0.75">
      <c r="A183" s="11"/>
      <c r="B183" s="11" t="s">
        <v>20</v>
      </c>
      <c r="C183" s="11">
        <v>30</v>
      </c>
      <c r="D183" s="19">
        <v>15.513</v>
      </c>
      <c r="E183" s="19">
        <v>0</v>
      </c>
      <c r="F183" s="19">
        <v>15.513</v>
      </c>
      <c r="G183" s="26">
        <f t="shared" ref="G183" si="508">F183*86400</f>
        <v>1340323.2</v>
      </c>
      <c r="H183" s="27">
        <f t="shared" ref="H183" si="509">G183/1000000</f>
        <v>1.3403232</v>
      </c>
      <c r="I183" s="22">
        <f t="shared" si="299"/>
        <v>60314.543999999994</v>
      </c>
      <c r="J183" s="39">
        <v>7.0306694444444401E-2</v>
      </c>
      <c r="K183" s="22">
        <f t="shared" si="300"/>
        <v>7237.7452799999992</v>
      </c>
      <c r="L183" s="38">
        <v>5.9404666666662401E-2</v>
      </c>
      <c r="M183" s="38">
        <f t="shared" ref="M183" si="510">J183+L183</f>
        <v>0.12971136111110682</v>
      </c>
      <c r="N183" s="22">
        <f t="shared" si="302"/>
        <v>0.13403232000000001</v>
      </c>
      <c r="O183" s="19">
        <f t="shared" ref="O183" si="511">H183-M183-N183</f>
        <v>1.0765795188888931</v>
      </c>
    </row>
    <row r="184" spans="1:15" x14ac:dyDescent="0.7">
      <c r="A184" s="3"/>
      <c r="B184" s="3" t="s">
        <v>21</v>
      </c>
      <c r="C184" s="3">
        <v>1</v>
      </c>
      <c r="D184" s="4">
        <v>12.273</v>
      </c>
      <c r="E184" s="4">
        <v>15.5</v>
      </c>
      <c r="F184" s="4">
        <v>12.273</v>
      </c>
      <c r="G184" s="15">
        <f t="shared" ref="G184" si="512">F184*86400</f>
        <v>1060387.2</v>
      </c>
      <c r="H184" s="21">
        <f t="shared" ref="H184" si="513">G184/1000000</f>
        <v>1.0603871999999999</v>
      </c>
      <c r="I184" s="21">
        <f t="shared" si="299"/>
        <v>47717.423999999999</v>
      </c>
      <c r="J184" s="25">
        <v>7.0686144444444404E-2</v>
      </c>
      <c r="K184" s="21">
        <f t="shared" si="300"/>
        <v>5726.0908799999997</v>
      </c>
      <c r="L184" s="16">
        <v>5.9775199999995698E-2</v>
      </c>
      <c r="M184" s="16">
        <f t="shared" ref="M184" si="514">J184+L184</f>
        <v>0.1304613444444401</v>
      </c>
      <c r="N184" s="21">
        <f t="shared" si="302"/>
        <v>0.10603871999999999</v>
      </c>
      <c r="O184" s="4">
        <f t="shared" ref="O184" si="515">H184-M184-N184</f>
        <v>0.8238871355555597</v>
      </c>
    </row>
    <row r="185" spans="1:15" x14ac:dyDescent="0.7">
      <c r="A185" s="6"/>
      <c r="B185" s="6"/>
      <c r="C185" s="6">
        <v>2</v>
      </c>
      <c r="D185" s="7">
        <v>12.741999999999999</v>
      </c>
      <c r="E185" s="4">
        <v>13</v>
      </c>
      <c r="F185" s="7">
        <v>12.741999999999999</v>
      </c>
      <c r="G185" s="15">
        <f t="shared" ref="G185" si="516">F185*86400</f>
        <v>1100908.7999999998</v>
      </c>
      <c r="H185" s="21">
        <f t="shared" ref="H185" si="517">G185/1000000</f>
        <v>1.1009087999999998</v>
      </c>
      <c r="I185" s="20">
        <f t="shared" si="299"/>
        <v>49540.895999999993</v>
      </c>
      <c r="J185" s="28">
        <v>7.1065594444444394E-2</v>
      </c>
      <c r="K185" s="20">
        <f t="shared" si="300"/>
        <v>5944.9075199999988</v>
      </c>
      <c r="L185" s="17">
        <v>6.0145733333329003E-2</v>
      </c>
      <c r="M185" s="17">
        <f t="shared" ref="M185" si="518">J185+L185</f>
        <v>0.13121132777777339</v>
      </c>
      <c r="N185" s="20">
        <f t="shared" si="302"/>
        <v>0.11009087999999999</v>
      </c>
      <c r="O185" s="7">
        <f t="shared" ref="O185" si="519">H185-M185-N185</f>
        <v>0.85960659222222646</v>
      </c>
    </row>
    <row r="186" spans="1:15" x14ac:dyDescent="0.7">
      <c r="A186" s="6"/>
      <c r="B186" s="6"/>
      <c r="C186" s="6">
        <v>3</v>
      </c>
      <c r="D186" s="7">
        <v>11.724</v>
      </c>
      <c r="E186" s="4">
        <v>3.5</v>
      </c>
      <c r="F186" s="7">
        <v>11.724</v>
      </c>
      <c r="G186" s="15">
        <f t="shared" ref="G186" si="520">F186*86400</f>
        <v>1012953.6</v>
      </c>
      <c r="H186" s="21">
        <f t="shared" ref="H186" si="521">G186/1000000</f>
        <v>1.0129535999999999</v>
      </c>
      <c r="I186" s="20">
        <f t="shared" si="299"/>
        <v>45582.911999999989</v>
      </c>
      <c r="J186" s="28">
        <v>7.1445044444444397E-2</v>
      </c>
      <c r="K186" s="20">
        <f t="shared" si="300"/>
        <v>5469.9494399999985</v>
      </c>
      <c r="L186" s="17">
        <v>6.0516266666662301E-2</v>
      </c>
      <c r="M186" s="17">
        <f t="shared" ref="M186" si="522">J186+L186</f>
        <v>0.1319613111111067</v>
      </c>
      <c r="N186" s="20">
        <f t="shared" si="302"/>
        <v>0.10129536</v>
      </c>
      <c r="O186" s="7">
        <f t="shared" ref="O186" si="523">H186-M186-N186</f>
        <v>0.7796969288888933</v>
      </c>
    </row>
    <row r="187" spans="1:15" x14ac:dyDescent="0.7">
      <c r="A187" s="6"/>
      <c r="B187" s="6"/>
      <c r="C187" s="3">
        <v>4</v>
      </c>
      <c r="D187" s="7">
        <v>10.927</v>
      </c>
      <c r="E187" s="4">
        <v>0.8</v>
      </c>
      <c r="F187" s="7">
        <v>10.927</v>
      </c>
      <c r="G187" s="15">
        <f t="shared" ref="G187" si="524">F187*86400</f>
        <v>944092.79999999993</v>
      </c>
      <c r="H187" s="21">
        <f t="shared" ref="H187" si="525">G187/1000000</f>
        <v>0.94409279999999995</v>
      </c>
      <c r="I187" s="20">
        <f t="shared" si="299"/>
        <v>42484.175999999992</v>
      </c>
      <c r="J187" s="28">
        <v>7.1824494444444401E-2</v>
      </c>
      <c r="K187" s="20">
        <f t="shared" si="300"/>
        <v>5098.1011199999984</v>
      </c>
      <c r="L187" s="17">
        <v>6.0886799999995599E-2</v>
      </c>
      <c r="M187" s="17">
        <f t="shared" ref="M187" si="526">J187+L187</f>
        <v>0.13271129444443999</v>
      </c>
      <c r="N187" s="20">
        <f t="shared" si="302"/>
        <v>9.4409279999999998E-2</v>
      </c>
      <c r="O187" s="7">
        <f t="shared" ref="O187" si="527">H187-M187-N187</f>
        <v>0.71697222555555995</v>
      </c>
    </row>
    <row r="188" spans="1:15" x14ac:dyDescent="0.7">
      <c r="A188" s="6"/>
      <c r="B188" s="6"/>
      <c r="C188" s="6">
        <v>5</v>
      </c>
      <c r="D188" s="7">
        <v>10.471</v>
      </c>
      <c r="E188" s="4">
        <v>35</v>
      </c>
      <c r="F188" s="7">
        <v>10.471</v>
      </c>
      <c r="G188" s="15">
        <f t="shared" ref="G188" si="528">F188*86400</f>
        <v>904694.4</v>
      </c>
      <c r="H188" s="21">
        <f t="shared" ref="H188" si="529">G188/1000000</f>
        <v>0.90469440000000001</v>
      </c>
      <c r="I188" s="20">
        <f t="shared" si="299"/>
        <v>40711.248</v>
      </c>
      <c r="J188" s="28">
        <v>7.2203944444444404E-2</v>
      </c>
      <c r="K188" s="20">
        <f t="shared" si="300"/>
        <v>4885.3497600000001</v>
      </c>
      <c r="L188" s="17">
        <v>6.1257333333328903E-2</v>
      </c>
      <c r="M188" s="17">
        <f t="shared" ref="M188" si="530">J188+L188</f>
        <v>0.13346127777777331</v>
      </c>
      <c r="N188" s="20">
        <f t="shared" si="302"/>
        <v>9.0469440000000012E-2</v>
      </c>
      <c r="O188" s="7">
        <f t="shared" ref="O188" si="531">H188-M188-N188</f>
        <v>0.68076368222222672</v>
      </c>
    </row>
    <row r="189" spans="1:15" x14ac:dyDescent="0.7">
      <c r="A189" s="6"/>
      <c r="B189" s="6"/>
      <c r="C189" s="6">
        <v>6</v>
      </c>
      <c r="D189" s="7">
        <v>19.478999999999999</v>
      </c>
      <c r="E189" s="4">
        <v>4.5</v>
      </c>
      <c r="F189" s="7">
        <v>19.478999999999999</v>
      </c>
      <c r="G189" s="15">
        <f t="shared" ref="G189" si="532">F189*86400</f>
        <v>1682985.5999999999</v>
      </c>
      <c r="H189" s="21">
        <f t="shared" ref="H189" si="533">G189/1000000</f>
        <v>1.6829855999999999</v>
      </c>
      <c r="I189" s="20">
        <f t="shared" si="299"/>
        <v>75734.351999999984</v>
      </c>
      <c r="J189" s="28">
        <v>7.2583394444444393E-2</v>
      </c>
      <c r="K189" s="20">
        <f t="shared" si="300"/>
        <v>9088.122239999997</v>
      </c>
      <c r="L189" s="17">
        <v>6.1627866666662201E-2</v>
      </c>
      <c r="M189" s="17">
        <f t="shared" ref="M189" si="534">J189+L189</f>
        <v>0.13421126111110659</v>
      </c>
      <c r="N189" s="20">
        <f t="shared" si="302"/>
        <v>0.16829855999999999</v>
      </c>
      <c r="O189" s="7">
        <f t="shared" ref="O189" si="535">H189-M189-N189</f>
        <v>1.3804757788888933</v>
      </c>
    </row>
    <row r="190" spans="1:15" x14ac:dyDescent="0.7">
      <c r="A190" s="6"/>
      <c r="B190" s="6"/>
      <c r="C190" s="3">
        <v>7</v>
      </c>
      <c r="D190" s="7">
        <v>58.941000000000003</v>
      </c>
      <c r="E190" s="4">
        <v>40</v>
      </c>
      <c r="F190" s="7">
        <v>58.941000000000003</v>
      </c>
      <c r="G190" s="15">
        <f t="shared" ref="G190" si="536">F190*86400</f>
        <v>5092502.4000000004</v>
      </c>
      <c r="H190" s="21">
        <f t="shared" ref="H190" si="537">G190/1000000</f>
        <v>5.0925024000000008</v>
      </c>
      <c r="I190" s="20">
        <f t="shared" si="299"/>
        <v>229162.60800000001</v>
      </c>
      <c r="J190" s="28">
        <v>7.2962844444444397E-2</v>
      </c>
      <c r="K190" s="20">
        <f t="shared" si="300"/>
        <v>27499.51296</v>
      </c>
      <c r="L190" s="17">
        <v>6.1998399999995499E-2</v>
      </c>
      <c r="M190" s="17">
        <f t="shared" ref="M190" si="538">J190+L190</f>
        <v>0.13496124444443991</v>
      </c>
      <c r="N190" s="20">
        <f t="shared" si="302"/>
        <v>0.50925024000000008</v>
      </c>
      <c r="O190" s="7">
        <f t="shared" ref="O190" si="539">H190-M190-N190</f>
        <v>4.4482909155555603</v>
      </c>
    </row>
    <row r="191" spans="1:15" x14ac:dyDescent="0.7">
      <c r="A191" s="6"/>
      <c r="B191" s="6"/>
      <c r="C191" s="6">
        <v>8</v>
      </c>
      <c r="D191" s="7">
        <v>32.835999999999999</v>
      </c>
      <c r="E191" s="4">
        <v>0.2</v>
      </c>
      <c r="F191" s="7">
        <v>32.835999999999999</v>
      </c>
      <c r="G191" s="15">
        <f t="shared" ref="G191" si="540">F191*86400</f>
        <v>2837030.4</v>
      </c>
      <c r="H191" s="21">
        <f t="shared" ref="H191" si="541">G191/1000000</f>
        <v>2.8370303999999997</v>
      </c>
      <c r="I191" s="20">
        <f t="shared" si="299"/>
        <v>127666.36799999999</v>
      </c>
      <c r="J191" s="28">
        <v>7.33422944444444E-2</v>
      </c>
      <c r="K191" s="20">
        <f t="shared" si="300"/>
        <v>15319.964159999998</v>
      </c>
      <c r="L191" s="17">
        <v>6.2368933333328803E-2</v>
      </c>
      <c r="M191" s="17">
        <f t="shared" ref="M191" si="542">J191+L191</f>
        <v>0.1357112277777732</v>
      </c>
      <c r="N191" s="20">
        <f t="shared" si="302"/>
        <v>0.28370303999999996</v>
      </c>
      <c r="O191" s="7">
        <f t="shared" ref="O191" si="543">H191-M191-N191</f>
        <v>2.4176161322222267</v>
      </c>
    </row>
    <row r="192" spans="1:15" x14ac:dyDescent="0.7">
      <c r="A192" s="6"/>
      <c r="B192" s="6"/>
      <c r="C192" s="6">
        <v>9</v>
      </c>
      <c r="D192" s="7">
        <v>22.622999999999998</v>
      </c>
      <c r="E192" s="4">
        <v>18</v>
      </c>
      <c r="F192" s="7">
        <v>22.622999999999998</v>
      </c>
      <c r="G192" s="15">
        <f t="shared" ref="G192" si="544">F192*86400</f>
        <v>1954627.1999999997</v>
      </c>
      <c r="H192" s="21">
        <f t="shared" ref="H192" si="545">G192/1000000</f>
        <v>1.9546271999999998</v>
      </c>
      <c r="I192" s="20">
        <f t="shared" si="299"/>
        <v>87958.223999999987</v>
      </c>
      <c r="J192" s="28">
        <v>7.3721744444444404E-2</v>
      </c>
      <c r="K192" s="20">
        <f t="shared" si="300"/>
        <v>10554.986879999999</v>
      </c>
      <c r="L192" s="17">
        <v>6.2739466666662094E-2</v>
      </c>
      <c r="M192" s="17">
        <f t="shared" ref="M192" si="546">J192+L192</f>
        <v>0.13646121111110648</v>
      </c>
      <c r="N192" s="20">
        <f t="shared" si="302"/>
        <v>0.19546271999999998</v>
      </c>
      <c r="O192" s="7">
        <f t="shared" ref="O192" si="547">H192-M192-N192</f>
        <v>1.6227032688888934</v>
      </c>
    </row>
    <row r="193" spans="1:15" x14ac:dyDescent="0.7">
      <c r="A193" s="6"/>
      <c r="B193" s="6"/>
      <c r="C193" s="3">
        <v>10</v>
      </c>
      <c r="D193" s="7">
        <v>21.03</v>
      </c>
      <c r="E193" s="4">
        <v>11</v>
      </c>
      <c r="F193" s="7">
        <v>21.03</v>
      </c>
      <c r="G193" s="15">
        <f t="shared" ref="G193" si="548">F193*86400</f>
        <v>1816992</v>
      </c>
      <c r="H193" s="21">
        <f t="shared" ref="H193" si="549">G193/1000000</f>
        <v>1.8169919999999999</v>
      </c>
      <c r="I193" s="20">
        <f t="shared" si="299"/>
        <v>81764.639999999999</v>
      </c>
      <c r="J193" s="28">
        <v>7.4101194444444393E-2</v>
      </c>
      <c r="K193" s="20">
        <f t="shared" si="300"/>
        <v>9811.7567999999992</v>
      </c>
      <c r="L193" s="17">
        <v>6.3109999999995406E-2</v>
      </c>
      <c r="M193" s="17">
        <f t="shared" ref="M193" si="550">J193+L193</f>
        <v>0.1372111944444398</v>
      </c>
      <c r="N193" s="20">
        <f t="shared" si="302"/>
        <v>0.18169920000000001</v>
      </c>
      <c r="O193" s="7">
        <f t="shared" ref="O193" si="551">H193-M193-N193</f>
        <v>1.4980816055555601</v>
      </c>
    </row>
    <row r="194" spans="1:15" x14ac:dyDescent="0.7">
      <c r="A194" s="6"/>
      <c r="B194" s="6"/>
      <c r="C194" s="6">
        <v>11</v>
      </c>
      <c r="D194" s="7">
        <v>21.490000000000002</v>
      </c>
      <c r="E194" s="4">
        <v>1.3</v>
      </c>
      <c r="F194" s="7">
        <v>21.490000000000002</v>
      </c>
      <c r="G194" s="15">
        <f t="shared" ref="G194" si="552">F194*86400</f>
        <v>1856736.0000000002</v>
      </c>
      <c r="H194" s="21">
        <f t="shared" ref="H194" si="553">G194/1000000</f>
        <v>1.8567360000000002</v>
      </c>
      <c r="I194" s="20">
        <f t="shared" si="299"/>
        <v>83553.12000000001</v>
      </c>
      <c r="J194" s="28">
        <v>7.4480644444444397E-2</v>
      </c>
      <c r="K194" s="20">
        <f t="shared" si="300"/>
        <v>10026.374400000001</v>
      </c>
      <c r="L194" s="17">
        <v>6.3480533333328704E-2</v>
      </c>
      <c r="M194" s="17">
        <f t="shared" ref="M194" si="554">J194+L194</f>
        <v>0.13796117777777311</v>
      </c>
      <c r="N194" s="20">
        <f t="shared" si="302"/>
        <v>0.18567360000000002</v>
      </c>
      <c r="O194" s="7">
        <f t="shared" ref="O194" si="555">H194-M194-N194</f>
        <v>1.5331012222222269</v>
      </c>
    </row>
    <row r="195" spans="1:15" x14ac:dyDescent="0.7">
      <c r="A195" s="6"/>
      <c r="B195" s="6"/>
      <c r="C195" s="6">
        <v>12</v>
      </c>
      <c r="D195" s="7">
        <v>29.262999999999998</v>
      </c>
      <c r="E195" s="4">
        <v>9.4</v>
      </c>
      <c r="F195" s="7">
        <v>29.262999999999998</v>
      </c>
      <c r="G195" s="15">
        <f t="shared" ref="G195" si="556">F195*86400</f>
        <v>2528323.1999999997</v>
      </c>
      <c r="H195" s="21">
        <f t="shared" ref="H195" si="557">G195/1000000</f>
        <v>2.5283231999999995</v>
      </c>
      <c r="I195" s="20">
        <f t="shared" ref="I195:I258" si="558">H195*1000000*0.045</f>
        <v>113774.54399999998</v>
      </c>
      <c r="J195" s="28">
        <v>7.48600944444444E-2</v>
      </c>
      <c r="K195" s="20">
        <f t="shared" ref="K195:K258" si="559">I195*0.12</f>
        <v>13652.945279999996</v>
      </c>
      <c r="L195" s="17">
        <v>6.3851066666662001E-2</v>
      </c>
      <c r="M195" s="17">
        <f t="shared" ref="M195" si="560">J195+L195</f>
        <v>0.1387111611111064</v>
      </c>
      <c r="N195" s="20">
        <f t="shared" ref="N195:N258" si="561">H195*0.1</f>
        <v>0.25283231999999994</v>
      </c>
      <c r="O195" s="7">
        <f t="shared" ref="O195" si="562">H195-M195-N195</f>
        <v>2.1367797188888931</v>
      </c>
    </row>
    <row r="196" spans="1:15" x14ac:dyDescent="0.7">
      <c r="A196" s="6"/>
      <c r="B196" s="6"/>
      <c r="C196" s="3">
        <v>13</v>
      </c>
      <c r="D196" s="7">
        <v>20.379000000000001</v>
      </c>
      <c r="E196" s="4">
        <v>0</v>
      </c>
      <c r="F196" s="7">
        <v>20.379000000000001</v>
      </c>
      <c r="G196" s="15">
        <f t="shared" ref="G196" si="563">F196*86400</f>
        <v>1760745.6</v>
      </c>
      <c r="H196" s="21">
        <f t="shared" ref="H196" si="564">G196/1000000</f>
        <v>1.7607456000000001</v>
      </c>
      <c r="I196" s="20">
        <f t="shared" si="558"/>
        <v>79233.551999999996</v>
      </c>
      <c r="J196" s="28">
        <v>7.5239544444444403E-2</v>
      </c>
      <c r="K196" s="20">
        <f t="shared" si="559"/>
        <v>9508.0262399999992</v>
      </c>
      <c r="L196" s="17">
        <v>6.4221599999995299E-2</v>
      </c>
      <c r="M196" s="17">
        <f t="shared" ref="M196" si="565">J196+L196</f>
        <v>0.13946114444443969</v>
      </c>
      <c r="N196" s="20">
        <f t="shared" si="561"/>
        <v>0.17607456000000002</v>
      </c>
      <c r="O196" s="7">
        <f t="shared" ref="O196" si="566">H196-M196-N196</f>
        <v>1.4452098955555606</v>
      </c>
    </row>
    <row r="197" spans="1:15" x14ac:dyDescent="0.7">
      <c r="A197" s="6"/>
      <c r="B197" s="6"/>
      <c r="C197" s="6">
        <v>14</v>
      </c>
      <c r="D197" s="7">
        <v>15.662000000000001</v>
      </c>
      <c r="E197" s="4">
        <v>8.9</v>
      </c>
      <c r="F197" s="7">
        <v>15.662000000000001</v>
      </c>
      <c r="G197" s="15">
        <f t="shared" ref="G197" si="567">F197*86400</f>
        <v>1353196.8</v>
      </c>
      <c r="H197" s="21">
        <f t="shared" ref="H197" si="568">G197/1000000</f>
        <v>1.3531968000000001</v>
      </c>
      <c r="I197" s="20">
        <f t="shared" si="558"/>
        <v>60893.856</v>
      </c>
      <c r="J197" s="28">
        <v>7.5618994444444407E-2</v>
      </c>
      <c r="K197" s="20">
        <f t="shared" si="559"/>
        <v>7307.2627199999997</v>
      </c>
      <c r="L197" s="17">
        <v>6.4592133333328597E-2</v>
      </c>
      <c r="M197" s="17">
        <f t="shared" ref="M197" si="569">J197+L197</f>
        <v>0.140211127777773</v>
      </c>
      <c r="N197" s="20">
        <f t="shared" si="561"/>
        <v>0.13531968000000003</v>
      </c>
      <c r="O197" s="7">
        <f t="shared" ref="O197" si="570">H197-M197-N197</f>
        <v>1.0776659922222269</v>
      </c>
    </row>
    <row r="198" spans="1:15" x14ac:dyDescent="0.7">
      <c r="A198" s="6"/>
      <c r="B198" s="6"/>
      <c r="C198" s="6">
        <v>15</v>
      </c>
      <c r="D198" s="7">
        <v>18.343</v>
      </c>
      <c r="E198" s="4">
        <v>6.1</v>
      </c>
      <c r="F198" s="7">
        <v>18.343</v>
      </c>
      <c r="G198" s="15">
        <f t="shared" ref="G198" si="571">F198*86400</f>
        <v>1584835.2</v>
      </c>
      <c r="H198" s="21">
        <f t="shared" ref="H198" si="572">G198/1000000</f>
        <v>1.5848351999999999</v>
      </c>
      <c r="I198" s="20">
        <f t="shared" si="558"/>
        <v>71317.583999999988</v>
      </c>
      <c r="J198" s="28">
        <v>7.5998444444444396E-2</v>
      </c>
      <c r="K198" s="20">
        <f t="shared" si="559"/>
        <v>8558.1100799999986</v>
      </c>
      <c r="L198" s="17">
        <v>6.4962666666661895E-2</v>
      </c>
      <c r="M198" s="17">
        <f t="shared" ref="M198" si="573">J198+L198</f>
        <v>0.14096111111110629</v>
      </c>
      <c r="N198" s="20">
        <f t="shared" si="561"/>
        <v>0.15848351999999999</v>
      </c>
      <c r="O198" s="7">
        <f t="shared" ref="O198" si="574">H198-M198-N198</f>
        <v>1.2853905688888938</v>
      </c>
    </row>
    <row r="199" spans="1:15" x14ac:dyDescent="0.7">
      <c r="A199" s="6"/>
      <c r="B199" s="6"/>
      <c r="C199" s="3">
        <v>16</v>
      </c>
      <c r="D199" s="7">
        <v>16.939</v>
      </c>
      <c r="E199" s="4">
        <v>0.6</v>
      </c>
      <c r="F199" s="7">
        <v>16.939</v>
      </c>
      <c r="G199" s="15">
        <f t="shared" ref="G199" si="575">F199*86400</f>
        <v>1463529.6</v>
      </c>
      <c r="H199" s="21">
        <f t="shared" ref="H199" si="576">G199/1000000</f>
        <v>1.4635296</v>
      </c>
      <c r="I199" s="20">
        <f t="shared" si="558"/>
        <v>65858.831999999995</v>
      </c>
      <c r="J199" s="28">
        <v>7.63778944444444E-2</v>
      </c>
      <c r="K199" s="20">
        <f t="shared" si="559"/>
        <v>7903.059839999999</v>
      </c>
      <c r="L199" s="17">
        <v>6.5333199999995206E-2</v>
      </c>
      <c r="M199" s="17">
        <f t="shared" ref="M199" si="577">J199+L199</f>
        <v>0.14171109444443961</v>
      </c>
      <c r="N199" s="20">
        <f t="shared" si="561"/>
        <v>0.14635296</v>
      </c>
      <c r="O199" s="7">
        <f t="shared" ref="O199" si="578">H199-M199-N199</f>
        <v>1.1754655455555605</v>
      </c>
    </row>
    <row r="200" spans="1:15" x14ac:dyDescent="0.7">
      <c r="A200" s="6"/>
      <c r="B200" s="6"/>
      <c r="C200" s="6">
        <v>17</v>
      </c>
      <c r="D200" s="7">
        <v>17.059000000000001</v>
      </c>
      <c r="E200" s="4">
        <v>6.7</v>
      </c>
      <c r="F200" s="7">
        <v>17.059000000000001</v>
      </c>
      <c r="G200" s="15">
        <f t="shared" ref="G200" si="579">F200*86400</f>
        <v>1473897.6</v>
      </c>
      <c r="H200" s="21">
        <f t="shared" ref="H200" si="580">G200/1000000</f>
        <v>1.4738976000000001</v>
      </c>
      <c r="I200" s="20">
        <f t="shared" si="558"/>
        <v>66325.392000000007</v>
      </c>
      <c r="J200" s="28">
        <v>7.6757344444444403E-2</v>
      </c>
      <c r="K200" s="20">
        <f t="shared" si="559"/>
        <v>7959.0470400000004</v>
      </c>
      <c r="L200" s="17">
        <v>6.5703733333328504E-2</v>
      </c>
      <c r="M200" s="17">
        <f t="shared" ref="M200" si="581">J200+L200</f>
        <v>0.14246107777777289</v>
      </c>
      <c r="N200" s="20">
        <f t="shared" si="561"/>
        <v>0.14738976000000001</v>
      </c>
      <c r="O200" s="7">
        <f t="shared" ref="O200" si="582">H200-M200-N200</f>
        <v>1.1840467622222273</v>
      </c>
    </row>
    <row r="201" spans="1:15" x14ac:dyDescent="0.7">
      <c r="A201" s="6"/>
      <c r="B201" s="6"/>
      <c r="C201" s="6">
        <v>18</v>
      </c>
      <c r="D201" s="7">
        <v>13.305999999999999</v>
      </c>
      <c r="E201" s="4">
        <v>6.1</v>
      </c>
      <c r="F201" s="7">
        <v>13.305999999999999</v>
      </c>
      <c r="G201" s="15">
        <f t="shared" ref="G201" si="583">F201*86400</f>
        <v>1149638.3999999999</v>
      </c>
      <c r="H201" s="21">
        <f t="shared" ref="H201" si="584">G201/1000000</f>
        <v>1.1496383999999999</v>
      </c>
      <c r="I201" s="20">
        <f t="shared" si="558"/>
        <v>51733.727999999996</v>
      </c>
      <c r="J201" s="28">
        <v>7.7136794444444406E-2</v>
      </c>
      <c r="K201" s="20">
        <f t="shared" si="559"/>
        <v>6208.0473599999996</v>
      </c>
      <c r="L201" s="17">
        <v>6.6074266666661802E-2</v>
      </c>
      <c r="M201" s="17">
        <f t="shared" ref="M201" si="585">J201+L201</f>
        <v>0.14321106111110621</v>
      </c>
      <c r="N201" s="20">
        <f t="shared" si="561"/>
        <v>0.11496384</v>
      </c>
      <c r="O201" s="7">
        <f t="shared" ref="O201" si="586">H201-M201-N201</f>
        <v>0.89146349888889376</v>
      </c>
    </row>
    <row r="202" spans="1:15" x14ac:dyDescent="0.7">
      <c r="A202" s="6"/>
      <c r="B202" s="6"/>
      <c r="C202" s="3">
        <v>19</v>
      </c>
      <c r="D202" s="7">
        <v>16.236999999999998</v>
      </c>
      <c r="E202" s="4">
        <v>34</v>
      </c>
      <c r="F202" s="7">
        <v>16.236999999999998</v>
      </c>
      <c r="G202" s="15">
        <f t="shared" ref="G202" si="587">F202*86400</f>
        <v>1402876.7999999998</v>
      </c>
      <c r="H202" s="21">
        <f t="shared" ref="H202" si="588">G202/1000000</f>
        <v>1.4028767999999998</v>
      </c>
      <c r="I202" s="20">
        <f t="shared" si="558"/>
        <v>63129.455999999991</v>
      </c>
      <c r="J202" s="28">
        <v>7.7516244444444396E-2</v>
      </c>
      <c r="K202" s="20">
        <f t="shared" si="559"/>
        <v>7575.5347199999987</v>
      </c>
      <c r="L202" s="17">
        <v>6.6444799999995099E-2</v>
      </c>
      <c r="M202" s="17">
        <f t="shared" ref="M202" si="589">J202+L202</f>
        <v>0.1439610444444395</v>
      </c>
      <c r="N202" s="20">
        <f t="shared" si="561"/>
        <v>0.14028768</v>
      </c>
      <c r="O202" s="7">
        <f t="shared" ref="O202" si="590">H202-M202-N202</f>
        <v>1.1186280755555604</v>
      </c>
    </row>
    <row r="203" spans="1:15" x14ac:dyDescent="0.7">
      <c r="A203" s="6"/>
      <c r="B203" s="6"/>
      <c r="C203" s="6">
        <v>20</v>
      </c>
      <c r="D203" s="7">
        <v>25.974000000000004</v>
      </c>
      <c r="E203" s="4">
        <v>8.6999999999999993</v>
      </c>
      <c r="F203" s="7">
        <v>25.974000000000004</v>
      </c>
      <c r="G203" s="15">
        <f t="shared" ref="G203" si="591">F203*86400</f>
        <v>2244153.6</v>
      </c>
      <c r="H203" s="21">
        <f t="shared" ref="H203" si="592">G203/1000000</f>
        <v>2.2441536000000002</v>
      </c>
      <c r="I203" s="20">
        <f t="shared" si="558"/>
        <v>100986.912</v>
      </c>
      <c r="J203" s="28">
        <v>7.7895694444444399E-2</v>
      </c>
      <c r="K203" s="20">
        <f t="shared" si="559"/>
        <v>12118.42944</v>
      </c>
      <c r="L203" s="17">
        <v>6.6815333333328397E-2</v>
      </c>
      <c r="M203" s="17">
        <f t="shared" ref="M203" si="593">J203+L203</f>
        <v>0.14471102777777278</v>
      </c>
      <c r="N203" s="20">
        <f t="shared" si="561"/>
        <v>0.22441536000000004</v>
      </c>
      <c r="O203" s="7">
        <f t="shared" ref="O203" si="594">H203-M203-N203</f>
        <v>1.8750272122222276</v>
      </c>
    </row>
    <row r="204" spans="1:15" x14ac:dyDescent="0.7">
      <c r="A204" s="6"/>
      <c r="B204" s="6"/>
      <c r="C204" s="6">
        <v>21</v>
      </c>
      <c r="D204" s="7">
        <v>28.001000000000001</v>
      </c>
      <c r="E204" s="4">
        <v>0</v>
      </c>
      <c r="F204" s="7">
        <v>28.001000000000001</v>
      </c>
      <c r="G204" s="15">
        <f t="shared" ref="G204" si="595">F204*86400</f>
        <v>2419286.4</v>
      </c>
      <c r="H204" s="21">
        <f t="shared" ref="H204" si="596">G204/1000000</f>
        <v>2.4192863999999998</v>
      </c>
      <c r="I204" s="20">
        <f t="shared" si="558"/>
        <v>108867.88799999999</v>
      </c>
      <c r="J204" s="28">
        <v>7.8275144444444403E-2</v>
      </c>
      <c r="K204" s="20">
        <f t="shared" si="559"/>
        <v>13064.146559999999</v>
      </c>
      <c r="L204" s="17">
        <v>6.7185866666661695E-2</v>
      </c>
      <c r="M204" s="17">
        <f t="shared" ref="M204" si="597">J204+L204</f>
        <v>0.1454610111111061</v>
      </c>
      <c r="N204" s="20">
        <f t="shared" si="561"/>
        <v>0.24192864</v>
      </c>
      <c r="O204" s="7">
        <f t="shared" ref="O204" si="598">H204-M204-N204</f>
        <v>2.0318967488888942</v>
      </c>
    </row>
    <row r="205" spans="1:15" x14ac:dyDescent="0.7">
      <c r="A205" s="6"/>
      <c r="B205" s="6"/>
      <c r="C205" s="3">
        <v>22</v>
      </c>
      <c r="D205" s="7">
        <v>20.643999999999998</v>
      </c>
      <c r="E205" s="4">
        <v>0</v>
      </c>
      <c r="F205" s="7">
        <v>20.643999999999998</v>
      </c>
      <c r="G205" s="15">
        <f t="shared" ref="G205" si="599">F205*86400</f>
        <v>1783641.5999999999</v>
      </c>
      <c r="H205" s="21">
        <f t="shared" ref="H205" si="600">G205/1000000</f>
        <v>1.7836415999999999</v>
      </c>
      <c r="I205" s="20">
        <f t="shared" si="558"/>
        <v>80263.871999999988</v>
      </c>
      <c r="J205" s="28">
        <v>7.8654594444444406E-2</v>
      </c>
      <c r="K205" s="20">
        <f t="shared" si="559"/>
        <v>9631.6646399999991</v>
      </c>
      <c r="L205" s="17">
        <v>6.7556399999995007E-2</v>
      </c>
      <c r="M205" s="17">
        <f t="shared" ref="M205" si="601">J205+L205</f>
        <v>0.14621099444443941</v>
      </c>
      <c r="N205" s="20">
        <f t="shared" si="561"/>
        <v>0.17836415999999999</v>
      </c>
      <c r="O205" s="7">
        <f t="shared" ref="O205" si="602">H205-M205-N205</f>
        <v>1.4590664455555604</v>
      </c>
    </row>
    <row r="206" spans="1:15" x14ac:dyDescent="0.7">
      <c r="A206" s="6"/>
      <c r="B206" s="6"/>
      <c r="C206" s="6">
        <v>23</v>
      </c>
      <c r="D206" s="7">
        <v>16.556000000000001</v>
      </c>
      <c r="E206" s="4">
        <v>0</v>
      </c>
      <c r="F206" s="7">
        <v>16.556000000000001</v>
      </c>
      <c r="G206" s="15">
        <f t="shared" ref="G206" si="603">F206*86400</f>
        <v>1430438.4000000001</v>
      </c>
      <c r="H206" s="21">
        <f t="shared" ref="H206" si="604">G206/1000000</f>
        <v>1.4304384000000001</v>
      </c>
      <c r="I206" s="20">
        <f t="shared" si="558"/>
        <v>64369.728000000003</v>
      </c>
      <c r="J206" s="28">
        <v>7.9034044444444396E-2</v>
      </c>
      <c r="K206" s="20">
        <f t="shared" si="559"/>
        <v>7724.3673600000002</v>
      </c>
      <c r="L206" s="17">
        <v>6.7926933333328304E-2</v>
      </c>
      <c r="M206" s="17">
        <f t="shared" ref="M206" si="605">J206+L206</f>
        <v>0.1469609777777727</v>
      </c>
      <c r="N206" s="20">
        <f t="shared" si="561"/>
        <v>0.14304384000000001</v>
      </c>
      <c r="O206" s="7">
        <f t="shared" ref="O206" si="606">H206-M206-N206</f>
        <v>1.1404335822222273</v>
      </c>
    </row>
    <row r="207" spans="1:15" x14ac:dyDescent="0.7">
      <c r="A207" s="6"/>
      <c r="B207" s="6"/>
      <c r="C207" s="6">
        <v>24</v>
      </c>
      <c r="D207" s="7">
        <v>16.405000000000001</v>
      </c>
      <c r="E207" s="4">
        <v>16.5</v>
      </c>
      <c r="F207" s="7">
        <v>16.405000000000001</v>
      </c>
      <c r="G207" s="15">
        <f t="shared" ref="G207" si="607">F207*86400</f>
        <v>1417392</v>
      </c>
      <c r="H207" s="21">
        <f t="shared" ref="H207" si="608">G207/1000000</f>
        <v>1.417392</v>
      </c>
      <c r="I207" s="20">
        <f t="shared" si="558"/>
        <v>63782.64</v>
      </c>
      <c r="J207" s="28">
        <v>7.9413494444444399E-2</v>
      </c>
      <c r="K207" s="20">
        <f t="shared" si="559"/>
        <v>7653.9168</v>
      </c>
      <c r="L207" s="17">
        <v>6.8297466666661602E-2</v>
      </c>
      <c r="M207" s="17">
        <f t="shared" ref="M207" si="609">J207+L207</f>
        <v>0.14771096111110599</v>
      </c>
      <c r="N207" s="20">
        <f t="shared" si="561"/>
        <v>0.14173920000000001</v>
      </c>
      <c r="O207" s="7">
        <f t="shared" ref="O207" si="610">H207-M207-N207</f>
        <v>1.127941838888894</v>
      </c>
    </row>
    <row r="208" spans="1:15" x14ac:dyDescent="0.7">
      <c r="A208" s="6"/>
      <c r="B208" s="6"/>
      <c r="C208" s="3">
        <v>25</v>
      </c>
      <c r="D208" s="7">
        <v>32.686999999999998</v>
      </c>
      <c r="E208" s="4">
        <v>6.1</v>
      </c>
      <c r="F208" s="7">
        <v>32.686999999999998</v>
      </c>
      <c r="G208" s="15">
        <f t="shared" ref="G208" si="611">F208*86400</f>
        <v>2824156.8</v>
      </c>
      <c r="H208" s="21">
        <f t="shared" ref="H208" si="612">G208/1000000</f>
        <v>2.8241567999999999</v>
      </c>
      <c r="I208" s="20">
        <f t="shared" si="558"/>
        <v>127087.05599999998</v>
      </c>
      <c r="J208" s="28">
        <v>7.9792944444444402E-2</v>
      </c>
      <c r="K208" s="20">
        <f t="shared" si="559"/>
        <v>15250.446719999998</v>
      </c>
      <c r="L208" s="17">
        <v>6.86679999999949E-2</v>
      </c>
      <c r="M208" s="17">
        <f t="shared" ref="M208" si="613">J208+L208</f>
        <v>0.1484609444444393</v>
      </c>
      <c r="N208" s="20">
        <f t="shared" si="561"/>
        <v>0.28241568</v>
      </c>
      <c r="O208" s="7">
        <f t="shared" ref="O208" si="614">H208-M208-N208</f>
        <v>2.3932801755555606</v>
      </c>
    </row>
    <row r="209" spans="1:15" x14ac:dyDescent="0.7">
      <c r="A209" s="6"/>
      <c r="B209" s="6"/>
      <c r="C209" s="6">
        <v>26</v>
      </c>
      <c r="D209" s="7">
        <v>35.35</v>
      </c>
      <c r="E209" s="4">
        <v>39.5</v>
      </c>
      <c r="F209" s="7">
        <v>35.35</v>
      </c>
      <c r="G209" s="15">
        <f t="shared" ref="G209" si="615">F209*86400</f>
        <v>3054240</v>
      </c>
      <c r="H209" s="21">
        <f t="shared" ref="H209" si="616">G209/1000000</f>
        <v>3.0542400000000001</v>
      </c>
      <c r="I209" s="20">
        <f t="shared" si="558"/>
        <v>137440.79999999999</v>
      </c>
      <c r="J209" s="28">
        <v>8.0172394444444406E-2</v>
      </c>
      <c r="K209" s="20">
        <f t="shared" si="559"/>
        <v>16492.895999999997</v>
      </c>
      <c r="L209" s="17">
        <v>6.9038533333328198E-2</v>
      </c>
      <c r="M209" s="17">
        <f t="shared" ref="M209" si="617">J209+L209</f>
        <v>0.14921092777777262</v>
      </c>
      <c r="N209" s="20">
        <f t="shared" si="561"/>
        <v>0.30542400000000003</v>
      </c>
      <c r="O209" s="7">
        <f t="shared" ref="O209" si="618">H209-M209-N209</f>
        <v>2.5996050722222277</v>
      </c>
    </row>
    <row r="210" spans="1:15" x14ac:dyDescent="0.7">
      <c r="A210" s="6"/>
      <c r="B210" s="6"/>
      <c r="C210" s="6">
        <v>27</v>
      </c>
      <c r="D210" s="7">
        <v>48.546999999999997</v>
      </c>
      <c r="E210" s="4">
        <v>24.4</v>
      </c>
      <c r="F210" s="7">
        <v>48.546999999999997</v>
      </c>
      <c r="G210" s="15">
        <f t="shared" ref="G210" si="619">F210*86400</f>
        <v>4194460.8</v>
      </c>
      <c r="H210" s="21">
        <f t="shared" ref="H210" si="620">G210/1000000</f>
        <v>4.1944607999999999</v>
      </c>
      <c r="I210" s="20">
        <f t="shared" si="558"/>
        <v>188750.73599999998</v>
      </c>
      <c r="J210" s="28">
        <v>8.0551844444444395E-2</v>
      </c>
      <c r="K210" s="20">
        <f t="shared" si="559"/>
        <v>22650.088319999995</v>
      </c>
      <c r="L210" s="17">
        <v>6.9409066666661495E-2</v>
      </c>
      <c r="M210" s="17">
        <f t="shared" ref="M210" si="621">J210+L210</f>
        <v>0.14996091111110588</v>
      </c>
      <c r="N210" s="20">
        <f t="shared" si="561"/>
        <v>0.41944608</v>
      </c>
      <c r="O210" s="7">
        <f t="shared" ref="O210" si="622">H210-M210-N210</f>
        <v>3.6250538088888939</v>
      </c>
    </row>
    <row r="211" spans="1:15" x14ac:dyDescent="0.7">
      <c r="A211" s="6"/>
      <c r="B211" s="6"/>
      <c r="C211" s="3">
        <v>28</v>
      </c>
      <c r="D211" s="7">
        <v>53.600999999999999</v>
      </c>
      <c r="E211" s="4">
        <v>4.9000000000000004</v>
      </c>
      <c r="F211" s="7">
        <v>53.600999999999999</v>
      </c>
      <c r="G211" s="15">
        <f t="shared" ref="G211" si="623">F211*86400</f>
        <v>4631126.4000000004</v>
      </c>
      <c r="H211" s="21">
        <f t="shared" ref="H211" si="624">G211/1000000</f>
        <v>4.6311264000000003</v>
      </c>
      <c r="I211" s="20">
        <f t="shared" si="558"/>
        <v>208400.68799999999</v>
      </c>
      <c r="J211" s="28">
        <v>8.0931294444444399E-2</v>
      </c>
      <c r="K211" s="20">
        <f t="shared" si="559"/>
        <v>25008.082559999999</v>
      </c>
      <c r="L211" s="17">
        <v>6.9779599999994807E-2</v>
      </c>
      <c r="M211" s="17">
        <f t="shared" ref="M211" si="625">J211+L211</f>
        <v>0.15071089444443919</v>
      </c>
      <c r="N211" s="20">
        <f t="shared" si="561"/>
        <v>0.46311264000000008</v>
      </c>
      <c r="O211" s="7">
        <f t="shared" ref="O211" si="626">H211-M211-N211</f>
        <v>4.0173028655555605</v>
      </c>
    </row>
    <row r="212" spans="1:15" x14ac:dyDescent="0.7">
      <c r="A212" s="12"/>
      <c r="B212" s="12"/>
      <c r="C212" s="12">
        <v>29</v>
      </c>
      <c r="D212" s="30">
        <v>35.533999999999999</v>
      </c>
      <c r="E212" s="4">
        <v>1.4</v>
      </c>
      <c r="F212" s="30">
        <v>35.533999999999999</v>
      </c>
      <c r="G212" s="31">
        <f t="shared" ref="G212" si="627">F212*86400</f>
        <v>3070137.6</v>
      </c>
      <c r="H212" s="32">
        <f t="shared" ref="H212" si="628">G212/1000000</f>
        <v>3.0701376000000002</v>
      </c>
      <c r="I212" s="20">
        <f t="shared" si="558"/>
        <v>138156.19200000001</v>
      </c>
      <c r="J212" s="34">
        <v>8.1310744444444402E-2</v>
      </c>
      <c r="K212" s="20">
        <f t="shared" si="559"/>
        <v>16578.743040000001</v>
      </c>
      <c r="L212" s="33">
        <v>7.0150133333328105E-2</v>
      </c>
      <c r="M212" s="33">
        <f t="shared" ref="M212" si="629">J212+L212</f>
        <v>0.15146087777777251</v>
      </c>
      <c r="N212" s="20">
        <f t="shared" si="561"/>
        <v>0.30701376000000002</v>
      </c>
      <c r="O212" s="30">
        <f t="shared" ref="O212" si="630">H212-M212-N212</f>
        <v>2.611662962222228</v>
      </c>
    </row>
    <row r="213" spans="1:15" s="37" customFormat="1" x14ac:dyDescent="0.7">
      <c r="A213" s="6"/>
      <c r="B213" s="6"/>
      <c r="C213" s="6">
        <v>30</v>
      </c>
      <c r="D213" s="7">
        <v>43.613</v>
      </c>
      <c r="E213" s="4">
        <v>85.8</v>
      </c>
      <c r="F213" s="7">
        <v>43.613</v>
      </c>
      <c r="G213" s="35">
        <f t="shared" ref="G213" si="631">F213*86400</f>
        <v>3768163.2</v>
      </c>
      <c r="H213" s="20">
        <f t="shared" ref="H213" si="632">G213/1000000</f>
        <v>3.7681632</v>
      </c>
      <c r="I213" s="20">
        <f t="shared" si="558"/>
        <v>169567.34400000001</v>
      </c>
      <c r="J213" s="28">
        <v>8.1690194444444406E-2</v>
      </c>
      <c r="K213" s="20">
        <f t="shared" si="559"/>
        <v>20348.081280000002</v>
      </c>
      <c r="L213" s="17">
        <v>7.0520666666661402E-2</v>
      </c>
      <c r="M213" s="17">
        <f t="shared" ref="M213" si="633">J213+L213</f>
        <v>0.15221086111110582</v>
      </c>
      <c r="N213" s="20">
        <f t="shared" si="561"/>
        <v>0.37681632000000004</v>
      </c>
      <c r="O213" s="7">
        <f t="shared" ref="O213" si="634">H213-M213-N213</f>
        <v>3.2391360188888942</v>
      </c>
    </row>
    <row r="214" spans="1:15" s="13" customFormat="1" ht="25.2" thickBot="1" x14ac:dyDescent="0.75">
      <c r="A214" s="11"/>
      <c r="B214" s="11" t="s">
        <v>21</v>
      </c>
      <c r="C214" s="11">
        <v>31</v>
      </c>
      <c r="D214" s="19">
        <v>59.685000000000002</v>
      </c>
      <c r="E214" s="19">
        <v>57</v>
      </c>
      <c r="F214" s="19">
        <v>59.685000000000002</v>
      </c>
      <c r="G214" s="26">
        <f t="shared" ref="G214" si="635">F214*86400</f>
        <v>5156784</v>
      </c>
      <c r="H214" s="27">
        <f t="shared" ref="H214" si="636">G214/1000000</f>
        <v>5.156784</v>
      </c>
      <c r="I214" s="22">
        <f t="shared" si="558"/>
        <v>232055.28</v>
      </c>
      <c r="J214" s="39">
        <v>8.2069644444444395E-2</v>
      </c>
      <c r="K214" s="22">
        <f t="shared" si="559"/>
        <v>27846.633599999997</v>
      </c>
      <c r="L214" s="38">
        <v>7.08911999999947E-2</v>
      </c>
      <c r="M214" s="38">
        <f t="shared" ref="M214" si="637">J214+L214</f>
        <v>0.15296084444443908</v>
      </c>
      <c r="N214" s="22">
        <f t="shared" si="561"/>
        <v>0.51567839999999998</v>
      </c>
      <c r="O214" s="19">
        <f t="shared" ref="O214" si="638">H214-M214-N214</f>
        <v>4.4881447555555614</v>
      </c>
    </row>
    <row r="215" spans="1:15" x14ac:dyDescent="0.7">
      <c r="A215" s="3"/>
      <c r="B215" s="3" t="s">
        <v>22</v>
      </c>
      <c r="C215" s="3">
        <v>1</v>
      </c>
      <c r="D215" s="4">
        <v>156.59200000000001</v>
      </c>
      <c r="E215" s="4">
        <v>4.9000000000000004</v>
      </c>
      <c r="F215" s="4">
        <v>156.59200000000001</v>
      </c>
      <c r="G215" s="15">
        <f t="shared" ref="G215" si="639">F215*86400</f>
        <v>13529548.800000001</v>
      </c>
      <c r="H215" s="21">
        <f t="shared" ref="H215" si="640">G215/1000000</f>
        <v>13.529548800000001</v>
      </c>
      <c r="I215" s="21">
        <f t="shared" si="558"/>
        <v>608829.696</v>
      </c>
      <c r="J215" s="25">
        <v>8.2449094444444398E-2</v>
      </c>
      <c r="K215" s="21">
        <f t="shared" si="559"/>
        <v>73059.563519999996</v>
      </c>
      <c r="L215" s="16">
        <v>7.1261733333327998E-2</v>
      </c>
      <c r="M215" s="16">
        <f t="shared" ref="M215" si="641">J215+L215</f>
        <v>0.1537108277777724</v>
      </c>
      <c r="N215" s="21">
        <f t="shared" si="561"/>
        <v>1.3529548800000002</v>
      </c>
      <c r="O215" s="4">
        <f t="shared" ref="O215" si="642">H215-M215-N215</f>
        <v>12.022883092222228</v>
      </c>
    </row>
    <row r="216" spans="1:15" x14ac:dyDescent="0.7">
      <c r="A216" s="6"/>
      <c r="B216" s="6"/>
      <c r="C216" s="6">
        <v>2</v>
      </c>
      <c r="D216" s="7">
        <v>125.628</v>
      </c>
      <c r="E216" s="4">
        <v>0</v>
      </c>
      <c r="F216" s="7">
        <v>125.628</v>
      </c>
      <c r="G216" s="15">
        <f t="shared" ref="G216" si="643">F216*86400</f>
        <v>10854259.199999999</v>
      </c>
      <c r="H216" s="21">
        <f t="shared" ref="H216" si="644">G216/1000000</f>
        <v>10.8542592</v>
      </c>
      <c r="I216" s="20">
        <f t="shared" si="558"/>
        <v>488441.66399999993</v>
      </c>
      <c r="J216" s="28">
        <v>8.2828544444444402E-2</v>
      </c>
      <c r="K216" s="20">
        <f t="shared" si="559"/>
        <v>58612.999679999986</v>
      </c>
      <c r="L216" s="17">
        <v>7.1632266666661296E-2</v>
      </c>
      <c r="M216" s="17">
        <f t="shared" ref="M216" si="645">J216+L216</f>
        <v>0.15446081111110571</v>
      </c>
      <c r="N216" s="20">
        <f t="shared" si="561"/>
        <v>1.08542592</v>
      </c>
      <c r="O216" s="7">
        <f t="shared" ref="O216" si="646">H216-M216-N216</f>
        <v>9.6143724688888934</v>
      </c>
    </row>
    <row r="217" spans="1:15" x14ac:dyDescent="0.7">
      <c r="A217" s="6"/>
      <c r="B217" s="6"/>
      <c r="C217" s="6">
        <v>3</v>
      </c>
      <c r="D217" s="7">
        <v>66.709000000000003</v>
      </c>
      <c r="E217" s="4">
        <v>1.3</v>
      </c>
      <c r="F217" s="7">
        <v>66.709000000000003</v>
      </c>
      <c r="G217" s="15">
        <f t="shared" ref="G217" si="647">F217*86400</f>
        <v>5763657.6000000006</v>
      </c>
      <c r="H217" s="21">
        <f t="shared" ref="H217" si="648">G217/1000000</f>
        <v>5.7636576000000002</v>
      </c>
      <c r="I217" s="20">
        <f t="shared" si="558"/>
        <v>259364.592</v>
      </c>
      <c r="J217" s="28">
        <v>8.3207994444444405E-2</v>
      </c>
      <c r="K217" s="20">
        <f t="shared" si="559"/>
        <v>31123.751039999999</v>
      </c>
      <c r="L217" s="17">
        <v>7.2002799999994593E-2</v>
      </c>
      <c r="M217" s="17">
        <f t="shared" ref="M217" si="649">J217+L217</f>
        <v>0.155210794444439</v>
      </c>
      <c r="N217" s="20">
        <f t="shared" si="561"/>
        <v>0.57636576000000006</v>
      </c>
      <c r="O217" s="7">
        <f t="shared" ref="O217" si="650">H217-M217-N217</f>
        <v>5.0320810455555609</v>
      </c>
    </row>
    <row r="218" spans="1:15" x14ac:dyDescent="0.7">
      <c r="A218" s="6"/>
      <c r="B218" s="6"/>
      <c r="C218" s="3">
        <v>4</v>
      </c>
      <c r="D218" s="7">
        <v>48.735999999999997</v>
      </c>
      <c r="E218" s="4">
        <v>0.3</v>
      </c>
      <c r="F218" s="7">
        <v>48.735999999999997</v>
      </c>
      <c r="G218" s="15">
        <f t="shared" ref="G218" si="651">F218*86400</f>
        <v>4210790.3999999994</v>
      </c>
      <c r="H218" s="21">
        <f t="shared" ref="H218" si="652">G218/1000000</f>
        <v>4.2107903999999996</v>
      </c>
      <c r="I218" s="20">
        <f t="shared" si="558"/>
        <v>189485.56799999997</v>
      </c>
      <c r="J218" s="28">
        <v>8.3587444444444395E-2</v>
      </c>
      <c r="K218" s="20">
        <f t="shared" si="559"/>
        <v>22738.268159999996</v>
      </c>
      <c r="L218" s="17">
        <v>7.2373333333327905E-2</v>
      </c>
      <c r="M218" s="17">
        <f t="shared" ref="M218" si="653">J218+L218</f>
        <v>0.15596077777777229</v>
      </c>
      <c r="N218" s="20">
        <f t="shared" si="561"/>
        <v>0.42107903999999996</v>
      </c>
      <c r="O218" s="7">
        <f t="shared" ref="O218" si="654">H218-M218-N218</f>
        <v>3.6337505822222274</v>
      </c>
    </row>
    <row r="219" spans="1:15" x14ac:dyDescent="0.7">
      <c r="A219" s="6"/>
      <c r="B219" s="6"/>
      <c r="C219" s="6">
        <v>5</v>
      </c>
      <c r="D219" s="7">
        <v>41.412000000000006</v>
      </c>
      <c r="E219" s="4">
        <v>0</v>
      </c>
      <c r="F219" s="7">
        <v>41.412000000000006</v>
      </c>
      <c r="G219" s="15">
        <f t="shared" ref="G219" si="655">F219*86400</f>
        <v>3577996.8000000007</v>
      </c>
      <c r="H219" s="21">
        <f t="shared" ref="H219" si="656">G219/1000000</f>
        <v>3.5779968000000006</v>
      </c>
      <c r="I219" s="20">
        <f t="shared" si="558"/>
        <v>161009.85600000003</v>
      </c>
      <c r="J219" s="28">
        <v>8.3966894444444398E-2</v>
      </c>
      <c r="K219" s="20">
        <f t="shared" si="559"/>
        <v>19321.182720000004</v>
      </c>
      <c r="L219" s="17">
        <v>7.2743866666661203E-2</v>
      </c>
      <c r="M219" s="17">
        <f t="shared" ref="M219" si="657">J219+L219</f>
        <v>0.1567107611111056</v>
      </c>
      <c r="N219" s="20">
        <f t="shared" si="561"/>
        <v>0.35779968000000006</v>
      </c>
      <c r="O219" s="7">
        <f t="shared" ref="O219" si="658">H219-M219-N219</f>
        <v>3.0634863588888948</v>
      </c>
    </row>
    <row r="220" spans="1:15" x14ac:dyDescent="0.7">
      <c r="A220" s="6"/>
      <c r="B220" s="6"/>
      <c r="C220" s="6">
        <v>6</v>
      </c>
      <c r="D220" s="7">
        <v>33.173999999999999</v>
      </c>
      <c r="E220" s="4">
        <v>7</v>
      </c>
      <c r="F220" s="7">
        <v>33.173999999999999</v>
      </c>
      <c r="G220" s="15">
        <f t="shared" ref="G220" si="659">F220*86400</f>
        <v>2866233.6</v>
      </c>
      <c r="H220" s="21">
        <f t="shared" ref="H220" si="660">G220/1000000</f>
        <v>2.8662336000000002</v>
      </c>
      <c r="I220" s="20">
        <f t="shared" si="558"/>
        <v>128980.512</v>
      </c>
      <c r="J220" s="28">
        <v>8.4346344444444402E-2</v>
      </c>
      <c r="K220" s="20">
        <f t="shared" si="559"/>
        <v>15477.66144</v>
      </c>
      <c r="L220" s="17">
        <v>7.31143999999945E-2</v>
      </c>
      <c r="M220" s="17">
        <f t="shared" ref="M220" si="661">J220+L220</f>
        <v>0.15746074444443892</v>
      </c>
      <c r="N220" s="20">
        <f t="shared" si="561"/>
        <v>0.28662336000000005</v>
      </c>
      <c r="O220" s="7">
        <f t="shared" ref="O220" si="662">H220-M220-N220</f>
        <v>2.4221494955555611</v>
      </c>
    </row>
    <row r="221" spans="1:15" x14ac:dyDescent="0.7">
      <c r="A221" s="6"/>
      <c r="B221" s="6"/>
      <c r="C221" s="3">
        <v>7</v>
      </c>
      <c r="D221" s="7">
        <v>32.290999999999997</v>
      </c>
      <c r="E221" s="4">
        <v>0.3</v>
      </c>
      <c r="F221" s="7">
        <v>32.290999999999997</v>
      </c>
      <c r="G221" s="15">
        <f t="shared" ref="G221" si="663">F221*86400</f>
        <v>2789942.4</v>
      </c>
      <c r="H221" s="21">
        <f t="shared" ref="H221" si="664">G221/1000000</f>
        <v>2.7899423999999997</v>
      </c>
      <c r="I221" s="20">
        <f t="shared" si="558"/>
        <v>125547.408</v>
      </c>
      <c r="J221" s="28">
        <v>8.4725794444444405E-2</v>
      </c>
      <c r="K221" s="20">
        <f t="shared" si="559"/>
        <v>15065.688959999999</v>
      </c>
      <c r="L221" s="17">
        <v>7.3484933333327798E-2</v>
      </c>
      <c r="M221" s="17">
        <f t="shared" ref="M221" si="665">J221+L221</f>
        <v>0.1582107277777722</v>
      </c>
      <c r="N221" s="20">
        <f t="shared" si="561"/>
        <v>0.27899424</v>
      </c>
      <c r="O221" s="7">
        <f t="shared" ref="O221" si="666">H221-M221-N221</f>
        <v>2.3527374322222276</v>
      </c>
    </row>
    <row r="222" spans="1:15" x14ac:dyDescent="0.7">
      <c r="A222" s="6"/>
      <c r="B222" s="6"/>
      <c r="C222" s="6">
        <v>8</v>
      </c>
      <c r="D222" s="7">
        <v>26.792999999999999</v>
      </c>
      <c r="E222" s="4">
        <v>8</v>
      </c>
      <c r="F222" s="7">
        <v>26.792999999999999</v>
      </c>
      <c r="G222" s="15">
        <f t="shared" ref="G222" si="667">F222*86400</f>
        <v>2314915.1999999997</v>
      </c>
      <c r="H222" s="21">
        <f t="shared" ref="H222" si="668">G222/1000000</f>
        <v>2.3149151999999997</v>
      </c>
      <c r="I222" s="20">
        <f t="shared" si="558"/>
        <v>104171.18399999998</v>
      </c>
      <c r="J222" s="28">
        <v>8.5105244444444395E-2</v>
      </c>
      <c r="K222" s="20">
        <f t="shared" si="559"/>
        <v>12500.542079999997</v>
      </c>
      <c r="L222" s="17">
        <v>7.3855466666661096E-2</v>
      </c>
      <c r="M222" s="17">
        <f t="shared" ref="M222" si="669">J222+L222</f>
        <v>0.15896071111110549</v>
      </c>
      <c r="N222" s="20">
        <f t="shared" si="561"/>
        <v>0.23149151999999998</v>
      </c>
      <c r="O222" s="7">
        <f t="shared" ref="O222" si="670">H222-M222-N222</f>
        <v>1.9244629688888941</v>
      </c>
    </row>
    <row r="223" spans="1:15" x14ac:dyDescent="0.7">
      <c r="A223" s="6"/>
      <c r="B223" s="6"/>
      <c r="C223" s="6">
        <v>9</v>
      </c>
      <c r="D223" s="7">
        <v>32.521999999999998</v>
      </c>
      <c r="E223" s="4">
        <v>7</v>
      </c>
      <c r="F223" s="7">
        <v>32.521999999999998</v>
      </c>
      <c r="G223" s="15">
        <f t="shared" ref="G223" si="671">F223*86400</f>
        <v>2809900.8</v>
      </c>
      <c r="H223" s="21">
        <f t="shared" ref="H223" si="672">G223/1000000</f>
        <v>2.8099007999999999</v>
      </c>
      <c r="I223" s="20">
        <f t="shared" si="558"/>
        <v>126445.53599999999</v>
      </c>
      <c r="J223" s="28">
        <v>8.5484694444444398E-2</v>
      </c>
      <c r="K223" s="20">
        <f t="shared" si="559"/>
        <v>15173.464319999999</v>
      </c>
      <c r="L223" s="17">
        <v>7.4225999999994394E-2</v>
      </c>
      <c r="M223" s="17">
        <f t="shared" ref="M223" si="673">J223+L223</f>
        <v>0.15971069444443881</v>
      </c>
      <c r="N223" s="20">
        <f t="shared" si="561"/>
        <v>0.28099007999999998</v>
      </c>
      <c r="O223" s="7">
        <f t="shared" ref="O223" si="674">H223-M223-N223</f>
        <v>2.369200025555561</v>
      </c>
    </row>
    <row r="224" spans="1:15" x14ac:dyDescent="0.7">
      <c r="A224" s="6"/>
      <c r="B224" s="6"/>
      <c r="C224" s="3">
        <v>10</v>
      </c>
      <c r="D224" s="7">
        <v>0</v>
      </c>
      <c r="E224" s="4">
        <v>0</v>
      </c>
      <c r="F224" s="7">
        <v>0</v>
      </c>
      <c r="G224" s="15">
        <f t="shared" ref="G224" si="675">F224*86400</f>
        <v>0</v>
      </c>
      <c r="H224" s="21">
        <f t="shared" ref="H224" si="676">G224/1000000</f>
        <v>0</v>
      </c>
      <c r="I224" s="20">
        <f t="shared" si="558"/>
        <v>0</v>
      </c>
      <c r="J224" s="28">
        <v>8.5864144444444401E-2</v>
      </c>
      <c r="K224" s="20">
        <f t="shared" si="559"/>
        <v>0</v>
      </c>
      <c r="L224" s="17">
        <v>7.4596533333327705E-2</v>
      </c>
      <c r="M224" s="17">
        <f t="shared" ref="M224" si="677">J224+L224</f>
        <v>0.16046067777777212</v>
      </c>
      <c r="N224" s="20">
        <f t="shared" si="561"/>
        <v>0</v>
      </c>
      <c r="O224" s="7">
        <f t="shared" ref="O224" si="678">H224-M224-N224</f>
        <v>-0.16046067777777212</v>
      </c>
    </row>
    <row r="225" spans="1:15" x14ac:dyDescent="0.7">
      <c r="A225" s="6"/>
      <c r="B225" s="6"/>
      <c r="C225" s="6">
        <v>11</v>
      </c>
      <c r="D225" s="7">
        <v>0</v>
      </c>
      <c r="E225" s="4">
        <v>4.4000000000000004</v>
      </c>
      <c r="F225" s="7">
        <v>0</v>
      </c>
      <c r="G225" s="15">
        <f t="shared" ref="G225" si="679">F225*86400</f>
        <v>0</v>
      </c>
      <c r="H225" s="21">
        <f t="shared" ref="H225" si="680">G225/1000000</f>
        <v>0</v>
      </c>
      <c r="I225" s="20">
        <f t="shared" si="558"/>
        <v>0</v>
      </c>
      <c r="J225" s="28">
        <v>8.6243594444444405E-2</v>
      </c>
      <c r="K225" s="20">
        <f t="shared" si="559"/>
        <v>0</v>
      </c>
      <c r="L225" s="17">
        <v>7.4967066666661003E-2</v>
      </c>
      <c r="M225" s="17">
        <f t="shared" ref="M225" si="681">J225+L225</f>
        <v>0.16121066111110541</v>
      </c>
      <c r="N225" s="20">
        <f t="shared" si="561"/>
        <v>0</v>
      </c>
      <c r="O225" s="7">
        <f t="shared" ref="O225" si="682">H225-M225-N225</f>
        <v>-0.16121066111110541</v>
      </c>
    </row>
    <row r="226" spans="1:15" x14ac:dyDescent="0.7">
      <c r="A226" s="6"/>
      <c r="B226" s="6"/>
      <c r="C226" s="6">
        <v>12</v>
      </c>
      <c r="D226" s="7">
        <v>29.619</v>
      </c>
      <c r="E226" s="4">
        <v>30</v>
      </c>
      <c r="F226" s="7">
        <v>29.619</v>
      </c>
      <c r="G226" s="15">
        <f t="shared" ref="G226" si="683">F226*86400</f>
        <v>2559081.6</v>
      </c>
      <c r="H226" s="21">
        <f t="shared" ref="H226" si="684">G226/1000000</f>
        <v>2.5590816000000003</v>
      </c>
      <c r="I226" s="20">
        <f t="shared" si="558"/>
        <v>115158.67200000001</v>
      </c>
      <c r="J226" s="28">
        <v>8.6623044444444394E-2</v>
      </c>
      <c r="K226" s="20">
        <f t="shared" si="559"/>
        <v>13819.040640000001</v>
      </c>
      <c r="L226" s="17">
        <v>7.5337599999994301E-2</v>
      </c>
      <c r="M226" s="17">
        <f t="shared" ref="M226" si="685">J226+L226</f>
        <v>0.1619606444444387</v>
      </c>
      <c r="N226" s="20">
        <f t="shared" si="561"/>
        <v>0.25590816000000005</v>
      </c>
      <c r="O226" s="7">
        <f t="shared" ref="O226" si="686">H226-M226-N226</f>
        <v>2.1412127955555613</v>
      </c>
    </row>
    <row r="227" spans="1:15" x14ac:dyDescent="0.7">
      <c r="A227" s="6"/>
      <c r="B227" s="6"/>
      <c r="C227" s="3">
        <v>13</v>
      </c>
      <c r="D227" s="7">
        <v>47.120000000000005</v>
      </c>
      <c r="E227" s="4">
        <v>7</v>
      </c>
      <c r="F227" s="7">
        <v>47.120000000000005</v>
      </c>
      <c r="G227" s="15">
        <f t="shared" ref="G227" si="687">F227*86400</f>
        <v>4071168.0000000005</v>
      </c>
      <c r="H227" s="21">
        <f t="shared" ref="H227" si="688">G227/1000000</f>
        <v>4.0711680000000001</v>
      </c>
      <c r="I227" s="20">
        <f t="shared" si="558"/>
        <v>183202.56</v>
      </c>
      <c r="J227" s="28">
        <v>8.7002494444444398E-2</v>
      </c>
      <c r="K227" s="20">
        <f t="shared" si="559"/>
        <v>21984.307199999999</v>
      </c>
      <c r="L227" s="17">
        <v>7.5708133333327599E-2</v>
      </c>
      <c r="M227" s="17">
        <f t="shared" ref="M227" si="689">J227+L227</f>
        <v>0.16271062777777201</v>
      </c>
      <c r="N227" s="20">
        <f t="shared" si="561"/>
        <v>0.40711680000000006</v>
      </c>
      <c r="O227" s="7">
        <f t="shared" ref="O227" si="690">H227-M227-N227</f>
        <v>3.5013405722222277</v>
      </c>
    </row>
    <row r="228" spans="1:15" x14ac:dyDescent="0.7">
      <c r="A228" s="6"/>
      <c r="B228" s="6"/>
      <c r="C228" s="6">
        <v>14</v>
      </c>
      <c r="D228" s="7">
        <v>64.501000000000005</v>
      </c>
      <c r="E228" s="4">
        <v>0</v>
      </c>
      <c r="F228" s="7">
        <v>64.501000000000005</v>
      </c>
      <c r="G228" s="15">
        <f t="shared" ref="G228" si="691">F228*86400</f>
        <v>5572886.4000000004</v>
      </c>
      <c r="H228" s="21">
        <f t="shared" ref="H228" si="692">G228/1000000</f>
        <v>5.5728864000000007</v>
      </c>
      <c r="I228" s="20">
        <f t="shared" si="558"/>
        <v>250779.88800000001</v>
      </c>
      <c r="J228" s="28">
        <v>8.7381944444444401E-2</v>
      </c>
      <c r="K228" s="20">
        <f t="shared" si="559"/>
        <v>30093.58656</v>
      </c>
      <c r="L228" s="17">
        <v>7.6078666666660896E-2</v>
      </c>
      <c r="M228" s="17">
        <f t="shared" ref="M228" si="693">J228+L228</f>
        <v>0.1634606111111053</v>
      </c>
      <c r="N228" s="20">
        <f t="shared" si="561"/>
        <v>0.55728864000000011</v>
      </c>
      <c r="O228" s="7">
        <f t="shared" ref="O228" si="694">H228-M228-N228</f>
        <v>4.8521371488888949</v>
      </c>
    </row>
    <row r="229" spans="1:15" x14ac:dyDescent="0.7">
      <c r="A229" s="6"/>
      <c r="B229" s="6"/>
      <c r="C229" s="6">
        <v>15</v>
      </c>
      <c r="D229" s="7">
        <v>54.186999999999998</v>
      </c>
      <c r="E229" s="4">
        <v>0</v>
      </c>
      <c r="F229" s="7">
        <v>54.186999999999998</v>
      </c>
      <c r="G229" s="15">
        <f t="shared" ref="G229" si="695">F229*86400</f>
        <v>4681756.8</v>
      </c>
      <c r="H229" s="21">
        <f t="shared" ref="H229" si="696">G229/1000000</f>
        <v>4.6817567999999996</v>
      </c>
      <c r="I229" s="20">
        <f t="shared" si="558"/>
        <v>210679.05599999998</v>
      </c>
      <c r="J229" s="28">
        <v>8.7761394444444404E-2</v>
      </c>
      <c r="K229" s="20">
        <f t="shared" si="559"/>
        <v>25281.486719999997</v>
      </c>
      <c r="L229" s="17">
        <v>7.6449199999994194E-2</v>
      </c>
      <c r="M229" s="17">
        <f t="shared" ref="M229" si="697">J229+L229</f>
        <v>0.16421059444443858</v>
      </c>
      <c r="N229" s="20">
        <f t="shared" si="561"/>
        <v>0.46817567999999998</v>
      </c>
      <c r="O229" s="7">
        <f t="shared" ref="O229" si="698">H229-M229-N229</f>
        <v>4.0493705255555614</v>
      </c>
    </row>
    <row r="230" spans="1:15" x14ac:dyDescent="0.7">
      <c r="A230" s="6"/>
      <c r="B230" s="6"/>
      <c r="C230" s="3">
        <v>16</v>
      </c>
      <c r="D230" s="7">
        <v>36.908999999999999</v>
      </c>
      <c r="E230" s="4">
        <v>0</v>
      </c>
      <c r="F230" s="7">
        <v>36.908999999999999</v>
      </c>
      <c r="G230" s="15">
        <f t="shared" ref="G230" si="699">F230*86400</f>
        <v>3188937.6</v>
      </c>
      <c r="H230" s="21">
        <f t="shared" ref="H230" si="700">G230/1000000</f>
        <v>3.1889376</v>
      </c>
      <c r="I230" s="20">
        <f t="shared" si="558"/>
        <v>143502.19200000001</v>
      </c>
      <c r="J230" s="28">
        <v>8.8140844444444394E-2</v>
      </c>
      <c r="K230" s="20">
        <f t="shared" si="559"/>
        <v>17220.263040000002</v>
      </c>
      <c r="L230" s="17">
        <v>7.6819733333327506E-2</v>
      </c>
      <c r="M230" s="17">
        <f t="shared" ref="M230" si="701">J230+L230</f>
        <v>0.1649605777777719</v>
      </c>
      <c r="N230" s="20">
        <f t="shared" si="561"/>
        <v>0.31889376000000003</v>
      </c>
      <c r="O230" s="7">
        <f t="shared" ref="O230" si="702">H230-M230-N230</f>
        <v>2.7050832622222281</v>
      </c>
    </row>
    <row r="231" spans="1:15" x14ac:dyDescent="0.7">
      <c r="A231" s="6"/>
      <c r="B231" s="6"/>
      <c r="C231" s="6">
        <v>17</v>
      </c>
      <c r="D231" s="7">
        <v>34.161999999999999</v>
      </c>
      <c r="E231" s="4">
        <v>0</v>
      </c>
      <c r="F231" s="7">
        <v>34.161999999999999</v>
      </c>
      <c r="G231" s="15">
        <f t="shared" ref="G231" si="703">F231*86400</f>
        <v>2951596.8</v>
      </c>
      <c r="H231" s="21">
        <f t="shared" ref="H231" si="704">G231/1000000</f>
        <v>2.9515967999999999</v>
      </c>
      <c r="I231" s="20">
        <f t="shared" si="558"/>
        <v>132821.856</v>
      </c>
      <c r="J231" s="28">
        <v>8.8520294444444397E-2</v>
      </c>
      <c r="K231" s="20">
        <f t="shared" si="559"/>
        <v>15938.622719999999</v>
      </c>
      <c r="L231" s="17">
        <v>7.7190266666660803E-2</v>
      </c>
      <c r="M231" s="17">
        <f t="shared" ref="M231" si="705">J231+L231</f>
        <v>0.16571056111110521</v>
      </c>
      <c r="N231" s="20">
        <f t="shared" si="561"/>
        <v>0.29515967999999998</v>
      </c>
      <c r="O231" s="7">
        <f t="shared" ref="O231" si="706">H231-M231-N231</f>
        <v>2.4907265588888947</v>
      </c>
    </row>
    <row r="232" spans="1:15" x14ac:dyDescent="0.7">
      <c r="A232" s="6"/>
      <c r="B232" s="6"/>
      <c r="C232" s="6">
        <v>18</v>
      </c>
      <c r="D232" s="7">
        <v>36.710999999999999</v>
      </c>
      <c r="E232" s="4">
        <v>0</v>
      </c>
      <c r="F232" s="7">
        <v>36.710999999999999</v>
      </c>
      <c r="G232" s="15">
        <f t="shared" ref="G232" si="707">F232*86400</f>
        <v>3171830.4</v>
      </c>
      <c r="H232" s="21">
        <f t="shared" ref="H232" si="708">G232/1000000</f>
        <v>3.1718303999999997</v>
      </c>
      <c r="I232" s="20">
        <f t="shared" si="558"/>
        <v>142732.36799999999</v>
      </c>
      <c r="J232" s="28">
        <v>8.8899744444444401E-2</v>
      </c>
      <c r="K232" s="20">
        <f t="shared" si="559"/>
        <v>17127.884159999998</v>
      </c>
      <c r="L232" s="17">
        <v>7.7560799999994101E-2</v>
      </c>
      <c r="M232" s="17">
        <f t="shared" ref="M232" si="709">J232+L232</f>
        <v>0.1664605444444385</v>
      </c>
      <c r="N232" s="20">
        <f t="shared" si="561"/>
        <v>0.31718303999999997</v>
      </c>
      <c r="O232" s="7">
        <f t="shared" ref="O232" si="710">H232-M232-N232</f>
        <v>2.6881868155555608</v>
      </c>
    </row>
    <row r="233" spans="1:15" x14ac:dyDescent="0.7">
      <c r="A233" s="6"/>
      <c r="B233" s="6"/>
      <c r="C233" s="3">
        <v>19</v>
      </c>
      <c r="D233" s="7">
        <v>32.938000000000002</v>
      </c>
      <c r="E233" s="4">
        <v>0.5</v>
      </c>
      <c r="F233" s="7">
        <v>32.938000000000002</v>
      </c>
      <c r="G233" s="15">
        <f t="shared" ref="G233" si="711">F233*86400</f>
        <v>2845843.2</v>
      </c>
      <c r="H233" s="21">
        <f t="shared" ref="H233" si="712">G233/1000000</f>
        <v>2.8458432</v>
      </c>
      <c r="I233" s="20">
        <f t="shared" si="558"/>
        <v>128062.944</v>
      </c>
      <c r="J233" s="28">
        <v>8.9279194444444404E-2</v>
      </c>
      <c r="K233" s="20">
        <f t="shared" si="559"/>
        <v>15367.55328</v>
      </c>
      <c r="L233" s="17">
        <v>7.7931333333327399E-2</v>
      </c>
      <c r="M233" s="17">
        <f t="shared" ref="M233" si="713">J233+L233</f>
        <v>0.16721052777777179</v>
      </c>
      <c r="N233" s="20">
        <f t="shared" si="561"/>
        <v>0.28458432</v>
      </c>
      <c r="O233" s="7">
        <f t="shared" ref="O233" si="714">H233-M233-N233</f>
        <v>2.3940483522222284</v>
      </c>
    </row>
    <row r="234" spans="1:15" x14ac:dyDescent="0.7">
      <c r="A234" s="6"/>
      <c r="B234" s="6"/>
      <c r="C234" s="6">
        <v>20</v>
      </c>
      <c r="D234" s="7">
        <v>34.92</v>
      </c>
      <c r="E234" s="4">
        <v>8.1</v>
      </c>
      <c r="F234" s="7">
        <v>34.92</v>
      </c>
      <c r="G234" s="15">
        <f t="shared" ref="G234" si="715">F234*86400</f>
        <v>3017088</v>
      </c>
      <c r="H234" s="21">
        <f t="shared" ref="H234" si="716">G234/1000000</f>
        <v>3.0170880000000002</v>
      </c>
      <c r="I234" s="20">
        <f t="shared" si="558"/>
        <v>135768.95999999999</v>
      </c>
      <c r="J234" s="28">
        <v>8.9658644444444394E-2</v>
      </c>
      <c r="K234" s="20">
        <f t="shared" si="559"/>
        <v>16292.275199999998</v>
      </c>
      <c r="L234" s="17">
        <v>7.8301866666660697E-2</v>
      </c>
      <c r="M234" s="17">
        <f t="shared" ref="M234" si="717">J234+L234</f>
        <v>0.1679605111111051</v>
      </c>
      <c r="N234" s="20">
        <f t="shared" si="561"/>
        <v>0.30170880000000005</v>
      </c>
      <c r="O234" s="7">
        <f t="shared" ref="O234" si="718">H234-M234-N234</f>
        <v>2.5474186888888948</v>
      </c>
    </row>
    <row r="235" spans="1:15" x14ac:dyDescent="0.7">
      <c r="A235" s="6"/>
      <c r="B235" s="6"/>
      <c r="C235" s="6">
        <v>21</v>
      </c>
      <c r="D235" s="7">
        <v>30.496000000000002</v>
      </c>
      <c r="E235" s="4">
        <v>2.5</v>
      </c>
      <c r="F235" s="7">
        <v>30.496000000000002</v>
      </c>
      <c r="G235" s="15">
        <f t="shared" ref="G235" si="719">F235*86400</f>
        <v>2634854.4000000004</v>
      </c>
      <c r="H235" s="21">
        <f t="shared" ref="H235" si="720">G235/1000000</f>
        <v>2.6348544000000005</v>
      </c>
      <c r="I235" s="20">
        <f t="shared" si="558"/>
        <v>118568.44800000002</v>
      </c>
      <c r="J235" s="28">
        <v>9.0038094444444397E-2</v>
      </c>
      <c r="K235" s="20">
        <f t="shared" si="559"/>
        <v>14228.213760000002</v>
      </c>
      <c r="L235" s="17">
        <v>7.8672399999993994E-2</v>
      </c>
      <c r="M235" s="17">
        <f t="shared" ref="M235" si="721">J235+L235</f>
        <v>0.16871049444443839</v>
      </c>
      <c r="N235" s="20">
        <f t="shared" si="561"/>
        <v>0.26348544000000007</v>
      </c>
      <c r="O235" s="7">
        <f t="shared" ref="O235" si="722">H235-M235-N235</f>
        <v>2.2026584655555621</v>
      </c>
    </row>
    <row r="236" spans="1:15" x14ac:dyDescent="0.7">
      <c r="A236" s="6"/>
      <c r="B236" s="6"/>
      <c r="C236" s="3">
        <v>22</v>
      </c>
      <c r="D236" s="7">
        <v>31.697000000000003</v>
      </c>
      <c r="E236" s="4">
        <v>0.7</v>
      </c>
      <c r="F236" s="7">
        <v>31.697000000000003</v>
      </c>
      <c r="G236" s="15">
        <f t="shared" ref="G236" si="723">F236*86400</f>
        <v>2738620.8000000003</v>
      </c>
      <c r="H236" s="21">
        <f t="shared" ref="H236" si="724">G236/1000000</f>
        <v>2.7386208000000001</v>
      </c>
      <c r="I236" s="20">
        <f t="shared" si="558"/>
        <v>123237.936</v>
      </c>
      <c r="J236" s="28">
        <v>9.04175444444444E-2</v>
      </c>
      <c r="K236" s="20">
        <f t="shared" si="559"/>
        <v>14788.552319999999</v>
      </c>
      <c r="L236" s="17">
        <v>7.9042933333327306E-2</v>
      </c>
      <c r="M236" s="17">
        <f t="shared" ref="M236" si="725">J236+L236</f>
        <v>0.16946047777777171</v>
      </c>
      <c r="N236" s="20">
        <f t="shared" si="561"/>
        <v>0.27386208000000001</v>
      </c>
      <c r="O236" s="7">
        <f t="shared" ref="O236" si="726">H236-M236-N236</f>
        <v>2.2952982422222288</v>
      </c>
    </row>
    <row r="237" spans="1:15" x14ac:dyDescent="0.7">
      <c r="A237" s="6"/>
      <c r="B237" s="6"/>
      <c r="C237" s="6">
        <v>23</v>
      </c>
      <c r="D237" s="7">
        <v>28.155999999999999</v>
      </c>
      <c r="E237" s="4">
        <v>0</v>
      </c>
      <c r="F237" s="7">
        <v>28.155999999999999</v>
      </c>
      <c r="G237" s="15">
        <f t="shared" ref="G237" si="727">F237*86400</f>
        <v>2432678.4</v>
      </c>
      <c r="H237" s="21">
        <f t="shared" ref="H237" si="728">G237/1000000</f>
        <v>2.4326783999999999</v>
      </c>
      <c r="I237" s="20">
        <f t="shared" si="558"/>
        <v>109470.52799999999</v>
      </c>
      <c r="J237" s="28">
        <v>9.0796994444444404E-2</v>
      </c>
      <c r="K237" s="20">
        <f t="shared" si="559"/>
        <v>13136.463359999998</v>
      </c>
      <c r="L237" s="17">
        <v>7.9413466666660604E-2</v>
      </c>
      <c r="M237" s="17">
        <f t="shared" ref="M237" si="729">J237+L237</f>
        <v>0.17021046111110499</v>
      </c>
      <c r="N237" s="20">
        <f t="shared" si="561"/>
        <v>0.24326784000000001</v>
      </c>
      <c r="O237" s="7">
        <f t="shared" ref="O237" si="730">H237-M237-N237</f>
        <v>2.019200098888895</v>
      </c>
    </row>
    <row r="238" spans="1:15" x14ac:dyDescent="0.7">
      <c r="A238" s="6"/>
      <c r="B238" s="6"/>
      <c r="C238" s="6">
        <v>24</v>
      </c>
      <c r="D238" s="7">
        <v>27.077999999999999</v>
      </c>
      <c r="E238" s="4">
        <v>24.2</v>
      </c>
      <c r="F238" s="7">
        <v>27.077999999999999</v>
      </c>
      <c r="G238" s="15">
        <f t="shared" ref="G238" si="731">F238*86400</f>
        <v>2339539.1999999997</v>
      </c>
      <c r="H238" s="21">
        <f t="shared" ref="H238" si="732">G238/1000000</f>
        <v>2.3395391999999999</v>
      </c>
      <c r="I238" s="20">
        <f t="shared" si="558"/>
        <v>105279.26399999998</v>
      </c>
      <c r="J238" s="28">
        <v>9.1176444444444393E-2</v>
      </c>
      <c r="K238" s="20">
        <f t="shared" si="559"/>
        <v>12633.511679999998</v>
      </c>
      <c r="L238" s="17">
        <v>7.9783999999993901E-2</v>
      </c>
      <c r="M238" s="17">
        <f t="shared" ref="M238" si="733">J238+L238</f>
        <v>0.17096044444443831</v>
      </c>
      <c r="N238" s="20">
        <f t="shared" si="561"/>
        <v>0.23395392000000001</v>
      </c>
      <c r="O238" s="7">
        <f t="shared" ref="O238" si="734">H238-M238-N238</f>
        <v>1.9346248355555618</v>
      </c>
    </row>
    <row r="239" spans="1:15" x14ac:dyDescent="0.7">
      <c r="A239" s="6"/>
      <c r="B239" s="6"/>
      <c r="C239" s="3">
        <v>25</v>
      </c>
      <c r="D239" s="7">
        <v>24.814</v>
      </c>
      <c r="E239" s="4">
        <v>16.8</v>
      </c>
      <c r="F239" s="7">
        <v>24.814</v>
      </c>
      <c r="G239" s="15">
        <f t="shared" ref="G239" si="735">F239*86400</f>
        <v>2143929.6</v>
      </c>
      <c r="H239" s="21">
        <f t="shared" ref="H239" si="736">G239/1000000</f>
        <v>2.1439295999999999</v>
      </c>
      <c r="I239" s="20">
        <f t="shared" si="558"/>
        <v>96476.831999999995</v>
      </c>
      <c r="J239" s="28">
        <v>9.1555894444444397E-2</v>
      </c>
      <c r="K239" s="20">
        <f t="shared" si="559"/>
        <v>11577.21984</v>
      </c>
      <c r="L239" s="17">
        <v>8.0154533333327199E-2</v>
      </c>
      <c r="M239" s="17">
        <f t="shared" ref="M239" si="737">J239+L239</f>
        <v>0.1717104277777716</v>
      </c>
      <c r="N239" s="20">
        <f t="shared" si="561"/>
        <v>0.21439295999999999</v>
      </c>
      <c r="O239" s="7">
        <f t="shared" ref="O239" si="738">H239-M239-N239</f>
        <v>1.7578262122222281</v>
      </c>
    </row>
    <row r="240" spans="1:15" x14ac:dyDescent="0.7">
      <c r="A240" s="6"/>
      <c r="B240" s="6"/>
      <c r="C240" s="6">
        <v>26</v>
      </c>
      <c r="D240" s="7">
        <v>41.642000000000003</v>
      </c>
      <c r="E240" s="4">
        <v>1.5</v>
      </c>
      <c r="F240" s="7">
        <v>41.642000000000003</v>
      </c>
      <c r="G240" s="15">
        <f t="shared" ref="G240" si="739">F240*86400</f>
        <v>3597868.8000000003</v>
      </c>
      <c r="H240" s="21">
        <f t="shared" ref="H240" si="740">G240/1000000</f>
        <v>3.5978688000000001</v>
      </c>
      <c r="I240" s="20">
        <f t="shared" si="558"/>
        <v>161904.09600000002</v>
      </c>
      <c r="J240" s="28">
        <v>9.19353444444444E-2</v>
      </c>
      <c r="K240" s="20">
        <f t="shared" si="559"/>
        <v>19428.491520000003</v>
      </c>
      <c r="L240" s="17">
        <v>8.0525066666660497E-2</v>
      </c>
      <c r="M240" s="17">
        <f t="shared" ref="M240" si="741">J240+L240</f>
        <v>0.17246041111110488</v>
      </c>
      <c r="N240" s="20">
        <f t="shared" si="561"/>
        <v>0.35978688000000003</v>
      </c>
      <c r="O240" s="7">
        <f t="shared" ref="O240" si="742">H240-M240-N240</f>
        <v>3.0656215088888952</v>
      </c>
    </row>
    <row r="241" spans="1:15" x14ac:dyDescent="0.7">
      <c r="A241" s="6"/>
      <c r="B241" s="6"/>
      <c r="C241" s="6">
        <v>27</v>
      </c>
      <c r="D241" s="7">
        <v>58.703000000000003</v>
      </c>
      <c r="E241" s="4">
        <v>45.7</v>
      </c>
      <c r="F241" s="7">
        <v>58.703000000000003</v>
      </c>
      <c r="G241" s="15">
        <f t="shared" ref="G241" si="743">F241*86400</f>
        <v>5071939.2</v>
      </c>
      <c r="H241" s="21">
        <f t="shared" ref="H241" si="744">G241/1000000</f>
        <v>5.0719392000000001</v>
      </c>
      <c r="I241" s="20">
        <f t="shared" si="558"/>
        <v>228237.264</v>
      </c>
      <c r="J241" s="28">
        <v>9.2314794444444404E-2</v>
      </c>
      <c r="K241" s="20">
        <f t="shared" si="559"/>
        <v>27388.471679999999</v>
      </c>
      <c r="L241" s="17">
        <v>8.0895599999993795E-2</v>
      </c>
      <c r="M241" s="17">
        <f t="shared" ref="M241" si="745">J241+L241</f>
        <v>0.1732103944444382</v>
      </c>
      <c r="N241" s="20">
        <f t="shared" si="561"/>
        <v>0.50719392000000008</v>
      </c>
      <c r="O241" s="7">
        <f t="shared" ref="O241" si="746">H241-M241-N241</f>
        <v>4.3915348855555623</v>
      </c>
    </row>
    <row r="242" spans="1:15" x14ac:dyDescent="0.7">
      <c r="A242" s="6"/>
      <c r="B242" s="6"/>
      <c r="C242" s="3">
        <v>28</v>
      </c>
      <c r="D242" s="7">
        <v>108.089</v>
      </c>
      <c r="E242" s="4">
        <v>0.5</v>
      </c>
      <c r="F242" s="7">
        <v>108.089</v>
      </c>
      <c r="G242" s="15">
        <f t="shared" ref="G242" si="747">F242*86400</f>
        <v>9338889.5999999996</v>
      </c>
      <c r="H242" s="21">
        <f t="shared" ref="H242" si="748">G242/1000000</f>
        <v>9.3388895999999999</v>
      </c>
      <c r="I242" s="20">
        <f t="shared" si="558"/>
        <v>420250.03199999995</v>
      </c>
      <c r="J242" s="28">
        <v>9.2694244444444407E-2</v>
      </c>
      <c r="K242" s="20">
        <f t="shared" si="559"/>
        <v>50430.00383999999</v>
      </c>
      <c r="L242" s="17">
        <v>8.1266133333327106E-2</v>
      </c>
      <c r="M242" s="17">
        <f t="shared" ref="M242" si="749">J242+L242</f>
        <v>0.17396037777777151</v>
      </c>
      <c r="N242" s="20">
        <f t="shared" si="561"/>
        <v>0.93388895999999999</v>
      </c>
      <c r="O242" s="7">
        <f t="shared" ref="O242" si="750">H242-M242-N242</f>
        <v>8.2310402622222298</v>
      </c>
    </row>
    <row r="243" spans="1:15" x14ac:dyDescent="0.7">
      <c r="A243" s="12"/>
      <c r="B243" s="12"/>
      <c r="C243" s="12">
        <v>29</v>
      </c>
      <c r="D243" s="30">
        <v>94.043000000000006</v>
      </c>
      <c r="E243" s="4">
        <v>6.9</v>
      </c>
      <c r="F243" s="30">
        <v>94.043000000000006</v>
      </c>
      <c r="G243" s="31">
        <f t="shared" ref="G243" si="751">F243*86400</f>
        <v>8125315.2000000002</v>
      </c>
      <c r="H243" s="32">
        <f t="shared" ref="H243" si="752">G243/1000000</f>
        <v>8.1253152000000011</v>
      </c>
      <c r="I243" s="20">
        <f t="shared" si="558"/>
        <v>365639.18400000001</v>
      </c>
      <c r="J243" s="34">
        <v>9.3073694444444396E-2</v>
      </c>
      <c r="K243" s="20">
        <f t="shared" si="559"/>
        <v>43876.702080000003</v>
      </c>
      <c r="L243" s="33">
        <v>8.1636666666660404E-2</v>
      </c>
      <c r="M243" s="33">
        <f t="shared" ref="M243" si="753">J243+L243</f>
        <v>0.1747103611111048</v>
      </c>
      <c r="N243" s="20">
        <f t="shared" si="561"/>
        <v>0.81253152000000017</v>
      </c>
      <c r="O243" s="30">
        <f t="shared" ref="O243" si="754">H243-M243-N243</f>
        <v>7.1380733188888961</v>
      </c>
    </row>
    <row r="244" spans="1:15" s="37" customFormat="1" x14ac:dyDescent="0.7">
      <c r="A244" s="6"/>
      <c r="B244" s="6"/>
      <c r="C244" s="6">
        <v>30</v>
      </c>
      <c r="D244" s="7">
        <v>64.371000000000009</v>
      </c>
      <c r="E244" s="4">
        <v>17.3</v>
      </c>
      <c r="F244" s="7">
        <v>64.371000000000009</v>
      </c>
      <c r="G244" s="35">
        <f t="shared" ref="G244" si="755">F244*86400</f>
        <v>5561654.4000000004</v>
      </c>
      <c r="H244" s="20">
        <f t="shared" ref="H244" si="756">G244/1000000</f>
        <v>5.5616544000000001</v>
      </c>
      <c r="I244" s="20">
        <f t="shared" si="558"/>
        <v>250274.448</v>
      </c>
      <c r="J244" s="28">
        <v>9.34531444444444E-2</v>
      </c>
      <c r="K244" s="20">
        <f t="shared" si="559"/>
        <v>30032.93376</v>
      </c>
      <c r="L244" s="17">
        <v>8.2007199999993702E-2</v>
      </c>
      <c r="M244" s="17">
        <f t="shared" ref="M244" si="757">J244+L244</f>
        <v>0.17546034444443809</v>
      </c>
      <c r="N244" s="20">
        <f t="shared" si="561"/>
        <v>0.55616544000000001</v>
      </c>
      <c r="O244" s="7">
        <f t="shared" ref="O244" si="758">H244-M244-N244</f>
        <v>4.8300286155555616</v>
      </c>
    </row>
    <row r="245" spans="1:15" s="13" customFormat="1" ht="25.2" thickBot="1" x14ac:dyDescent="0.75">
      <c r="A245" s="11"/>
      <c r="B245" s="11" t="s">
        <v>22</v>
      </c>
      <c r="C245" s="11">
        <v>31</v>
      </c>
      <c r="D245" s="19">
        <v>60.484999999999999</v>
      </c>
      <c r="E245" s="19">
        <v>41.7</v>
      </c>
      <c r="F245" s="19">
        <v>60.484999999999999</v>
      </c>
      <c r="G245" s="26">
        <f t="shared" ref="G245" si="759">F245*86400</f>
        <v>5225904</v>
      </c>
      <c r="H245" s="27">
        <f t="shared" ref="H245" si="760">G245/1000000</f>
        <v>5.2259039999999999</v>
      </c>
      <c r="I245" s="22">
        <f t="shared" si="558"/>
        <v>235165.68</v>
      </c>
      <c r="J245" s="39">
        <v>9.3832594444444403E-2</v>
      </c>
      <c r="K245" s="22">
        <f t="shared" si="559"/>
        <v>28219.881599999997</v>
      </c>
      <c r="L245" s="38">
        <v>8.2377733333327E-2</v>
      </c>
      <c r="M245" s="38">
        <f t="shared" ref="M245" si="761">J245+L245</f>
        <v>0.1762103277777714</v>
      </c>
      <c r="N245" s="22">
        <f t="shared" si="561"/>
        <v>0.52259040000000001</v>
      </c>
      <c r="O245" s="19">
        <f t="shared" ref="O245" si="762">H245-M245-N245</f>
        <v>4.5271032722222282</v>
      </c>
    </row>
    <row r="246" spans="1:15" x14ac:dyDescent="0.7">
      <c r="A246" s="3"/>
      <c r="B246" s="3" t="s">
        <v>23</v>
      </c>
      <c r="C246" s="3">
        <v>1</v>
      </c>
      <c r="D246" s="4">
        <v>171.18600000000001</v>
      </c>
      <c r="E246" s="4">
        <v>3.2</v>
      </c>
      <c r="F246" s="4">
        <v>171.18600000000001</v>
      </c>
      <c r="G246" s="15">
        <f t="shared" ref="G246" si="763">F246*86400</f>
        <v>14790470.4</v>
      </c>
      <c r="H246" s="21">
        <f t="shared" ref="H246" si="764">G246/1000000</f>
        <v>14.7904704</v>
      </c>
      <c r="I246" s="21">
        <f t="shared" si="558"/>
        <v>665571.16799999995</v>
      </c>
      <c r="J246" s="25">
        <v>9.4212044444444407E-2</v>
      </c>
      <c r="K246" s="21">
        <f t="shared" si="559"/>
        <v>79868.54015999999</v>
      </c>
      <c r="L246" s="16">
        <v>8.2748266666660297E-2</v>
      </c>
      <c r="M246" s="16">
        <f t="shared" ref="M246" si="765">J246+L246</f>
        <v>0.17696031111110472</v>
      </c>
      <c r="N246" s="21">
        <f t="shared" si="561"/>
        <v>1.4790470400000002</v>
      </c>
      <c r="O246" s="4">
        <f t="shared" ref="O246" si="766">H246-M246-N246</f>
        <v>13.134463048888897</v>
      </c>
    </row>
    <row r="247" spans="1:15" x14ac:dyDescent="0.7">
      <c r="A247" s="6"/>
      <c r="B247" s="6"/>
      <c r="C247" s="6">
        <v>2</v>
      </c>
      <c r="D247" s="7">
        <v>162.05000000000001</v>
      </c>
      <c r="E247" s="4">
        <v>0</v>
      </c>
      <c r="F247" s="7">
        <v>162.05000000000001</v>
      </c>
      <c r="G247" s="15">
        <f t="shared" ref="G247" si="767">F247*86400</f>
        <v>14001120.000000002</v>
      </c>
      <c r="H247" s="21">
        <f t="shared" ref="H247" si="768">G247/1000000</f>
        <v>14.001120000000002</v>
      </c>
      <c r="I247" s="20">
        <f t="shared" si="558"/>
        <v>630050.4</v>
      </c>
      <c r="J247" s="28">
        <v>9.4591494444444396E-2</v>
      </c>
      <c r="K247" s="20">
        <f t="shared" si="559"/>
        <v>75606.047999999995</v>
      </c>
      <c r="L247" s="17">
        <v>8.3118799999993595E-2</v>
      </c>
      <c r="M247" s="17">
        <f t="shared" ref="M247" si="769">J247+L247</f>
        <v>0.17771029444443798</v>
      </c>
      <c r="N247" s="20">
        <f t="shared" si="561"/>
        <v>1.4001120000000002</v>
      </c>
      <c r="O247" s="7">
        <f t="shared" ref="O247" si="770">H247-M247-N247</f>
        <v>12.423297705555564</v>
      </c>
    </row>
    <row r="248" spans="1:15" x14ac:dyDescent="0.7">
      <c r="A248" s="6"/>
      <c r="B248" s="6"/>
      <c r="C248" s="6">
        <v>3</v>
      </c>
      <c r="D248" s="7">
        <v>94.93</v>
      </c>
      <c r="E248" s="4">
        <v>0</v>
      </c>
      <c r="F248" s="7">
        <v>94.93</v>
      </c>
      <c r="G248" s="15">
        <f t="shared" ref="G248" si="771">F248*86400</f>
        <v>8201952.0000000009</v>
      </c>
      <c r="H248" s="21">
        <f t="shared" ref="H248" si="772">G248/1000000</f>
        <v>8.2019520000000004</v>
      </c>
      <c r="I248" s="20">
        <f t="shared" si="558"/>
        <v>369087.83999999997</v>
      </c>
      <c r="J248" s="28">
        <v>9.49709444444444E-2</v>
      </c>
      <c r="K248" s="20">
        <f t="shared" si="559"/>
        <v>44290.540799999995</v>
      </c>
      <c r="L248" s="17">
        <v>8.3489333333326907E-2</v>
      </c>
      <c r="M248" s="17">
        <f t="shared" ref="M248" si="773">J248+L248</f>
        <v>0.17846027777777129</v>
      </c>
      <c r="N248" s="20">
        <f t="shared" si="561"/>
        <v>0.82019520000000012</v>
      </c>
      <c r="O248" s="7">
        <f t="shared" ref="O248" si="774">H248-M248-N248</f>
        <v>7.203296522222228</v>
      </c>
    </row>
    <row r="249" spans="1:15" x14ac:dyDescent="0.7">
      <c r="A249" s="6"/>
      <c r="B249" s="6"/>
      <c r="C249" s="3">
        <v>4</v>
      </c>
      <c r="D249" s="7">
        <v>67.007000000000005</v>
      </c>
      <c r="E249" s="4">
        <v>0</v>
      </c>
      <c r="F249" s="7">
        <v>67.007000000000005</v>
      </c>
      <c r="G249" s="15">
        <f t="shared" ref="G249" si="775">F249*86400</f>
        <v>5789404.8000000007</v>
      </c>
      <c r="H249" s="21">
        <f t="shared" ref="H249" si="776">G249/1000000</f>
        <v>5.7894048000000007</v>
      </c>
      <c r="I249" s="20">
        <f t="shared" si="558"/>
        <v>260523.21600000001</v>
      </c>
      <c r="J249" s="28">
        <v>9.5350394444444403E-2</v>
      </c>
      <c r="K249" s="20">
        <f t="shared" si="559"/>
        <v>31262.785920000002</v>
      </c>
      <c r="L249" s="17">
        <v>8.3859866666660204E-2</v>
      </c>
      <c r="M249" s="17">
        <f t="shared" ref="M249" si="777">J249+L249</f>
        <v>0.17921026111110461</v>
      </c>
      <c r="N249" s="20">
        <f t="shared" si="561"/>
        <v>0.57894048000000009</v>
      </c>
      <c r="O249" s="7">
        <f t="shared" ref="O249" si="778">H249-M249-N249</f>
        <v>5.0312540588888961</v>
      </c>
    </row>
    <row r="250" spans="1:15" x14ac:dyDescent="0.7">
      <c r="A250" s="6"/>
      <c r="B250" s="6"/>
      <c r="C250" s="6">
        <v>5</v>
      </c>
      <c r="D250" s="7">
        <v>49.822000000000003</v>
      </c>
      <c r="E250" s="4">
        <v>0</v>
      </c>
      <c r="F250" s="7">
        <v>49.822000000000003</v>
      </c>
      <c r="G250" s="15">
        <f t="shared" ref="G250" si="779">F250*86400</f>
        <v>4304620.8</v>
      </c>
      <c r="H250" s="21">
        <f t="shared" ref="H250" si="780">G250/1000000</f>
        <v>4.3046207999999995</v>
      </c>
      <c r="I250" s="20">
        <f t="shared" si="558"/>
        <v>193707.93599999999</v>
      </c>
      <c r="J250" s="28">
        <v>9.5729844444444406E-2</v>
      </c>
      <c r="K250" s="20">
        <f t="shared" si="559"/>
        <v>23244.952319999997</v>
      </c>
      <c r="L250" s="17">
        <v>8.4230399999993502E-2</v>
      </c>
      <c r="M250" s="17">
        <f t="shared" ref="M250" si="781">J250+L250</f>
        <v>0.17996024444443792</v>
      </c>
      <c r="N250" s="20">
        <f t="shared" si="561"/>
        <v>0.43046207999999997</v>
      </c>
      <c r="O250" s="7">
        <f t="shared" ref="O250" si="782">H250-M250-N250</f>
        <v>3.6941984755555612</v>
      </c>
    </row>
    <row r="251" spans="1:15" x14ac:dyDescent="0.7">
      <c r="A251" s="6"/>
      <c r="B251" s="6"/>
      <c r="C251" s="6">
        <v>6</v>
      </c>
      <c r="D251" s="7">
        <v>42.670999999999999</v>
      </c>
      <c r="E251" s="4">
        <v>0</v>
      </c>
      <c r="F251" s="7">
        <v>42.670999999999999</v>
      </c>
      <c r="G251" s="15">
        <f t="shared" ref="G251" si="783">F251*86400</f>
        <v>3686774.4</v>
      </c>
      <c r="H251" s="21">
        <f t="shared" ref="H251" si="784">G251/1000000</f>
        <v>3.6867744</v>
      </c>
      <c r="I251" s="20">
        <f t="shared" si="558"/>
        <v>165904.848</v>
      </c>
      <c r="J251" s="28">
        <v>9.6109294444444396E-2</v>
      </c>
      <c r="K251" s="20">
        <f t="shared" si="559"/>
        <v>19908.581759999997</v>
      </c>
      <c r="L251" s="17">
        <v>8.46009333333268E-2</v>
      </c>
      <c r="M251" s="17">
        <f t="shared" ref="M251" si="785">J251+L251</f>
        <v>0.18071022777777118</v>
      </c>
      <c r="N251" s="20">
        <f t="shared" si="561"/>
        <v>0.36867744000000002</v>
      </c>
      <c r="O251" s="7">
        <f t="shared" ref="O251" si="786">H251-M251-N251</f>
        <v>3.1373867322222289</v>
      </c>
    </row>
    <row r="252" spans="1:15" x14ac:dyDescent="0.7">
      <c r="A252" s="6"/>
      <c r="B252" s="6"/>
      <c r="C252" s="3">
        <v>7</v>
      </c>
      <c r="D252" s="7">
        <v>38.597000000000001</v>
      </c>
      <c r="E252" s="4">
        <v>1.8</v>
      </c>
      <c r="F252" s="7">
        <v>38.597000000000001</v>
      </c>
      <c r="G252" s="15">
        <f t="shared" ref="G252" si="787">F252*86400</f>
        <v>3334780.8000000003</v>
      </c>
      <c r="H252" s="21">
        <f t="shared" ref="H252" si="788">G252/1000000</f>
        <v>3.3347808000000003</v>
      </c>
      <c r="I252" s="20">
        <f t="shared" si="558"/>
        <v>150065.136</v>
      </c>
      <c r="J252" s="28">
        <v>9.6488744444444399E-2</v>
      </c>
      <c r="K252" s="20">
        <f t="shared" si="559"/>
        <v>18007.816319999998</v>
      </c>
      <c r="L252" s="17">
        <v>8.4971466666660098E-2</v>
      </c>
      <c r="M252" s="17">
        <f t="shared" ref="M252" si="789">J252+L252</f>
        <v>0.1814602111111045</v>
      </c>
      <c r="N252" s="20">
        <f t="shared" si="561"/>
        <v>0.33347808000000007</v>
      </c>
      <c r="O252" s="7">
        <f t="shared" ref="O252" si="790">H252-M252-N252</f>
        <v>2.8198425088888959</v>
      </c>
    </row>
    <row r="253" spans="1:15" x14ac:dyDescent="0.7">
      <c r="A253" s="6"/>
      <c r="B253" s="6"/>
      <c r="C253" s="6">
        <v>8</v>
      </c>
      <c r="D253" s="7">
        <v>35.977000000000004</v>
      </c>
      <c r="E253" s="4">
        <v>10</v>
      </c>
      <c r="F253" s="7">
        <v>35.977000000000004</v>
      </c>
      <c r="G253" s="15">
        <f t="shared" ref="G253" si="791">F253*86400</f>
        <v>3108412.8000000003</v>
      </c>
      <c r="H253" s="21">
        <f t="shared" ref="H253" si="792">G253/1000000</f>
        <v>3.1084128000000004</v>
      </c>
      <c r="I253" s="20">
        <f t="shared" si="558"/>
        <v>139878.576</v>
      </c>
      <c r="J253" s="28">
        <v>9.6868194444444403E-2</v>
      </c>
      <c r="K253" s="20">
        <f t="shared" si="559"/>
        <v>16785.429120000001</v>
      </c>
      <c r="L253" s="17">
        <v>8.5341999999993395E-2</v>
      </c>
      <c r="M253" s="17">
        <f t="shared" ref="M253" si="793">J253+L253</f>
        <v>0.18221019444443781</v>
      </c>
      <c r="N253" s="20">
        <f t="shared" si="561"/>
        <v>0.31084128000000005</v>
      </c>
      <c r="O253" s="7">
        <f t="shared" ref="O253" si="794">H253-M253-N253</f>
        <v>2.6153613255555626</v>
      </c>
    </row>
    <row r="254" spans="1:15" x14ac:dyDescent="0.7">
      <c r="A254" s="6"/>
      <c r="B254" s="6"/>
      <c r="C254" s="6">
        <v>9</v>
      </c>
      <c r="D254" s="7">
        <v>37.277999999999999</v>
      </c>
      <c r="E254" s="4">
        <v>0.4</v>
      </c>
      <c r="F254" s="7">
        <v>37.277999999999999</v>
      </c>
      <c r="G254" s="15">
        <f t="shared" ref="G254" si="795">F254*86400</f>
        <v>3220819.1999999997</v>
      </c>
      <c r="H254" s="21">
        <f t="shared" ref="H254" si="796">G254/1000000</f>
        <v>3.2208191999999998</v>
      </c>
      <c r="I254" s="20">
        <f t="shared" si="558"/>
        <v>144936.86399999997</v>
      </c>
      <c r="J254" s="28">
        <v>9.7247644444444406E-2</v>
      </c>
      <c r="K254" s="20">
        <f t="shared" si="559"/>
        <v>17392.423679999996</v>
      </c>
      <c r="L254" s="17">
        <v>8.5712533333326693E-2</v>
      </c>
      <c r="M254" s="17">
        <f t="shared" ref="M254" si="797">J254+L254</f>
        <v>0.1829601777777711</v>
      </c>
      <c r="N254" s="20">
        <f t="shared" si="561"/>
        <v>0.32208192000000002</v>
      </c>
      <c r="O254" s="7">
        <f t="shared" ref="O254" si="798">H254-M254-N254</f>
        <v>2.7157771022222286</v>
      </c>
    </row>
    <row r="255" spans="1:15" x14ac:dyDescent="0.7">
      <c r="A255" s="6"/>
      <c r="B255" s="6"/>
      <c r="C255" s="3">
        <v>10</v>
      </c>
      <c r="D255" s="7">
        <v>42.664999999999999</v>
      </c>
      <c r="E255" s="4">
        <v>0</v>
      </c>
      <c r="F255" s="7">
        <v>42.664999999999999</v>
      </c>
      <c r="G255" s="15">
        <f t="shared" ref="G255" si="799">F255*86400</f>
        <v>3686256</v>
      </c>
      <c r="H255" s="21">
        <f t="shared" ref="H255" si="800">G255/1000000</f>
        <v>3.6862560000000002</v>
      </c>
      <c r="I255" s="20">
        <f t="shared" si="558"/>
        <v>165881.51999999999</v>
      </c>
      <c r="J255" s="28">
        <v>9.7627094444444396E-2</v>
      </c>
      <c r="K255" s="20">
        <f t="shared" si="559"/>
        <v>19905.782399999996</v>
      </c>
      <c r="L255" s="17">
        <v>8.6083066666660005E-2</v>
      </c>
      <c r="M255" s="17">
        <f t="shared" ref="M255" si="801">J255+L255</f>
        <v>0.18371016111110439</v>
      </c>
      <c r="N255" s="20">
        <f t="shared" si="561"/>
        <v>0.36862560000000005</v>
      </c>
      <c r="O255" s="7">
        <f t="shared" ref="O255" si="802">H255-M255-N255</f>
        <v>3.1339202388888956</v>
      </c>
    </row>
    <row r="256" spans="1:15" x14ac:dyDescent="0.7">
      <c r="A256" s="6"/>
      <c r="B256" s="6"/>
      <c r="C256" s="6">
        <v>11</v>
      </c>
      <c r="D256" s="7">
        <v>38.597000000000001</v>
      </c>
      <c r="E256" s="4">
        <v>0</v>
      </c>
      <c r="F256" s="7">
        <v>38.597000000000001</v>
      </c>
      <c r="G256" s="15">
        <f t="shared" ref="G256" si="803">F256*86400</f>
        <v>3334780.8000000003</v>
      </c>
      <c r="H256" s="21">
        <f t="shared" ref="H256" si="804">G256/1000000</f>
        <v>3.3347808000000003</v>
      </c>
      <c r="I256" s="20">
        <f t="shared" si="558"/>
        <v>150065.136</v>
      </c>
      <c r="J256" s="28">
        <v>9.8006544444444399E-2</v>
      </c>
      <c r="K256" s="20">
        <f t="shared" si="559"/>
        <v>18007.816319999998</v>
      </c>
      <c r="L256" s="17">
        <v>8.6453599999993302E-2</v>
      </c>
      <c r="M256" s="17">
        <f t="shared" ref="M256" si="805">J256+L256</f>
        <v>0.1844601444444377</v>
      </c>
      <c r="N256" s="20">
        <f t="shared" si="561"/>
        <v>0.33347808000000007</v>
      </c>
      <c r="O256" s="7">
        <f t="shared" ref="O256" si="806">H256-M256-N256</f>
        <v>2.8168425755555626</v>
      </c>
    </row>
    <row r="257" spans="1:15" x14ac:dyDescent="0.7">
      <c r="A257" s="6"/>
      <c r="B257" s="6"/>
      <c r="C257" s="6">
        <v>12</v>
      </c>
      <c r="D257" s="7">
        <v>120.73700000000001</v>
      </c>
      <c r="E257" s="4">
        <v>3.3</v>
      </c>
      <c r="F257" s="7">
        <v>120.73700000000001</v>
      </c>
      <c r="G257" s="15">
        <f t="shared" ref="G257" si="807">F257*86400</f>
        <v>10431676.800000001</v>
      </c>
      <c r="H257" s="21">
        <f t="shared" ref="H257" si="808">G257/1000000</f>
        <v>10.4316768</v>
      </c>
      <c r="I257" s="20">
        <f t="shared" si="558"/>
        <v>469425.45600000001</v>
      </c>
      <c r="J257" s="28">
        <v>9.8385994444444402E-2</v>
      </c>
      <c r="K257" s="20">
        <f t="shared" si="559"/>
        <v>56331.05472</v>
      </c>
      <c r="L257" s="17">
        <v>8.68241333333266E-2</v>
      </c>
      <c r="M257" s="17">
        <f t="shared" ref="M257" si="809">J257+L257</f>
        <v>0.18521012777777102</v>
      </c>
      <c r="N257" s="20">
        <f t="shared" si="561"/>
        <v>1.04316768</v>
      </c>
      <c r="O257" s="7">
        <f t="shared" ref="O257" si="810">H257-M257-N257</f>
        <v>9.2032989922222299</v>
      </c>
    </row>
    <row r="258" spans="1:15" x14ac:dyDescent="0.7">
      <c r="A258" s="6"/>
      <c r="B258" s="6"/>
      <c r="C258" s="3">
        <v>13</v>
      </c>
      <c r="D258" s="7">
        <v>61.843999999999994</v>
      </c>
      <c r="E258" s="4">
        <v>1.7</v>
      </c>
      <c r="F258" s="7">
        <v>61.843999999999994</v>
      </c>
      <c r="G258" s="15">
        <f t="shared" ref="G258" si="811">F258*86400</f>
        <v>5343321.5999999996</v>
      </c>
      <c r="H258" s="21">
        <f t="shared" ref="H258" si="812">G258/1000000</f>
        <v>5.3433215999999994</v>
      </c>
      <c r="I258" s="20">
        <f t="shared" si="558"/>
        <v>240449.47199999998</v>
      </c>
      <c r="J258" s="28">
        <v>9.8765444444444406E-2</v>
      </c>
      <c r="K258" s="20">
        <f t="shared" si="559"/>
        <v>28853.936639999996</v>
      </c>
      <c r="L258" s="17">
        <v>8.7194666666659898E-2</v>
      </c>
      <c r="M258" s="17">
        <f t="shared" ref="M258" si="813">J258+L258</f>
        <v>0.1859601111111043</v>
      </c>
      <c r="N258" s="20">
        <f t="shared" si="561"/>
        <v>0.53433215999999994</v>
      </c>
      <c r="O258" s="7">
        <f t="shared" ref="O258" si="814">H258-M258-N258</f>
        <v>4.6230293288888955</v>
      </c>
    </row>
    <row r="259" spans="1:15" x14ac:dyDescent="0.7">
      <c r="A259" s="6"/>
      <c r="B259" s="6"/>
      <c r="C259" s="6">
        <v>14</v>
      </c>
      <c r="D259" s="7">
        <v>43.872</v>
      </c>
      <c r="E259" s="4">
        <v>0</v>
      </c>
      <c r="F259" s="7">
        <v>43.872</v>
      </c>
      <c r="G259" s="15">
        <f t="shared" ref="G259" si="815">F259*86400</f>
        <v>3790540.7999999998</v>
      </c>
      <c r="H259" s="21">
        <f t="shared" ref="H259" si="816">G259/1000000</f>
        <v>3.7905407999999996</v>
      </c>
      <c r="I259" s="20">
        <f t="shared" ref="I259:I322" si="817">H259*1000000*0.045</f>
        <v>170574.33599999998</v>
      </c>
      <c r="J259" s="28">
        <v>9.9144894444444395E-2</v>
      </c>
      <c r="K259" s="20">
        <f t="shared" ref="K259:K322" si="818">I259*0.12</f>
        <v>20468.920319999997</v>
      </c>
      <c r="L259" s="17">
        <v>8.7565199999993196E-2</v>
      </c>
      <c r="M259" s="17">
        <f t="shared" ref="M259" si="819">J259+L259</f>
        <v>0.18671009444443759</v>
      </c>
      <c r="N259" s="20">
        <f t="shared" ref="N259:N322" si="820">H259*0.1</f>
        <v>0.37905407999999996</v>
      </c>
      <c r="O259" s="7">
        <f t="shared" ref="O259" si="821">H259-M259-N259</f>
        <v>3.2247766255555619</v>
      </c>
    </row>
    <row r="260" spans="1:15" x14ac:dyDescent="0.7">
      <c r="A260" s="6"/>
      <c r="B260" s="6"/>
      <c r="C260" s="6">
        <v>15</v>
      </c>
      <c r="D260" s="7">
        <v>39.769000000000005</v>
      </c>
      <c r="E260" s="4">
        <v>0</v>
      </c>
      <c r="F260" s="7">
        <v>39.769000000000005</v>
      </c>
      <c r="G260" s="15">
        <f t="shared" ref="G260" si="822">F260*86400</f>
        <v>3436041.6000000006</v>
      </c>
      <c r="H260" s="21">
        <f t="shared" ref="H260" si="823">G260/1000000</f>
        <v>3.4360416000000007</v>
      </c>
      <c r="I260" s="20">
        <f t="shared" si="817"/>
        <v>154621.87200000003</v>
      </c>
      <c r="J260" s="28">
        <v>9.9524344444444399E-2</v>
      </c>
      <c r="K260" s="20">
        <f t="shared" si="818"/>
        <v>18554.624640000002</v>
      </c>
      <c r="L260" s="17">
        <v>8.7935733333326493E-2</v>
      </c>
      <c r="M260" s="17">
        <f t="shared" ref="M260" si="824">J260+L260</f>
        <v>0.18746007777777091</v>
      </c>
      <c r="N260" s="20">
        <f t="shared" si="820"/>
        <v>0.3436041600000001</v>
      </c>
      <c r="O260" s="7">
        <f t="shared" ref="O260" si="825">H260-M260-N260</f>
        <v>2.9049773622222297</v>
      </c>
    </row>
    <row r="261" spans="1:15" x14ac:dyDescent="0.7">
      <c r="A261" s="6"/>
      <c r="B261" s="6"/>
      <c r="C261" s="3">
        <v>16</v>
      </c>
      <c r="D261" s="7">
        <v>31.134999999999998</v>
      </c>
      <c r="E261" s="4">
        <v>0</v>
      </c>
      <c r="F261" s="7">
        <v>31.134999999999998</v>
      </c>
      <c r="G261" s="15">
        <f t="shared" ref="G261" si="826">F261*86400</f>
        <v>2690064</v>
      </c>
      <c r="H261" s="21">
        <f t="shared" ref="H261" si="827">G261/1000000</f>
        <v>2.690064</v>
      </c>
      <c r="I261" s="20">
        <f t="shared" si="817"/>
        <v>121052.87999999999</v>
      </c>
      <c r="J261" s="28">
        <v>9.9903794444444402E-2</v>
      </c>
      <c r="K261" s="20">
        <f t="shared" si="818"/>
        <v>14526.345599999999</v>
      </c>
      <c r="L261" s="17">
        <v>8.8306266666659805E-2</v>
      </c>
      <c r="M261" s="17">
        <f t="shared" ref="M261" si="828">J261+L261</f>
        <v>0.18821006111110422</v>
      </c>
      <c r="N261" s="20">
        <f t="shared" si="820"/>
        <v>0.26900640000000003</v>
      </c>
      <c r="O261" s="7">
        <f t="shared" ref="O261" si="829">H261-M261-N261</f>
        <v>2.2328475388888958</v>
      </c>
    </row>
    <row r="262" spans="1:15" x14ac:dyDescent="0.7">
      <c r="A262" s="6"/>
      <c r="B262" s="6"/>
      <c r="C262" s="6">
        <v>17</v>
      </c>
      <c r="D262" s="7">
        <v>31.134999999999998</v>
      </c>
      <c r="E262" s="4">
        <v>0</v>
      </c>
      <c r="F262" s="7">
        <v>31.134999999999998</v>
      </c>
      <c r="G262" s="15">
        <f t="shared" ref="G262" si="830">F262*86400</f>
        <v>2690064</v>
      </c>
      <c r="H262" s="21">
        <f t="shared" ref="H262" si="831">G262/1000000</f>
        <v>2.690064</v>
      </c>
      <c r="I262" s="20">
        <f t="shared" si="817"/>
        <v>121052.87999999999</v>
      </c>
      <c r="J262" s="28">
        <v>0.100283244444444</v>
      </c>
      <c r="K262" s="20">
        <f t="shared" si="818"/>
        <v>14526.345599999999</v>
      </c>
      <c r="L262" s="17">
        <v>8.8676799999993103E-2</v>
      </c>
      <c r="M262" s="17">
        <f t="shared" ref="M262" si="832">J262+L262</f>
        <v>0.18896004444443709</v>
      </c>
      <c r="N262" s="20">
        <f t="shared" si="820"/>
        <v>0.26900640000000003</v>
      </c>
      <c r="O262" s="7">
        <f t="shared" ref="O262" si="833">H262-M262-N262</f>
        <v>2.2320975555555629</v>
      </c>
    </row>
    <row r="263" spans="1:15" x14ac:dyDescent="0.7">
      <c r="A263" s="6"/>
      <c r="B263" s="6"/>
      <c r="C263" s="6">
        <v>18</v>
      </c>
      <c r="D263" s="7">
        <v>31.134999999999998</v>
      </c>
      <c r="E263" s="4">
        <v>42.7</v>
      </c>
      <c r="F263" s="7">
        <v>31.134999999999998</v>
      </c>
      <c r="G263" s="15">
        <f t="shared" ref="G263" si="834">F263*86400</f>
        <v>2690064</v>
      </c>
      <c r="H263" s="21">
        <f t="shared" ref="H263" si="835">G263/1000000</f>
        <v>2.690064</v>
      </c>
      <c r="I263" s="20">
        <f t="shared" si="817"/>
        <v>121052.87999999999</v>
      </c>
      <c r="J263" s="28">
        <v>0.10066269444444401</v>
      </c>
      <c r="K263" s="20">
        <f t="shared" si="818"/>
        <v>14526.345599999999</v>
      </c>
      <c r="L263" s="17">
        <v>8.9047333333326401E-2</v>
      </c>
      <c r="M263" s="17">
        <f t="shared" ref="M263" si="836">J263+L263</f>
        <v>0.18971002777777041</v>
      </c>
      <c r="N263" s="20">
        <f t="shared" si="820"/>
        <v>0.26900640000000003</v>
      </c>
      <c r="O263" s="7">
        <f t="shared" ref="O263" si="837">H263-M263-N263</f>
        <v>2.2313475722222296</v>
      </c>
    </row>
    <row r="264" spans="1:15" x14ac:dyDescent="0.7">
      <c r="A264" s="6"/>
      <c r="B264" s="6"/>
      <c r="C264" s="3">
        <v>19</v>
      </c>
      <c r="D264" s="7">
        <v>35.549999999999997</v>
      </c>
      <c r="E264" s="4">
        <v>42.7</v>
      </c>
      <c r="F264" s="7">
        <v>35.549999999999997</v>
      </c>
      <c r="G264" s="15">
        <f t="shared" ref="G264" si="838">F264*86400</f>
        <v>3071519.9999999995</v>
      </c>
      <c r="H264" s="21">
        <f t="shared" ref="H264" si="839">G264/1000000</f>
        <v>3.0715199999999996</v>
      </c>
      <c r="I264" s="20">
        <f t="shared" si="817"/>
        <v>138218.39999999997</v>
      </c>
      <c r="J264" s="28">
        <v>0.101042144444444</v>
      </c>
      <c r="K264" s="20">
        <f t="shared" si="818"/>
        <v>16586.207999999995</v>
      </c>
      <c r="L264" s="17">
        <v>8.9417866666659698E-2</v>
      </c>
      <c r="M264" s="17">
        <f t="shared" ref="M264" si="840">J264+L264</f>
        <v>0.19046001111110369</v>
      </c>
      <c r="N264" s="20">
        <f t="shared" si="820"/>
        <v>0.30715199999999998</v>
      </c>
      <c r="O264" s="7">
        <f t="shared" ref="O264" si="841">H264-M264-N264</f>
        <v>2.5739079888888958</v>
      </c>
    </row>
    <row r="265" spans="1:15" x14ac:dyDescent="0.7">
      <c r="A265" s="6"/>
      <c r="B265" s="6"/>
      <c r="C265" s="6">
        <v>20</v>
      </c>
      <c r="D265" s="7">
        <v>32.204999999999998</v>
      </c>
      <c r="E265" s="4">
        <v>42.7</v>
      </c>
      <c r="F265" s="7">
        <v>32.204999999999998</v>
      </c>
      <c r="G265" s="15">
        <f t="shared" ref="G265" si="842">F265*86400</f>
        <v>2782512</v>
      </c>
      <c r="H265" s="21">
        <f t="shared" ref="H265" si="843">G265/1000000</f>
        <v>2.7825120000000001</v>
      </c>
      <c r="I265" s="20">
        <f t="shared" si="817"/>
        <v>125213.04</v>
      </c>
      <c r="J265" s="28">
        <v>0.101421594444444</v>
      </c>
      <c r="K265" s="20">
        <f t="shared" si="818"/>
        <v>15025.564799999998</v>
      </c>
      <c r="L265" s="17">
        <v>8.9788399999992996E-2</v>
      </c>
      <c r="M265" s="17">
        <f t="shared" ref="M265" si="844">J265+L265</f>
        <v>0.19120999444443698</v>
      </c>
      <c r="N265" s="20">
        <f t="shared" si="820"/>
        <v>0.27825120000000003</v>
      </c>
      <c r="O265" s="7">
        <f t="shared" ref="O265" si="845">H265-M265-N265</f>
        <v>2.3130508055555628</v>
      </c>
    </row>
    <row r="266" spans="1:15" x14ac:dyDescent="0.7">
      <c r="A266" s="6"/>
      <c r="B266" s="6"/>
      <c r="C266" s="6">
        <v>21</v>
      </c>
      <c r="D266" s="7">
        <v>28.064</v>
      </c>
      <c r="E266" s="4">
        <v>42.7</v>
      </c>
      <c r="F266" s="7">
        <v>28.064</v>
      </c>
      <c r="G266" s="15">
        <f t="shared" ref="G266" si="846">F266*86400</f>
        <v>2424729.6000000001</v>
      </c>
      <c r="H266" s="21">
        <f t="shared" ref="H266" si="847">G266/1000000</f>
        <v>2.4247296</v>
      </c>
      <c r="I266" s="20">
        <f t="shared" si="817"/>
        <v>109112.83199999999</v>
      </c>
      <c r="J266" s="28">
        <v>0.101801044444444</v>
      </c>
      <c r="K266" s="20">
        <f t="shared" si="818"/>
        <v>13093.539839999999</v>
      </c>
      <c r="L266" s="17">
        <v>9.0158933333326294E-2</v>
      </c>
      <c r="M266" s="17">
        <f t="shared" ref="M266" si="848">J266+L266</f>
        <v>0.1919599777777703</v>
      </c>
      <c r="N266" s="20">
        <f t="shared" si="820"/>
        <v>0.24247296000000002</v>
      </c>
      <c r="O266" s="7">
        <f t="shared" ref="O266" si="849">H266-M266-N266</f>
        <v>1.9902966622222296</v>
      </c>
    </row>
    <row r="267" spans="1:15" x14ac:dyDescent="0.7">
      <c r="A267" s="6"/>
      <c r="B267" s="6"/>
      <c r="C267" s="3">
        <v>22</v>
      </c>
      <c r="D267" s="7">
        <v>127.229</v>
      </c>
      <c r="E267" s="4">
        <v>19.8</v>
      </c>
      <c r="F267" s="7">
        <v>127.229</v>
      </c>
      <c r="G267" s="15">
        <f t="shared" ref="G267" si="850">F267*86400</f>
        <v>10992585.6</v>
      </c>
      <c r="H267" s="21">
        <f t="shared" ref="H267" si="851">G267/1000000</f>
        <v>10.9925856</v>
      </c>
      <c r="I267" s="20">
        <f t="shared" si="817"/>
        <v>494666.35199999996</v>
      </c>
      <c r="J267" s="28">
        <v>0.10218049444444401</v>
      </c>
      <c r="K267" s="20">
        <f t="shared" si="818"/>
        <v>59359.962239999993</v>
      </c>
      <c r="L267" s="17">
        <v>9.0529466666659605E-2</v>
      </c>
      <c r="M267" s="17">
        <f t="shared" ref="M267" si="852">J267+L267</f>
        <v>0.19270996111110361</v>
      </c>
      <c r="N267" s="20">
        <f t="shared" si="820"/>
        <v>1.09925856</v>
      </c>
      <c r="O267" s="7">
        <f t="shared" ref="O267" si="853">H267-M267-N267</f>
        <v>9.7006170788888966</v>
      </c>
    </row>
    <row r="268" spans="1:15" x14ac:dyDescent="0.7">
      <c r="A268" s="6"/>
      <c r="B268" s="6"/>
      <c r="C268" s="6">
        <v>23</v>
      </c>
      <c r="D268" s="7">
        <v>139.947</v>
      </c>
      <c r="E268" s="4">
        <v>0</v>
      </c>
      <c r="F268" s="7">
        <v>139.947</v>
      </c>
      <c r="G268" s="15">
        <f t="shared" ref="G268" si="854">F268*86400</f>
        <v>12091420.800000001</v>
      </c>
      <c r="H268" s="21">
        <f t="shared" ref="H268" si="855">G268/1000000</f>
        <v>12.0914208</v>
      </c>
      <c r="I268" s="20">
        <f t="shared" si="817"/>
        <v>544113.93599999999</v>
      </c>
      <c r="J268" s="28">
        <v>0.102559944444444</v>
      </c>
      <c r="K268" s="20">
        <f t="shared" si="818"/>
        <v>65293.672319999998</v>
      </c>
      <c r="L268" s="17">
        <v>9.0899999999992903E-2</v>
      </c>
      <c r="M268" s="17">
        <f t="shared" ref="M268" si="856">J268+L268</f>
        <v>0.1934599444444369</v>
      </c>
      <c r="N268" s="20">
        <f t="shared" si="820"/>
        <v>1.2091420800000001</v>
      </c>
      <c r="O268" s="7">
        <f t="shared" ref="O268" si="857">H268-M268-N268</f>
        <v>10.688818775555564</v>
      </c>
    </row>
    <row r="269" spans="1:15" x14ac:dyDescent="0.7">
      <c r="A269" s="6"/>
      <c r="B269" s="6"/>
      <c r="C269" s="6">
        <v>24</v>
      </c>
      <c r="D269" s="7">
        <v>106.983</v>
      </c>
      <c r="E269" s="4">
        <v>0</v>
      </c>
      <c r="F269" s="7">
        <v>106.983</v>
      </c>
      <c r="G269" s="15">
        <f t="shared" ref="G269" si="858">F269*86400</f>
        <v>9243331.2000000011</v>
      </c>
      <c r="H269" s="21">
        <f t="shared" ref="H269" si="859">G269/1000000</f>
        <v>9.2433312000000019</v>
      </c>
      <c r="I269" s="20">
        <f t="shared" si="817"/>
        <v>415949.90400000004</v>
      </c>
      <c r="J269" s="28">
        <v>0.102939394444444</v>
      </c>
      <c r="K269" s="20">
        <f t="shared" si="818"/>
        <v>49913.98848</v>
      </c>
      <c r="L269" s="17">
        <v>9.1270533333326201E-2</v>
      </c>
      <c r="M269" s="17">
        <f t="shared" ref="M269" si="860">J269+L269</f>
        <v>0.19420992777777019</v>
      </c>
      <c r="N269" s="20">
        <f t="shared" si="820"/>
        <v>0.92433312000000023</v>
      </c>
      <c r="O269" s="7">
        <f t="shared" ref="O269" si="861">H269-M269-N269</f>
        <v>8.1247881522222318</v>
      </c>
    </row>
    <row r="270" spans="1:15" x14ac:dyDescent="0.7">
      <c r="A270" s="6"/>
      <c r="B270" s="6"/>
      <c r="C270" s="3">
        <v>25</v>
      </c>
      <c r="D270" s="7">
        <v>72.396000000000001</v>
      </c>
      <c r="E270" s="4">
        <v>0</v>
      </c>
      <c r="F270" s="7">
        <v>72.396000000000001</v>
      </c>
      <c r="G270" s="15">
        <f t="shared" ref="G270" si="862">F270*86400</f>
        <v>6255014.4000000004</v>
      </c>
      <c r="H270" s="21">
        <f t="shared" ref="H270" si="863">G270/1000000</f>
        <v>6.2550144000000003</v>
      </c>
      <c r="I270" s="20">
        <f t="shared" si="817"/>
        <v>281475.64799999999</v>
      </c>
      <c r="J270" s="28">
        <v>0.103318844444444</v>
      </c>
      <c r="K270" s="20">
        <f t="shared" si="818"/>
        <v>33777.07776</v>
      </c>
      <c r="L270" s="17">
        <v>9.1641066666659499E-2</v>
      </c>
      <c r="M270" s="17">
        <f t="shared" ref="M270" si="864">J270+L270</f>
        <v>0.1949599111111035</v>
      </c>
      <c r="N270" s="20">
        <f t="shared" si="820"/>
        <v>0.62550144000000008</v>
      </c>
      <c r="O270" s="7">
        <f t="shared" ref="O270" si="865">H270-M270-N270</f>
        <v>5.4345530488888967</v>
      </c>
    </row>
    <row r="271" spans="1:15" x14ac:dyDescent="0.7">
      <c r="A271" s="6"/>
      <c r="B271" s="6"/>
      <c r="C271" s="6">
        <v>26</v>
      </c>
      <c r="D271" s="7">
        <v>54.811</v>
      </c>
      <c r="E271" s="4">
        <v>0</v>
      </c>
      <c r="F271" s="7">
        <v>54.811</v>
      </c>
      <c r="G271" s="15">
        <f t="shared" ref="G271" si="866">F271*86400</f>
        <v>4735670.4000000004</v>
      </c>
      <c r="H271" s="21">
        <f t="shared" ref="H271" si="867">G271/1000000</f>
        <v>4.7356704000000001</v>
      </c>
      <c r="I271" s="20">
        <f t="shared" si="817"/>
        <v>213105.16800000001</v>
      </c>
      <c r="J271" s="28">
        <v>0.10369829444444401</v>
      </c>
      <c r="K271" s="20">
        <f t="shared" si="818"/>
        <v>25572.620159999999</v>
      </c>
      <c r="L271" s="17">
        <v>9.2011599999992796E-2</v>
      </c>
      <c r="M271" s="17">
        <f t="shared" ref="M271" si="868">J271+L271</f>
        <v>0.19570989444443682</v>
      </c>
      <c r="N271" s="20">
        <f t="shared" si="820"/>
        <v>0.47356704000000005</v>
      </c>
      <c r="O271" s="7">
        <f t="shared" ref="O271" si="869">H271-M271-N271</f>
        <v>4.0663934655555636</v>
      </c>
    </row>
    <row r="272" spans="1:15" x14ac:dyDescent="0.7">
      <c r="A272" s="6"/>
      <c r="B272" s="6"/>
      <c r="C272" s="6">
        <v>27</v>
      </c>
      <c r="D272" s="7">
        <v>49.759</v>
      </c>
      <c r="E272" s="4">
        <v>0</v>
      </c>
      <c r="F272" s="7">
        <v>49.759</v>
      </c>
      <c r="G272" s="15">
        <f t="shared" ref="G272" si="870">F272*86400</f>
        <v>4299177.5999999996</v>
      </c>
      <c r="H272" s="21">
        <f t="shared" ref="H272" si="871">G272/1000000</f>
        <v>4.2991775999999993</v>
      </c>
      <c r="I272" s="20">
        <f t="shared" si="817"/>
        <v>193462.99199999997</v>
      </c>
      <c r="J272" s="28">
        <v>0.104077744444444</v>
      </c>
      <c r="K272" s="20">
        <f t="shared" si="818"/>
        <v>23215.559039999996</v>
      </c>
      <c r="L272" s="17">
        <v>9.2382133333326094E-2</v>
      </c>
      <c r="M272" s="17">
        <f t="shared" ref="M272" si="872">J272+L272</f>
        <v>0.19645987777777008</v>
      </c>
      <c r="N272" s="20">
        <f t="shared" si="820"/>
        <v>0.42991775999999993</v>
      </c>
      <c r="O272" s="7">
        <f t="shared" ref="O272" si="873">H272-M272-N272</f>
        <v>3.6727999622222289</v>
      </c>
    </row>
    <row r="273" spans="1:15" x14ac:dyDescent="0.7">
      <c r="A273" s="12"/>
      <c r="B273" s="12"/>
      <c r="C273" s="43">
        <v>28</v>
      </c>
      <c r="D273" s="30">
        <v>45.475000000000001</v>
      </c>
      <c r="E273" s="4">
        <v>13.3</v>
      </c>
      <c r="F273" s="30">
        <v>45.475000000000001</v>
      </c>
      <c r="G273" s="31">
        <f t="shared" ref="G273" si="874">F273*86400</f>
        <v>3929040</v>
      </c>
      <c r="H273" s="32">
        <f t="shared" ref="H273" si="875">G273/1000000</f>
        <v>3.9290400000000001</v>
      </c>
      <c r="I273" s="20">
        <f t="shared" si="817"/>
        <v>176806.8</v>
      </c>
      <c r="J273" s="34">
        <v>0.104457194444444</v>
      </c>
      <c r="K273" s="20">
        <f t="shared" si="818"/>
        <v>21216.815999999999</v>
      </c>
      <c r="L273" s="33">
        <v>9.2752666666659406E-2</v>
      </c>
      <c r="M273" s="33">
        <f t="shared" ref="M273" si="876">J273+L273</f>
        <v>0.19720986111110339</v>
      </c>
      <c r="N273" s="20">
        <f t="shared" si="820"/>
        <v>0.39290400000000003</v>
      </c>
      <c r="O273" s="30">
        <f t="shared" ref="O273" si="877">H273-M273-N273</f>
        <v>3.3389261388888967</v>
      </c>
    </row>
    <row r="274" spans="1:15" s="37" customFormat="1" x14ac:dyDescent="0.7">
      <c r="A274" s="6"/>
      <c r="B274" s="6"/>
      <c r="C274" s="6">
        <v>29</v>
      </c>
      <c r="D274" s="7">
        <v>45.478999999999999</v>
      </c>
      <c r="E274" s="4">
        <v>0</v>
      </c>
      <c r="F274" s="7">
        <v>45.478999999999999</v>
      </c>
      <c r="G274" s="35">
        <f t="shared" ref="G274" si="878">F274*86400</f>
        <v>3929385.6</v>
      </c>
      <c r="H274" s="20">
        <f t="shared" ref="H274" si="879">G274/1000000</f>
        <v>3.9293856000000003</v>
      </c>
      <c r="I274" s="20">
        <f t="shared" si="817"/>
        <v>176822.35199999998</v>
      </c>
      <c r="J274" s="28">
        <v>0.104836644444444</v>
      </c>
      <c r="K274" s="20">
        <f t="shared" si="818"/>
        <v>21218.682239999998</v>
      </c>
      <c r="L274" s="17">
        <v>9.3123199999992703E-2</v>
      </c>
      <c r="M274" s="17">
        <f t="shared" ref="M274" si="880">J274+L274</f>
        <v>0.19795984444443671</v>
      </c>
      <c r="N274" s="20">
        <f t="shared" si="820"/>
        <v>0.39293856000000005</v>
      </c>
      <c r="O274" s="7">
        <f t="shared" ref="O274" si="881">H274-M274-N274</f>
        <v>3.3384871955555635</v>
      </c>
    </row>
    <row r="275" spans="1:15" s="13" customFormat="1" ht="25.2" thickBot="1" x14ac:dyDescent="0.75">
      <c r="A275" s="11"/>
      <c r="B275" s="11" t="s">
        <v>23</v>
      </c>
      <c r="C275" s="11">
        <v>30</v>
      </c>
      <c r="D275" s="19">
        <v>48.356999999999999</v>
      </c>
      <c r="E275" s="19">
        <v>0</v>
      </c>
      <c r="F275" s="19">
        <v>48.356999999999999</v>
      </c>
      <c r="G275" s="26">
        <f t="shared" ref="G275" si="882">F275*86400</f>
        <v>4178044.8</v>
      </c>
      <c r="H275" s="27">
        <f t="shared" ref="H275" si="883">G275/1000000</f>
        <v>4.1780447999999994</v>
      </c>
      <c r="I275" s="22">
        <f t="shared" si="817"/>
        <v>188012.01599999997</v>
      </c>
      <c r="J275" s="39">
        <v>0.10521609444444401</v>
      </c>
      <c r="K275" s="22">
        <f t="shared" si="818"/>
        <v>22561.441919999997</v>
      </c>
      <c r="L275" s="38">
        <v>9.3493733333326001E-2</v>
      </c>
      <c r="M275" s="38">
        <f t="shared" ref="M275" si="884">J275+L275</f>
        <v>0.19870982777777002</v>
      </c>
      <c r="N275" s="22">
        <f t="shared" si="820"/>
        <v>0.41780447999999998</v>
      </c>
      <c r="O275" s="19">
        <f t="shared" ref="O275" si="885">H275-M275-N275</f>
        <v>3.5615304922222295</v>
      </c>
    </row>
    <row r="276" spans="1:15" x14ac:dyDescent="0.7">
      <c r="A276" s="3"/>
      <c r="B276" s="3" t="s">
        <v>24</v>
      </c>
      <c r="C276" s="3">
        <v>1</v>
      </c>
      <c r="D276" s="4">
        <v>35.977000000000004</v>
      </c>
      <c r="E276" s="4">
        <v>0</v>
      </c>
      <c r="F276" s="4">
        <v>35.977000000000004</v>
      </c>
      <c r="G276" s="15">
        <f t="shared" ref="G276" si="886">F276*86400</f>
        <v>3108412.8000000003</v>
      </c>
      <c r="H276" s="21">
        <f t="shared" ref="H276" si="887">G276/1000000</f>
        <v>3.1084128000000004</v>
      </c>
      <c r="I276" s="21">
        <f t="shared" si="817"/>
        <v>139878.576</v>
      </c>
      <c r="J276" s="25">
        <v>0.105595544444444</v>
      </c>
      <c r="K276" s="21">
        <f t="shared" si="818"/>
        <v>16785.429120000001</v>
      </c>
      <c r="L276" s="16">
        <v>9.3864266666659299E-2</v>
      </c>
      <c r="M276" s="16">
        <f t="shared" ref="M276" si="888">J276+L276</f>
        <v>0.19945981111110328</v>
      </c>
      <c r="N276" s="21">
        <f t="shared" si="820"/>
        <v>0.31084128000000005</v>
      </c>
      <c r="O276" s="4">
        <f t="shared" ref="O276" si="889">H276-M276-N276</f>
        <v>2.5981117088888972</v>
      </c>
    </row>
    <row r="277" spans="1:15" x14ac:dyDescent="0.7">
      <c r="A277" s="6"/>
      <c r="B277" s="6"/>
      <c r="C277" s="6">
        <v>2</v>
      </c>
      <c r="D277" s="7">
        <v>48.677</v>
      </c>
      <c r="E277" s="4">
        <v>5.3</v>
      </c>
      <c r="F277" s="7">
        <v>48.677</v>
      </c>
      <c r="G277" s="15">
        <f t="shared" ref="G277" si="890">F277*86400</f>
        <v>4205692.8</v>
      </c>
      <c r="H277" s="21">
        <f t="shared" ref="H277" si="891">G277/1000000</f>
        <v>4.2056927999999996</v>
      </c>
      <c r="I277" s="20">
        <f t="shared" si="817"/>
        <v>189256.17599999998</v>
      </c>
      <c r="J277" s="28">
        <v>0.105974994444444</v>
      </c>
      <c r="K277" s="20">
        <f t="shared" si="818"/>
        <v>22710.741119999995</v>
      </c>
      <c r="L277" s="17">
        <v>9.4234799999992597E-2</v>
      </c>
      <c r="M277" s="17">
        <f t="shared" ref="M277" si="892">J277+L277</f>
        <v>0.2002097944444366</v>
      </c>
      <c r="N277" s="20">
        <f t="shared" si="820"/>
        <v>0.42056927999999999</v>
      </c>
      <c r="O277" s="7">
        <f t="shared" ref="O277" si="893">H277-M277-N277</f>
        <v>3.584913725555563</v>
      </c>
    </row>
    <row r="278" spans="1:15" x14ac:dyDescent="0.7">
      <c r="A278" s="6"/>
      <c r="B278" s="6"/>
      <c r="C278" s="6">
        <v>3</v>
      </c>
      <c r="D278" s="7">
        <v>48.677</v>
      </c>
      <c r="E278" s="4">
        <v>5.9</v>
      </c>
      <c r="F278" s="7">
        <v>48.677</v>
      </c>
      <c r="G278" s="15">
        <f t="shared" ref="G278" si="894">F278*86400</f>
        <v>4205692.8</v>
      </c>
      <c r="H278" s="21">
        <f t="shared" ref="H278" si="895">G278/1000000</f>
        <v>4.2056927999999996</v>
      </c>
      <c r="I278" s="20">
        <f t="shared" si="817"/>
        <v>189256.17599999998</v>
      </c>
      <c r="J278" s="28">
        <v>0.106354444444444</v>
      </c>
      <c r="K278" s="20">
        <f t="shared" si="818"/>
        <v>22710.741119999995</v>
      </c>
      <c r="L278" s="17">
        <v>9.4605333333325894E-2</v>
      </c>
      <c r="M278" s="17">
        <f t="shared" ref="M278" si="896">J278+L278</f>
        <v>0.20095977777776991</v>
      </c>
      <c r="N278" s="20">
        <f t="shared" si="820"/>
        <v>0.42056927999999999</v>
      </c>
      <c r="O278" s="7">
        <f t="shared" ref="O278" si="897">H278-M278-N278</f>
        <v>3.5841637422222292</v>
      </c>
    </row>
    <row r="279" spans="1:15" x14ac:dyDescent="0.7">
      <c r="A279" s="6"/>
      <c r="B279" s="6"/>
      <c r="C279" s="3">
        <v>4</v>
      </c>
      <c r="D279" s="7">
        <v>53.242999999999995</v>
      </c>
      <c r="E279" s="4">
        <v>15.4</v>
      </c>
      <c r="F279" s="7">
        <v>53.242999999999995</v>
      </c>
      <c r="G279" s="15">
        <f t="shared" ref="G279" si="898">F279*86400</f>
        <v>4600195.1999999993</v>
      </c>
      <c r="H279" s="21">
        <f t="shared" ref="H279" si="899">G279/1000000</f>
        <v>4.600195199999999</v>
      </c>
      <c r="I279" s="20">
        <f t="shared" si="817"/>
        <v>207008.78399999996</v>
      </c>
      <c r="J279" s="28">
        <v>0.10673389444444401</v>
      </c>
      <c r="K279" s="20">
        <f t="shared" si="818"/>
        <v>24841.054079999994</v>
      </c>
      <c r="L279" s="17">
        <v>9.4975866666659206E-2</v>
      </c>
      <c r="M279" s="17">
        <f t="shared" ref="M279" si="900">J279+L279</f>
        <v>0.20170976111110323</v>
      </c>
      <c r="N279" s="20">
        <f t="shared" si="820"/>
        <v>0.4600195199999999</v>
      </c>
      <c r="O279" s="7">
        <f t="shared" ref="O279" si="901">H279-M279-N279</f>
        <v>3.938465918888896</v>
      </c>
    </row>
    <row r="280" spans="1:15" x14ac:dyDescent="0.7">
      <c r="A280" s="6"/>
      <c r="B280" s="6"/>
      <c r="C280" s="6">
        <v>5</v>
      </c>
      <c r="D280" s="7">
        <v>53.242999999999995</v>
      </c>
      <c r="E280" s="4">
        <v>5.3</v>
      </c>
      <c r="F280" s="7">
        <v>53.242999999999995</v>
      </c>
      <c r="G280" s="15">
        <f t="shared" ref="G280" si="902">F280*86400</f>
        <v>4600195.1999999993</v>
      </c>
      <c r="H280" s="21">
        <f t="shared" ref="H280" si="903">G280/1000000</f>
        <v>4.600195199999999</v>
      </c>
      <c r="I280" s="20">
        <f t="shared" si="817"/>
        <v>207008.78399999996</v>
      </c>
      <c r="J280" s="28">
        <v>0.10711334444444399</v>
      </c>
      <c r="K280" s="20">
        <f t="shared" si="818"/>
        <v>24841.054079999994</v>
      </c>
      <c r="L280" s="17">
        <v>9.5346399999992504E-2</v>
      </c>
      <c r="M280" s="17">
        <f t="shared" ref="M280" si="904">J280+L280</f>
        <v>0.20245974444443648</v>
      </c>
      <c r="N280" s="20">
        <f t="shared" si="820"/>
        <v>0.4600195199999999</v>
      </c>
      <c r="O280" s="7">
        <f t="shared" ref="O280" si="905">H280-M280-N280</f>
        <v>3.9377159355555622</v>
      </c>
    </row>
    <row r="281" spans="1:15" x14ac:dyDescent="0.7">
      <c r="A281" s="6"/>
      <c r="B281" s="6"/>
      <c r="C281" s="6">
        <v>6</v>
      </c>
      <c r="D281" s="7">
        <v>49.496000000000002</v>
      </c>
      <c r="E281" s="4">
        <v>1.7</v>
      </c>
      <c r="F281" s="7">
        <v>49.496000000000002</v>
      </c>
      <c r="G281" s="15">
        <f t="shared" ref="G281" si="906">F281*86400</f>
        <v>4276454.4000000004</v>
      </c>
      <c r="H281" s="21">
        <f t="shared" ref="H281" si="907">G281/1000000</f>
        <v>4.2764544000000004</v>
      </c>
      <c r="I281" s="20">
        <f t="shared" si="817"/>
        <v>192440.448</v>
      </c>
      <c r="J281" s="28">
        <v>0.107492794444444</v>
      </c>
      <c r="K281" s="20">
        <f t="shared" si="818"/>
        <v>23092.853759999998</v>
      </c>
      <c r="L281" s="17">
        <v>9.5716933333325802E-2</v>
      </c>
      <c r="M281" s="17">
        <f t="shared" ref="M281" si="908">J281+L281</f>
        <v>0.2032097277777698</v>
      </c>
      <c r="N281" s="20">
        <f t="shared" si="820"/>
        <v>0.42764544000000004</v>
      </c>
      <c r="O281" s="7">
        <f t="shared" ref="O281" si="909">H281-M281-N281</f>
        <v>3.6455992322222306</v>
      </c>
    </row>
    <row r="282" spans="1:15" x14ac:dyDescent="0.7">
      <c r="A282" s="6"/>
      <c r="B282" s="6"/>
      <c r="C282" s="3">
        <v>7</v>
      </c>
      <c r="D282" s="7">
        <v>82.366</v>
      </c>
      <c r="E282" s="4">
        <v>8.5</v>
      </c>
      <c r="F282" s="7">
        <v>82.366</v>
      </c>
      <c r="G282" s="15">
        <f t="shared" ref="G282" si="910">F282*86400</f>
        <v>7116422.4000000004</v>
      </c>
      <c r="H282" s="21">
        <f t="shared" ref="H282" si="911">G282/1000000</f>
        <v>7.1164224000000003</v>
      </c>
      <c r="I282" s="20">
        <f t="shared" si="817"/>
        <v>320239.00800000003</v>
      </c>
      <c r="J282" s="28">
        <v>0.107872244444444</v>
      </c>
      <c r="K282" s="20">
        <f t="shared" si="818"/>
        <v>38428.680960000005</v>
      </c>
      <c r="L282" s="17">
        <v>9.6087466666659099E-2</v>
      </c>
      <c r="M282" s="17">
        <f t="shared" ref="M282" si="912">J282+L282</f>
        <v>0.20395971111110311</v>
      </c>
      <c r="N282" s="20">
        <f t="shared" si="820"/>
        <v>0.71164224000000009</v>
      </c>
      <c r="O282" s="7">
        <f t="shared" ref="O282" si="913">H282-M282-N282</f>
        <v>6.2008204488888978</v>
      </c>
    </row>
    <row r="283" spans="1:15" x14ac:dyDescent="0.7">
      <c r="A283" s="6"/>
      <c r="B283" s="6"/>
      <c r="C283" s="6">
        <v>8</v>
      </c>
      <c r="D283" s="7">
        <v>108.124</v>
      </c>
      <c r="E283" s="4">
        <v>26</v>
      </c>
      <c r="F283" s="7">
        <v>108.124</v>
      </c>
      <c r="G283" s="15">
        <f t="shared" ref="G283" si="914">F283*86400</f>
        <v>9341913.5999999996</v>
      </c>
      <c r="H283" s="21">
        <f t="shared" ref="H283" si="915">G283/1000000</f>
        <v>9.3419135999999998</v>
      </c>
      <c r="I283" s="20">
        <f t="shared" si="817"/>
        <v>420386.11199999996</v>
      </c>
      <c r="J283" s="28">
        <v>0.108251694444444</v>
      </c>
      <c r="K283" s="20">
        <f t="shared" si="818"/>
        <v>50446.333439999995</v>
      </c>
      <c r="L283" s="17">
        <v>9.6457999999992397E-2</v>
      </c>
      <c r="M283" s="17">
        <f t="shared" ref="M283" si="916">J283+L283</f>
        <v>0.2047096944444364</v>
      </c>
      <c r="N283" s="20">
        <f t="shared" si="820"/>
        <v>0.93419136000000003</v>
      </c>
      <c r="O283" s="7">
        <f t="shared" ref="O283" si="917">H283-M283-N283</f>
        <v>8.2030125455555645</v>
      </c>
    </row>
    <row r="284" spans="1:15" x14ac:dyDescent="0.7">
      <c r="A284" s="6"/>
      <c r="B284" s="6"/>
      <c r="C284" s="6">
        <v>9</v>
      </c>
      <c r="D284" s="7">
        <v>158.839</v>
      </c>
      <c r="E284" s="4">
        <v>2.2000000000000002</v>
      </c>
      <c r="F284" s="7">
        <v>158.839</v>
      </c>
      <c r="G284" s="15">
        <f t="shared" ref="G284" si="918">F284*86400</f>
        <v>13723689.6</v>
      </c>
      <c r="H284" s="21">
        <f t="shared" ref="H284" si="919">G284/1000000</f>
        <v>13.7236896</v>
      </c>
      <c r="I284" s="20">
        <f t="shared" si="817"/>
        <v>617566.03200000001</v>
      </c>
      <c r="J284" s="28">
        <v>0.10863114444444399</v>
      </c>
      <c r="K284" s="20">
        <f t="shared" si="818"/>
        <v>74107.923840000003</v>
      </c>
      <c r="L284" s="17">
        <v>9.6828533333325695E-2</v>
      </c>
      <c r="M284" s="17">
        <f t="shared" ref="M284" si="920">J284+L284</f>
        <v>0.20545967777776969</v>
      </c>
      <c r="N284" s="20">
        <f t="shared" si="820"/>
        <v>1.3723689600000002</v>
      </c>
      <c r="O284" s="7">
        <f t="shared" ref="O284" si="921">H284-M284-N284</f>
        <v>12.14586096222223</v>
      </c>
    </row>
    <row r="285" spans="1:15" x14ac:dyDescent="0.7">
      <c r="A285" s="6"/>
      <c r="B285" s="6"/>
      <c r="C285" s="3">
        <v>10</v>
      </c>
      <c r="D285" s="7">
        <v>158.83699999999999</v>
      </c>
      <c r="E285" s="4">
        <v>0</v>
      </c>
      <c r="F285" s="7">
        <v>158.83699999999999</v>
      </c>
      <c r="G285" s="15">
        <f t="shared" ref="G285" si="922">F285*86400</f>
        <v>13723516.799999999</v>
      </c>
      <c r="H285" s="21">
        <f t="shared" ref="H285" si="923">G285/1000000</f>
        <v>13.723516799999999</v>
      </c>
      <c r="I285" s="20">
        <f t="shared" si="817"/>
        <v>617558.25599999994</v>
      </c>
      <c r="J285" s="28">
        <v>0.109010594444444</v>
      </c>
      <c r="K285" s="20">
        <f t="shared" si="818"/>
        <v>74106.990719999987</v>
      </c>
      <c r="L285" s="17">
        <v>9.7199066666659006E-2</v>
      </c>
      <c r="M285" s="17">
        <f t="shared" ref="M285" si="924">J285+L285</f>
        <v>0.206209661111103</v>
      </c>
      <c r="N285" s="20">
        <f t="shared" si="820"/>
        <v>1.37235168</v>
      </c>
      <c r="O285" s="7">
        <f t="shared" ref="O285" si="925">H285-M285-N285</f>
        <v>12.144955458888896</v>
      </c>
    </row>
    <row r="286" spans="1:15" x14ac:dyDescent="0.7">
      <c r="A286" s="6"/>
      <c r="B286" s="6"/>
      <c r="C286" s="6">
        <v>11</v>
      </c>
      <c r="D286" s="7">
        <v>124.18600000000001</v>
      </c>
      <c r="E286" s="4">
        <v>0</v>
      </c>
      <c r="F286" s="7">
        <v>124.18600000000001</v>
      </c>
      <c r="G286" s="15">
        <f t="shared" ref="G286" si="926">F286*86400</f>
        <v>10729670.4</v>
      </c>
      <c r="H286" s="21">
        <f t="shared" ref="H286" si="927">G286/1000000</f>
        <v>10.7296704</v>
      </c>
      <c r="I286" s="20">
        <f t="shared" si="817"/>
        <v>482835.16800000001</v>
      </c>
      <c r="J286" s="28">
        <v>0.109390044444444</v>
      </c>
      <c r="K286" s="20">
        <f t="shared" si="818"/>
        <v>57940.220159999997</v>
      </c>
      <c r="L286" s="17">
        <v>9.7569599999992304E-2</v>
      </c>
      <c r="M286" s="17">
        <f t="shared" ref="M286" si="928">J286+L286</f>
        <v>0.20695964444443632</v>
      </c>
      <c r="N286" s="20">
        <f t="shared" si="820"/>
        <v>1.07296704</v>
      </c>
      <c r="O286" s="7">
        <f t="shared" ref="O286" si="929">H286-M286-N286</f>
        <v>9.449743715555563</v>
      </c>
    </row>
    <row r="287" spans="1:15" x14ac:dyDescent="0.7">
      <c r="A287" s="6"/>
      <c r="B287" s="6"/>
      <c r="C287" s="6">
        <v>12</v>
      </c>
      <c r="D287" s="7">
        <v>98.320000000000007</v>
      </c>
      <c r="E287" s="4">
        <v>1.5</v>
      </c>
      <c r="F287" s="7">
        <v>98.320000000000007</v>
      </c>
      <c r="G287" s="15">
        <f t="shared" ref="G287" si="930">F287*86400</f>
        <v>8494848</v>
      </c>
      <c r="H287" s="21">
        <f t="shared" ref="H287" si="931">G287/1000000</f>
        <v>8.4948479999999993</v>
      </c>
      <c r="I287" s="20">
        <f t="shared" si="817"/>
        <v>382268.15999999997</v>
      </c>
      <c r="J287" s="28">
        <v>0.109769494444444</v>
      </c>
      <c r="K287" s="20">
        <f t="shared" si="818"/>
        <v>45872.179199999999</v>
      </c>
      <c r="L287" s="17">
        <v>9.7940133333325602E-2</v>
      </c>
      <c r="M287" s="17">
        <f t="shared" ref="M287" si="932">J287+L287</f>
        <v>0.20770962777776961</v>
      </c>
      <c r="N287" s="20">
        <f t="shared" si="820"/>
        <v>0.84948479999999993</v>
      </c>
      <c r="O287" s="7">
        <f t="shared" ref="O287" si="933">H287-M287-N287</f>
        <v>7.4376535722222306</v>
      </c>
    </row>
    <row r="288" spans="1:15" x14ac:dyDescent="0.7">
      <c r="A288" s="6"/>
      <c r="B288" s="6"/>
      <c r="C288" s="3">
        <v>13</v>
      </c>
      <c r="D288" s="7">
        <v>78.544000000000011</v>
      </c>
      <c r="E288" s="4">
        <v>0</v>
      </c>
      <c r="F288" s="7">
        <v>78.543999999999997</v>
      </c>
      <c r="G288" s="15">
        <f t="shared" ref="G288" si="934">F288*86400</f>
        <v>6786201.5999999996</v>
      </c>
      <c r="H288" s="21">
        <f t="shared" ref="H288" si="935">G288/1000000</f>
        <v>6.7862016000000001</v>
      </c>
      <c r="I288" s="20">
        <f t="shared" si="817"/>
        <v>305379.07199999999</v>
      </c>
      <c r="J288" s="28">
        <v>0.11014894444444399</v>
      </c>
      <c r="K288" s="20">
        <f t="shared" si="818"/>
        <v>36645.488639999996</v>
      </c>
      <c r="L288" s="17">
        <v>9.83106666666589E-2</v>
      </c>
      <c r="M288" s="17">
        <f t="shared" ref="M288" si="936">J288+L288</f>
        <v>0.20845961111110289</v>
      </c>
      <c r="N288" s="20">
        <f t="shared" si="820"/>
        <v>0.67862016000000003</v>
      </c>
      <c r="O288" s="7">
        <f t="shared" ref="O288" si="937">H288-M288-N288</f>
        <v>5.8991218288888971</v>
      </c>
    </row>
    <row r="289" spans="1:15" x14ac:dyDescent="0.7">
      <c r="A289" s="6"/>
      <c r="B289" s="6"/>
      <c r="C289" s="6">
        <v>14</v>
      </c>
      <c r="D289" s="7">
        <v>66.664000000000001</v>
      </c>
      <c r="E289" s="4">
        <v>0</v>
      </c>
      <c r="F289" s="7">
        <v>66.664000000000001</v>
      </c>
      <c r="G289" s="15">
        <f t="shared" ref="G289" si="938">F289*86400</f>
        <v>5759769.6000000006</v>
      </c>
      <c r="H289" s="21">
        <f t="shared" ref="H289" si="939">G289/1000000</f>
        <v>5.7597696000000003</v>
      </c>
      <c r="I289" s="20">
        <f t="shared" si="817"/>
        <v>259189.63200000001</v>
      </c>
      <c r="J289" s="28">
        <v>0.110528394444444</v>
      </c>
      <c r="K289" s="20">
        <f t="shared" si="818"/>
        <v>31102.755840000002</v>
      </c>
      <c r="L289" s="17">
        <v>9.8681199999992197E-2</v>
      </c>
      <c r="M289" s="17">
        <f t="shared" ref="M289" si="940">J289+L289</f>
        <v>0.20920959444443621</v>
      </c>
      <c r="N289" s="20">
        <f t="shared" si="820"/>
        <v>0.57597696000000009</v>
      </c>
      <c r="O289" s="7">
        <f t="shared" ref="O289" si="941">H289-M289-N289</f>
        <v>4.9745830455555637</v>
      </c>
    </row>
    <row r="290" spans="1:15" x14ac:dyDescent="0.7">
      <c r="A290" s="6"/>
      <c r="B290" s="6"/>
      <c r="C290" s="6">
        <v>15</v>
      </c>
      <c r="D290" s="7">
        <v>59.673000000000002</v>
      </c>
      <c r="E290" s="4">
        <v>0</v>
      </c>
      <c r="F290" s="7">
        <v>59.673000000000002</v>
      </c>
      <c r="G290" s="15">
        <f t="shared" ref="G290" si="942">F290*86400</f>
        <v>5155747.2</v>
      </c>
      <c r="H290" s="21">
        <f t="shared" ref="H290" si="943">G290/1000000</f>
        <v>5.1557472000000004</v>
      </c>
      <c r="I290" s="20">
        <f t="shared" si="817"/>
        <v>232008.62400000001</v>
      </c>
      <c r="J290" s="28">
        <v>0.110907844444444</v>
      </c>
      <c r="K290" s="20">
        <f t="shared" si="818"/>
        <v>27841.034879999999</v>
      </c>
      <c r="L290" s="17">
        <v>9.9051733333325495E-2</v>
      </c>
      <c r="M290" s="17">
        <f t="shared" ref="M290" si="944">J290+L290</f>
        <v>0.2099595777777695</v>
      </c>
      <c r="N290" s="20">
        <f t="shared" si="820"/>
        <v>0.51557472000000004</v>
      </c>
      <c r="O290" s="7">
        <f t="shared" ref="O290" si="945">H290-M290-N290</f>
        <v>4.4302129022222312</v>
      </c>
    </row>
    <row r="291" spans="1:15" x14ac:dyDescent="0.7">
      <c r="A291" s="6"/>
      <c r="B291" s="6"/>
      <c r="C291" s="3">
        <v>16</v>
      </c>
      <c r="D291" s="7">
        <v>59.673000000000002</v>
      </c>
      <c r="E291" s="4">
        <v>0</v>
      </c>
      <c r="F291" s="7">
        <v>59.673000000000002</v>
      </c>
      <c r="G291" s="15">
        <f t="shared" ref="G291" si="946">F291*86400</f>
        <v>5155747.2</v>
      </c>
      <c r="H291" s="21">
        <f t="shared" ref="H291" si="947">G291/1000000</f>
        <v>5.1557472000000004</v>
      </c>
      <c r="I291" s="20">
        <f t="shared" si="817"/>
        <v>232008.62400000001</v>
      </c>
      <c r="J291" s="28">
        <v>0.111287294444444</v>
      </c>
      <c r="K291" s="20">
        <f t="shared" si="818"/>
        <v>27841.034879999999</v>
      </c>
      <c r="L291" s="17">
        <v>9.9422266666658807E-2</v>
      </c>
      <c r="M291" s="17">
        <f t="shared" ref="M291" si="948">J291+L291</f>
        <v>0.21070956111110281</v>
      </c>
      <c r="N291" s="20">
        <f t="shared" si="820"/>
        <v>0.51557472000000004</v>
      </c>
      <c r="O291" s="7">
        <f t="shared" ref="O291" si="949">H291-M291-N291</f>
        <v>4.4294629188888974</v>
      </c>
    </row>
    <row r="292" spans="1:15" x14ac:dyDescent="0.7">
      <c r="A292" s="6"/>
      <c r="B292" s="6"/>
      <c r="C292" s="6">
        <v>17</v>
      </c>
      <c r="D292" s="7">
        <v>56.565000000000005</v>
      </c>
      <c r="E292" s="4">
        <v>0</v>
      </c>
      <c r="F292" s="7">
        <v>56.565000000000005</v>
      </c>
      <c r="G292" s="15">
        <f t="shared" ref="G292" si="950">F292*86400</f>
        <v>4887216</v>
      </c>
      <c r="H292" s="21">
        <f t="shared" ref="H292" si="951">G292/1000000</f>
        <v>4.8872159999999996</v>
      </c>
      <c r="I292" s="20">
        <f t="shared" si="817"/>
        <v>219924.72</v>
      </c>
      <c r="J292" s="28">
        <v>0.11166674444444399</v>
      </c>
      <c r="K292" s="20">
        <f t="shared" si="818"/>
        <v>26390.966399999998</v>
      </c>
      <c r="L292" s="17">
        <v>9.9792799999992104E-2</v>
      </c>
      <c r="M292" s="17">
        <f t="shared" ref="M292" si="952">J292+L292</f>
        <v>0.2114595444444361</v>
      </c>
      <c r="N292" s="20">
        <f t="shared" si="820"/>
        <v>0.48872159999999998</v>
      </c>
      <c r="O292" s="7">
        <f t="shared" ref="O292" si="953">H292-M292-N292</f>
        <v>4.1870348555555639</v>
      </c>
    </row>
    <row r="293" spans="1:15" x14ac:dyDescent="0.7">
      <c r="A293" s="6"/>
      <c r="B293" s="6"/>
      <c r="C293" s="6">
        <v>18</v>
      </c>
      <c r="D293" s="7">
        <v>58.935000000000002</v>
      </c>
      <c r="E293" s="4">
        <v>0</v>
      </c>
      <c r="F293" s="7">
        <v>58.935000000000002</v>
      </c>
      <c r="G293" s="15">
        <f t="shared" ref="G293" si="954">F293*86400</f>
        <v>5091984</v>
      </c>
      <c r="H293" s="21">
        <f t="shared" ref="H293" si="955">G293/1000000</f>
        <v>5.0919840000000001</v>
      </c>
      <c r="I293" s="20">
        <f t="shared" si="817"/>
        <v>229139.28</v>
      </c>
      <c r="J293" s="28">
        <v>0.112046194444444</v>
      </c>
      <c r="K293" s="20">
        <f t="shared" si="818"/>
        <v>27496.713599999999</v>
      </c>
      <c r="L293" s="17">
        <v>0.100163333333325</v>
      </c>
      <c r="M293" s="17">
        <f t="shared" ref="M293" si="956">J293+L293</f>
        <v>0.212209527777769</v>
      </c>
      <c r="N293" s="20">
        <f t="shared" si="820"/>
        <v>0.50919840000000005</v>
      </c>
      <c r="O293" s="7">
        <f t="shared" ref="O293" si="957">H293-M293-N293</f>
        <v>4.3705760722222315</v>
      </c>
    </row>
    <row r="294" spans="1:15" x14ac:dyDescent="0.7">
      <c r="A294" s="6"/>
      <c r="B294" s="6"/>
      <c r="C294" s="3">
        <v>19</v>
      </c>
      <c r="D294" s="7">
        <v>57.365000000000002</v>
      </c>
      <c r="E294" s="4">
        <v>0</v>
      </c>
      <c r="F294" s="7">
        <v>57.365000000000002</v>
      </c>
      <c r="G294" s="15">
        <f t="shared" ref="G294" si="958">F294*86400</f>
        <v>4956336</v>
      </c>
      <c r="H294" s="21">
        <f t="shared" ref="H294" si="959">G294/1000000</f>
        <v>4.9563360000000003</v>
      </c>
      <c r="I294" s="20">
        <f t="shared" si="817"/>
        <v>223035.12</v>
      </c>
      <c r="J294" s="28">
        <v>0.112425644444444</v>
      </c>
      <c r="K294" s="20">
        <f t="shared" si="818"/>
        <v>26764.214399999997</v>
      </c>
      <c r="L294" s="17">
        <v>0.10053386666665901</v>
      </c>
      <c r="M294" s="17">
        <f t="shared" ref="M294" si="960">J294+L294</f>
        <v>0.21295951111110301</v>
      </c>
      <c r="N294" s="20">
        <f t="shared" si="820"/>
        <v>0.49563360000000006</v>
      </c>
      <c r="O294" s="7">
        <f t="shared" ref="O294" si="961">H294-M294-N294</f>
        <v>4.2477428888888973</v>
      </c>
    </row>
    <row r="295" spans="1:15" x14ac:dyDescent="0.7">
      <c r="A295" s="6"/>
      <c r="B295" s="6"/>
      <c r="C295" s="6">
        <v>20</v>
      </c>
      <c r="D295" s="7">
        <v>49.76</v>
      </c>
      <c r="E295" s="4">
        <v>0</v>
      </c>
      <c r="F295" s="7">
        <v>49.76</v>
      </c>
      <c r="G295" s="15">
        <f t="shared" ref="G295" si="962">F295*86400</f>
        <v>4299264</v>
      </c>
      <c r="H295" s="21">
        <f t="shared" ref="H295" si="963">G295/1000000</f>
        <v>4.299264</v>
      </c>
      <c r="I295" s="20">
        <f t="shared" si="817"/>
        <v>193466.88</v>
      </c>
      <c r="J295" s="28">
        <v>0.112805094444444</v>
      </c>
      <c r="K295" s="20">
        <f t="shared" si="818"/>
        <v>23216.025600000001</v>
      </c>
      <c r="L295" s="17">
        <v>0.100904399999992</v>
      </c>
      <c r="M295" s="17">
        <f t="shared" ref="M295" si="964">J295+L295</f>
        <v>0.21370949444443599</v>
      </c>
      <c r="N295" s="20">
        <f t="shared" si="820"/>
        <v>0.42992640000000004</v>
      </c>
      <c r="O295" s="7">
        <f t="shared" ref="O295" si="965">H295-M295-N295</f>
        <v>3.6556281055555635</v>
      </c>
    </row>
    <row r="296" spans="1:15" x14ac:dyDescent="0.7">
      <c r="A296" s="6"/>
      <c r="B296" s="6"/>
      <c r="C296" s="6">
        <v>21</v>
      </c>
      <c r="D296" s="7">
        <v>46.145000000000003</v>
      </c>
      <c r="E296" s="4">
        <v>0</v>
      </c>
      <c r="F296" s="7">
        <v>46.145000000000003</v>
      </c>
      <c r="G296" s="15">
        <f t="shared" ref="G296" si="966">F296*86400</f>
        <v>3986928.0000000005</v>
      </c>
      <c r="H296" s="21">
        <f t="shared" ref="H296" si="967">G296/1000000</f>
        <v>3.9869280000000002</v>
      </c>
      <c r="I296" s="20">
        <f t="shared" si="817"/>
        <v>179411.76</v>
      </c>
      <c r="J296" s="28">
        <v>0.11318454444444399</v>
      </c>
      <c r="K296" s="20">
        <f t="shared" si="818"/>
        <v>21529.411199999999</v>
      </c>
      <c r="L296" s="17">
        <v>0.101274933333325</v>
      </c>
      <c r="M296" s="17">
        <f t="shared" ref="M296" si="968">J296+L296</f>
        <v>0.214459477777769</v>
      </c>
      <c r="N296" s="20">
        <f t="shared" si="820"/>
        <v>0.39869280000000007</v>
      </c>
      <c r="O296" s="7">
        <f t="shared" ref="O296" si="969">H296-M296-N296</f>
        <v>3.3737757222222311</v>
      </c>
    </row>
    <row r="297" spans="1:15" x14ac:dyDescent="0.7">
      <c r="A297" s="6"/>
      <c r="B297" s="6"/>
      <c r="C297" s="3">
        <v>22</v>
      </c>
      <c r="D297" s="7">
        <v>50.531999999999996</v>
      </c>
      <c r="E297" s="4">
        <v>0</v>
      </c>
      <c r="F297" s="7">
        <v>50.531999999999996</v>
      </c>
      <c r="G297" s="15">
        <f t="shared" ref="G297" si="970">F297*86400</f>
        <v>4365964.8</v>
      </c>
      <c r="H297" s="21">
        <f t="shared" ref="H297" si="971">G297/1000000</f>
        <v>4.3659647999999995</v>
      </c>
      <c r="I297" s="20">
        <f t="shared" si="817"/>
        <v>196468.416</v>
      </c>
      <c r="J297" s="28">
        <v>0.113563994444444</v>
      </c>
      <c r="K297" s="20">
        <f t="shared" si="818"/>
        <v>23576.209919999998</v>
      </c>
      <c r="L297" s="17">
        <v>0.101645466666659</v>
      </c>
      <c r="M297" s="17">
        <f t="shared" ref="M297" si="972">J297+L297</f>
        <v>0.21520946111110301</v>
      </c>
      <c r="N297" s="20">
        <f t="shared" si="820"/>
        <v>0.43659647999999995</v>
      </c>
      <c r="O297" s="7">
        <f t="shared" ref="O297" si="973">H297-M297-N297</f>
        <v>3.7141588588888967</v>
      </c>
    </row>
    <row r="298" spans="1:15" x14ac:dyDescent="0.7">
      <c r="A298" s="6"/>
      <c r="B298" s="6"/>
      <c r="C298" s="6">
        <v>23</v>
      </c>
      <c r="D298" s="7">
        <v>41.933</v>
      </c>
      <c r="E298" s="4">
        <v>0</v>
      </c>
      <c r="F298" s="7">
        <v>41.933</v>
      </c>
      <c r="G298" s="15">
        <f t="shared" ref="G298" si="974">F298*86400</f>
        <v>3623011.2</v>
      </c>
      <c r="H298" s="21">
        <f t="shared" ref="H298" si="975">G298/1000000</f>
        <v>3.6230112000000001</v>
      </c>
      <c r="I298" s="20">
        <f t="shared" si="817"/>
        <v>163035.50400000002</v>
      </c>
      <c r="J298" s="28">
        <v>0.113943444444444</v>
      </c>
      <c r="K298" s="20">
        <f t="shared" si="818"/>
        <v>19564.260480000001</v>
      </c>
      <c r="L298" s="17">
        <v>0.102015999999992</v>
      </c>
      <c r="M298" s="17">
        <f t="shared" ref="M298" si="976">J298+L298</f>
        <v>0.21595944444443599</v>
      </c>
      <c r="N298" s="20">
        <f t="shared" si="820"/>
        <v>0.36230112000000003</v>
      </c>
      <c r="O298" s="7">
        <f t="shared" ref="O298" si="977">H298-M298-N298</f>
        <v>3.0447506355555638</v>
      </c>
    </row>
    <row r="299" spans="1:15" x14ac:dyDescent="0.7">
      <c r="A299" s="6"/>
      <c r="B299" s="6"/>
      <c r="C299" s="6">
        <v>24</v>
      </c>
      <c r="D299" s="7">
        <v>36.563000000000002</v>
      </c>
      <c r="E299" s="4">
        <v>0</v>
      </c>
      <c r="F299" s="7">
        <v>36.563000000000002</v>
      </c>
      <c r="G299" s="15">
        <f t="shared" ref="G299" si="978">F299*86400</f>
        <v>3159043.2</v>
      </c>
      <c r="H299" s="21">
        <f t="shared" ref="H299" si="979">G299/1000000</f>
        <v>3.1590432000000002</v>
      </c>
      <c r="I299" s="20">
        <f t="shared" si="817"/>
        <v>142156.94399999999</v>
      </c>
      <c r="J299" s="28">
        <v>0.114322894444444</v>
      </c>
      <c r="K299" s="20">
        <f t="shared" si="818"/>
        <v>17058.833279999999</v>
      </c>
      <c r="L299" s="17">
        <v>0.10238653333332499</v>
      </c>
      <c r="M299" s="17">
        <f t="shared" ref="M299" si="980">J299+L299</f>
        <v>0.216709427777769</v>
      </c>
      <c r="N299" s="20">
        <f t="shared" si="820"/>
        <v>0.31590432000000002</v>
      </c>
      <c r="O299" s="7">
        <f t="shared" ref="O299" si="981">H299-M299-N299</f>
        <v>2.6264294522222311</v>
      </c>
    </row>
    <row r="300" spans="1:15" x14ac:dyDescent="0.7">
      <c r="A300" s="6"/>
      <c r="B300" s="6"/>
      <c r="C300" s="3">
        <v>25</v>
      </c>
      <c r="D300" s="7">
        <v>37.877000000000002</v>
      </c>
      <c r="E300" s="4">
        <v>0</v>
      </c>
      <c r="F300" s="7">
        <v>37.877000000000002</v>
      </c>
      <c r="G300" s="15">
        <f t="shared" ref="G300" si="982">F300*86400</f>
        <v>3272572.8000000003</v>
      </c>
      <c r="H300" s="21">
        <f t="shared" ref="H300" si="983">G300/1000000</f>
        <v>3.2725728000000003</v>
      </c>
      <c r="I300" s="20">
        <f t="shared" si="817"/>
        <v>147265.77600000001</v>
      </c>
      <c r="J300" s="28">
        <v>0.11470234444444399</v>
      </c>
      <c r="K300" s="20">
        <f t="shared" si="818"/>
        <v>17671.893120000001</v>
      </c>
      <c r="L300" s="17">
        <v>0.102757066666659</v>
      </c>
      <c r="M300" s="17">
        <f t="shared" ref="M300" si="984">J300+L300</f>
        <v>0.21745941111110301</v>
      </c>
      <c r="N300" s="20">
        <f t="shared" si="820"/>
        <v>0.32725728000000004</v>
      </c>
      <c r="O300" s="7">
        <f t="shared" ref="O300" si="985">H300-M300-N300</f>
        <v>2.7278561088888975</v>
      </c>
    </row>
    <row r="301" spans="1:15" x14ac:dyDescent="0.7">
      <c r="A301" s="6"/>
      <c r="B301" s="6"/>
      <c r="C301" s="6">
        <v>26</v>
      </c>
      <c r="D301" s="7">
        <v>37.264000000000003</v>
      </c>
      <c r="E301" s="4">
        <v>0</v>
      </c>
      <c r="F301" s="7">
        <v>37.264000000000003</v>
      </c>
      <c r="G301" s="15">
        <f t="shared" ref="G301" si="986">F301*86400</f>
        <v>3219609.6000000001</v>
      </c>
      <c r="H301" s="21">
        <f t="shared" ref="H301" si="987">G301/1000000</f>
        <v>3.2196096000000001</v>
      </c>
      <c r="I301" s="20">
        <f t="shared" si="817"/>
        <v>144882.432</v>
      </c>
      <c r="J301" s="28">
        <v>0.115081794444444</v>
      </c>
      <c r="K301" s="20">
        <f t="shared" si="818"/>
        <v>17385.89184</v>
      </c>
      <c r="L301" s="17">
        <v>0.10312759999999201</v>
      </c>
      <c r="M301" s="17">
        <f t="shared" ref="M301" si="988">J301+L301</f>
        <v>0.21820939444443599</v>
      </c>
      <c r="N301" s="20">
        <f t="shared" si="820"/>
        <v>0.32196096000000002</v>
      </c>
      <c r="O301" s="7">
        <f t="shared" ref="O301" si="989">H301-M301-N301</f>
        <v>2.6794392455555638</v>
      </c>
    </row>
    <row r="302" spans="1:15" x14ac:dyDescent="0.7">
      <c r="A302" s="6"/>
      <c r="B302" s="6"/>
      <c r="C302" s="6">
        <v>27</v>
      </c>
      <c r="D302" s="7">
        <v>37.155999999999999</v>
      </c>
      <c r="E302" s="4">
        <v>0</v>
      </c>
      <c r="F302" s="7">
        <v>37.155999999999999</v>
      </c>
      <c r="G302" s="15">
        <f t="shared" ref="G302" si="990">F302*86400</f>
        <v>3210278.4</v>
      </c>
      <c r="H302" s="21">
        <f t="shared" ref="H302" si="991">G302/1000000</f>
        <v>3.2102784</v>
      </c>
      <c r="I302" s="20">
        <f t="shared" si="817"/>
        <v>144462.52799999999</v>
      </c>
      <c r="J302" s="28">
        <v>0.115461244444444</v>
      </c>
      <c r="K302" s="20">
        <f t="shared" si="818"/>
        <v>17335.503359999999</v>
      </c>
      <c r="L302" s="17">
        <v>0.103498133333325</v>
      </c>
      <c r="M302" s="17">
        <f t="shared" ref="M302" si="992">J302+L302</f>
        <v>0.218959377777769</v>
      </c>
      <c r="N302" s="20">
        <f t="shared" si="820"/>
        <v>0.32102784000000001</v>
      </c>
      <c r="O302" s="7">
        <f t="shared" ref="O302" si="993">H302-M302-N302</f>
        <v>2.6702911822222308</v>
      </c>
    </row>
    <row r="303" spans="1:15" x14ac:dyDescent="0.7">
      <c r="A303" s="6"/>
      <c r="B303" s="6"/>
      <c r="C303" s="3">
        <v>28</v>
      </c>
      <c r="D303" s="7">
        <v>35.849000000000004</v>
      </c>
      <c r="E303" s="4">
        <v>0</v>
      </c>
      <c r="F303" s="7">
        <v>35.849000000000004</v>
      </c>
      <c r="G303" s="15">
        <f t="shared" ref="G303" si="994">F303*86400</f>
        <v>3097353.6</v>
      </c>
      <c r="H303" s="21">
        <f t="shared" ref="H303" si="995">G303/1000000</f>
        <v>3.0973535999999999</v>
      </c>
      <c r="I303" s="20">
        <f t="shared" si="817"/>
        <v>139380.91200000001</v>
      </c>
      <c r="J303" s="28">
        <v>0.115840694444444</v>
      </c>
      <c r="K303" s="20">
        <f t="shared" si="818"/>
        <v>16725.709440000002</v>
      </c>
      <c r="L303" s="17">
        <v>0.103868666666658</v>
      </c>
      <c r="M303" s="17">
        <f t="shared" ref="M303" si="996">J303+L303</f>
        <v>0.21970936111110201</v>
      </c>
      <c r="N303" s="20">
        <f t="shared" si="820"/>
        <v>0.30973536000000002</v>
      </c>
      <c r="O303" s="7">
        <f t="shared" ref="O303" si="997">H303-M303-N303</f>
        <v>2.5679088788888982</v>
      </c>
    </row>
    <row r="304" spans="1:15" x14ac:dyDescent="0.7">
      <c r="A304" s="12"/>
      <c r="B304" s="12"/>
      <c r="C304" s="12">
        <v>29</v>
      </c>
      <c r="D304" s="30">
        <v>34.56</v>
      </c>
      <c r="E304" s="4">
        <v>0</v>
      </c>
      <c r="F304" s="30">
        <v>34.56</v>
      </c>
      <c r="G304" s="31">
        <f t="shared" ref="G304:G367" si="998">F304*86400</f>
        <v>2985984</v>
      </c>
      <c r="H304" s="32">
        <f t="shared" ref="H304:H367" si="999">G304/1000000</f>
        <v>2.9859840000000002</v>
      </c>
      <c r="I304" s="20">
        <f t="shared" si="817"/>
        <v>134369.28</v>
      </c>
      <c r="J304" s="34">
        <v>0.11622014444444401</v>
      </c>
      <c r="K304" s="20">
        <f t="shared" si="818"/>
        <v>16124.313599999999</v>
      </c>
      <c r="L304" s="33">
        <v>0.104239199999992</v>
      </c>
      <c r="M304" s="33">
        <f t="shared" ref="M304:M367" si="1000">J304+L304</f>
        <v>0.22045934444443599</v>
      </c>
      <c r="N304" s="20">
        <f t="shared" si="820"/>
        <v>0.29859840000000004</v>
      </c>
      <c r="O304" s="30">
        <f t="shared" ref="O304:O367" si="1001">H304-M304-N304</f>
        <v>2.4669262555555642</v>
      </c>
    </row>
    <row r="305" spans="1:15" s="37" customFormat="1" x14ac:dyDescent="0.7">
      <c r="A305" s="6"/>
      <c r="B305" s="6"/>
      <c r="C305" s="6">
        <v>30</v>
      </c>
      <c r="D305" s="7">
        <v>34.56</v>
      </c>
      <c r="E305" s="4">
        <v>0</v>
      </c>
      <c r="F305" s="7">
        <v>34.56</v>
      </c>
      <c r="G305" s="35">
        <f t="shared" si="998"/>
        <v>2985984</v>
      </c>
      <c r="H305" s="20">
        <f t="shared" si="999"/>
        <v>2.9859840000000002</v>
      </c>
      <c r="I305" s="20">
        <f t="shared" si="817"/>
        <v>134369.28</v>
      </c>
      <c r="J305" s="28">
        <v>0.116599594444444</v>
      </c>
      <c r="K305" s="20">
        <f t="shared" si="818"/>
        <v>16124.313599999999</v>
      </c>
      <c r="L305" s="17">
        <v>0.104609733333325</v>
      </c>
      <c r="M305" s="17">
        <f t="shared" si="1000"/>
        <v>0.221209327777769</v>
      </c>
      <c r="N305" s="20">
        <f t="shared" si="820"/>
        <v>0.29859840000000004</v>
      </c>
      <c r="O305" s="7">
        <f t="shared" si="1001"/>
        <v>2.4661762722222313</v>
      </c>
    </row>
    <row r="306" spans="1:15" s="44" customFormat="1" ht="25.2" thickBot="1" x14ac:dyDescent="0.75">
      <c r="A306" s="11"/>
      <c r="B306" s="11" t="s">
        <v>24</v>
      </c>
      <c r="C306" s="11">
        <v>31</v>
      </c>
      <c r="D306" s="19">
        <v>31.506999999999998</v>
      </c>
      <c r="E306" s="19">
        <v>0</v>
      </c>
      <c r="F306" s="19">
        <v>31.506999999999998</v>
      </c>
      <c r="G306" s="26">
        <f t="shared" si="998"/>
        <v>2722204.8</v>
      </c>
      <c r="H306" s="27">
        <f t="shared" si="999"/>
        <v>2.7222047999999996</v>
      </c>
      <c r="I306" s="22">
        <f t="shared" si="817"/>
        <v>122499.21599999999</v>
      </c>
      <c r="J306" s="39">
        <v>0.116979044444444</v>
      </c>
      <c r="K306" s="22">
        <f t="shared" si="818"/>
        <v>14699.905919999997</v>
      </c>
      <c r="L306" s="38">
        <v>0.104980266666658</v>
      </c>
      <c r="M306" s="38">
        <f t="shared" si="1000"/>
        <v>0.22195931111110201</v>
      </c>
      <c r="N306" s="22">
        <f t="shared" si="820"/>
        <v>0.27222047999999999</v>
      </c>
      <c r="O306" s="19">
        <f t="shared" si="1001"/>
        <v>2.2280250088888978</v>
      </c>
    </row>
    <row r="307" spans="1:15" x14ac:dyDescent="0.7">
      <c r="A307" s="23"/>
      <c r="B307" s="23" t="s">
        <v>25</v>
      </c>
      <c r="C307" s="23">
        <v>1</v>
      </c>
      <c r="D307" s="24">
        <v>32.741</v>
      </c>
      <c r="E307" s="4">
        <v>0</v>
      </c>
      <c r="F307" s="24">
        <v>32.741</v>
      </c>
      <c r="G307" s="15">
        <f t="shared" si="998"/>
        <v>2828822.4</v>
      </c>
      <c r="H307" s="21">
        <f t="shared" si="999"/>
        <v>2.8288224</v>
      </c>
      <c r="I307" s="21">
        <f t="shared" si="817"/>
        <v>127297.00799999999</v>
      </c>
      <c r="J307" s="25">
        <v>0.117358494444444</v>
      </c>
      <c r="K307" s="21">
        <f t="shared" si="818"/>
        <v>15275.640959999997</v>
      </c>
      <c r="L307" s="16">
        <v>0.105350799999992</v>
      </c>
      <c r="M307" s="16">
        <f t="shared" si="1000"/>
        <v>0.22270929444443599</v>
      </c>
      <c r="N307" s="21">
        <f t="shared" si="820"/>
        <v>0.28288224000000001</v>
      </c>
      <c r="O307" s="4">
        <f t="shared" si="1001"/>
        <v>2.3232308655555638</v>
      </c>
    </row>
    <row r="308" spans="1:15" x14ac:dyDescent="0.7">
      <c r="A308" s="6"/>
      <c r="B308" s="6"/>
      <c r="C308" s="6">
        <v>2</v>
      </c>
      <c r="D308" s="7">
        <v>31.506999999999998</v>
      </c>
      <c r="E308" s="4">
        <v>0</v>
      </c>
      <c r="F308" s="7">
        <v>31.506999999999998</v>
      </c>
      <c r="G308" s="15">
        <f t="shared" si="998"/>
        <v>2722204.8</v>
      </c>
      <c r="H308" s="21">
        <f t="shared" si="999"/>
        <v>2.7222047999999996</v>
      </c>
      <c r="I308" s="20">
        <f t="shared" si="817"/>
        <v>122499.21599999999</v>
      </c>
      <c r="J308" s="28">
        <v>0.11773794444444401</v>
      </c>
      <c r="K308" s="20">
        <f t="shared" si="818"/>
        <v>14699.905919999997</v>
      </c>
      <c r="L308" s="17">
        <v>0.10572133333332499</v>
      </c>
      <c r="M308" s="17">
        <f t="shared" si="1000"/>
        <v>0.223459277777769</v>
      </c>
      <c r="N308" s="20">
        <f t="shared" si="820"/>
        <v>0.27222047999999999</v>
      </c>
      <c r="O308" s="7">
        <f t="shared" si="1001"/>
        <v>2.2265250422222307</v>
      </c>
    </row>
    <row r="309" spans="1:15" x14ac:dyDescent="0.7">
      <c r="A309" s="6"/>
      <c r="B309" s="6"/>
      <c r="C309" s="6">
        <v>3</v>
      </c>
      <c r="D309" s="7">
        <v>30.293999999999997</v>
      </c>
      <c r="E309" s="4">
        <v>0</v>
      </c>
      <c r="F309" s="7">
        <v>30.293999999999997</v>
      </c>
      <c r="G309" s="15">
        <f t="shared" si="998"/>
        <v>2617401.5999999996</v>
      </c>
      <c r="H309" s="21">
        <f t="shared" si="999"/>
        <v>2.6174015999999996</v>
      </c>
      <c r="I309" s="20">
        <f t="shared" si="817"/>
        <v>117783.07199999999</v>
      </c>
      <c r="J309" s="28">
        <v>0.118117394444444</v>
      </c>
      <c r="K309" s="20">
        <f t="shared" si="818"/>
        <v>14133.968639999997</v>
      </c>
      <c r="L309" s="17">
        <v>0.106091866666658</v>
      </c>
      <c r="M309" s="17">
        <f t="shared" si="1000"/>
        <v>0.22420926111110201</v>
      </c>
      <c r="N309" s="20">
        <f t="shared" si="820"/>
        <v>0.26174015999999994</v>
      </c>
      <c r="O309" s="7">
        <f t="shared" si="1001"/>
        <v>2.1314521788888974</v>
      </c>
    </row>
    <row r="310" spans="1:15" x14ac:dyDescent="0.7">
      <c r="A310" s="6"/>
      <c r="B310" s="6"/>
      <c r="C310" s="3">
        <v>4</v>
      </c>
      <c r="D310" s="7">
        <v>28.279999999999998</v>
      </c>
      <c r="E310" s="4">
        <v>0</v>
      </c>
      <c r="F310" s="7">
        <v>28.279999999999998</v>
      </c>
      <c r="G310" s="15">
        <f t="shared" si="998"/>
        <v>2443392</v>
      </c>
      <c r="H310" s="21">
        <f t="shared" si="999"/>
        <v>2.4433919999999998</v>
      </c>
      <c r="I310" s="20">
        <f t="shared" si="817"/>
        <v>109952.64</v>
      </c>
      <c r="J310" s="28">
        <v>0.118496844444444</v>
      </c>
      <c r="K310" s="20">
        <f t="shared" si="818"/>
        <v>13194.316799999999</v>
      </c>
      <c r="L310" s="17">
        <v>0.10646239999999201</v>
      </c>
      <c r="M310" s="17">
        <f t="shared" si="1000"/>
        <v>0.22495924444443599</v>
      </c>
      <c r="N310" s="20">
        <f t="shared" si="820"/>
        <v>0.24433919999999998</v>
      </c>
      <c r="O310" s="7">
        <f t="shared" si="1001"/>
        <v>1.9740935555555639</v>
      </c>
    </row>
    <row r="311" spans="1:15" x14ac:dyDescent="0.7">
      <c r="A311" s="6"/>
      <c r="B311" s="6"/>
      <c r="C311" s="6">
        <v>5</v>
      </c>
      <c r="D311" s="7">
        <v>28.279999999999998</v>
      </c>
      <c r="E311" s="4">
        <v>0</v>
      </c>
      <c r="F311" s="7">
        <v>28.279999999999998</v>
      </c>
      <c r="G311" s="15">
        <f t="shared" si="998"/>
        <v>2443392</v>
      </c>
      <c r="H311" s="21">
        <f t="shared" si="999"/>
        <v>2.4433919999999998</v>
      </c>
      <c r="I311" s="20">
        <f t="shared" si="817"/>
        <v>109952.64</v>
      </c>
      <c r="J311" s="28">
        <v>0.118876294444444</v>
      </c>
      <c r="K311" s="20">
        <f t="shared" si="818"/>
        <v>13194.316799999999</v>
      </c>
      <c r="L311" s="17">
        <v>0.106832933333325</v>
      </c>
      <c r="M311" s="17">
        <f t="shared" si="1000"/>
        <v>0.225709227777769</v>
      </c>
      <c r="N311" s="20">
        <f t="shared" si="820"/>
        <v>0.24433919999999998</v>
      </c>
      <c r="O311" s="7">
        <f t="shared" si="1001"/>
        <v>1.973343572222231</v>
      </c>
    </row>
    <row r="312" spans="1:15" x14ac:dyDescent="0.7">
      <c r="A312" s="6"/>
      <c r="B312" s="6"/>
      <c r="C312" s="6">
        <v>6</v>
      </c>
      <c r="D312" s="7">
        <v>28.279999999999998</v>
      </c>
      <c r="E312" s="4">
        <v>49</v>
      </c>
      <c r="F312" s="7">
        <v>28.279999999999998</v>
      </c>
      <c r="G312" s="15">
        <f t="shared" si="998"/>
        <v>2443392</v>
      </c>
      <c r="H312" s="21">
        <f t="shared" si="999"/>
        <v>2.4433919999999998</v>
      </c>
      <c r="I312" s="20">
        <f t="shared" si="817"/>
        <v>109952.64</v>
      </c>
      <c r="J312" s="28">
        <v>0.11925574444444401</v>
      </c>
      <c r="K312" s="20">
        <f t="shared" si="818"/>
        <v>13194.316799999999</v>
      </c>
      <c r="L312" s="17">
        <v>0.107203466666658</v>
      </c>
      <c r="M312" s="17">
        <f t="shared" si="1000"/>
        <v>0.22645921111110201</v>
      </c>
      <c r="N312" s="20">
        <f t="shared" si="820"/>
        <v>0.24433919999999998</v>
      </c>
      <c r="O312" s="7">
        <f t="shared" si="1001"/>
        <v>1.9725935888888977</v>
      </c>
    </row>
    <row r="313" spans="1:15" x14ac:dyDescent="0.7">
      <c r="A313" s="6"/>
      <c r="B313" s="6"/>
      <c r="C313" s="3">
        <v>7</v>
      </c>
      <c r="D313" s="7">
        <v>28.89</v>
      </c>
      <c r="E313" s="4">
        <v>0.5</v>
      </c>
      <c r="F313" s="7">
        <v>28.89</v>
      </c>
      <c r="G313" s="15">
        <f t="shared" si="998"/>
        <v>2496096</v>
      </c>
      <c r="H313" s="21">
        <f t="shared" si="999"/>
        <v>2.4960960000000001</v>
      </c>
      <c r="I313" s="20">
        <f t="shared" si="817"/>
        <v>112324.31999999999</v>
      </c>
      <c r="J313" s="28">
        <v>0.119635194444444</v>
      </c>
      <c r="K313" s="20">
        <f t="shared" si="818"/>
        <v>13478.918399999999</v>
      </c>
      <c r="L313" s="17">
        <v>0.107573999999991</v>
      </c>
      <c r="M313" s="17">
        <f t="shared" si="1000"/>
        <v>0.22720919444443499</v>
      </c>
      <c r="N313" s="20">
        <f t="shared" si="820"/>
        <v>0.24960960000000001</v>
      </c>
      <c r="O313" s="7">
        <f t="shared" si="1001"/>
        <v>2.0192772055555652</v>
      </c>
    </row>
    <row r="314" spans="1:15" x14ac:dyDescent="0.7">
      <c r="A314" s="6"/>
      <c r="B314" s="6"/>
      <c r="C314" s="6">
        <v>8</v>
      </c>
      <c r="D314" s="7">
        <v>30.103000000000002</v>
      </c>
      <c r="E314" s="4">
        <v>0</v>
      </c>
      <c r="F314" s="7">
        <v>30.103000000000002</v>
      </c>
      <c r="G314" s="15">
        <f t="shared" si="998"/>
        <v>2600899.2000000002</v>
      </c>
      <c r="H314" s="21">
        <f t="shared" si="999"/>
        <v>2.6008992000000002</v>
      </c>
      <c r="I314" s="20">
        <f t="shared" si="817"/>
        <v>117040.46400000001</v>
      </c>
      <c r="J314" s="28">
        <v>0.120014644444444</v>
      </c>
      <c r="K314" s="20">
        <f t="shared" si="818"/>
        <v>14044.855680000001</v>
      </c>
      <c r="L314" s="17">
        <v>0.107944533333325</v>
      </c>
      <c r="M314" s="17">
        <f t="shared" si="1000"/>
        <v>0.227959177777769</v>
      </c>
      <c r="N314" s="20">
        <f t="shared" si="820"/>
        <v>0.26008992000000003</v>
      </c>
      <c r="O314" s="7">
        <f t="shared" si="1001"/>
        <v>2.112850102222231</v>
      </c>
    </row>
    <row r="315" spans="1:15" x14ac:dyDescent="0.7">
      <c r="A315" s="6"/>
      <c r="B315" s="6"/>
      <c r="C315" s="6">
        <v>9</v>
      </c>
      <c r="D315" s="7">
        <v>32.238999999999997</v>
      </c>
      <c r="E315" s="4">
        <v>0</v>
      </c>
      <c r="F315" s="7">
        <v>32.238999999999997</v>
      </c>
      <c r="G315" s="15">
        <f t="shared" si="998"/>
        <v>2785449.5999999996</v>
      </c>
      <c r="H315" s="21">
        <f t="shared" si="999"/>
        <v>2.7854495999999997</v>
      </c>
      <c r="I315" s="20">
        <f t="shared" si="817"/>
        <v>125345.23199999997</v>
      </c>
      <c r="J315" s="28">
        <v>0.120394094444444</v>
      </c>
      <c r="K315" s="20">
        <f t="shared" si="818"/>
        <v>15041.427839999997</v>
      </c>
      <c r="L315" s="17">
        <v>0.10831506666665799</v>
      </c>
      <c r="M315" s="17">
        <f t="shared" si="1000"/>
        <v>0.22870916111110201</v>
      </c>
      <c r="N315" s="20">
        <f t="shared" si="820"/>
        <v>0.27854496000000001</v>
      </c>
      <c r="O315" s="7">
        <f t="shared" si="1001"/>
        <v>2.2781954788888976</v>
      </c>
    </row>
    <row r="316" spans="1:15" x14ac:dyDescent="0.7">
      <c r="A316" s="6"/>
      <c r="B316" s="6"/>
      <c r="C316" s="3">
        <v>10</v>
      </c>
      <c r="D316" s="7">
        <v>31.106000000000002</v>
      </c>
      <c r="E316" s="4">
        <v>0</v>
      </c>
      <c r="F316" s="7">
        <v>31.106000000000002</v>
      </c>
      <c r="G316" s="15">
        <f t="shared" si="998"/>
        <v>2687558.4000000004</v>
      </c>
      <c r="H316" s="21">
        <f t="shared" si="999"/>
        <v>2.6875584000000003</v>
      </c>
      <c r="I316" s="20">
        <f t="shared" si="817"/>
        <v>120940.12800000001</v>
      </c>
      <c r="J316" s="28">
        <v>0.12077354444444401</v>
      </c>
      <c r="K316" s="20">
        <f t="shared" si="818"/>
        <v>14512.815360000001</v>
      </c>
      <c r="L316" s="17">
        <v>0.108685599999991</v>
      </c>
      <c r="M316" s="17">
        <f t="shared" si="1000"/>
        <v>0.22945914444443499</v>
      </c>
      <c r="N316" s="20">
        <f t="shared" si="820"/>
        <v>0.26875584000000002</v>
      </c>
      <c r="O316" s="7">
        <f t="shared" si="1001"/>
        <v>2.1893434155555656</v>
      </c>
    </row>
    <row r="317" spans="1:15" x14ac:dyDescent="0.7">
      <c r="A317" s="6"/>
      <c r="B317" s="6"/>
      <c r="C317" s="6">
        <v>11</v>
      </c>
      <c r="D317" s="7">
        <v>31.247</v>
      </c>
      <c r="E317" s="4">
        <v>0</v>
      </c>
      <c r="F317" s="7">
        <v>31.247</v>
      </c>
      <c r="G317" s="15">
        <f t="shared" si="998"/>
        <v>2699740.8</v>
      </c>
      <c r="H317" s="21">
        <f t="shared" si="999"/>
        <v>2.6997407999999998</v>
      </c>
      <c r="I317" s="20">
        <f t="shared" si="817"/>
        <v>121488.33599999998</v>
      </c>
      <c r="J317" s="28">
        <v>0.121152994444444</v>
      </c>
      <c r="K317" s="20">
        <f t="shared" si="818"/>
        <v>14578.600319999998</v>
      </c>
      <c r="L317" s="17">
        <v>0.10905613333332501</v>
      </c>
      <c r="M317" s="17">
        <f t="shared" si="1000"/>
        <v>0.230209127777769</v>
      </c>
      <c r="N317" s="20">
        <f t="shared" si="820"/>
        <v>0.26997408000000001</v>
      </c>
      <c r="O317" s="7">
        <f t="shared" si="1001"/>
        <v>2.1995575922222308</v>
      </c>
    </row>
    <row r="318" spans="1:15" x14ac:dyDescent="0.7">
      <c r="A318" s="6"/>
      <c r="B318" s="6"/>
      <c r="C318" s="6">
        <v>12</v>
      </c>
      <c r="D318" s="7">
        <v>31.247</v>
      </c>
      <c r="E318" s="4">
        <v>0</v>
      </c>
      <c r="F318" s="7">
        <v>31.247</v>
      </c>
      <c r="G318" s="15">
        <f t="shared" si="998"/>
        <v>2699740.8</v>
      </c>
      <c r="H318" s="21">
        <f t="shared" si="999"/>
        <v>2.6997407999999998</v>
      </c>
      <c r="I318" s="20">
        <f t="shared" si="817"/>
        <v>121488.33599999998</v>
      </c>
      <c r="J318" s="28">
        <v>0.121532444444444</v>
      </c>
      <c r="K318" s="20">
        <f t="shared" si="818"/>
        <v>14578.600319999998</v>
      </c>
      <c r="L318" s="17">
        <v>0.109426666666658</v>
      </c>
      <c r="M318" s="17">
        <f t="shared" si="1000"/>
        <v>0.23095911111110201</v>
      </c>
      <c r="N318" s="20">
        <f t="shared" si="820"/>
        <v>0.26997408000000001</v>
      </c>
      <c r="O318" s="7">
        <f t="shared" si="1001"/>
        <v>2.1988076088888979</v>
      </c>
    </row>
    <row r="319" spans="1:15" x14ac:dyDescent="0.7">
      <c r="A319" s="6"/>
      <c r="B319" s="6"/>
      <c r="C319" s="3">
        <v>13</v>
      </c>
      <c r="D319" s="7">
        <v>31.247</v>
      </c>
      <c r="E319" s="4">
        <v>0</v>
      </c>
      <c r="F319" s="7">
        <v>31.247</v>
      </c>
      <c r="G319" s="15">
        <f t="shared" si="998"/>
        <v>2699740.8</v>
      </c>
      <c r="H319" s="21">
        <f t="shared" si="999"/>
        <v>2.6997407999999998</v>
      </c>
      <c r="I319" s="20">
        <f t="shared" si="817"/>
        <v>121488.33599999998</v>
      </c>
      <c r="J319" s="28">
        <v>0.121911894444444</v>
      </c>
      <c r="K319" s="20">
        <f t="shared" si="818"/>
        <v>14578.600319999998</v>
      </c>
      <c r="L319" s="17">
        <v>0.109797199999991</v>
      </c>
      <c r="M319" s="17">
        <f t="shared" si="1000"/>
        <v>0.23170909444443499</v>
      </c>
      <c r="N319" s="20">
        <f t="shared" si="820"/>
        <v>0.26997408000000001</v>
      </c>
      <c r="O319" s="7">
        <f t="shared" si="1001"/>
        <v>2.1980576255555651</v>
      </c>
    </row>
    <row r="320" spans="1:15" x14ac:dyDescent="0.7">
      <c r="A320" s="6"/>
      <c r="B320" s="6"/>
      <c r="C320" s="6">
        <v>14</v>
      </c>
      <c r="D320" s="7">
        <v>30.026</v>
      </c>
      <c r="E320" s="4">
        <v>0</v>
      </c>
      <c r="F320" s="7">
        <v>30.026</v>
      </c>
      <c r="G320" s="15">
        <f t="shared" si="998"/>
        <v>2594246.4</v>
      </c>
      <c r="H320" s="21">
        <f t="shared" si="999"/>
        <v>2.5942463999999998</v>
      </c>
      <c r="I320" s="20">
        <f t="shared" si="817"/>
        <v>116741.08799999999</v>
      </c>
      <c r="J320" s="28">
        <v>0.12229134444444401</v>
      </c>
      <c r="K320" s="20">
        <f t="shared" si="818"/>
        <v>14008.930559999999</v>
      </c>
      <c r="L320" s="17">
        <v>0.110167733333324</v>
      </c>
      <c r="M320" s="17">
        <f t="shared" si="1000"/>
        <v>0.232459077777768</v>
      </c>
      <c r="N320" s="20">
        <f t="shared" si="820"/>
        <v>0.25942463999999998</v>
      </c>
      <c r="O320" s="7">
        <f t="shared" si="1001"/>
        <v>2.1023626822222319</v>
      </c>
    </row>
    <row r="321" spans="1:15" x14ac:dyDescent="0.7">
      <c r="A321" s="6"/>
      <c r="B321" s="6"/>
      <c r="C321" s="6">
        <v>15</v>
      </c>
      <c r="D321" s="7">
        <v>28.824000000000002</v>
      </c>
      <c r="E321" s="4">
        <v>0</v>
      </c>
      <c r="F321" s="7">
        <v>28.824000000000002</v>
      </c>
      <c r="G321" s="15">
        <f t="shared" si="998"/>
        <v>2490393.6000000001</v>
      </c>
      <c r="H321" s="21">
        <f t="shared" si="999"/>
        <v>2.4903936</v>
      </c>
      <c r="I321" s="20">
        <f t="shared" si="817"/>
        <v>112067.712</v>
      </c>
      <c r="J321" s="28">
        <v>0.122670794444444</v>
      </c>
      <c r="K321" s="20">
        <f t="shared" si="818"/>
        <v>13448.12544</v>
      </c>
      <c r="L321" s="17">
        <v>0.110538266666658</v>
      </c>
      <c r="M321" s="17">
        <f t="shared" si="1000"/>
        <v>0.23320906111110201</v>
      </c>
      <c r="N321" s="20">
        <f t="shared" si="820"/>
        <v>0.24903936000000002</v>
      </c>
      <c r="O321" s="7">
        <f t="shared" si="1001"/>
        <v>2.0081451788888982</v>
      </c>
    </row>
    <row r="322" spans="1:15" x14ac:dyDescent="0.7">
      <c r="A322" s="6"/>
      <c r="B322" s="6"/>
      <c r="C322" s="3">
        <v>16</v>
      </c>
      <c r="D322" s="7">
        <v>28.824000000000002</v>
      </c>
      <c r="E322" s="4">
        <v>0</v>
      </c>
      <c r="F322" s="7">
        <v>28.824000000000002</v>
      </c>
      <c r="G322" s="15">
        <f t="shared" si="998"/>
        <v>2490393.6000000001</v>
      </c>
      <c r="H322" s="21">
        <f t="shared" si="999"/>
        <v>2.4903936</v>
      </c>
      <c r="I322" s="20">
        <f t="shared" si="817"/>
        <v>112067.712</v>
      </c>
      <c r="J322" s="28">
        <v>0.123050244444444</v>
      </c>
      <c r="K322" s="20">
        <f t="shared" si="818"/>
        <v>13448.12544</v>
      </c>
      <c r="L322" s="17">
        <v>0.110908799999991</v>
      </c>
      <c r="M322" s="17">
        <f t="shared" si="1000"/>
        <v>0.23395904444443499</v>
      </c>
      <c r="N322" s="20">
        <f t="shared" si="820"/>
        <v>0.24903936000000002</v>
      </c>
      <c r="O322" s="7">
        <f t="shared" si="1001"/>
        <v>2.0073951955555653</v>
      </c>
    </row>
    <row r="323" spans="1:15" x14ac:dyDescent="0.7">
      <c r="A323" s="6"/>
      <c r="B323" s="6"/>
      <c r="C323" s="6">
        <v>17</v>
      </c>
      <c r="D323" s="7">
        <v>28.864000000000001</v>
      </c>
      <c r="E323" s="4">
        <v>0</v>
      </c>
      <c r="F323" s="7">
        <v>28.864000000000001</v>
      </c>
      <c r="G323" s="15">
        <f t="shared" si="998"/>
        <v>2493849.6000000001</v>
      </c>
      <c r="H323" s="21">
        <f t="shared" si="999"/>
        <v>2.4938495999999999</v>
      </c>
      <c r="I323" s="20">
        <f t="shared" ref="I323:I367" si="1002">H323*1000000*0.045</f>
        <v>112223.232</v>
      </c>
      <c r="J323" s="28">
        <v>0.123429694444444</v>
      </c>
      <c r="K323" s="20">
        <f t="shared" ref="K323:K367" si="1003">I323*0.12</f>
        <v>13466.787839999999</v>
      </c>
      <c r="L323" s="17">
        <v>0.111279333333324</v>
      </c>
      <c r="M323" s="17">
        <f t="shared" si="1000"/>
        <v>0.234709027777768</v>
      </c>
      <c r="N323" s="20">
        <f t="shared" ref="N323:N367" si="1004">H323*0.1</f>
        <v>0.24938495999999999</v>
      </c>
      <c r="O323" s="7">
        <f t="shared" si="1001"/>
        <v>2.0097556122222318</v>
      </c>
    </row>
    <row r="324" spans="1:15" x14ac:dyDescent="0.7">
      <c r="A324" s="6"/>
      <c r="B324" s="6"/>
      <c r="C324" s="6">
        <v>18</v>
      </c>
      <c r="D324" s="7">
        <v>27.747</v>
      </c>
      <c r="E324" s="4">
        <v>0</v>
      </c>
      <c r="F324" s="7">
        <v>27.747</v>
      </c>
      <c r="G324" s="15">
        <f t="shared" si="998"/>
        <v>2397340.7999999998</v>
      </c>
      <c r="H324" s="21">
        <f t="shared" si="999"/>
        <v>2.3973407999999998</v>
      </c>
      <c r="I324" s="20">
        <f t="shared" si="1002"/>
        <v>107880.33599999998</v>
      </c>
      <c r="J324" s="28">
        <v>0.12380914444444401</v>
      </c>
      <c r="K324" s="20">
        <f t="shared" si="1003"/>
        <v>12945.640319999997</v>
      </c>
      <c r="L324" s="17">
        <v>0.11164986666665799</v>
      </c>
      <c r="M324" s="17">
        <f t="shared" si="1000"/>
        <v>0.23545901111110201</v>
      </c>
      <c r="N324" s="20">
        <f t="shared" si="1004"/>
        <v>0.23973407999999999</v>
      </c>
      <c r="O324" s="7">
        <f t="shared" si="1001"/>
        <v>1.9221477088888979</v>
      </c>
    </row>
    <row r="325" spans="1:15" x14ac:dyDescent="0.7">
      <c r="A325" s="6"/>
      <c r="B325" s="6"/>
      <c r="C325" s="3">
        <v>19</v>
      </c>
      <c r="D325" s="7">
        <v>26.572000000000003</v>
      </c>
      <c r="E325" s="4">
        <v>0</v>
      </c>
      <c r="F325" s="7">
        <v>26.572000000000003</v>
      </c>
      <c r="G325" s="15">
        <f t="shared" si="998"/>
        <v>2295820.8000000003</v>
      </c>
      <c r="H325" s="21">
        <f t="shared" si="999"/>
        <v>2.2958208000000004</v>
      </c>
      <c r="I325" s="20">
        <f t="shared" si="1002"/>
        <v>103311.936</v>
      </c>
      <c r="J325" s="28">
        <v>0.12418859444444399</v>
      </c>
      <c r="K325" s="20">
        <f t="shared" si="1003"/>
        <v>12397.43232</v>
      </c>
      <c r="L325" s="17">
        <v>0.112020399999991</v>
      </c>
      <c r="M325" s="17">
        <f t="shared" si="1000"/>
        <v>0.23620899444443499</v>
      </c>
      <c r="N325" s="20">
        <f t="shared" si="1004"/>
        <v>0.22958208000000005</v>
      </c>
      <c r="O325" s="7">
        <f t="shared" si="1001"/>
        <v>1.8300297255555655</v>
      </c>
    </row>
    <row r="326" spans="1:15" x14ac:dyDescent="0.7">
      <c r="A326" s="6"/>
      <c r="B326" s="6"/>
      <c r="C326" s="6">
        <v>20</v>
      </c>
      <c r="D326" s="7">
        <v>26.572000000000003</v>
      </c>
      <c r="E326" s="4">
        <v>0</v>
      </c>
      <c r="F326" s="7">
        <v>26.572000000000003</v>
      </c>
      <c r="G326" s="15">
        <f t="shared" si="998"/>
        <v>2295820.8000000003</v>
      </c>
      <c r="H326" s="21">
        <f t="shared" si="999"/>
        <v>2.2958208000000004</v>
      </c>
      <c r="I326" s="20">
        <f t="shared" si="1002"/>
        <v>103311.936</v>
      </c>
      <c r="J326" s="28">
        <v>0.124568044444444</v>
      </c>
      <c r="K326" s="20">
        <f t="shared" si="1003"/>
        <v>12397.43232</v>
      </c>
      <c r="L326" s="17">
        <v>0.11239093333332401</v>
      </c>
      <c r="M326" s="17">
        <f t="shared" si="1000"/>
        <v>0.236958977777768</v>
      </c>
      <c r="N326" s="20">
        <f t="shared" si="1004"/>
        <v>0.22958208000000005</v>
      </c>
      <c r="O326" s="7">
        <f t="shared" si="1001"/>
        <v>1.8292797422222322</v>
      </c>
    </row>
    <row r="327" spans="1:15" x14ac:dyDescent="0.7">
      <c r="A327" s="6"/>
      <c r="B327" s="6"/>
      <c r="C327" s="6">
        <v>21</v>
      </c>
      <c r="D327" s="7">
        <v>26.572000000000003</v>
      </c>
      <c r="E327" s="4">
        <v>0</v>
      </c>
      <c r="F327" s="7">
        <v>26.572000000000003</v>
      </c>
      <c r="G327" s="15">
        <f t="shared" si="998"/>
        <v>2295820.8000000003</v>
      </c>
      <c r="H327" s="21">
        <f t="shared" si="999"/>
        <v>2.2958208000000004</v>
      </c>
      <c r="I327" s="20">
        <f t="shared" si="1002"/>
        <v>103311.936</v>
      </c>
      <c r="J327" s="28">
        <v>0.124947494444444</v>
      </c>
      <c r="K327" s="20">
        <f t="shared" si="1003"/>
        <v>12397.43232</v>
      </c>
      <c r="L327" s="17">
        <v>0.112761466666658</v>
      </c>
      <c r="M327" s="17">
        <f t="shared" si="1000"/>
        <v>0.23770896111110201</v>
      </c>
      <c r="N327" s="20">
        <f t="shared" si="1004"/>
        <v>0.22958208000000005</v>
      </c>
      <c r="O327" s="7">
        <f t="shared" si="1001"/>
        <v>1.8285297588888985</v>
      </c>
    </row>
    <row r="328" spans="1:15" x14ac:dyDescent="0.7">
      <c r="A328" s="6"/>
      <c r="B328" s="6"/>
      <c r="C328" s="3">
        <v>22</v>
      </c>
      <c r="D328" s="7">
        <v>25.416</v>
      </c>
      <c r="E328" s="4">
        <v>0</v>
      </c>
      <c r="F328" s="7">
        <v>25.416</v>
      </c>
      <c r="G328" s="15">
        <f t="shared" si="998"/>
        <v>2195942.3999999999</v>
      </c>
      <c r="H328" s="21">
        <f t="shared" si="999"/>
        <v>2.1959423999999999</v>
      </c>
      <c r="I328" s="20">
        <f t="shared" si="1002"/>
        <v>98817.407999999996</v>
      </c>
      <c r="J328" s="28">
        <v>0.12532694444444401</v>
      </c>
      <c r="K328" s="20">
        <f t="shared" si="1003"/>
        <v>11858.088959999999</v>
      </c>
      <c r="L328" s="17">
        <v>0.113131999999991</v>
      </c>
      <c r="M328" s="17">
        <f t="shared" si="1000"/>
        <v>0.23845894444443499</v>
      </c>
      <c r="N328" s="20">
        <f t="shared" si="1004"/>
        <v>0.21959424</v>
      </c>
      <c r="O328" s="7">
        <f t="shared" si="1001"/>
        <v>1.737889215555565</v>
      </c>
    </row>
    <row r="329" spans="1:15" x14ac:dyDescent="0.7">
      <c r="A329" s="6"/>
      <c r="B329" s="6"/>
      <c r="C329" s="6">
        <v>23</v>
      </c>
      <c r="D329" s="7">
        <v>24.282999999999998</v>
      </c>
      <c r="E329" s="4">
        <v>0</v>
      </c>
      <c r="F329" s="7">
        <v>24.282999999999998</v>
      </c>
      <c r="G329" s="15">
        <f t="shared" si="998"/>
        <v>2098051.1999999997</v>
      </c>
      <c r="H329" s="21">
        <f t="shared" si="999"/>
        <v>2.0980511999999996</v>
      </c>
      <c r="I329" s="20">
        <f t="shared" si="1002"/>
        <v>94412.303999999989</v>
      </c>
      <c r="J329" s="28">
        <v>0.12570639444444401</v>
      </c>
      <c r="K329" s="20">
        <f t="shared" si="1003"/>
        <v>11329.476479999998</v>
      </c>
      <c r="L329" s="17">
        <v>0.113502533333324</v>
      </c>
      <c r="M329" s="17">
        <f t="shared" si="1000"/>
        <v>0.239208927777768</v>
      </c>
      <c r="N329" s="20">
        <f t="shared" si="1004"/>
        <v>0.20980511999999996</v>
      </c>
      <c r="O329" s="7">
        <f t="shared" si="1001"/>
        <v>1.6490371522222316</v>
      </c>
    </row>
    <row r="330" spans="1:15" x14ac:dyDescent="0.7">
      <c r="A330" s="6"/>
      <c r="B330" s="6"/>
      <c r="C330" s="6">
        <v>24</v>
      </c>
      <c r="D330" s="7">
        <v>24.282999999999998</v>
      </c>
      <c r="E330" s="4">
        <v>0</v>
      </c>
      <c r="F330" s="7">
        <v>24.282999999999998</v>
      </c>
      <c r="G330" s="15">
        <f t="shared" si="998"/>
        <v>2098051.1999999997</v>
      </c>
      <c r="H330" s="21">
        <f t="shared" si="999"/>
        <v>2.0980511999999996</v>
      </c>
      <c r="I330" s="20">
        <f t="shared" si="1002"/>
        <v>94412.303999999989</v>
      </c>
      <c r="J330" s="28">
        <v>0.12608584444444401</v>
      </c>
      <c r="K330" s="20">
        <f t="shared" si="1003"/>
        <v>11329.476479999998</v>
      </c>
      <c r="L330" s="17">
        <v>0.113873066666657</v>
      </c>
      <c r="M330" s="17">
        <f t="shared" si="1000"/>
        <v>0.23995891111110101</v>
      </c>
      <c r="N330" s="20">
        <f t="shared" si="1004"/>
        <v>0.20980511999999996</v>
      </c>
      <c r="O330" s="7">
        <f t="shared" si="1001"/>
        <v>1.6482871688888987</v>
      </c>
    </row>
    <row r="331" spans="1:15" x14ac:dyDescent="0.7">
      <c r="A331" s="6"/>
      <c r="B331" s="6"/>
      <c r="C331" s="3">
        <v>25</v>
      </c>
      <c r="D331" s="7">
        <v>23.049999999999997</v>
      </c>
      <c r="E331" s="4">
        <v>0</v>
      </c>
      <c r="F331" s="7">
        <v>23.049999999999997</v>
      </c>
      <c r="G331" s="15">
        <f t="shared" si="998"/>
        <v>1991519.9999999998</v>
      </c>
      <c r="H331" s="21">
        <f t="shared" si="999"/>
        <v>1.9915199999999997</v>
      </c>
      <c r="I331" s="20">
        <f t="shared" si="1002"/>
        <v>89618.39999999998</v>
      </c>
      <c r="J331" s="28">
        <v>0.12646529444444399</v>
      </c>
      <c r="K331" s="20">
        <f t="shared" si="1003"/>
        <v>10754.207999999997</v>
      </c>
      <c r="L331" s="17">
        <v>0.11424359999999099</v>
      </c>
      <c r="M331" s="17">
        <f t="shared" si="1000"/>
        <v>0.240708894444435</v>
      </c>
      <c r="N331" s="20">
        <f t="shared" si="1004"/>
        <v>0.199152</v>
      </c>
      <c r="O331" s="7">
        <f t="shared" si="1001"/>
        <v>1.5516591055555649</v>
      </c>
    </row>
    <row r="332" spans="1:15" x14ac:dyDescent="0.7">
      <c r="A332" s="6"/>
      <c r="B332" s="6"/>
      <c r="C332" s="6">
        <v>26</v>
      </c>
      <c r="D332" s="7">
        <v>21.957000000000001</v>
      </c>
      <c r="E332" s="4">
        <v>0</v>
      </c>
      <c r="F332" s="7">
        <v>21.957000000000001</v>
      </c>
      <c r="G332" s="15">
        <f t="shared" si="998"/>
        <v>1897084.8</v>
      </c>
      <c r="H332" s="21">
        <f t="shared" si="999"/>
        <v>1.8970848</v>
      </c>
      <c r="I332" s="20">
        <f t="shared" si="1002"/>
        <v>85368.816000000006</v>
      </c>
      <c r="J332" s="28">
        <v>0.12684474444444399</v>
      </c>
      <c r="K332" s="20">
        <f t="shared" si="1003"/>
        <v>10244.25792</v>
      </c>
      <c r="L332" s="17">
        <v>0.114614133333324</v>
      </c>
      <c r="M332" s="17">
        <f t="shared" si="1000"/>
        <v>0.24145887777776798</v>
      </c>
      <c r="N332" s="20">
        <f t="shared" si="1004"/>
        <v>0.18970848000000001</v>
      </c>
      <c r="O332" s="7">
        <f t="shared" si="1001"/>
        <v>1.4659174422222321</v>
      </c>
    </row>
    <row r="333" spans="1:15" x14ac:dyDescent="0.7">
      <c r="A333" s="6"/>
      <c r="B333" s="6"/>
      <c r="C333" s="6">
        <v>27</v>
      </c>
      <c r="D333" s="7">
        <v>21.957000000000001</v>
      </c>
      <c r="E333" s="4">
        <v>0</v>
      </c>
      <c r="F333" s="7">
        <v>21.957000000000001</v>
      </c>
      <c r="G333" s="15">
        <f t="shared" si="998"/>
        <v>1897084.8</v>
      </c>
      <c r="H333" s="21">
        <f t="shared" si="999"/>
        <v>1.8970848</v>
      </c>
      <c r="I333" s="20">
        <f t="shared" si="1002"/>
        <v>85368.816000000006</v>
      </c>
      <c r="J333" s="28">
        <v>0.12722419444444399</v>
      </c>
      <c r="K333" s="20">
        <f t="shared" si="1003"/>
        <v>10244.25792</v>
      </c>
      <c r="L333" s="17">
        <v>0.11498466666665701</v>
      </c>
      <c r="M333" s="17">
        <f t="shared" si="1000"/>
        <v>0.24220886111110101</v>
      </c>
      <c r="N333" s="20">
        <f t="shared" si="1004"/>
        <v>0.18970848000000001</v>
      </c>
      <c r="O333" s="7">
        <f t="shared" si="1001"/>
        <v>1.465167458888899</v>
      </c>
    </row>
    <row r="334" spans="1:15" x14ac:dyDescent="0.7">
      <c r="A334" s="12"/>
      <c r="B334" s="12"/>
      <c r="C334" s="43">
        <v>28</v>
      </c>
      <c r="D334" s="30">
        <v>23.184999999999999</v>
      </c>
      <c r="E334" s="4">
        <v>0</v>
      </c>
      <c r="F334" s="30">
        <v>23.184999999999999</v>
      </c>
      <c r="G334" s="31">
        <f t="shared" si="998"/>
        <v>2003184</v>
      </c>
      <c r="H334" s="32">
        <f t="shared" si="999"/>
        <v>2.0031840000000001</v>
      </c>
      <c r="I334" s="20">
        <f t="shared" si="1002"/>
        <v>90143.28</v>
      </c>
      <c r="J334" s="34">
        <v>0.127603644444444</v>
      </c>
      <c r="K334" s="20">
        <f t="shared" si="1003"/>
        <v>10817.193599999999</v>
      </c>
      <c r="L334" s="33">
        <v>0.115355199999991</v>
      </c>
      <c r="M334" s="33">
        <f t="shared" si="1000"/>
        <v>0.242958844444435</v>
      </c>
      <c r="N334" s="20">
        <f t="shared" si="1004"/>
        <v>0.20031840000000001</v>
      </c>
      <c r="O334" s="30">
        <f t="shared" si="1001"/>
        <v>1.559906755555565</v>
      </c>
    </row>
    <row r="335" spans="1:15" s="37" customFormat="1" x14ac:dyDescent="0.7">
      <c r="A335" s="6"/>
      <c r="B335" s="6"/>
      <c r="C335" s="6">
        <v>29</v>
      </c>
      <c r="D335" s="7">
        <v>23.184999999999999</v>
      </c>
      <c r="E335" s="4">
        <v>0</v>
      </c>
      <c r="F335" s="7">
        <v>23.184999999999999</v>
      </c>
      <c r="G335" s="35">
        <f t="shared" si="998"/>
        <v>2003184</v>
      </c>
      <c r="H335" s="20">
        <f t="shared" si="999"/>
        <v>2.0031840000000001</v>
      </c>
      <c r="I335" s="20">
        <f t="shared" si="1002"/>
        <v>90143.28</v>
      </c>
      <c r="J335" s="28">
        <v>0.127983094444444</v>
      </c>
      <c r="K335" s="20">
        <f t="shared" si="1003"/>
        <v>10817.193599999999</v>
      </c>
      <c r="L335" s="17">
        <v>0.115725733333324</v>
      </c>
      <c r="M335" s="17">
        <f t="shared" si="1000"/>
        <v>0.24370882777776801</v>
      </c>
      <c r="N335" s="20">
        <f t="shared" si="1004"/>
        <v>0.20031840000000001</v>
      </c>
      <c r="O335" s="7">
        <f t="shared" si="1001"/>
        <v>1.5591567722222321</v>
      </c>
    </row>
    <row r="336" spans="1:15" s="13" customFormat="1" ht="25.2" thickBot="1" x14ac:dyDescent="0.75">
      <c r="A336" s="11"/>
      <c r="B336" s="11" t="s">
        <v>25</v>
      </c>
      <c r="C336" s="11">
        <v>30</v>
      </c>
      <c r="D336" s="19">
        <v>22.096999999999998</v>
      </c>
      <c r="E336" s="19">
        <v>0</v>
      </c>
      <c r="F336" s="19">
        <v>22.096999999999998</v>
      </c>
      <c r="G336" s="26">
        <f t="shared" si="998"/>
        <v>1909180.7999999998</v>
      </c>
      <c r="H336" s="27">
        <f t="shared" si="999"/>
        <v>1.9091807999999999</v>
      </c>
      <c r="I336" s="22">
        <f t="shared" si="1002"/>
        <v>85913.135999999984</v>
      </c>
      <c r="J336" s="39">
        <v>0.128362544444444</v>
      </c>
      <c r="K336" s="22">
        <f t="shared" si="1003"/>
        <v>10309.576319999998</v>
      </c>
      <c r="L336" s="38">
        <v>0.116096266666657</v>
      </c>
      <c r="M336" s="38">
        <f t="shared" si="1000"/>
        <v>0.24445881111110102</v>
      </c>
      <c r="N336" s="22">
        <f t="shared" si="1004"/>
        <v>0.19091807999999999</v>
      </c>
      <c r="O336" s="19">
        <f t="shared" si="1001"/>
        <v>1.473803908888899</v>
      </c>
    </row>
    <row r="337" spans="1:15" x14ac:dyDescent="0.7">
      <c r="A337" s="5"/>
      <c r="B337" s="3" t="s">
        <v>26</v>
      </c>
      <c r="C337" s="3">
        <v>1</v>
      </c>
      <c r="D337" s="4">
        <v>22.096999999999998</v>
      </c>
      <c r="E337" s="4">
        <v>0</v>
      </c>
      <c r="F337" s="4">
        <v>22.096999999999998</v>
      </c>
      <c r="G337" s="15">
        <f t="shared" si="998"/>
        <v>1909180.7999999998</v>
      </c>
      <c r="H337" s="21">
        <f t="shared" si="999"/>
        <v>1.9091807999999999</v>
      </c>
      <c r="I337" s="21">
        <f t="shared" si="1002"/>
        <v>85913.135999999984</v>
      </c>
      <c r="J337" s="25">
        <v>0.12874199444444401</v>
      </c>
      <c r="K337" s="21">
        <f t="shared" si="1003"/>
        <v>10309.576319999998</v>
      </c>
      <c r="L337" s="16">
        <v>0.116466799999991</v>
      </c>
      <c r="M337" s="16">
        <f t="shared" si="1000"/>
        <v>0.245208794444435</v>
      </c>
      <c r="N337" s="21">
        <f t="shared" si="1004"/>
        <v>0.19091807999999999</v>
      </c>
      <c r="O337" s="4">
        <f t="shared" si="1001"/>
        <v>1.4730539255555648</v>
      </c>
    </row>
    <row r="338" spans="1:15" x14ac:dyDescent="0.7">
      <c r="A338" s="8"/>
      <c r="B338" s="6"/>
      <c r="C338" s="6">
        <v>2</v>
      </c>
      <c r="D338" s="7">
        <v>22.082999999999998</v>
      </c>
      <c r="E338" s="4">
        <v>0</v>
      </c>
      <c r="F338" s="7">
        <v>22.082999999999998</v>
      </c>
      <c r="G338" s="15">
        <f t="shared" si="998"/>
        <v>1907971.2</v>
      </c>
      <c r="H338" s="21">
        <f t="shared" si="999"/>
        <v>1.9079712</v>
      </c>
      <c r="I338" s="20">
        <f t="shared" si="1002"/>
        <v>85858.703999999998</v>
      </c>
      <c r="J338" s="28">
        <v>0.12912144444444401</v>
      </c>
      <c r="K338" s="20">
        <f t="shared" si="1003"/>
        <v>10303.044479999999</v>
      </c>
      <c r="L338" s="17">
        <v>0.11683733333332399</v>
      </c>
      <c r="M338" s="17">
        <f t="shared" si="1000"/>
        <v>0.24595877777776801</v>
      </c>
      <c r="N338" s="20">
        <f t="shared" si="1004"/>
        <v>0.19079712000000001</v>
      </c>
      <c r="O338" s="7">
        <f t="shared" si="1001"/>
        <v>1.4712153022222318</v>
      </c>
    </row>
    <row r="339" spans="1:15" x14ac:dyDescent="0.7">
      <c r="A339" s="8"/>
      <c r="B339" s="6"/>
      <c r="C339" s="6">
        <v>3</v>
      </c>
      <c r="D339" s="7">
        <v>22.082999999999998</v>
      </c>
      <c r="E339" s="4">
        <v>0</v>
      </c>
      <c r="F339" s="7">
        <v>22.082999999999998</v>
      </c>
      <c r="G339" s="15">
        <f t="shared" si="998"/>
        <v>1907971.2</v>
      </c>
      <c r="H339" s="21">
        <f t="shared" si="999"/>
        <v>1.9079712</v>
      </c>
      <c r="I339" s="20">
        <f t="shared" si="1002"/>
        <v>85858.703999999998</v>
      </c>
      <c r="J339" s="28">
        <v>0.12950089444444399</v>
      </c>
      <c r="K339" s="20">
        <f t="shared" si="1003"/>
        <v>10303.044479999999</v>
      </c>
      <c r="L339" s="17">
        <v>0.117207866666657</v>
      </c>
      <c r="M339" s="17">
        <f t="shared" si="1000"/>
        <v>0.24670876111110099</v>
      </c>
      <c r="N339" s="20">
        <f t="shared" si="1004"/>
        <v>0.19079712000000001</v>
      </c>
      <c r="O339" s="7">
        <f t="shared" si="1001"/>
        <v>1.470465318888899</v>
      </c>
    </row>
    <row r="340" spans="1:15" x14ac:dyDescent="0.7">
      <c r="A340" s="8"/>
      <c r="B340" s="6"/>
      <c r="C340" s="6">
        <v>4</v>
      </c>
      <c r="D340" s="7">
        <v>21.016999999999999</v>
      </c>
      <c r="E340" s="4">
        <v>0</v>
      </c>
      <c r="F340" s="7">
        <v>21.016999999999999</v>
      </c>
      <c r="G340" s="15">
        <f t="shared" si="998"/>
        <v>1815868.8</v>
      </c>
      <c r="H340" s="21">
        <f t="shared" si="999"/>
        <v>1.8158688000000001</v>
      </c>
      <c r="I340" s="20">
        <f t="shared" si="1002"/>
        <v>81714.096000000005</v>
      </c>
      <c r="J340" s="28">
        <v>0.12988034444444399</v>
      </c>
      <c r="K340" s="20">
        <f t="shared" si="1003"/>
        <v>9805.6915200000003</v>
      </c>
      <c r="L340" s="17">
        <v>0.11757839999998999</v>
      </c>
      <c r="M340" s="17">
        <f t="shared" si="1000"/>
        <v>0.247458744444434</v>
      </c>
      <c r="N340" s="20">
        <f t="shared" si="1004"/>
        <v>0.18158688000000001</v>
      </c>
      <c r="O340" s="7">
        <f t="shared" si="1001"/>
        <v>1.386823175555566</v>
      </c>
    </row>
    <row r="341" spans="1:15" x14ac:dyDescent="0.7">
      <c r="A341" s="8"/>
      <c r="B341" s="6"/>
      <c r="C341" s="6">
        <v>5</v>
      </c>
      <c r="D341" s="7">
        <v>20.702000000000002</v>
      </c>
      <c r="E341" s="4">
        <v>0</v>
      </c>
      <c r="F341" s="7">
        <v>20.702000000000002</v>
      </c>
      <c r="G341" s="15">
        <f t="shared" si="998"/>
        <v>1788652.8</v>
      </c>
      <c r="H341" s="21">
        <f t="shared" si="999"/>
        <v>1.7886528000000002</v>
      </c>
      <c r="I341" s="20">
        <f t="shared" si="1002"/>
        <v>80489.376000000004</v>
      </c>
      <c r="J341" s="28">
        <v>0.13025979444444399</v>
      </c>
      <c r="K341" s="20">
        <f t="shared" si="1003"/>
        <v>9658.725120000001</v>
      </c>
      <c r="L341" s="17">
        <v>0.117948933333324</v>
      </c>
      <c r="M341" s="17">
        <f t="shared" si="1000"/>
        <v>0.24820872777776798</v>
      </c>
      <c r="N341" s="20">
        <f t="shared" si="1004"/>
        <v>0.17886528000000002</v>
      </c>
      <c r="O341" s="7">
        <f t="shared" si="1001"/>
        <v>1.361578792222232</v>
      </c>
    </row>
    <row r="342" spans="1:15" x14ac:dyDescent="0.7">
      <c r="A342" s="8"/>
      <c r="B342" s="6"/>
      <c r="C342" s="6">
        <v>6</v>
      </c>
      <c r="D342" s="7">
        <v>20.493000000000002</v>
      </c>
      <c r="E342" s="4">
        <v>0</v>
      </c>
      <c r="F342" s="7">
        <v>20.493000000000002</v>
      </c>
      <c r="G342" s="15">
        <f t="shared" si="998"/>
        <v>1770595.2000000002</v>
      </c>
      <c r="H342" s="21">
        <f t="shared" si="999"/>
        <v>1.7705952000000003</v>
      </c>
      <c r="I342" s="20">
        <f t="shared" si="1002"/>
        <v>79676.784</v>
      </c>
      <c r="J342" s="28">
        <v>0.130639244444444</v>
      </c>
      <c r="K342" s="20">
        <f t="shared" si="1003"/>
        <v>9561.2140799999997</v>
      </c>
      <c r="L342" s="17">
        <v>0.11831946666665701</v>
      </c>
      <c r="M342" s="17">
        <f t="shared" si="1000"/>
        <v>0.24895871111110102</v>
      </c>
      <c r="N342" s="20">
        <f t="shared" si="1004"/>
        <v>0.17705952000000003</v>
      </c>
      <c r="O342" s="7">
        <f t="shared" si="1001"/>
        <v>1.3445769688888991</v>
      </c>
    </row>
    <row r="343" spans="1:15" x14ac:dyDescent="0.7">
      <c r="A343" s="8"/>
      <c r="B343" s="6"/>
      <c r="C343" s="6">
        <v>7</v>
      </c>
      <c r="D343" s="7">
        <v>20.22</v>
      </c>
      <c r="E343" s="4">
        <v>0</v>
      </c>
      <c r="F343" s="7">
        <v>20.22</v>
      </c>
      <c r="G343" s="15">
        <f t="shared" si="998"/>
        <v>1747008</v>
      </c>
      <c r="H343" s="21">
        <f t="shared" si="999"/>
        <v>1.7470079999999999</v>
      </c>
      <c r="I343" s="20">
        <f t="shared" si="1002"/>
        <v>78615.360000000001</v>
      </c>
      <c r="J343" s="28">
        <v>0.131018694444444</v>
      </c>
      <c r="K343" s="20">
        <f t="shared" si="1003"/>
        <v>9433.8431999999993</v>
      </c>
      <c r="L343" s="17">
        <v>0.11868999999999</v>
      </c>
      <c r="M343" s="17">
        <f t="shared" si="1000"/>
        <v>0.249708694444434</v>
      </c>
      <c r="N343" s="20">
        <f t="shared" si="1004"/>
        <v>0.17470079999999999</v>
      </c>
      <c r="O343" s="7">
        <f t="shared" si="1001"/>
        <v>1.322598505555566</v>
      </c>
    </row>
    <row r="344" spans="1:15" x14ac:dyDescent="0.7">
      <c r="A344" s="8"/>
      <c r="B344" s="6"/>
      <c r="C344" s="6">
        <v>8</v>
      </c>
      <c r="D344" s="7">
        <v>19.774999999999999</v>
      </c>
      <c r="E344" s="4">
        <v>0</v>
      </c>
      <c r="F344" s="7">
        <v>19.774999999999999</v>
      </c>
      <c r="G344" s="15">
        <f t="shared" si="998"/>
        <v>1708559.9999999998</v>
      </c>
      <c r="H344" s="21">
        <f t="shared" si="999"/>
        <v>1.7085599999999999</v>
      </c>
      <c r="I344" s="20">
        <f t="shared" si="1002"/>
        <v>76885.199999999983</v>
      </c>
      <c r="J344" s="28">
        <v>0.131398144444444</v>
      </c>
      <c r="K344" s="20">
        <f t="shared" si="1003"/>
        <v>9226.2239999999983</v>
      </c>
      <c r="L344" s="17">
        <v>0.119060533333324</v>
      </c>
      <c r="M344" s="17">
        <f t="shared" si="1000"/>
        <v>0.25045867777776798</v>
      </c>
      <c r="N344" s="20">
        <f t="shared" si="1004"/>
        <v>0.17085600000000001</v>
      </c>
      <c r="O344" s="7">
        <f t="shared" si="1001"/>
        <v>1.287245322222232</v>
      </c>
    </row>
    <row r="345" spans="1:15" x14ac:dyDescent="0.7">
      <c r="A345" s="8"/>
      <c r="B345" s="6"/>
      <c r="C345" s="6">
        <v>9</v>
      </c>
      <c r="D345" s="7">
        <v>19.677</v>
      </c>
      <c r="E345" s="4">
        <v>0</v>
      </c>
      <c r="F345" s="7">
        <v>19.677</v>
      </c>
      <c r="G345" s="15">
        <f t="shared" si="998"/>
        <v>1700092.8</v>
      </c>
      <c r="H345" s="21">
        <f t="shared" si="999"/>
        <v>1.7000928</v>
      </c>
      <c r="I345" s="20">
        <f t="shared" si="1002"/>
        <v>76504.175999999992</v>
      </c>
      <c r="J345" s="28">
        <v>0.13177759444444401</v>
      </c>
      <c r="K345" s="20">
        <f t="shared" si="1003"/>
        <v>9180.501119999999</v>
      </c>
      <c r="L345" s="17">
        <v>0.119431066666657</v>
      </c>
      <c r="M345" s="17">
        <f t="shared" si="1000"/>
        <v>0.25120866111110102</v>
      </c>
      <c r="N345" s="20">
        <f t="shared" si="1004"/>
        <v>0.17000928000000001</v>
      </c>
      <c r="O345" s="7">
        <f t="shared" si="1001"/>
        <v>1.278874858888899</v>
      </c>
    </row>
    <row r="346" spans="1:15" x14ac:dyDescent="0.7">
      <c r="A346" s="8"/>
      <c r="B346" s="6"/>
      <c r="C346" s="6">
        <v>10</v>
      </c>
      <c r="D346" s="7">
        <v>18.867999999999999</v>
      </c>
      <c r="E346" s="4">
        <v>0</v>
      </c>
      <c r="F346" s="7">
        <v>18.867999999999999</v>
      </c>
      <c r="G346" s="15">
        <f t="shared" si="998"/>
        <v>1630195.2</v>
      </c>
      <c r="H346" s="21">
        <f t="shared" si="999"/>
        <v>1.6301952</v>
      </c>
      <c r="I346" s="20">
        <f t="shared" si="1002"/>
        <v>73358.784</v>
      </c>
      <c r="J346" s="28">
        <v>0.13215704444444401</v>
      </c>
      <c r="K346" s="20">
        <f t="shared" si="1003"/>
        <v>8803.0540799999999</v>
      </c>
      <c r="L346" s="17">
        <v>0.11980159999999</v>
      </c>
      <c r="M346" s="17">
        <f t="shared" si="1000"/>
        <v>0.251958644444434</v>
      </c>
      <c r="N346" s="20">
        <f t="shared" si="1004"/>
        <v>0.16301952</v>
      </c>
      <c r="O346" s="7">
        <f t="shared" si="1001"/>
        <v>1.215217035555566</v>
      </c>
    </row>
    <row r="347" spans="1:15" x14ac:dyDescent="0.7">
      <c r="A347" s="8"/>
      <c r="B347" s="6"/>
      <c r="C347" s="6">
        <v>11</v>
      </c>
      <c r="D347" s="7">
        <v>17.898</v>
      </c>
      <c r="E347" s="4">
        <v>0</v>
      </c>
      <c r="F347" s="7">
        <v>17.898</v>
      </c>
      <c r="G347" s="15">
        <f t="shared" si="998"/>
        <v>1546387.2</v>
      </c>
      <c r="H347" s="21">
        <f t="shared" si="999"/>
        <v>1.5463871999999999</v>
      </c>
      <c r="I347" s="20">
        <f t="shared" si="1002"/>
        <v>69587.423999999999</v>
      </c>
      <c r="J347" s="28">
        <v>0.13253649444444399</v>
      </c>
      <c r="K347" s="20">
        <f t="shared" si="1003"/>
        <v>8350.4908799999994</v>
      </c>
      <c r="L347" s="17">
        <v>0.12017213333332399</v>
      </c>
      <c r="M347" s="17">
        <f t="shared" si="1000"/>
        <v>0.25270862777776798</v>
      </c>
      <c r="N347" s="20">
        <f t="shared" si="1004"/>
        <v>0.15463872000000001</v>
      </c>
      <c r="O347" s="7">
        <f t="shared" si="1001"/>
        <v>1.1390398522222318</v>
      </c>
    </row>
    <row r="348" spans="1:15" x14ac:dyDescent="0.7">
      <c r="A348" s="8"/>
      <c r="B348" s="6"/>
      <c r="C348" s="6">
        <v>12</v>
      </c>
      <c r="D348" s="7">
        <v>16.04</v>
      </c>
      <c r="E348" s="4">
        <v>0</v>
      </c>
      <c r="F348" s="7">
        <v>16.04</v>
      </c>
      <c r="G348" s="15">
        <f t="shared" si="998"/>
        <v>1385856</v>
      </c>
      <c r="H348" s="21">
        <f t="shared" si="999"/>
        <v>1.385856</v>
      </c>
      <c r="I348" s="20">
        <f t="shared" si="1002"/>
        <v>62363.519999999997</v>
      </c>
      <c r="J348" s="28">
        <v>0.13291594444444399</v>
      </c>
      <c r="K348" s="20">
        <f t="shared" si="1003"/>
        <v>7483.6223999999993</v>
      </c>
      <c r="L348" s="17">
        <v>0.120542666666657</v>
      </c>
      <c r="M348" s="17">
        <f t="shared" si="1000"/>
        <v>0.25345861111110102</v>
      </c>
      <c r="N348" s="20">
        <f t="shared" si="1004"/>
        <v>0.1385856</v>
      </c>
      <c r="O348" s="7">
        <f t="shared" si="1001"/>
        <v>0.99381178888889898</v>
      </c>
    </row>
    <row r="349" spans="1:15" x14ac:dyDescent="0.7">
      <c r="A349" s="8"/>
      <c r="B349" s="6"/>
      <c r="C349" s="6">
        <v>13</v>
      </c>
      <c r="D349" s="7">
        <v>14.814</v>
      </c>
      <c r="E349" s="4">
        <v>0</v>
      </c>
      <c r="F349" s="7">
        <v>14.814</v>
      </c>
      <c r="G349" s="15">
        <f t="shared" si="998"/>
        <v>1279929.6000000001</v>
      </c>
      <c r="H349" s="21">
        <f t="shared" si="999"/>
        <v>1.2799296</v>
      </c>
      <c r="I349" s="20">
        <f t="shared" si="1002"/>
        <v>57596.832000000002</v>
      </c>
      <c r="J349" s="28">
        <v>0.13329539444444399</v>
      </c>
      <c r="K349" s="20">
        <f t="shared" si="1003"/>
        <v>6911.6198400000003</v>
      </c>
      <c r="L349" s="17">
        <v>0.12091319999999001</v>
      </c>
      <c r="M349" s="17">
        <f t="shared" si="1000"/>
        <v>0.254208594444434</v>
      </c>
      <c r="N349" s="20">
        <f t="shared" si="1004"/>
        <v>0.12799296000000002</v>
      </c>
      <c r="O349" s="7">
        <f t="shared" si="1001"/>
        <v>0.89772804555556607</v>
      </c>
    </row>
    <row r="350" spans="1:15" x14ac:dyDescent="0.7">
      <c r="A350" s="8"/>
      <c r="B350" s="6"/>
      <c r="C350" s="6">
        <v>14</v>
      </c>
      <c r="D350" s="7">
        <v>14.814</v>
      </c>
      <c r="E350" s="4">
        <v>0</v>
      </c>
      <c r="F350" s="7">
        <v>14.814</v>
      </c>
      <c r="G350" s="15">
        <f t="shared" si="998"/>
        <v>1279929.6000000001</v>
      </c>
      <c r="H350" s="21">
        <f t="shared" si="999"/>
        <v>1.2799296</v>
      </c>
      <c r="I350" s="20">
        <f t="shared" si="1002"/>
        <v>57596.832000000002</v>
      </c>
      <c r="J350" s="28">
        <v>0.133674844444444</v>
      </c>
      <c r="K350" s="20">
        <f t="shared" si="1003"/>
        <v>6911.6198400000003</v>
      </c>
      <c r="L350" s="17">
        <v>0.121283733333323</v>
      </c>
      <c r="M350" s="17">
        <f t="shared" si="1000"/>
        <v>0.25495857777776698</v>
      </c>
      <c r="N350" s="20">
        <f t="shared" si="1004"/>
        <v>0.12799296000000002</v>
      </c>
      <c r="O350" s="7">
        <f t="shared" si="1001"/>
        <v>0.89697806222223297</v>
      </c>
    </row>
    <row r="351" spans="1:15" x14ac:dyDescent="0.7">
      <c r="A351" s="8"/>
      <c r="B351" s="6"/>
      <c r="C351" s="6">
        <v>15</v>
      </c>
      <c r="D351" s="7">
        <v>14.814</v>
      </c>
      <c r="E351" s="4">
        <v>0</v>
      </c>
      <c r="F351" s="7">
        <v>14.814</v>
      </c>
      <c r="G351" s="15">
        <f t="shared" si="998"/>
        <v>1279929.6000000001</v>
      </c>
      <c r="H351" s="21">
        <f t="shared" si="999"/>
        <v>1.2799296</v>
      </c>
      <c r="I351" s="20">
        <f t="shared" si="1002"/>
        <v>57596.832000000002</v>
      </c>
      <c r="J351" s="28">
        <v>0.134054294444444</v>
      </c>
      <c r="K351" s="20">
        <f t="shared" si="1003"/>
        <v>6911.6198400000003</v>
      </c>
      <c r="L351" s="17">
        <v>0.121654266666657</v>
      </c>
      <c r="M351" s="17">
        <f t="shared" si="1000"/>
        <v>0.25570856111110102</v>
      </c>
      <c r="N351" s="20">
        <f t="shared" si="1004"/>
        <v>0.12799296000000002</v>
      </c>
      <c r="O351" s="7">
        <f t="shared" si="1001"/>
        <v>0.89622807888889899</v>
      </c>
    </row>
    <row r="352" spans="1:15" x14ac:dyDescent="0.7">
      <c r="A352" s="8"/>
      <c r="B352" s="6"/>
      <c r="C352" s="6">
        <v>16</v>
      </c>
      <c r="D352" s="7">
        <v>14.742000000000001</v>
      </c>
      <c r="E352" s="4">
        <v>0</v>
      </c>
      <c r="F352" s="7">
        <v>14.742000000000001</v>
      </c>
      <c r="G352" s="15">
        <f t="shared" si="998"/>
        <v>1273708.8</v>
      </c>
      <c r="H352" s="21">
        <f t="shared" si="999"/>
        <v>1.2737088000000001</v>
      </c>
      <c r="I352" s="20">
        <f t="shared" si="1002"/>
        <v>57316.896000000001</v>
      </c>
      <c r="J352" s="28">
        <v>0.134433744444444</v>
      </c>
      <c r="K352" s="20">
        <f t="shared" si="1003"/>
        <v>6878.0275199999996</v>
      </c>
      <c r="L352" s="17">
        <v>0.12202479999999</v>
      </c>
      <c r="M352" s="17">
        <f t="shared" si="1000"/>
        <v>0.256458544444434</v>
      </c>
      <c r="N352" s="20">
        <f t="shared" si="1004"/>
        <v>0.12737088000000002</v>
      </c>
      <c r="O352" s="7">
        <f t="shared" si="1001"/>
        <v>0.88987937555556607</v>
      </c>
    </row>
    <row r="353" spans="1:15" x14ac:dyDescent="0.7">
      <c r="A353" s="8"/>
      <c r="B353" s="6"/>
      <c r="C353" s="6">
        <v>17</v>
      </c>
      <c r="D353" s="7">
        <v>14.358000000000001</v>
      </c>
      <c r="E353" s="4">
        <v>0</v>
      </c>
      <c r="F353" s="7">
        <v>14.358000000000001</v>
      </c>
      <c r="G353" s="15">
        <f t="shared" si="998"/>
        <v>1240531.2</v>
      </c>
      <c r="H353" s="21">
        <f t="shared" si="999"/>
        <v>1.2405311999999999</v>
      </c>
      <c r="I353" s="20">
        <f t="shared" si="1002"/>
        <v>55823.903999999995</v>
      </c>
      <c r="J353" s="28">
        <v>0.13481319444444401</v>
      </c>
      <c r="K353" s="20">
        <f t="shared" si="1003"/>
        <v>6698.8684799999992</v>
      </c>
      <c r="L353" s="17">
        <v>0.122395333333323</v>
      </c>
      <c r="M353" s="17">
        <f t="shared" si="1000"/>
        <v>0.25720852777776704</v>
      </c>
      <c r="N353" s="20">
        <f t="shared" si="1004"/>
        <v>0.12405312</v>
      </c>
      <c r="O353" s="7">
        <f t="shared" si="1001"/>
        <v>0.85926955222223289</v>
      </c>
    </row>
    <row r="354" spans="1:15" x14ac:dyDescent="0.7">
      <c r="A354" s="8"/>
      <c r="B354" s="6"/>
      <c r="C354" s="6">
        <v>18</v>
      </c>
      <c r="D354" s="7">
        <v>14.355</v>
      </c>
      <c r="E354" s="4">
        <v>0</v>
      </c>
      <c r="F354" s="7">
        <v>14.355</v>
      </c>
      <c r="G354" s="15">
        <f t="shared" si="998"/>
        <v>1240272</v>
      </c>
      <c r="H354" s="21">
        <f t="shared" si="999"/>
        <v>1.240272</v>
      </c>
      <c r="I354" s="20">
        <f t="shared" si="1002"/>
        <v>55812.24</v>
      </c>
      <c r="J354" s="28">
        <v>0.13519264444444401</v>
      </c>
      <c r="K354" s="20">
        <f t="shared" si="1003"/>
        <v>6697.4687999999996</v>
      </c>
      <c r="L354" s="17">
        <v>0.12276586666665699</v>
      </c>
      <c r="M354" s="17">
        <f t="shared" si="1000"/>
        <v>0.25795851111110102</v>
      </c>
      <c r="N354" s="20">
        <f t="shared" si="1004"/>
        <v>0.1240272</v>
      </c>
      <c r="O354" s="7">
        <f t="shared" si="1001"/>
        <v>0.85828628888889902</v>
      </c>
    </row>
    <row r="355" spans="1:15" x14ac:dyDescent="0.7">
      <c r="A355" s="8"/>
      <c r="B355" s="6"/>
      <c r="C355" s="6">
        <v>19</v>
      </c>
      <c r="D355" s="7">
        <v>13.608000000000001</v>
      </c>
      <c r="E355" s="4">
        <v>0</v>
      </c>
      <c r="F355" s="7">
        <v>13.608000000000001</v>
      </c>
      <c r="G355" s="15">
        <f t="shared" si="998"/>
        <v>1175731.2</v>
      </c>
      <c r="H355" s="21">
        <f t="shared" si="999"/>
        <v>1.1757312</v>
      </c>
      <c r="I355" s="20">
        <f t="shared" si="1002"/>
        <v>52907.903999999995</v>
      </c>
      <c r="J355" s="28">
        <v>0.13557209444444401</v>
      </c>
      <c r="K355" s="20">
        <f t="shared" si="1003"/>
        <v>6348.9484799999991</v>
      </c>
      <c r="L355" s="17">
        <v>0.12313639999999</v>
      </c>
      <c r="M355" s="17">
        <f t="shared" si="1000"/>
        <v>0.258708494444434</v>
      </c>
      <c r="N355" s="20">
        <f t="shared" si="1004"/>
        <v>0.11757312</v>
      </c>
      <c r="O355" s="7">
        <f t="shared" si="1001"/>
        <v>0.799449585555566</v>
      </c>
    </row>
    <row r="356" spans="1:15" x14ac:dyDescent="0.7">
      <c r="A356" s="8"/>
      <c r="B356" s="6"/>
      <c r="C356" s="6">
        <v>20</v>
      </c>
      <c r="D356" s="7">
        <v>13.248999999999999</v>
      </c>
      <c r="E356" s="4">
        <v>0</v>
      </c>
      <c r="F356" s="7">
        <v>13.248999999999999</v>
      </c>
      <c r="G356" s="15">
        <f t="shared" si="998"/>
        <v>1144713.5999999999</v>
      </c>
      <c r="H356" s="21">
        <f t="shared" si="999"/>
        <v>1.1447135999999998</v>
      </c>
      <c r="I356" s="20">
        <f t="shared" si="1002"/>
        <v>51512.111999999994</v>
      </c>
      <c r="J356" s="28">
        <v>0.13595154444444399</v>
      </c>
      <c r="K356" s="20">
        <f t="shared" si="1003"/>
        <v>6181.4534399999993</v>
      </c>
      <c r="L356" s="17">
        <v>0.12350693333332299</v>
      </c>
      <c r="M356" s="17">
        <f t="shared" si="1000"/>
        <v>0.25945847777776698</v>
      </c>
      <c r="N356" s="20">
        <f t="shared" si="1004"/>
        <v>0.11447135999999998</v>
      </c>
      <c r="O356" s="7">
        <f t="shared" si="1001"/>
        <v>0.77078376222223277</v>
      </c>
    </row>
    <row r="357" spans="1:15" x14ac:dyDescent="0.7">
      <c r="A357" s="8"/>
      <c r="B357" s="6"/>
      <c r="C357" s="6">
        <v>21</v>
      </c>
      <c r="D357" s="7">
        <v>13.248999999999999</v>
      </c>
      <c r="E357" s="4">
        <v>0</v>
      </c>
      <c r="F357" s="7">
        <v>13.248999999999999</v>
      </c>
      <c r="G357" s="15">
        <f t="shared" si="998"/>
        <v>1144713.5999999999</v>
      </c>
      <c r="H357" s="21">
        <f t="shared" si="999"/>
        <v>1.1447135999999998</v>
      </c>
      <c r="I357" s="20">
        <f t="shared" si="1002"/>
        <v>51512.111999999994</v>
      </c>
      <c r="J357" s="28">
        <v>0.13633099444444399</v>
      </c>
      <c r="K357" s="20">
        <f t="shared" si="1003"/>
        <v>6181.4534399999993</v>
      </c>
      <c r="L357" s="17">
        <v>0.123877466666657</v>
      </c>
      <c r="M357" s="17">
        <f t="shared" si="1000"/>
        <v>0.26020846111110096</v>
      </c>
      <c r="N357" s="20">
        <f t="shared" si="1004"/>
        <v>0.11447135999999998</v>
      </c>
      <c r="O357" s="7">
        <f t="shared" si="1001"/>
        <v>0.77003377888889879</v>
      </c>
    </row>
    <row r="358" spans="1:15" x14ac:dyDescent="0.7">
      <c r="A358" s="8"/>
      <c r="B358" s="6"/>
      <c r="C358" s="6">
        <v>22</v>
      </c>
      <c r="D358" s="7">
        <v>13.3</v>
      </c>
      <c r="E358" s="4">
        <v>0</v>
      </c>
      <c r="F358" s="7">
        <v>13.3</v>
      </c>
      <c r="G358" s="15">
        <f t="shared" si="998"/>
        <v>1149120</v>
      </c>
      <c r="H358" s="21">
        <f t="shared" si="999"/>
        <v>1.1491199999999999</v>
      </c>
      <c r="I358" s="20">
        <f t="shared" si="1002"/>
        <v>51710.400000000001</v>
      </c>
      <c r="J358" s="28">
        <v>0.136710444444444</v>
      </c>
      <c r="K358" s="20">
        <f t="shared" si="1003"/>
        <v>6205.2479999999996</v>
      </c>
      <c r="L358" s="17">
        <v>0.12424799999999001</v>
      </c>
      <c r="M358" s="17">
        <f t="shared" si="1000"/>
        <v>0.260958444444434</v>
      </c>
      <c r="N358" s="20">
        <f t="shared" si="1004"/>
        <v>0.114912</v>
      </c>
      <c r="O358" s="7">
        <f t="shared" si="1001"/>
        <v>0.77324955555556596</v>
      </c>
    </row>
    <row r="359" spans="1:15" x14ac:dyDescent="0.7">
      <c r="A359" s="8"/>
      <c r="B359" s="6"/>
      <c r="C359" s="6">
        <v>23</v>
      </c>
      <c r="D359" s="7">
        <v>13.68</v>
      </c>
      <c r="E359" s="4">
        <v>0</v>
      </c>
      <c r="F359" s="7">
        <v>13.68</v>
      </c>
      <c r="G359" s="15">
        <f t="shared" si="998"/>
        <v>1181952</v>
      </c>
      <c r="H359" s="21">
        <f t="shared" si="999"/>
        <v>1.1819519999999999</v>
      </c>
      <c r="I359" s="20">
        <f t="shared" si="1002"/>
        <v>53187.839999999997</v>
      </c>
      <c r="J359" s="28">
        <v>0.137089894444444</v>
      </c>
      <c r="K359" s="20">
        <f t="shared" si="1003"/>
        <v>6382.5407999999998</v>
      </c>
      <c r="L359" s="17">
        <v>0.124618533333323</v>
      </c>
      <c r="M359" s="17">
        <f t="shared" si="1000"/>
        <v>0.26170842777776698</v>
      </c>
      <c r="N359" s="20">
        <f t="shared" si="1004"/>
        <v>0.1181952</v>
      </c>
      <c r="O359" s="7">
        <f t="shared" si="1001"/>
        <v>0.80204837222223291</v>
      </c>
    </row>
    <row r="360" spans="1:15" x14ac:dyDescent="0.7">
      <c r="A360" s="8"/>
      <c r="B360" s="6"/>
      <c r="C360" s="6">
        <v>24</v>
      </c>
      <c r="D360" s="7">
        <v>13.373000000000001</v>
      </c>
      <c r="E360" s="4">
        <v>0</v>
      </c>
      <c r="F360" s="7">
        <v>13.373000000000001</v>
      </c>
      <c r="G360" s="15">
        <f t="shared" si="998"/>
        <v>1155427.2000000002</v>
      </c>
      <c r="H360" s="21">
        <f t="shared" si="999"/>
        <v>1.1554272000000001</v>
      </c>
      <c r="I360" s="20">
        <f t="shared" si="1002"/>
        <v>51994.224000000009</v>
      </c>
      <c r="J360" s="28">
        <v>0.137469344444444</v>
      </c>
      <c r="K360" s="20">
        <f t="shared" si="1003"/>
        <v>6239.306880000001</v>
      </c>
      <c r="L360" s="17">
        <v>0.124989066666656</v>
      </c>
      <c r="M360" s="17">
        <f t="shared" si="1000"/>
        <v>0.26245841111110002</v>
      </c>
      <c r="N360" s="20">
        <f t="shared" si="1004"/>
        <v>0.11554272000000002</v>
      </c>
      <c r="O360" s="7">
        <f t="shared" si="1001"/>
        <v>0.77742606888890009</v>
      </c>
    </row>
    <row r="361" spans="1:15" x14ac:dyDescent="0.7">
      <c r="A361" s="8"/>
      <c r="B361" s="6"/>
      <c r="C361" s="6">
        <v>25</v>
      </c>
      <c r="D361" s="7">
        <v>13.373000000000001</v>
      </c>
      <c r="E361" s="4">
        <v>0</v>
      </c>
      <c r="F361" s="7">
        <v>13.373000000000001</v>
      </c>
      <c r="G361" s="15">
        <f t="shared" si="998"/>
        <v>1155427.2000000002</v>
      </c>
      <c r="H361" s="21">
        <f t="shared" si="999"/>
        <v>1.1554272000000001</v>
      </c>
      <c r="I361" s="20">
        <f t="shared" si="1002"/>
        <v>51994.224000000009</v>
      </c>
      <c r="J361" s="28">
        <v>0.13784879444444401</v>
      </c>
      <c r="K361" s="20">
        <f t="shared" si="1003"/>
        <v>6239.306880000001</v>
      </c>
      <c r="L361" s="17">
        <v>0.12535959999999</v>
      </c>
      <c r="M361" s="17">
        <f t="shared" si="1000"/>
        <v>0.263208394444434</v>
      </c>
      <c r="N361" s="20">
        <f t="shared" si="1004"/>
        <v>0.11554272000000002</v>
      </c>
      <c r="O361" s="7">
        <f t="shared" si="1001"/>
        <v>0.77667608555556611</v>
      </c>
    </row>
    <row r="362" spans="1:15" x14ac:dyDescent="0.7">
      <c r="A362" s="8"/>
      <c r="B362" s="6"/>
      <c r="C362" s="6">
        <v>26</v>
      </c>
      <c r="D362" s="7">
        <v>13.373000000000001</v>
      </c>
      <c r="E362" s="4">
        <v>0</v>
      </c>
      <c r="F362" s="7">
        <v>13.373000000000001</v>
      </c>
      <c r="G362" s="15">
        <f t="shared" si="998"/>
        <v>1155427.2000000002</v>
      </c>
      <c r="H362" s="21">
        <f t="shared" si="999"/>
        <v>1.1554272000000001</v>
      </c>
      <c r="I362" s="20">
        <f t="shared" si="1002"/>
        <v>51994.224000000009</v>
      </c>
      <c r="J362" s="28">
        <v>0.13822824444444401</v>
      </c>
      <c r="K362" s="20">
        <f t="shared" si="1003"/>
        <v>6239.306880000001</v>
      </c>
      <c r="L362" s="17">
        <v>0.125730133333323</v>
      </c>
      <c r="M362" s="17">
        <f t="shared" si="1000"/>
        <v>0.26395837777776698</v>
      </c>
      <c r="N362" s="20">
        <f t="shared" si="1004"/>
        <v>0.11554272000000002</v>
      </c>
      <c r="O362" s="7">
        <f t="shared" si="1001"/>
        <v>0.77592610222223313</v>
      </c>
    </row>
    <row r="363" spans="1:15" x14ac:dyDescent="0.7">
      <c r="A363" s="8"/>
      <c r="B363" s="6"/>
      <c r="C363" s="6">
        <v>27</v>
      </c>
      <c r="D363" s="7">
        <v>13.420999999999999</v>
      </c>
      <c r="E363" s="4">
        <v>0</v>
      </c>
      <c r="F363" s="7">
        <v>13.420999999999999</v>
      </c>
      <c r="G363" s="15">
        <f t="shared" si="998"/>
        <v>1159574.3999999999</v>
      </c>
      <c r="H363" s="21">
        <f t="shared" si="999"/>
        <v>1.1595743999999999</v>
      </c>
      <c r="I363" s="20">
        <f t="shared" si="1002"/>
        <v>52180.847999999991</v>
      </c>
      <c r="J363" s="28">
        <v>0.13860769444444401</v>
      </c>
      <c r="K363" s="20">
        <f t="shared" si="1003"/>
        <v>6261.701759999999</v>
      </c>
      <c r="L363" s="17">
        <v>0.12610066666665601</v>
      </c>
      <c r="M363" s="17">
        <f t="shared" si="1000"/>
        <v>0.26470836111110002</v>
      </c>
      <c r="N363" s="20">
        <f t="shared" si="1004"/>
        <v>0.11595743999999999</v>
      </c>
      <c r="O363" s="7">
        <f t="shared" si="1001"/>
        <v>0.77890859888889985</v>
      </c>
    </row>
    <row r="364" spans="1:15" x14ac:dyDescent="0.7">
      <c r="A364" s="8"/>
      <c r="B364" s="6"/>
      <c r="C364" s="6">
        <v>28</v>
      </c>
      <c r="D364" s="7">
        <v>13.135000000000002</v>
      </c>
      <c r="E364" s="4">
        <v>0</v>
      </c>
      <c r="F364" s="7">
        <v>13.135000000000002</v>
      </c>
      <c r="G364" s="15">
        <f t="shared" si="998"/>
        <v>1134864.0000000002</v>
      </c>
      <c r="H364" s="21">
        <f t="shared" si="999"/>
        <v>1.1348640000000003</v>
      </c>
      <c r="I364" s="20">
        <f t="shared" si="1002"/>
        <v>51068.880000000012</v>
      </c>
      <c r="J364" s="28">
        <v>0.13898714444444399</v>
      </c>
      <c r="K364" s="20">
        <f t="shared" si="1003"/>
        <v>6128.2656000000015</v>
      </c>
      <c r="L364" s="17">
        <v>0.12647119999999001</v>
      </c>
      <c r="M364" s="17">
        <f t="shared" si="1000"/>
        <v>0.265458344444434</v>
      </c>
      <c r="N364" s="20">
        <f t="shared" si="1004"/>
        <v>0.11348640000000004</v>
      </c>
      <c r="O364" s="7">
        <f t="shared" si="1001"/>
        <v>0.75591925555556627</v>
      </c>
    </row>
    <row r="365" spans="1:15" x14ac:dyDescent="0.7">
      <c r="A365" s="45"/>
      <c r="B365" s="12"/>
      <c r="C365" s="12">
        <v>29</v>
      </c>
      <c r="D365" s="30">
        <v>12.506</v>
      </c>
      <c r="E365" s="4">
        <v>0</v>
      </c>
      <c r="F365" s="30">
        <v>12.506</v>
      </c>
      <c r="G365" s="31">
        <f t="shared" si="998"/>
        <v>1080518.3999999999</v>
      </c>
      <c r="H365" s="32">
        <f t="shared" si="999"/>
        <v>1.0805183999999999</v>
      </c>
      <c r="I365" s="20">
        <f t="shared" si="1002"/>
        <v>48623.327999999994</v>
      </c>
      <c r="J365" s="34">
        <v>0.13936659444444399</v>
      </c>
      <c r="K365" s="20">
        <f t="shared" si="1003"/>
        <v>5834.7993599999991</v>
      </c>
      <c r="L365" s="33">
        <v>0.12684173333332299</v>
      </c>
      <c r="M365" s="33">
        <f t="shared" si="1000"/>
        <v>0.26620832777776698</v>
      </c>
      <c r="N365" s="20">
        <f t="shared" si="1004"/>
        <v>0.10805184</v>
      </c>
      <c r="O365" s="30">
        <f t="shared" si="1001"/>
        <v>0.70625823222223294</v>
      </c>
    </row>
    <row r="366" spans="1:15" s="37" customFormat="1" x14ac:dyDescent="0.7">
      <c r="A366" s="8"/>
      <c r="B366" s="6"/>
      <c r="C366" s="6">
        <v>30</v>
      </c>
      <c r="D366" s="7">
        <v>12.116</v>
      </c>
      <c r="E366" s="4">
        <v>0</v>
      </c>
      <c r="F366" s="7">
        <v>12.116</v>
      </c>
      <c r="G366" s="35">
        <f t="shared" si="998"/>
        <v>1046822.4</v>
      </c>
      <c r="H366" s="20">
        <f t="shared" si="999"/>
        <v>1.0468223999999999</v>
      </c>
      <c r="I366" s="20">
        <f t="shared" si="1002"/>
        <v>47107.007999999994</v>
      </c>
      <c r="J366" s="28">
        <v>0.139746044444444</v>
      </c>
      <c r="K366" s="20">
        <f t="shared" si="1003"/>
        <v>5652.8409599999995</v>
      </c>
      <c r="L366" s="17">
        <v>0.127212266666656</v>
      </c>
      <c r="M366" s="17">
        <f t="shared" si="1000"/>
        <v>0.26695831111110002</v>
      </c>
      <c r="N366" s="20">
        <f t="shared" si="1004"/>
        <v>0.10468224</v>
      </c>
      <c r="O366" s="7">
        <f t="shared" si="1001"/>
        <v>0.67518184888889987</v>
      </c>
    </row>
    <row r="367" spans="1:15" s="13" customFormat="1" ht="25.2" thickBot="1" x14ac:dyDescent="0.75">
      <c r="A367" s="46"/>
      <c r="B367" s="11" t="s">
        <v>26</v>
      </c>
      <c r="C367" s="11">
        <v>31</v>
      </c>
      <c r="D367" s="19">
        <v>11.987</v>
      </c>
      <c r="E367" s="19">
        <v>0</v>
      </c>
      <c r="F367" s="19">
        <v>11.987</v>
      </c>
      <c r="G367" s="26">
        <f t="shared" si="998"/>
        <v>1035676.8</v>
      </c>
      <c r="H367" s="27">
        <f t="shared" si="999"/>
        <v>1.0356768000000001</v>
      </c>
      <c r="I367" s="22">
        <f t="shared" si="1002"/>
        <v>46605.455999999998</v>
      </c>
      <c r="J367" s="39">
        <v>0.140125494444444</v>
      </c>
      <c r="K367" s="22">
        <f t="shared" si="1003"/>
        <v>5592.6547199999995</v>
      </c>
      <c r="L367" s="38">
        <v>0.12758279999999</v>
      </c>
      <c r="M367" s="38">
        <f t="shared" si="1000"/>
        <v>0.267708294444434</v>
      </c>
      <c r="N367" s="22">
        <f t="shared" si="1004"/>
        <v>0.10356768000000001</v>
      </c>
      <c r="O367" s="19">
        <f t="shared" si="1001"/>
        <v>0.66440082555556601</v>
      </c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2026-02-25T18:45:53Z</dcterms:modified>
</cp:coreProperties>
</file>