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8_{07C2E5B4-F084-4CFF-AC13-A676534BD3AF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3" i="1" l="1"/>
  <c r="O183" i="1" s="1"/>
  <c r="L183" i="1"/>
  <c r="J183" i="1"/>
  <c r="L182" i="1"/>
  <c r="J182" i="1"/>
  <c r="M182" i="1" s="1"/>
  <c r="O182" i="1" s="1"/>
  <c r="M181" i="1"/>
  <c r="O181" i="1" s="1"/>
  <c r="L181" i="1"/>
  <c r="J181" i="1"/>
  <c r="L180" i="1"/>
  <c r="J180" i="1"/>
  <c r="M180" i="1" s="1"/>
  <c r="O180" i="1" s="1"/>
  <c r="M179" i="1"/>
  <c r="O179" i="1" s="1"/>
  <c r="L179" i="1"/>
  <c r="J179" i="1"/>
  <c r="L178" i="1"/>
  <c r="J178" i="1"/>
  <c r="M178" i="1" s="1"/>
  <c r="O178" i="1" s="1"/>
  <c r="J192" i="1"/>
  <c r="K192" i="1" s="1"/>
  <c r="M192" i="1" s="1"/>
  <c r="K191" i="1"/>
  <c r="M191" i="1" s="1"/>
  <c r="J191" i="1"/>
  <c r="M190" i="1"/>
  <c r="K190" i="1"/>
  <c r="J190" i="1"/>
  <c r="J189" i="1"/>
  <c r="K189" i="1" s="1"/>
  <c r="M189" i="1" s="1"/>
  <c r="J188" i="1"/>
  <c r="K188" i="1" s="1"/>
  <c r="M188" i="1" s="1"/>
  <c r="J187" i="1"/>
  <c r="K187" i="1" s="1"/>
  <c r="M187" i="1" s="1"/>
  <c r="L160" i="1"/>
  <c r="J160" i="1"/>
  <c r="M160" i="1" s="1"/>
  <c r="O160" i="1" s="1"/>
  <c r="L159" i="1"/>
  <c r="J159" i="1"/>
  <c r="M159" i="1" s="1"/>
  <c r="O159" i="1" s="1"/>
  <c r="L158" i="1"/>
  <c r="J158" i="1"/>
  <c r="M158" i="1" s="1"/>
  <c r="O158" i="1" s="1"/>
  <c r="L157" i="1"/>
  <c r="J157" i="1"/>
  <c r="M157" i="1" s="1"/>
  <c r="O157" i="1" s="1"/>
  <c r="L176" i="1"/>
  <c r="J176" i="1"/>
  <c r="M176" i="1" s="1"/>
  <c r="O176" i="1" s="1"/>
  <c r="L175" i="1"/>
  <c r="J175" i="1"/>
  <c r="M175" i="1" s="1"/>
  <c r="O175" i="1" s="1"/>
  <c r="L174" i="1"/>
  <c r="J174" i="1"/>
  <c r="M174" i="1" s="1"/>
  <c r="O174" i="1" s="1"/>
  <c r="L173" i="1"/>
  <c r="J173" i="1"/>
  <c r="M173" i="1" s="1"/>
  <c r="O173" i="1" s="1"/>
  <c r="L172" i="1"/>
  <c r="J172" i="1"/>
  <c r="M172" i="1" s="1"/>
  <c r="O172" i="1" s="1"/>
  <c r="L171" i="1"/>
  <c r="J171" i="1"/>
  <c r="M171" i="1" s="1"/>
  <c r="O171" i="1" s="1"/>
  <c r="M130" i="1"/>
  <c r="O130" i="1" s="1"/>
  <c r="M129" i="1"/>
  <c r="O129" i="1" s="1"/>
  <c r="M128" i="1"/>
  <c r="O128" i="1" s="1"/>
  <c r="M61" i="1"/>
  <c r="H61" i="1"/>
  <c r="O61" i="1" s="1"/>
  <c r="G61" i="1"/>
  <c r="G62" i="1"/>
  <c r="H62" i="1" s="1"/>
  <c r="O62" i="1" s="1"/>
  <c r="M62" i="1"/>
  <c r="G63" i="1"/>
  <c r="H63" i="1" s="1"/>
  <c r="O63" i="1" s="1"/>
  <c r="M63" i="1"/>
  <c r="G64" i="1"/>
  <c r="H64" i="1" s="1"/>
  <c r="M64" i="1"/>
  <c r="G65" i="1"/>
  <c r="H65" i="1" s="1"/>
  <c r="M65" i="1"/>
  <c r="G66" i="1"/>
  <c r="H66" i="1" s="1"/>
  <c r="M66" i="1"/>
  <c r="G67" i="1"/>
  <c r="H67" i="1" s="1"/>
  <c r="O67" i="1" s="1"/>
  <c r="M67" i="1"/>
  <c r="G68" i="1"/>
  <c r="H68" i="1" s="1"/>
  <c r="O68" i="1" s="1"/>
  <c r="M68" i="1"/>
  <c r="G69" i="1"/>
  <c r="H69" i="1" s="1"/>
  <c r="O69" i="1" s="1"/>
  <c r="M69" i="1"/>
  <c r="G70" i="1"/>
  <c r="H70" i="1" s="1"/>
  <c r="M70" i="1"/>
  <c r="G71" i="1"/>
  <c r="H71" i="1" s="1"/>
  <c r="O71" i="1" s="1"/>
  <c r="M71" i="1"/>
  <c r="G72" i="1"/>
  <c r="H72" i="1" s="1"/>
  <c r="O72" i="1" s="1"/>
  <c r="M72" i="1"/>
  <c r="G73" i="1"/>
  <c r="H73" i="1" s="1"/>
  <c r="O73" i="1" s="1"/>
  <c r="M73" i="1"/>
  <c r="G74" i="1"/>
  <c r="H74" i="1" s="1"/>
  <c r="M74" i="1"/>
  <c r="G75" i="1"/>
  <c r="H75" i="1" s="1"/>
  <c r="O75" i="1" s="1"/>
  <c r="M75" i="1"/>
  <c r="G76" i="1"/>
  <c r="H76" i="1" s="1"/>
  <c r="M76" i="1"/>
  <c r="G77" i="1"/>
  <c r="H77" i="1" s="1"/>
  <c r="O77" i="1" s="1"/>
  <c r="M77" i="1"/>
  <c r="G78" i="1"/>
  <c r="H78" i="1" s="1"/>
  <c r="M78" i="1"/>
  <c r="G79" i="1"/>
  <c r="H79" i="1" s="1"/>
  <c r="M79" i="1"/>
  <c r="O79" i="1" s="1"/>
  <c r="G80" i="1"/>
  <c r="H80" i="1" s="1"/>
  <c r="M80" i="1"/>
  <c r="G81" i="1"/>
  <c r="H81" i="1" s="1"/>
  <c r="M81" i="1"/>
  <c r="G82" i="1"/>
  <c r="H82" i="1" s="1"/>
  <c r="M82" i="1"/>
  <c r="G83" i="1"/>
  <c r="H83" i="1" s="1"/>
  <c r="O83" i="1" s="1"/>
  <c r="M83" i="1"/>
  <c r="G84" i="1"/>
  <c r="H84" i="1" s="1"/>
  <c r="M84" i="1"/>
  <c r="G85" i="1"/>
  <c r="H85" i="1" s="1"/>
  <c r="O85" i="1" s="1"/>
  <c r="M85" i="1"/>
  <c r="G86" i="1"/>
  <c r="H86" i="1" s="1"/>
  <c r="M86" i="1"/>
  <c r="G87" i="1"/>
  <c r="H87" i="1" s="1"/>
  <c r="M87" i="1"/>
  <c r="G88" i="1"/>
  <c r="H88" i="1" s="1"/>
  <c r="M88" i="1"/>
  <c r="G89" i="1"/>
  <c r="H89" i="1" s="1"/>
  <c r="O89" i="1" s="1"/>
  <c r="M89" i="1"/>
  <c r="G90" i="1"/>
  <c r="H90" i="1" s="1"/>
  <c r="M90" i="1"/>
  <c r="G91" i="1"/>
  <c r="H91" i="1" s="1"/>
  <c r="M91" i="1"/>
  <c r="G92" i="1"/>
  <c r="H92" i="1" s="1"/>
  <c r="M92" i="1"/>
  <c r="G93" i="1"/>
  <c r="H93" i="1" s="1"/>
  <c r="O93" i="1" s="1"/>
  <c r="M93" i="1"/>
  <c r="G94" i="1"/>
  <c r="H94" i="1" s="1"/>
  <c r="M94" i="1"/>
  <c r="G95" i="1"/>
  <c r="H95" i="1" s="1"/>
  <c r="O95" i="1" s="1"/>
  <c r="M95" i="1"/>
  <c r="G96" i="1"/>
  <c r="H96" i="1" s="1"/>
  <c r="M96" i="1"/>
  <c r="G97" i="1"/>
  <c r="H97" i="1" s="1"/>
  <c r="M97" i="1"/>
  <c r="G98" i="1"/>
  <c r="H98" i="1" s="1"/>
  <c r="M98" i="1"/>
  <c r="G99" i="1"/>
  <c r="H99" i="1" s="1"/>
  <c r="M99" i="1"/>
  <c r="O99" i="1"/>
  <c r="G100" i="1"/>
  <c r="H100" i="1" s="1"/>
  <c r="M100" i="1"/>
  <c r="G101" i="1"/>
  <c r="H101" i="1" s="1"/>
  <c r="O101" i="1" s="1"/>
  <c r="M101" i="1"/>
  <c r="G102" i="1"/>
  <c r="H102" i="1" s="1"/>
  <c r="O102" i="1" s="1"/>
  <c r="M102" i="1"/>
  <c r="G103" i="1"/>
  <c r="H103" i="1" s="1"/>
  <c r="M103" i="1"/>
  <c r="G104" i="1"/>
  <c r="H104" i="1" s="1"/>
  <c r="O104" i="1" s="1"/>
  <c r="M104" i="1"/>
  <c r="G105" i="1"/>
  <c r="H105" i="1" s="1"/>
  <c r="O105" i="1" s="1"/>
  <c r="M105" i="1"/>
  <c r="G106" i="1"/>
  <c r="H106" i="1" s="1"/>
  <c r="M106" i="1"/>
  <c r="G107" i="1"/>
  <c r="H107" i="1" s="1"/>
  <c r="M107" i="1"/>
  <c r="G108" i="1"/>
  <c r="H108" i="1" s="1"/>
  <c r="M108" i="1"/>
  <c r="G109" i="1"/>
  <c r="H109" i="1" s="1"/>
  <c r="O109" i="1" s="1"/>
  <c r="M109" i="1"/>
  <c r="G110" i="1"/>
  <c r="H110" i="1" s="1"/>
  <c r="M110" i="1"/>
  <c r="G111" i="1"/>
  <c r="H111" i="1" s="1"/>
  <c r="O111" i="1" s="1"/>
  <c r="M111" i="1"/>
  <c r="G112" i="1"/>
  <c r="H112" i="1" s="1"/>
  <c r="M112" i="1"/>
  <c r="G113" i="1"/>
  <c r="H113" i="1" s="1"/>
  <c r="O113" i="1" s="1"/>
  <c r="M113" i="1"/>
  <c r="G114" i="1"/>
  <c r="H114" i="1" s="1"/>
  <c r="M114" i="1"/>
  <c r="G115" i="1"/>
  <c r="H115" i="1" s="1"/>
  <c r="O115" i="1" s="1"/>
  <c r="M115" i="1"/>
  <c r="G116" i="1"/>
  <c r="H116" i="1" s="1"/>
  <c r="M116" i="1"/>
  <c r="G117" i="1"/>
  <c r="H117" i="1" s="1"/>
  <c r="M117" i="1"/>
  <c r="G118" i="1"/>
  <c r="H118" i="1" s="1"/>
  <c r="O118" i="1" s="1"/>
  <c r="M118" i="1"/>
  <c r="G119" i="1"/>
  <c r="H119" i="1" s="1"/>
  <c r="M119" i="1"/>
  <c r="G120" i="1"/>
  <c r="H120" i="1" s="1"/>
  <c r="M120" i="1"/>
  <c r="G121" i="1"/>
  <c r="H121" i="1" s="1"/>
  <c r="M121" i="1"/>
  <c r="G122" i="1"/>
  <c r="H122" i="1" s="1"/>
  <c r="M122" i="1"/>
  <c r="G123" i="1"/>
  <c r="H123" i="1" s="1"/>
  <c r="M123" i="1"/>
  <c r="G124" i="1"/>
  <c r="H124" i="1" s="1"/>
  <c r="M124" i="1"/>
  <c r="G125" i="1"/>
  <c r="H125" i="1" s="1"/>
  <c r="M125" i="1"/>
  <c r="O125" i="1"/>
  <c r="G126" i="1"/>
  <c r="H126" i="1" s="1"/>
  <c r="M126" i="1"/>
  <c r="G127" i="1"/>
  <c r="H127" i="1" s="1"/>
  <c r="O127" i="1" s="1"/>
  <c r="M127" i="1"/>
  <c r="G128" i="1"/>
  <c r="H128" i="1" s="1"/>
  <c r="G129" i="1"/>
  <c r="H129" i="1" s="1"/>
  <c r="G130" i="1"/>
  <c r="H130" i="1" s="1"/>
  <c r="G131" i="1"/>
  <c r="H131" i="1" s="1"/>
  <c r="O131" i="1" s="1"/>
  <c r="M131" i="1"/>
  <c r="G132" i="1"/>
  <c r="H132" i="1" s="1"/>
  <c r="M132" i="1"/>
  <c r="G133" i="1"/>
  <c r="H133" i="1" s="1"/>
  <c r="O133" i="1" s="1"/>
  <c r="M133" i="1"/>
  <c r="G134" i="1"/>
  <c r="H134" i="1" s="1"/>
  <c r="O134" i="1" s="1"/>
  <c r="M134" i="1"/>
  <c r="G135" i="1"/>
  <c r="H135" i="1" s="1"/>
  <c r="O135" i="1" s="1"/>
  <c r="M135" i="1"/>
  <c r="G136" i="1"/>
  <c r="H136" i="1" s="1"/>
  <c r="M136" i="1"/>
  <c r="G137" i="1"/>
  <c r="H137" i="1" s="1"/>
  <c r="O137" i="1" s="1"/>
  <c r="M137" i="1"/>
  <c r="G138" i="1"/>
  <c r="H138" i="1" s="1"/>
  <c r="M138" i="1"/>
  <c r="G139" i="1"/>
  <c r="H139" i="1" s="1"/>
  <c r="O139" i="1" s="1"/>
  <c r="M139" i="1"/>
  <c r="G140" i="1"/>
  <c r="H140" i="1" s="1"/>
  <c r="M140" i="1"/>
  <c r="G141" i="1"/>
  <c r="H141" i="1" s="1"/>
  <c r="M141" i="1"/>
  <c r="O141" i="1"/>
  <c r="G142" i="1"/>
  <c r="H142" i="1" s="1"/>
  <c r="M142" i="1"/>
  <c r="G143" i="1"/>
  <c r="H143" i="1" s="1"/>
  <c r="O143" i="1" s="1"/>
  <c r="M143" i="1"/>
  <c r="G144" i="1"/>
  <c r="H144" i="1" s="1"/>
  <c r="M144" i="1"/>
  <c r="G145" i="1"/>
  <c r="H145" i="1"/>
  <c r="O145" i="1" s="1"/>
  <c r="M145" i="1"/>
  <c r="G146" i="1"/>
  <c r="H146" i="1" s="1"/>
  <c r="O146" i="1" s="1"/>
  <c r="M146" i="1"/>
  <c r="G147" i="1"/>
  <c r="H147" i="1" s="1"/>
  <c r="O147" i="1" s="1"/>
  <c r="M147" i="1"/>
  <c r="G148" i="1"/>
  <c r="H148" i="1" s="1"/>
  <c r="M148" i="1"/>
  <c r="G149" i="1"/>
  <c r="H149" i="1" s="1"/>
  <c r="O149" i="1" s="1"/>
  <c r="M149" i="1"/>
  <c r="G150" i="1"/>
  <c r="H150" i="1" s="1"/>
  <c r="M150" i="1"/>
  <c r="G151" i="1"/>
  <c r="H151" i="1"/>
  <c r="O151" i="1" s="1"/>
  <c r="M151" i="1"/>
  <c r="G152" i="1"/>
  <c r="H152" i="1" s="1"/>
  <c r="M152" i="1"/>
  <c r="G153" i="1"/>
  <c r="H153" i="1" s="1"/>
  <c r="O153" i="1" s="1"/>
  <c r="M153" i="1"/>
  <c r="G154" i="1"/>
  <c r="H154" i="1" s="1"/>
  <c r="O154" i="1" s="1"/>
  <c r="M154" i="1"/>
  <c r="G155" i="1"/>
  <c r="H155" i="1"/>
  <c r="O155" i="1" s="1"/>
  <c r="M155" i="1"/>
  <c r="G156" i="1"/>
  <c r="H156" i="1" s="1"/>
  <c r="M156" i="1"/>
  <c r="G157" i="1"/>
  <c r="H157" i="1" s="1"/>
  <c r="G158" i="1"/>
  <c r="H158" i="1" s="1"/>
  <c r="G159" i="1"/>
  <c r="H159" i="1" s="1"/>
  <c r="G160" i="1"/>
  <c r="H160" i="1" s="1"/>
  <c r="G161" i="1"/>
  <c r="H161" i="1"/>
  <c r="O161" i="1" s="1"/>
  <c r="M161" i="1"/>
  <c r="G162" i="1"/>
  <c r="H162" i="1" s="1"/>
  <c r="O162" i="1" s="1"/>
  <c r="M162" i="1"/>
  <c r="G163" i="1"/>
  <c r="H163" i="1" s="1"/>
  <c r="O163" i="1" s="1"/>
  <c r="M163" i="1"/>
  <c r="G164" i="1"/>
  <c r="H164" i="1" s="1"/>
  <c r="M164" i="1"/>
  <c r="G165" i="1"/>
  <c r="H165" i="1" s="1"/>
  <c r="O165" i="1" s="1"/>
  <c r="M165" i="1"/>
  <c r="G166" i="1"/>
  <c r="H166" i="1" s="1"/>
  <c r="M166" i="1"/>
  <c r="G167" i="1"/>
  <c r="H167" i="1" s="1"/>
  <c r="O167" i="1" s="1"/>
  <c r="M167" i="1"/>
  <c r="G168" i="1"/>
  <c r="H168" i="1" s="1"/>
  <c r="M168" i="1"/>
  <c r="G169" i="1"/>
  <c r="H169" i="1"/>
  <c r="O169" i="1" s="1"/>
  <c r="M169" i="1"/>
  <c r="G170" i="1"/>
  <c r="H170" i="1" s="1"/>
  <c r="O170" i="1" s="1"/>
  <c r="M170" i="1"/>
  <c r="G171" i="1"/>
  <c r="H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/>
  <c r="O177" i="1" s="1"/>
  <c r="M177" i="1"/>
  <c r="G178" i="1"/>
  <c r="H178" i="1" s="1"/>
  <c r="G179" i="1"/>
  <c r="H179" i="1"/>
  <c r="G180" i="1"/>
  <c r="H180" i="1" s="1"/>
  <c r="G181" i="1"/>
  <c r="H181" i="1" s="1"/>
  <c r="G182" i="1"/>
  <c r="H182" i="1" s="1"/>
  <c r="G183" i="1"/>
  <c r="H183" i="1" s="1"/>
  <c r="G184" i="1"/>
  <c r="H184" i="1" s="1"/>
  <c r="M184" i="1"/>
  <c r="G185" i="1"/>
  <c r="H185" i="1" s="1"/>
  <c r="O185" i="1" s="1"/>
  <c r="M185" i="1"/>
  <c r="G186" i="1"/>
  <c r="H186" i="1" s="1"/>
  <c r="O186" i="1" s="1"/>
  <c r="M186" i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/>
  <c r="O193" i="1" s="1"/>
  <c r="M193" i="1"/>
  <c r="G194" i="1"/>
  <c r="H194" i="1" s="1"/>
  <c r="O194" i="1" s="1"/>
  <c r="M194" i="1"/>
  <c r="G195" i="1"/>
  <c r="H195" i="1" s="1"/>
  <c r="O195" i="1" s="1"/>
  <c r="M195" i="1"/>
  <c r="G196" i="1"/>
  <c r="H196" i="1" s="1"/>
  <c r="M196" i="1"/>
  <c r="G197" i="1"/>
  <c r="H197" i="1" s="1"/>
  <c r="O197" i="1" s="1"/>
  <c r="M197" i="1"/>
  <c r="G198" i="1"/>
  <c r="H198" i="1" s="1"/>
  <c r="M198" i="1"/>
  <c r="G199" i="1"/>
  <c r="H199" i="1" s="1"/>
  <c r="O199" i="1" s="1"/>
  <c r="M199" i="1"/>
  <c r="G200" i="1"/>
  <c r="H200" i="1" s="1"/>
  <c r="M200" i="1"/>
  <c r="G201" i="1"/>
  <c r="H201" i="1"/>
  <c r="O201" i="1" s="1"/>
  <c r="M201" i="1"/>
  <c r="G202" i="1"/>
  <c r="H202" i="1" s="1"/>
  <c r="M202" i="1"/>
  <c r="G203" i="1"/>
  <c r="H203" i="1"/>
  <c r="O203" i="1" s="1"/>
  <c r="M203" i="1"/>
  <c r="G204" i="1"/>
  <c r="H204" i="1" s="1"/>
  <c r="M204" i="1"/>
  <c r="G205" i="1"/>
  <c r="H205" i="1"/>
  <c r="O205" i="1" s="1"/>
  <c r="M205" i="1"/>
  <c r="G206" i="1"/>
  <c r="H206" i="1" s="1"/>
  <c r="M206" i="1"/>
  <c r="G207" i="1"/>
  <c r="H207" i="1" s="1"/>
  <c r="O207" i="1" s="1"/>
  <c r="M207" i="1"/>
  <c r="G208" i="1"/>
  <c r="H208" i="1" s="1"/>
  <c r="O208" i="1" s="1"/>
  <c r="M208" i="1"/>
  <c r="G209" i="1"/>
  <c r="H209" i="1" s="1"/>
  <c r="O209" i="1" s="1"/>
  <c r="M209" i="1"/>
  <c r="G210" i="1"/>
  <c r="H210" i="1" s="1"/>
  <c r="O210" i="1" s="1"/>
  <c r="M210" i="1"/>
  <c r="G211" i="1"/>
  <c r="H211" i="1"/>
  <c r="O211" i="1" s="1"/>
  <c r="M211" i="1"/>
  <c r="G212" i="1"/>
  <c r="H212" i="1" s="1"/>
  <c r="O212" i="1" s="1"/>
  <c r="M212" i="1"/>
  <c r="G213" i="1"/>
  <c r="H213" i="1"/>
  <c r="M213" i="1"/>
  <c r="G214" i="1"/>
  <c r="H214" i="1" s="1"/>
  <c r="O214" i="1" s="1"/>
  <c r="M214" i="1"/>
  <c r="G215" i="1"/>
  <c r="H215" i="1" s="1"/>
  <c r="O215" i="1" s="1"/>
  <c r="M215" i="1"/>
  <c r="G216" i="1"/>
  <c r="H216" i="1" s="1"/>
  <c r="M216" i="1"/>
  <c r="G217" i="1"/>
  <c r="H217" i="1" s="1"/>
  <c r="O217" i="1" s="1"/>
  <c r="M217" i="1"/>
  <c r="G218" i="1"/>
  <c r="H218" i="1" s="1"/>
  <c r="O218" i="1" s="1"/>
  <c r="M218" i="1"/>
  <c r="G219" i="1"/>
  <c r="H219" i="1"/>
  <c r="O219" i="1" s="1"/>
  <c r="M219" i="1"/>
  <c r="G220" i="1"/>
  <c r="H220" i="1" s="1"/>
  <c r="M220" i="1"/>
  <c r="G221" i="1"/>
  <c r="H221" i="1" s="1"/>
  <c r="M221" i="1"/>
  <c r="G222" i="1"/>
  <c r="H222" i="1" s="1"/>
  <c r="M222" i="1"/>
  <c r="G223" i="1"/>
  <c r="H223" i="1" s="1"/>
  <c r="O223" i="1" s="1"/>
  <c r="M223" i="1"/>
  <c r="G224" i="1"/>
  <c r="H224" i="1" s="1"/>
  <c r="O224" i="1" s="1"/>
  <c r="M224" i="1"/>
  <c r="G225" i="1"/>
  <c r="H225" i="1" s="1"/>
  <c r="M225" i="1"/>
  <c r="G226" i="1"/>
  <c r="H226" i="1" s="1"/>
  <c r="O226" i="1" s="1"/>
  <c r="M226" i="1"/>
  <c r="G227" i="1"/>
  <c r="H227" i="1" s="1"/>
  <c r="M227" i="1"/>
  <c r="G228" i="1"/>
  <c r="H228" i="1" s="1"/>
  <c r="O228" i="1" s="1"/>
  <c r="M228" i="1"/>
  <c r="G229" i="1"/>
  <c r="H229" i="1"/>
  <c r="O229" i="1" s="1"/>
  <c r="M229" i="1"/>
  <c r="G230" i="1"/>
  <c r="H230" i="1" s="1"/>
  <c r="M230" i="1"/>
  <c r="G231" i="1"/>
  <c r="H231" i="1" s="1"/>
  <c r="O231" i="1" s="1"/>
  <c r="M231" i="1"/>
  <c r="G232" i="1"/>
  <c r="H232" i="1"/>
  <c r="O232" i="1" s="1"/>
  <c r="M232" i="1"/>
  <c r="G233" i="1"/>
  <c r="H233" i="1" s="1"/>
  <c r="M233" i="1"/>
  <c r="G234" i="1"/>
  <c r="H234" i="1" s="1"/>
  <c r="O234" i="1" s="1"/>
  <c r="M234" i="1"/>
  <c r="G235" i="1"/>
  <c r="H235" i="1" s="1"/>
  <c r="M235" i="1"/>
  <c r="G236" i="1"/>
  <c r="H236" i="1" s="1"/>
  <c r="M236" i="1"/>
  <c r="G237" i="1"/>
  <c r="H237" i="1" s="1"/>
  <c r="O237" i="1" s="1"/>
  <c r="M237" i="1"/>
  <c r="G238" i="1"/>
  <c r="H238" i="1" s="1"/>
  <c r="M238" i="1"/>
  <c r="G239" i="1"/>
  <c r="H239" i="1" s="1"/>
  <c r="O239" i="1" s="1"/>
  <c r="M239" i="1"/>
  <c r="G240" i="1"/>
  <c r="H240" i="1" s="1"/>
  <c r="O240" i="1" s="1"/>
  <c r="M240" i="1"/>
  <c r="G241" i="1"/>
  <c r="H241" i="1" s="1"/>
  <c r="M241" i="1"/>
  <c r="O241" i="1" s="1"/>
  <c r="G242" i="1"/>
  <c r="H242" i="1" s="1"/>
  <c r="O242" i="1" s="1"/>
  <c r="M242" i="1"/>
  <c r="G243" i="1"/>
  <c r="H243" i="1" s="1"/>
  <c r="O243" i="1" s="1"/>
  <c r="M243" i="1"/>
  <c r="G244" i="1"/>
  <c r="H244" i="1" s="1"/>
  <c r="O244" i="1" s="1"/>
  <c r="M244" i="1"/>
  <c r="G245" i="1"/>
  <c r="H245" i="1" s="1"/>
  <c r="O245" i="1" s="1"/>
  <c r="M245" i="1"/>
  <c r="G246" i="1"/>
  <c r="H246" i="1" s="1"/>
  <c r="M246" i="1"/>
  <c r="G247" i="1"/>
  <c r="H247" i="1" s="1"/>
  <c r="M247" i="1"/>
  <c r="O247" i="1" s="1"/>
  <c r="G248" i="1"/>
  <c r="H248" i="1"/>
  <c r="O248" i="1" s="1"/>
  <c r="M248" i="1"/>
  <c r="G249" i="1"/>
  <c r="H249" i="1" s="1"/>
  <c r="M249" i="1"/>
  <c r="G250" i="1"/>
  <c r="H250" i="1"/>
  <c r="O250" i="1" s="1"/>
  <c r="M250" i="1"/>
  <c r="G251" i="1"/>
  <c r="H251" i="1" s="1"/>
  <c r="M251" i="1"/>
  <c r="G252" i="1"/>
  <c r="H252" i="1" s="1"/>
  <c r="M252" i="1"/>
  <c r="G253" i="1"/>
  <c r="H253" i="1" s="1"/>
  <c r="O253" i="1" s="1"/>
  <c r="M253" i="1"/>
  <c r="G254" i="1"/>
  <c r="H254" i="1" s="1"/>
  <c r="M254" i="1"/>
  <c r="G255" i="1"/>
  <c r="H255" i="1" s="1"/>
  <c r="O255" i="1" s="1"/>
  <c r="M255" i="1"/>
  <c r="G256" i="1"/>
  <c r="H256" i="1" s="1"/>
  <c r="O256" i="1" s="1"/>
  <c r="M256" i="1"/>
  <c r="G257" i="1"/>
  <c r="H257" i="1" s="1"/>
  <c r="M257" i="1"/>
  <c r="G258" i="1"/>
  <c r="H258" i="1" s="1"/>
  <c r="O258" i="1" s="1"/>
  <c r="M258" i="1"/>
  <c r="G259" i="1"/>
  <c r="H259" i="1" s="1"/>
  <c r="O259" i="1" s="1"/>
  <c r="M259" i="1"/>
  <c r="G260" i="1"/>
  <c r="H260" i="1" s="1"/>
  <c r="O260" i="1" s="1"/>
  <c r="M260" i="1"/>
  <c r="G261" i="1"/>
  <c r="H261" i="1" s="1"/>
  <c r="O261" i="1" s="1"/>
  <c r="M261" i="1"/>
  <c r="G262" i="1"/>
  <c r="H262" i="1" s="1"/>
  <c r="M262" i="1"/>
  <c r="G263" i="1"/>
  <c r="H263" i="1" s="1"/>
  <c r="O263" i="1" s="1"/>
  <c r="M263" i="1"/>
  <c r="G264" i="1"/>
  <c r="H264" i="1"/>
  <c r="O264" i="1" s="1"/>
  <c r="M264" i="1"/>
  <c r="G265" i="1"/>
  <c r="H265" i="1" s="1"/>
  <c r="M265" i="1"/>
  <c r="O265" i="1" s="1"/>
  <c r="G266" i="1"/>
  <c r="H266" i="1"/>
  <c r="O266" i="1" s="1"/>
  <c r="M266" i="1"/>
  <c r="G267" i="1"/>
  <c r="H267" i="1" s="1"/>
  <c r="M267" i="1"/>
  <c r="G268" i="1"/>
  <c r="H268" i="1" s="1"/>
  <c r="O268" i="1" s="1"/>
  <c r="M268" i="1"/>
  <c r="G269" i="1"/>
  <c r="H269" i="1" s="1"/>
  <c r="O269" i="1" s="1"/>
  <c r="M269" i="1"/>
  <c r="G270" i="1"/>
  <c r="H270" i="1" s="1"/>
  <c r="M270" i="1"/>
  <c r="G271" i="1"/>
  <c r="H271" i="1" s="1"/>
  <c r="O271" i="1" s="1"/>
  <c r="M271" i="1"/>
  <c r="G272" i="1"/>
  <c r="H272" i="1" s="1"/>
  <c r="O272" i="1" s="1"/>
  <c r="M272" i="1"/>
  <c r="G273" i="1"/>
  <c r="H273" i="1" s="1"/>
  <c r="M273" i="1"/>
  <c r="O273" i="1" s="1"/>
  <c r="G274" i="1"/>
  <c r="H274" i="1" s="1"/>
  <c r="O274" i="1" s="1"/>
  <c r="M274" i="1"/>
  <c r="G275" i="1"/>
  <c r="H275" i="1" s="1"/>
  <c r="O275" i="1" s="1"/>
  <c r="M275" i="1"/>
  <c r="G276" i="1"/>
  <c r="H276" i="1" s="1"/>
  <c r="O276" i="1" s="1"/>
  <c r="M276" i="1"/>
  <c r="G277" i="1"/>
  <c r="H277" i="1" s="1"/>
  <c r="O277" i="1" s="1"/>
  <c r="M277" i="1"/>
  <c r="G278" i="1"/>
  <c r="H278" i="1" s="1"/>
  <c r="M278" i="1"/>
  <c r="G279" i="1"/>
  <c r="H279" i="1" s="1"/>
  <c r="M279" i="1"/>
  <c r="O279" i="1" s="1"/>
  <c r="G280" i="1"/>
  <c r="H280" i="1" s="1"/>
  <c r="O280" i="1" s="1"/>
  <c r="M280" i="1"/>
  <c r="G281" i="1"/>
  <c r="H281" i="1" s="1"/>
  <c r="M281" i="1"/>
  <c r="O281" i="1" s="1"/>
  <c r="G282" i="1"/>
  <c r="H282" i="1" s="1"/>
  <c r="O282" i="1" s="1"/>
  <c r="M282" i="1"/>
  <c r="G283" i="1"/>
  <c r="H283" i="1" s="1"/>
  <c r="M283" i="1"/>
  <c r="G284" i="1"/>
  <c r="H284" i="1" s="1"/>
  <c r="O284" i="1" s="1"/>
  <c r="M284" i="1"/>
  <c r="G285" i="1"/>
  <c r="H285" i="1" s="1"/>
  <c r="O285" i="1" s="1"/>
  <c r="M285" i="1"/>
  <c r="G286" i="1"/>
  <c r="H286" i="1" s="1"/>
  <c r="M286" i="1"/>
  <c r="G287" i="1"/>
  <c r="H287" i="1" s="1"/>
  <c r="O287" i="1" s="1"/>
  <c r="M287" i="1"/>
  <c r="G288" i="1"/>
  <c r="H288" i="1" s="1"/>
  <c r="O288" i="1" s="1"/>
  <c r="M288" i="1"/>
  <c r="G289" i="1"/>
  <c r="H289" i="1" s="1"/>
  <c r="M289" i="1"/>
  <c r="O289" i="1" s="1"/>
  <c r="G290" i="1"/>
  <c r="H290" i="1" s="1"/>
  <c r="O290" i="1" s="1"/>
  <c r="M290" i="1"/>
  <c r="G291" i="1"/>
  <c r="H291" i="1" s="1"/>
  <c r="O291" i="1" s="1"/>
  <c r="M291" i="1"/>
  <c r="G292" i="1"/>
  <c r="H292" i="1" s="1"/>
  <c r="O292" i="1" s="1"/>
  <c r="M292" i="1"/>
  <c r="G293" i="1"/>
  <c r="H293" i="1" s="1"/>
  <c r="O293" i="1" s="1"/>
  <c r="M293" i="1"/>
  <c r="G294" i="1"/>
  <c r="H294" i="1" s="1"/>
  <c r="M294" i="1"/>
  <c r="G295" i="1"/>
  <c r="H295" i="1" s="1"/>
  <c r="M295" i="1"/>
  <c r="G296" i="1"/>
  <c r="H296" i="1"/>
  <c r="O296" i="1" s="1"/>
  <c r="M296" i="1"/>
  <c r="G297" i="1"/>
  <c r="H297" i="1" s="1"/>
  <c r="M297" i="1"/>
  <c r="G298" i="1"/>
  <c r="H298" i="1" s="1"/>
  <c r="O298" i="1" s="1"/>
  <c r="M298" i="1"/>
  <c r="G299" i="1"/>
  <c r="H299" i="1" s="1"/>
  <c r="M299" i="1"/>
  <c r="G300" i="1"/>
  <c r="H300" i="1" s="1"/>
  <c r="O300" i="1" s="1"/>
  <c r="M300" i="1"/>
  <c r="G301" i="1"/>
  <c r="H301" i="1" s="1"/>
  <c r="O301" i="1" s="1"/>
  <c r="M301" i="1"/>
  <c r="G302" i="1"/>
  <c r="H302" i="1" s="1"/>
  <c r="M302" i="1"/>
  <c r="G303" i="1"/>
  <c r="H303" i="1" s="1"/>
  <c r="O303" i="1" s="1"/>
  <c r="M303" i="1"/>
  <c r="G304" i="1"/>
  <c r="H304" i="1" s="1"/>
  <c r="O304" i="1" s="1"/>
  <c r="M304" i="1"/>
  <c r="G305" i="1"/>
  <c r="H305" i="1" s="1"/>
  <c r="M305" i="1"/>
  <c r="G306" i="1"/>
  <c r="H306" i="1" s="1"/>
  <c r="O306" i="1" s="1"/>
  <c r="M306" i="1"/>
  <c r="G307" i="1"/>
  <c r="H307" i="1" s="1"/>
  <c r="O307" i="1" s="1"/>
  <c r="M307" i="1"/>
  <c r="G308" i="1"/>
  <c r="H308" i="1" s="1"/>
  <c r="O308" i="1" s="1"/>
  <c r="M308" i="1"/>
  <c r="G309" i="1"/>
  <c r="H309" i="1" s="1"/>
  <c r="M309" i="1"/>
  <c r="G310" i="1"/>
  <c r="H310" i="1" s="1"/>
  <c r="M310" i="1"/>
  <c r="G311" i="1"/>
  <c r="H311" i="1" s="1"/>
  <c r="O311" i="1" s="1"/>
  <c r="M311" i="1"/>
  <c r="G312" i="1"/>
  <c r="H312" i="1"/>
  <c r="O312" i="1" s="1"/>
  <c r="M312" i="1"/>
  <c r="G313" i="1"/>
  <c r="H313" i="1" s="1"/>
  <c r="M313" i="1"/>
  <c r="G314" i="1"/>
  <c r="H314" i="1"/>
  <c r="O314" i="1" s="1"/>
  <c r="M314" i="1"/>
  <c r="G315" i="1"/>
  <c r="H315" i="1" s="1"/>
  <c r="M315" i="1"/>
  <c r="G316" i="1"/>
  <c r="H316" i="1" s="1"/>
  <c r="M316" i="1"/>
  <c r="G317" i="1"/>
  <c r="H317" i="1" s="1"/>
  <c r="O317" i="1" s="1"/>
  <c r="M317" i="1"/>
  <c r="G318" i="1"/>
  <c r="H318" i="1" s="1"/>
  <c r="M318" i="1"/>
  <c r="G319" i="1"/>
  <c r="H319" i="1" s="1"/>
  <c r="O319" i="1" s="1"/>
  <c r="M319" i="1"/>
  <c r="G320" i="1"/>
  <c r="H320" i="1" s="1"/>
  <c r="O320" i="1" s="1"/>
  <c r="M320" i="1"/>
  <c r="G321" i="1"/>
  <c r="H321" i="1" s="1"/>
  <c r="M321" i="1"/>
  <c r="G322" i="1"/>
  <c r="H322" i="1" s="1"/>
  <c r="O322" i="1" s="1"/>
  <c r="M322" i="1"/>
  <c r="G323" i="1"/>
  <c r="H323" i="1" s="1"/>
  <c r="O323" i="1" s="1"/>
  <c r="M323" i="1"/>
  <c r="G324" i="1"/>
  <c r="H324" i="1" s="1"/>
  <c r="O324" i="1" s="1"/>
  <c r="M324" i="1"/>
  <c r="G325" i="1"/>
  <c r="H325" i="1" s="1"/>
  <c r="M325" i="1"/>
  <c r="G326" i="1"/>
  <c r="H326" i="1" s="1"/>
  <c r="M326" i="1"/>
  <c r="G327" i="1"/>
  <c r="H327" i="1" s="1"/>
  <c r="O327" i="1" s="1"/>
  <c r="M327" i="1"/>
  <c r="G328" i="1"/>
  <c r="H328" i="1" s="1"/>
  <c r="O328" i="1" s="1"/>
  <c r="M328" i="1"/>
  <c r="G329" i="1"/>
  <c r="H329" i="1" s="1"/>
  <c r="M329" i="1"/>
  <c r="O329" i="1" s="1"/>
  <c r="G330" i="1"/>
  <c r="H330" i="1"/>
  <c r="O330" i="1" s="1"/>
  <c r="M330" i="1"/>
  <c r="G331" i="1"/>
  <c r="H331" i="1" s="1"/>
  <c r="M331" i="1"/>
  <c r="G332" i="1"/>
  <c r="H332" i="1" s="1"/>
  <c r="O332" i="1" s="1"/>
  <c r="M332" i="1"/>
  <c r="G333" i="1"/>
  <c r="H333" i="1" s="1"/>
  <c r="O333" i="1" s="1"/>
  <c r="M333" i="1"/>
  <c r="G334" i="1"/>
  <c r="H334" i="1" s="1"/>
  <c r="M334" i="1"/>
  <c r="G335" i="1"/>
  <c r="H335" i="1" s="1"/>
  <c r="O335" i="1" s="1"/>
  <c r="M335" i="1"/>
  <c r="G336" i="1"/>
  <c r="H336" i="1" s="1"/>
  <c r="O336" i="1" s="1"/>
  <c r="M336" i="1"/>
  <c r="G337" i="1"/>
  <c r="H337" i="1" s="1"/>
  <c r="O337" i="1" s="1"/>
  <c r="M337" i="1"/>
  <c r="G338" i="1"/>
  <c r="H338" i="1" s="1"/>
  <c r="O338" i="1" s="1"/>
  <c r="M338" i="1"/>
  <c r="G339" i="1"/>
  <c r="H339" i="1" s="1"/>
  <c r="O339" i="1" s="1"/>
  <c r="M339" i="1"/>
  <c r="G340" i="1"/>
  <c r="H340" i="1" s="1"/>
  <c r="O340" i="1" s="1"/>
  <c r="M340" i="1"/>
  <c r="G341" i="1"/>
  <c r="H341" i="1" s="1"/>
  <c r="O341" i="1" s="1"/>
  <c r="M341" i="1"/>
  <c r="G342" i="1"/>
  <c r="H342" i="1" s="1"/>
  <c r="O342" i="1" s="1"/>
  <c r="M342" i="1"/>
  <c r="G343" i="1"/>
  <c r="H343" i="1" s="1"/>
  <c r="O343" i="1" s="1"/>
  <c r="M343" i="1"/>
  <c r="G344" i="1"/>
  <c r="H344" i="1"/>
  <c r="O344" i="1" s="1"/>
  <c r="M344" i="1"/>
  <c r="G345" i="1"/>
  <c r="H345" i="1" s="1"/>
  <c r="O345" i="1" s="1"/>
  <c r="M345" i="1"/>
  <c r="G346" i="1"/>
  <c r="H346" i="1" s="1"/>
  <c r="O346" i="1" s="1"/>
  <c r="M346" i="1"/>
  <c r="G347" i="1"/>
  <c r="H347" i="1" s="1"/>
  <c r="O347" i="1" s="1"/>
  <c r="M347" i="1"/>
  <c r="G348" i="1"/>
  <c r="H348" i="1"/>
  <c r="O348" i="1" s="1"/>
  <c r="M348" i="1"/>
  <c r="G349" i="1"/>
  <c r="H349" i="1" s="1"/>
  <c r="O349" i="1" s="1"/>
  <c r="M349" i="1"/>
  <c r="G350" i="1"/>
  <c r="H350" i="1" s="1"/>
  <c r="O350" i="1" s="1"/>
  <c r="M350" i="1"/>
  <c r="G351" i="1"/>
  <c r="H351" i="1" s="1"/>
  <c r="M351" i="1"/>
  <c r="G352" i="1"/>
  <c r="H352" i="1"/>
  <c r="O352" i="1" s="1"/>
  <c r="M352" i="1"/>
  <c r="G353" i="1"/>
  <c r="H353" i="1" s="1"/>
  <c r="M353" i="1"/>
  <c r="O353" i="1" s="1"/>
  <c r="G354" i="1"/>
  <c r="H354" i="1" s="1"/>
  <c r="O354" i="1" s="1"/>
  <c r="M354" i="1"/>
  <c r="G355" i="1"/>
  <c r="H355" i="1" s="1"/>
  <c r="O355" i="1" s="1"/>
  <c r="M355" i="1"/>
  <c r="G356" i="1"/>
  <c r="H356" i="1" s="1"/>
  <c r="O356" i="1" s="1"/>
  <c r="M356" i="1"/>
  <c r="G357" i="1"/>
  <c r="H357" i="1" s="1"/>
  <c r="O357" i="1" s="1"/>
  <c r="M357" i="1"/>
  <c r="G358" i="1"/>
  <c r="H358" i="1" s="1"/>
  <c r="O358" i="1" s="1"/>
  <c r="M358" i="1"/>
  <c r="G359" i="1"/>
  <c r="H359" i="1" s="1"/>
  <c r="M359" i="1"/>
  <c r="G360" i="1"/>
  <c r="H360" i="1"/>
  <c r="M360" i="1"/>
  <c r="G361" i="1"/>
  <c r="H361" i="1" s="1"/>
  <c r="O361" i="1" s="1"/>
  <c r="M361" i="1"/>
  <c r="G362" i="1"/>
  <c r="H362" i="1"/>
  <c r="O362" i="1" s="1"/>
  <c r="M362" i="1"/>
  <c r="G363" i="1"/>
  <c r="H363" i="1" s="1"/>
  <c r="M363" i="1"/>
  <c r="G364" i="1"/>
  <c r="H364" i="1" s="1"/>
  <c r="O364" i="1" s="1"/>
  <c r="M364" i="1"/>
  <c r="G365" i="1"/>
  <c r="H365" i="1" s="1"/>
  <c r="M365" i="1"/>
  <c r="O365" i="1" s="1"/>
  <c r="G366" i="1"/>
  <c r="H366" i="1" s="1"/>
  <c r="M366" i="1"/>
  <c r="G367" i="1"/>
  <c r="H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O189" i="1" l="1"/>
  <c r="O187" i="1"/>
  <c r="O191" i="1"/>
  <c r="O325" i="1"/>
  <c r="O321" i="1"/>
  <c r="O295" i="1"/>
  <c r="O257" i="1"/>
  <c r="O313" i="1"/>
  <c r="O249" i="1"/>
  <c r="O309" i="1"/>
  <c r="O305" i="1"/>
  <c r="O297" i="1"/>
  <c r="O233" i="1"/>
  <c r="O222" i="1"/>
  <c r="O359" i="1"/>
  <c r="O331" i="1"/>
  <c r="O315" i="1"/>
  <c r="O299" i="1"/>
  <c r="O283" i="1"/>
  <c r="O267" i="1"/>
  <c r="O251" i="1"/>
  <c r="O235" i="1"/>
  <c r="O216" i="1"/>
  <c r="O213" i="1"/>
  <c r="O202" i="1"/>
  <c r="O136" i="1"/>
  <c r="O132" i="1"/>
  <c r="O107" i="1"/>
  <c r="O103" i="1"/>
  <c r="O81" i="1"/>
  <c r="O70" i="1"/>
  <c r="O334" i="1"/>
  <c r="O318" i="1"/>
  <c r="O302" i="1"/>
  <c r="O286" i="1"/>
  <c r="O270" i="1"/>
  <c r="O254" i="1"/>
  <c r="O238" i="1"/>
  <c r="O225" i="1"/>
  <c r="O121" i="1"/>
  <c r="O117" i="1"/>
  <c r="O88" i="1"/>
  <c r="O84" i="1"/>
  <c r="O367" i="1"/>
  <c r="O221" i="1"/>
  <c r="O120" i="1"/>
  <c r="O116" i="1"/>
  <c r="O91" i="1"/>
  <c r="O87" i="1"/>
  <c r="O65" i="1"/>
  <c r="O366" i="1"/>
  <c r="O363" i="1"/>
  <c r="O360" i="1"/>
  <c r="O351" i="1"/>
  <c r="O326" i="1"/>
  <c r="O310" i="1"/>
  <c r="O294" i="1"/>
  <c r="O278" i="1"/>
  <c r="O262" i="1"/>
  <c r="O246" i="1"/>
  <c r="O230" i="1"/>
  <c r="O227" i="1"/>
  <c r="O123" i="1"/>
  <c r="O119" i="1"/>
  <c r="O97" i="1"/>
  <c r="O86" i="1"/>
  <c r="O316" i="1"/>
  <c r="O252" i="1"/>
  <c r="O236" i="1"/>
  <c r="O100" i="1"/>
  <c r="O220" i="1"/>
  <c r="O200" i="1"/>
  <c r="O192" i="1"/>
  <c r="O184" i="1"/>
  <c r="O144" i="1"/>
  <c r="O122" i="1"/>
  <c r="O106" i="1"/>
  <c r="O90" i="1"/>
  <c r="O74" i="1"/>
  <c r="O168" i="1"/>
  <c r="O152" i="1"/>
  <c r="O138" i="1"/>
  <c r="O112" i="1"/>
  <c r="O96" i="1"/>
  <c r="O80" i="1"/>
  <c r="O64" i="1"/>
  <c r="O140" i="1"/>
  <c r="O124" i="1"/>
  <c r="O108" i="1"/>
  <c r="O92" i="1"/>
  <c r="O76" i="1"/>
  <c r="O204" i="1"/>
  <c r="O196" i="1"/>
  <c r="O188" i="1"/>
  <c r="O164" i="1"/>
  <c r="O156" i="1"/>
  <c r="O148" i="1"/>
  <c r="O114" i="1"/>
  <c r="O98" i="1"/>
  <c r="O82" i="1"/>
  <c r="O66" i="1"/>
  <c r="O206" i="1"/>
  <c r="O198" i="1"/>
  <c r="O190" i="1"/>
  <c r="O166" i="1"/>
  <c r="O150" i="1"/>
  <c r="O142" i="1"/>
  <c r="O126" i="1"/>
  <c r="O110" i="1"/>
  <c r="O94" i="1"/>
  <c r="O78" i="1"/>
  <c r="J24" i="1"/>
  <c r="M24" i="1"/>
  <c r="J25" i="1"/>
  <c r="M25" i="1"/>
  <c r="J26" i="1"/>
  <c r="M26" i="1" s="1"/>
  <c r="J27" i="1"/>
  <c r="M27" i="1" s="1"/>
  <c r="L27" i="1"/>
  <c r="J28" i="1"/>
  <c r="L28" i="1"/>
  <c r="M28" i="1"/>
  <c r="J29" i="1"/>
  <c r="M29" i="1" s="1"/>
  <c r="L29" i="1"/>
  <c r="J30" i="1"/>
  <c r="M30" i="1" s="1"/>
  <c r="L30" i="1"/>
  <c r="J31" i="1"/>
  <c r="M31" i="1" s="1"/>
  <c r="O31" i="1" s="1"/>
  <c r="J32" i="1"/>
  <c r="M32" i="1" s="1"/>
  <c r="J33" i="1"/>
  <c r="M33" i="1" s="1"/>
  <c r="L23" i="1"/>
  <c r="J23" i="1"/>
  <c r="L22" i="1"/>
  <c r="J22" i="1"/>
  <c r="M22" i="1" s="1"/>
  <c r="L21" i="1"/>
  <c r="J21" i="1"/>
  <c r="L20" i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L11" i="1"/>
  <c r="J11" i="1"/>
  <c r="M11" i="1" s="1"/>
  <c r="L10" i="1"/>
  <c r="J10" i="1"/>
  <c r="L9" i="1"/>
  <c r="J9" i="1"/>
  <c r="M9" i="1" s="1"/>
  <c r="L8" i="1"/>
  <c r="J8" i="1"/>
  <c r="L7" i="1"/>
  <c r="J7" i="1"/>
  <c r="M7" i="1" s="1"/>
  <c r="L6" i="1"/>
  <c r="J6" i="1"/>
  <c r="L5" i="1"/>
  <c r="J5" i="1"/>
  <c r="L4" i="1"/>
  <c r="J4" i="1"/>
  <c r="L3" i="1"/>
  <c r="J3" i="1"/>
  <c r="M3" i="1" s="1"/>
  <c r="H15" i="1"/>
  <c r="H31" i="1"/>
  <c r="H32" i="1"/>
  <c r="O32" i="1" s="1"/>
  <c r="H39" i="1"/>
  <c r="O39" i="1" s="1"/>
  <c r="H55" i="1"/>
  <c r="O55" i="1" s="1"/>
  <c r="H56" i="1"/>
  <c r="O56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O24" i="1" s="1"/>
  <c r="G25" i="1"/>
  <c r="H25" i="1" s="1"/>
  <c r="O25" i="1" s="1"/>
  <c r="G26" i="1"/>
  <c r="H26" i="1" s="1"/>
  <c r="O26" i="1" s="1"/>
  <c r="G27" i="1"/>
  <c r="H27" i="1" s="1"/>
  <c r="G28" i="1"/>
  <c r="H28" i="1" s="1"/>
  <c r="O28" i="1" s="1"/>
  <c r="G29" i="1"/>
  <c r="H29" i="1" s="1"/>
  <c r="G30" i="1"/>
  <c r="H30" i="1" s="1"/>
  <c r="G31" i="1"/>
  <c r="G32" i="1"/>
  <c r="G33" i="1"/>
  <c r="H33" i="1" s="1"/>
  <c r="O33" i="1" s="1"/>
  <c r="G34" i="1"/>
  <c r="H34" i="1" s="1"/>
  <c r="O34" i="1" s="1"/>
  <c r="G35" i="1"/>
  <c r="H35" i="1" s="1"/>
  <c r="O35" i="1" s="1"/>
  <c r="G36" i="1"/>
  <c r="H36" i="1" s="1"/>
  <c r="O36" i="1" s="1"/>
  <c r="G37" i="1"/>
  <c r="H37" i="1" s="1"/>
  <c r="O37" i="1" s="1"/>
  <c r="G38" i="1"/>
  <c r="H38" i="1" s="1"/>
  <c r="O38" i="1" s="1"/>
  <c r="G39" i="1"/>
  <c r="G40" i="1"/>
  <c r="H40" i="1" s="1"/>
  <c r="O40" i="1" s="1"/>
  <c r="G41" i="1"/>
  <c r="H41" i="1" s="1"/>
  <c r="O41" i="1" s="1"/>
  <c r="G42" i="1"/>
  <c r="H42" i="1" s="1"/>
  <c r="O42" i="1" s="1"/>
  <c r="G43" i="1"/>
  <c r="H43" i="1" s="1"/>
  <c r="O43" i="1" s="1"/>
  <c r="G44" i="1"/>
  <c r="H44" i="1" s="1"/>
  <c r="O44" i="1" s="1"/>
  <c r="G45" i="1"/>
  <c r="H45" i="1" s="1"/>
  <c r="O45" i="1" s="1"/>
  <c r="G46" i="1"/>
  <c r="H46" i="1" s="1"/>
  <c r="O46" i="1" s="1"/>
  <c r="G47" i="1"/>
  <c r="H47" i="1" s="1"/>
  <c r="O47" i="1" s="1"/>
  <c r="G48" i="1"/>
  <c r="H48" i="1" s="1"/>
  <c r="O48" i="1" s="1"/>
  <c r="G49" i="1"/>
  <c r="H49" i="1" s="1"/>
  <c r="O49" i="1" s="1"/>
  <c r="G50" i="1"/>
  <c r="H50" i="1" s="1"/>
  <c r="O50" i="1" s="1"/>
  <c r="G51" i="1"/>
  <c r="H51" i="1" s="1"/>
  <c r="O51" i="1" s="1"/>
  <c r="G52" i="1"/>
  <c r="H52" i="1" s="1"/>
  <c r="O52" i="1" s="1"/>
  <c r="G53" i="1"/>
  <c r="H53" i="1" s="1"/>
  <c r="O53" i="1" s="1"/>
  <c r="G54" i="1"/>
  <c r="H54" i="1" s="1"/>
  <c r="O54" i="1" s="1"/>
  <c r="G55" i="1"/>
  <c r="G56" i="1"/>
  <c r="G57" i="1"/>
  <c r="H57" i="1" s="1"/>
  <c r="O57" i="1" s="1"/>
  <c r="G58" i="1"/>
  <c r="H58" i="1" s="1"/>
  <c r="O58" i="1" s="1"/>
  <c r="G59" i="1"/>
  <c r="H59" i="1" s="1"/>
  <c r="O59" i="1" s="1"/>
  <c r="G60" i="1"/>
  <c r="H60" i="1" s="1"/>
  <c r="O60" i="1" s="1"/>
  <c r="G3" i="1"/>
  <c r="H3" i="1" s="1"/>
  <c r="M5" i="1" l="1"/>
  <c r="O16" i="1"/>
  <c r="O19" i="1"/>
  <c r="O17" i="1"/>
  <c r="O30" i="1"/>
  <c r="O14" i="1"/>
  <c r="O5" i="1"/>
  <c r="O7" i="1"/>
  <c r="O22" i="1"/>
  <c r="O3" i="1"/>
  <c r="O11" i="1"/>
  <c r="O27" i="1"/>
  <c r="M4" i="1"/>
  <c r="O4" i="1" s="1"/>
  <c r="M8" i="1"/>
  <c r="O8" i="1" s="1"/>
  <c r="O12" i="1"/>
  <c r="O29" i="1"/>
  <c r="O13" i="1"/>
  <c r="O18" i="1"/>
  <c r="M23" i="1"/>
  <c r="O23" i="1" s="1"/>
  <c r="O9" i="1"/>
  <c r="M6" i="1"/>
  <c r="O6" i="1" s="1"/>
  <c r="M10" i="1"/>
  <c r="O10" i="1" s="1"/>
  <c r="O20" i="1"/>
  <c r="O15" i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<sst xmlns="http://schemas.openxmlformats.org/spreadsheetml/2006/main" count="39" uniqueCount="27">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</sst>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4" fillId="10" borderId="1" xfId="1" applyNumberFormat="1" applyFont="1" applyFill="1" applyBorder="1"/>
    <xf numFmtId="187" fontId="4" fillId="10" borderId="7" xfId="1" applyNumberFormat="1" applyFont="1" applyFill="1" applyBorder="1"/>
    <xf numFmtId="187" fontId="2" fillId="0" borderId="6" xfId="1" applyNumberFormat="1" applyFont="1" applyBorder="1"/>
    <xf numFmtId="187" fontId="4" fillId="0" borderId="6" xfId="1" applyNumberFormat="1" applyFont="1" applyBorder="1"/>
    <xf numFmtId="187" fontId="4" fillId="10" borderId="4" xfId="1" applyNumberFormat="1" applyFont="1" applyFill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4" fillId="10" borderId="3" xfId="1" applyNumberFormat="1" applyFont="1" applyFill="1" applyBorder="1"/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10" borderId="6" xfId="1" applyNumberFormat="1" applyFont="1" applyFill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87" fontId="4" fillId="0" borderId="7" xfId="1" applyNumberFormat="1" applyFont="1" applyBorder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64" zoomScaleNormal="32" workbookViewId="0">
      <selection activeCell="A3" sqref="A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8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55" t="s">
        <v>0</v>
      </c>
      <c r="B1" s="55" t="s">
        <v>1</v>
      </c>
      <c r="C1" s="55" t="s">
        <v>2</v>
      </c>
      <c r="D1" s="57" t="s">
        <v>3</v>
      </c>
      <c r="E1" s="59" t="s">
        <v>4</v>
      </c>
      <c r="F1" s="53" t="s">
        <v>5</v>
      </c>
      <c r="G1" s="67" t="s">
        <v>6</v>
      </c>
      <c r="H1" s="67" t="s">
        <v>7</v>
      </c>
      <c r="I1" s="69" t="s">
        <v>8</v>
      </c>
      <c r="J1" s="71" t="s">
        <v>9</v>
      </c>
      <c r="K1" s="71" t="s">
        <v>10</v>
      </c>
      <c r="L1" s="71" t="s">
        <v>11</v>
      </c>
      <c r="M1" s="61" t="s">
        <v>12</v>
      </c>
      <c r="N1" s="63" t="s">
        <v>13</v>
      </c>
      <c r="O1" s="65" t="s">
        <v>14</v>
      </c>
    </row>
    <row r="2" spans="1:15" s="13" customFormat="1" ht="34.799999999999997" customHeight="1" thickBot="1" x14ac:dyDescent="0.75">
      <c r="A2" s="56"/>
      <c r="B2" s="56"/>
      <c r="C2" s="56"/>
      <c r="D2" s="58"/>
      <c r="E2" s="60"/>
      <c r="F2" s="54"/>
      <c r="G2" s="68"/>
      <c r="H2" s="68"/>
      <c r="I2" s="70"/>
      <c r="J2" s="72"/>
      <c r="K2" s="72"/>
      <c r="L2" s="72"/>
      <c r="M2" s="62"/>
      <c r="N2" s="64"/>
      <c r="O2" s="66"/>
    </row>
    <row r="3" spans="1:15" x14ac:dyDescent="0.7">
      <c r="A3" s="2">
        <v>2561</v>
      </c>
      <c r="B3" s="3" t="s">
        <v>15</v>
      </c>
      <c r="C3" s="3">
        <v>1</v>
      </c>
      <c r="D3" s="4">
        <v>15.467000000000001</v>
      </c>
      <c r="E3" s="4">
        <v>0</v>
      </c>
      <c r="F3" s="4">
        <v>15.467000000000001</v>
      </c>
      <c r="G3" s="15">
        <f>F3*86400</f>
        <v>1336348.8</v>
      </c>
      <c r="H3" s="21">
        <f>G3/1000000</f>
        <v>1.3363488000000001</v>
      </c>
      <c r="I3" s="20">
        <v>31104</v>
      </c>
      <c r="J3" s="46">
        <f t="shared" ref="J3:J23" si="0">I3/1000000</f>
        <v>3.1104E-2</v>
      </c>
      <c r="K3" s="20">
        <v>3756</v>
      </c>
      <c r="L3" s="20">
        <f t="shared" ref="L3:L11" si="1">K3/1000000</f>
        <v>3.7559999999999998E-3</v>
      </c>
      <c r="M3" s="20">
        <f t="shared" ref="M3:M23" si="2">J3+L3</f>
        <v>3.4860000000000002E-2</v>
      </c>
      <c r="N3" s="20">
        <v>3.10608E-2</v>
      </c>
      <c r="O3" s="20">
        <f t="shared" ref="O3:O23" si="3">H3-M3-N3</f>
        <v>1.2704279999999999</v>
      </c>
    </row>
    <row r="4" spans="1:15" x14ac:dyDescent="0.7">
      <c r="A4" s="6"/>
      <c r="B4" s="6"/>
      <c r="C4" s="6">
        <v>2</v>
      </c>
      <c r="D4" s="7">
        <v>14.343999999999999</v>
      </c>
      <c r="E4" s="4">
        <v>0</v>
      </c>
      <c r="F4" s="7">
        <v>14.343999999999999</v>
      </c>
      <c r="G4" s="15">
        <f t="shared" ref="G4:G61" si="4">F4*86400</f>
        <v>1239321.5999999999</v>
      </c>
      <c r="H4" s="21">
        <f t="shared" ref="H4:H61" si="5">G4/1000000</f>
        <v>1.2393215999999998</v>
      </c>
      <c r="I4" s="20">
        <v>32137</v>
      </c>
      <c r="J4" s="46">
        <f t="shared" si="0"/>
        <v>3.2136999999999999E-2</v>
      </c>
      <c r="K4" s="20">
        <v>1336</v>
      </c>
      <c r="L4" s="20">
        <f t="shared" si="1"/>
        <v>1.3359999999999999E-3</v>
      </c>
      <c r="M4" s="20">
        <f t="shared" si="2"/>
        <v>3.3472999999999996E-2</v>
      </c>
      <c r="N4" s="20">
        <v>2.5919999999999999E-2</v>
      </c>
      <c r="O4" s="20">
        <f t="shared" si="3"/>
        <v>1.1799285999999998</v>
      </c>
    </row>
    <row r="5" spans="1:15" x14ac:dyDescent="0.7">
      <c r="A5" s="6"/>
      <c r="B5" s="6"/>
      <c r="C5" s="6">
        <v>3</v>
      </c>
      <c r="D5" s="7">
        <v>15.202</v>
      </c>
      <c r="E5" s="4">
        <v>0</v>
      </c>
      <c r="F5" s="7">
        <v>15.202</v>
      </c>
      <c r="G5" s="15">
        <f t="shared" si="4"/>
        <v>1313452.8</v>
      </c>
      <c r="H5" s="21">
        <f t="shared" si="5"/>
        <v>1.3134528000000001</v>
      </c>
      <c r="I5" s="20">
        <v>35076</v>
      </c>
      <c r="J5" s="46">
        <f t="shared" si="0"/>
        <v>3.5076000000000003E-2</v>
      </c>
      <c r="K5" s="20">
        <v>1125</v>
      </c>
      <c r="L5" s="20">
        <f t="shared" si="1"/>
        <v>1.1249999999999999E-3</v>
      </c>
      <c r="M5" s="20">
        <f t="shared" si="2"/>
        <v>3.6201000000000004E-2</v>
      </c>
      <c r="N5" s="20">
        <v>2.5919999999999999E-2</v>
      </c>
      <c r="O5" s="20">
        <f t="shared" si="3"/>
        <v>1.2513318000000002</v>
      </c>
    </row>
    <row r="6" spans="1:15" x14ac:dyDescent="0.7">
      <c r="A6" s="6"/>
      <c r="B6" s="6"/>
      <c r="C6" s="6">
        <v>4</v>
      </c>
      <c r="D6" s="7">
        <v>14.917</v>
      </c>
      <c r="E6" s="4">
        <v>0</v>
      </c>
      <c r="F6" s="7">
        <v>14.917</v>
      </c>
      <c r="G6" s="15">
        <f t="shared" si="4"/>
        <v>1288828.8</v>
      </c>
      <c r="H6" s="21">
        <f t="shared" si="5"/>
        <v>1.2888288000000001</v>
      </c>
      <c r="I6" s="20">
        <v>27550</v>
      </c>
      <c r="J6" s="46">
        <f t="shared" si="0"/>
        <v>2.7550000000000002E-2</v>
      </c>
      <c r="K6" s="20">
        <v>3588</v>
      </c>
      <c r="L6" s="20">
        <f t="shared" si="1"/>
        <v>3.588E-3</v>
      </c>
      <c r="M6" s="20">
        <f t="shared" si="2"/>
        <v>3.1138000000000002E-2</v>
      </c>
      <c r="N6" s="20">
        <v>2.5919999999999999E-2</v>
      </c>
      <c r="O6" s="20">
        <f t="shared" si="3"/>
        <v>1.2317708000000001</v>
      </c>
    </row>
    <row r="7" spans="1:15" x14ac:dyDescent="0.7">
      <c r="A7" s="6"/>
      <c r="B7" s="6"/>
      <c r="C7" s="6">
        <v>5</v>
      </c>
      <c r="D7" s="7">
        <v>14.347000000000001</v>
      </c>
      <c r="E7" s="4">
        <v>0.3</v>
      </c>
      <c r="F7" s="7">
        <v>14.347000000000001</v>
      </c>
      <c r="G7" s="15">
        <f t="shared" si="4"/>
        <v>1239580.8</v>
      </c>
      <c r="H7" s="21">
        <f t="shared" si="5"/>
        <v>1.2395808000000001</v>
      </c>
      <c r="I7" s="20">
        <v>26645</v>
      </c>
      <c r="J7" s="46">
        <f t="shared" si="0"/>
        <v>2.6644999999999999E-2</v>
      </c>
      <c r="K7" s="20">
        <v>4197</v>
      </c>
      <c r="L7" s="20">
        <f t="shared" si="1"/>
        <v>4.1970000000000002E-3</v>
      </c>
      <c r="M7" s="20">
        <f t="shared" si="2"/>
        <v>3.0841999999999998E-2</v>
      </c>
      <c r="N7" s="20">
        <v>0.2</v>
      </c>
      <c r="O7" s="20">
        <f t="shared" si="3"/>
        <v>1.0087388000000002</v>
      </c>
    </row>
    <row r="8" spans="1:15" x14ac:dyDescent="0.7">
      <c r="A8" s="6"/>
      <c r="B8" s="6"/>
      <c r="C8" s="6">
        <v>6</v>
      </c>
      <c r="D8" s="7">
        <v>14.917</v>
      </c>
      <c r="E8" s="4">
        <v>0.7</v>
      </c>
      <c r="F8" s="7">
        <v>14.917</v>
      </c>
      <c r="G8" s="15">
        <f t="shared" si="4"/>
        <v>1288828.8</v>
      </c>
      <c r="H8" s="21">
        <f t="shared" si="5"/>
        <v>1.2888288000000001</v>
      </c>
      <c r="I8" s="20">
        <v>27243</v>
      </c>
      <c r="J8" s="46">
        <f t="shared" si="0"/>
        <v>2.7243E-2</v>
      </c>
      <c r="K8" s="20">
        <v>1347</v>
      </c>
      <c r="L8" s="20">
        <f t="shared" si="1"/>
        <v>1.3470000000000001E-3</v>
      </c>
      <c r="M8" s="20">
        <f t="shared" si="2"/>
        <v>2.8590000000000001E-2</v>
      </c>
      <c r="N8" s="20">
        <v>0.14000000000000001</v>
      </c>
      <c r="O8" s="20">
        <f t="shared" si="3"/>
        <v>1.1202388000000001</v>
      </c>
    </row>
    <row r="9" spans="1:15" x14ac:dyDescent="0.7">
      <c r="A9" s="6"/>
      <c r="B9" s="6"/>
      <c r="C9" s="6">
        <v>7</v>
      </c>
      <c r="D9" s="7">
        <v>16.225000000000001</v>
      </c>
      <c r="E9" s="4">
        <v>0</v>
      </c>
      <c r="F9" s="7">
        <v>16.225000000000001</v>
      </c>
      <c r="G9" s="15">
        <f t="shared" si="4"/>
        <v>1401840.0000000002</v>
      </c>
      <c r="H9" s="21">
        <f t="shared" si="5"/>
        <v>1.4018400000000002</v>
      </c>
      <c r="I9" s="20">
        <v>21862</v>
      </c>
      <c r="J9" s="46">
        <f t="shared" si="0"/>
        <v>2.1861999999999999E-2</v>
      </c>
      <c r="K9" s="20">
        <v>3412</v>
      </c>
      <c r="L9" s="20">
        <f t="shared" si="1"/>
        <v>3.4120000000000001E-3</v>
      </c>
      <c r="M9" s="20">
        <f t="shared" si="2"/>
        <v>2.5273999999999998E-2</v>
      </c>
      <c r="N9" s="20">
        <v>0.14000000000000001</v>
      </c>
      <c r="O9" s="20">
        <f t="shared" si="3"/>
        <v>1.2365660000000003</v>
      </c>
    </row>
    <row r="10" spans="1:15" x14ac:dyDescent="0.7">
      <c r="A10" s="6"/>
      <c r="B10" s="6"/>
      <c r="C10" s="6">
        <v>8</v>
      </c>
      <c r="D10" s="7">
        <v>15.949</v>
      </c>
      <c r="E10" s="4">
        <v>0</v>
      </c>
      <c r="F10" s="7">
        <v>15.949</v>
      </c>
      <c r="G10" s="15">
        <f t="shared" si="4"/>
        <v>1377993.6</v>
      </c>
      <c r="H10" s="21">
        <f t="shared" si="5"/>
        <v>1.3779936000000002</v>
      </c>
      <c r="I10" s="20">
        <v>21225</v>
      </c>
      <c r="J10" s="46">
        <f t="shared" si="0"/>
        <v>2.1225000000000001E-2</v>
      </c>
      <c r="K10" s="20">
        <v>3788</v>
      </c>
      <c r="L10" s="20">
        <f t="shared" si="1"/>
        <v>3.7880000000000001E-3</v>
      </c>
      <c r="M10" s="20">
        <f t="shared" si="2"/>
        <v>2.5013000000000001E-2</v>
      </c>
      <c r="N10" s="20">
        <v>0.19</v>
      </c>
      <c r="O10" s="20">
        <f t="shared" si="3"/>
        <v>1.1629806000000003</v>
      </c>
    </row>
    <row r="11" spans="1:15" x14ac:dyDescent="0.7">
      <c r="A11" s="6"/>
      <c r="B11" s="6"/>
      <c r="C11" s="6">
        <v>9</v>
      </c>
      <c r="D11" s="7">
        <v>14.979999999999999</v>
      </c>
      <c r="E11" s="4">
        <v>0</v>
      </c>
      <c r="F11" s="7">
        <v>14.979999999999999</v>
      </c>
      <c r="G11" s="15">
        <f t="shared" si="4"/>
        <v>1294271.9999999998</v>
      </c>
      <c r="H11" s="21">
        <f t="shared" si="5"/>
        <v>1.2942719999999999</v>
      </c>
      <c r="I11" s="20">
        <v>20794</v>
      </c>
      <c r="J11" s="46">
        <f t="shared" si="0"/>
        <v>2.0794E-2</v>
      </c>
      <c r="K11" s="20">
        <v>1866</v>
      </c>
      <c r="L11" s="20">
        <f t="shared" si="1"/>
        <v>1.866E-3</v>
      </c>
      <c r="M11" s="20">
        <f t="shared" si="2"/>
        <v>2.266E-2</v>
      </c>
      <c r="N11" s="20">
        <v>2.5919999999999999E-2</v>
      </c>
      <c r="O11" s="20">
        <f t="shared" si="3"/>
        <v>1.245692</v>
      </c>
    </row>
    <row r="12" spans="1:15" x14ac:dyDescent="0.7">
      <c r="A12" s="6"/>
      <c r="B12" s="6"/>
      <c r="C12" s="6">
        <v>10</v>
      </c>
      <c r="D12" s="7">
        <v>14.228</v>
      </c>
      <c r="E12" s="4">
        <v>0</v>
      </c>
      <c r="F12" s="7">
        <v>14.228</v>
      </c>
      <c r="G12" s="15">
        <f t="shared" si="4"/>
        <v>1229299.2</v>
      </c>
      <c r="H12" s="21">
        <f t="shared" si="5"/>
        <v>1.2292992</v>
      </c>
      <c r="I12" s="20">
        <v>17442</v>
      </c>
      <c r="J12" s="46">
        <f t="shared" si="0"/>
        <v>1.7441999999999999E-2</v>
      </c>
      <c r="K12" s="20">
        <v>4854</v>
      </c>
      <c r="L12" s="20">
        <v>0</v>
      </c>
      <c r="M12" s="20">
        <f t="shared" si="2"/>
        <v>1.7441999999999999E-2</v>
      </c>
      <c r="N12" s="20">
        <v>2.1000000000000001E-2</v>
      </c>
      <c r="O12" s="20">
        <f t="shared" si="3"/>
        <v>1.1908572000000002</v>
      </c>
    </row>
    <row r="13" spans="1:15" x14ac:dyDescent="0.7">
      <c r="A13" s="6"/>
      <c r="B13" s="6"/>
      <c r="C13" s="6">
        <v>11</v>
      </c>
      <c r="D13" s="7">
        <v>14.765000000000001</v>
      </c>
      <c r="E13" s="4">
        <v>0</v>
      </c>
      <c r="F13" s="7">
        <v>14.765000000000001</v>
      </c>
      <c r="G13" s="15">
        <f t="shared" si="4"/>
        <v>1275696</v>
      </c>
      <c r="H13" s="21">
        <f t="shared" si="5"/>
        <v>1.2756959999999999</v>
      </c>
      <c r="I13" s="20">
        <v>19748</v>
      </c>
      <c r="J13" s="46">
        <f t="shared" si="0"/>
        <v>1.9748000000000002E-2</v>
      </c>
      <c r="K13" s="20">
        <v>493</v>
      </c>
      <c r="L13" s="20">
        <v>0</v>
      </c>
      <c r="M13" s="20">
        <f t="shared" si="2"/>
        <v>1.9748000000000002E-2</v>
      </c>
      <c r="N13" s="20">
        <v>0.23</v>
      </c>
      <c r="O13" s="20">
        <f t="shared" si="3"/>
        <v>1.0259479999999999</v>
      </c>
    </row>
    <row r="14" spans="1:15" x14ac:dyDescent="0.7">
      <c r="A14" s="6"/>
      <c r="B14" s="6"/>
      <c r="C14" s="6">
        <v>12</v>
      </c>
      <c r="D14" s="7">
        <v>13.952</v>
      </c>
      <c r="E14" s="4">
        <v>0</v>
      </c>
      <c r="F14" s="7">
        <v>13.952</v>
      </c>
      <c r="G14" s="15">
        <f t="shared" si="4"/>
        <v>1205452.8</v>
      </c>
      <c r="H14" s="21">
        <f t="shared" si="5"/>
        <v>1.2054528</v>
      </c>
      <c r="I14" s="20">
        <v>11202</v>
      </c>
      <c r="J14" s="46">
        <f t="shared" si="0"/>
        <v>1.1202E-2</v>
      </c>
      <c r="K14" s="20">
        <v>1267</v>
      </c>
      <c r="L14" s="20">
        <v>0</v>
      </c>
      <c r="M14" s="20">
        <f t="shared" si="2"/>
        <v>1.1202E-2</v>
      </c>
      <c r="N14" s="20">
        <v>0</v>
      </c>
      <c r="O14" s="20">
        <f t="shared" si="3"/>
        <v>1.1942508000000001</v>
      </c>
    </row>
    <row r="15" spans="1:15" x14ac:dyDescent="0.7">
      <c r="A15" s="6"/>
      <c r="B15" s="6"/>
      <c r="C15" s="6">
        <v>13</v>
      </c>
      <c r="D15" s="7">
        <v>13.952</v>
      </c>
      <c r="E15" s="4">
        <v>0</v>
      </c>
      <c r="F15" s="7">
        <v>13.952</v>
      </c>
      <c r="G15" s="15">
        <f t="shared" si="4"/>
        <v>1205452.8</v>
      </c>
      <c r="H15" s="21">
        <f t="shared" si="5"/>
        <v>1.2054528</v>
      </c>
      <c r="I15" s="20">
        <v>15599</v>
      </c>
      <c r="J15" s="46">
        <f t="shared" si="0"/>
        <v>1.5599E-2</v>
      </c>
      <c r="K15" s="20">
        <v>341</v>
      </c>
      <c r="L15" s="20">
        <v>0</v>
      </c>
      <c r="M15" s="20">
        <f t="shared" si="2"/>
        <v>1.5599E-2</v>
      </c>
      <c r="N15" s="20">
        <v>3.456E-2</v>
      </c>
      <c r="O15" s="20">
        <f t="shared" si="3"/>
        <v>1.1552938000000001</v>
      </c>
    </row>
    <row r="16" spans="1:15" x14ac:dyDescent="0.7">
      <c r="A16" s="6"/>
      <c r="B16" s="6"/>
      <c r="C16" s="6">
        <v>14</v>
      </c>
      <c r="D16" s="7">
        <v>14.765000000000001</v>
      </c>
      <c r="E16" s="4">
        <v>0</v>
      </c>
      <c r="F16" s="7">
        <v>14.765000000000001</v>
      </c>
      <c r="G16" s="15">
        <f t="shared" si="4"/>
        <v>1275696</v>
      </c>
      <c r="H16" s="21">
        <f t="shared" si="5"/>
        <v>1.2756959999999999</v>
      </c>
      <c r="I16" s="20">
        <v>19351</v>
      </c>
      <c r="J16" s="46">
        <f t="shared" si="0"/>
        <v>1.9351E-2</v>
      </c>
      <c r="K16" s="20">
        <v>6441</v>
      </c>
      <c r="L16" s="20">
        <v>0</v>
      </c>
      <c r="M16" s="20">
        <f t="shared" si="2"/>
        <v>1.9351E-2</v>
      </c>
      <c r="N16" s="20">
        <v>8.6400000000000005E-2</v>
      </c>
      <c r="O16" s="20">
        <f t="shared" si="3"/>
        <v>1.169945</v>
      </c>
    </row>
    <row r="17" spans="1:15" x14ac:dyDescent="0.7">
      <c r="A17" s="6"/>
      <c r="B17" s="6"/>
      <c r="C17" s="6">
        <v>15</v>
      </c>
      <c r="D17" s="7">
        <v>14.765000000000001</v>
      </c>
      <c r="E17" s="4">
        <v>0</v>
      </c>
      <c r="F17" s="7">
        <v>14.765000000000001</v>
      </c>
      <c r="G17" s="15">
        <f t="shared" si="4"/>
        <v>1275696</v>
      </c>
      <c r="H17" s="21">
        <f t="shared" si="5"/>
        <v>1.2756959999999999</v>
      </c>
      <c r="I17" s="20">
        <v>20404</v>
      </c>
      <c r="J17" s="46">
        <f t="shared" si="0"/>
        <v>2.0403999999999999E-2</v>
      </c>
      <c r="K17" s="20">
        <v>456</v>
      </c>
      <c r="L17" s="20">
        <v>0</v>
      </c>
      <c r="M17" s="20">
        <f t="shared" si="2"/>
        <v>2.0403999999999999E-2</v>
      </c>
      <c r="N17" s="20">
        <v>8.6400000000000005E-2</v>
      </c>
      <c r="O17" s="20">
        <f t="shared" si="3"/>
        <v>1.1688919999999998</v>
      </c>
    </row>
    <row r="18" spans="1:15" x14ac:dyDescent="0.7">
      <c r="A18" s="6"/>
      <c r="B18" s="6"/>
      <c r="C18" s="6">
        <v>16</v>
      </c>
      <c r="D18" s="7">
        <v>13.952</v>
      </c>
      <c r="E18" s="4">
        <v>0</v>
      </c>
      <c r="F18" s="7">
        <v>13.952</v>
      </c>
      <c r="G18" s="15">
        <f t="shared" si="4"/>
        <v>1205452.8</v>
      </c>
      <c r="H18" s="21">
        <f t="shared" si="5"/>
        <v>1.2054528</v>
      </c>
      <c r="I18" s="20">
        <v>20682</v>
      </c>
      <c r="J18" s="46">
        <f t="shared" si="0"/>
        <v>2.0681999999999999E-2</v>
      </c>
      <c r="K18" s="20">
        <v>9584</v>
      </c>
      <c r="L18" s="20">
        <v>0</v>
      </c>
      <c r="M18" s="20">
        <f t="shared" si="2"/>
        <v>2.0681999999999999E-2</v>
      </c>
      <c r="N18" s="20">
        <v>8.6400000000000005E-2</v>
      </c>
      <c r="O18" s="20">
        <f t="shared" si="3"/>
        <v>1.0983707999999999</v>
      </c>
    </row>
    <row r="19" spans="1:15" x14ac:dyDescent="0.7">
      <c r="A19" s="6"/>
      <c r="B19" s="6"/>
      <c r="C19" s="6">
        <v>17</v>
      </c>
      <c r="D19" s="7">
        <v>13.087999999999999</v>
      </c>
      <c r="E19" s="4">
        <v>0</v>
      </c>
      <c r="F19" s="7">
        <v>13.087999999999999</v>
      </c>
      <c r="G19" s="15">
        <f t="shared" si="4"/>
        <v>1130803.2</v>
      </c>
      <c r="H19" s="21">
        <f t="shared" si="5"/>
        <v>1.1308031999999999</v>
      </c>
      <c r="I19" s="20">
        <v>20344</v>
      </c>
      <c r="J19" s="46">
        <f t="shared" si="0"/>
        <v>2.0344000000000001E-2</v>
      </c>
      <c r="K19" s="20">
        <v>3462</v>
      </c>
      <c r="L19" s="20">
        <v>0</v>
      </c>
      <c r="M19" s="20">
        <f t="shared" si="2"/>
        <v>2.0344000000000001E-2</v>
      </c>
      <c r="N19" s="20">
        <v>2.5919999999999999E-2</v>
      </c>
      <c r="O19" s="20">
        <f t="shared" si="3"/>
        <v>1.0845392</v>
      </c>
    </row>
    <row r="20" spans="1:15" x14ac:dyDescent="0.7">
      <c r="A20" s="6"/>
      <c r="B20" s="6"/>
      <c r="C20" s="6">
        <v>18</v>
      </c>
      <c r="D20" s="7">
        <v>12.714</v>
      </c>
      <c r="E20" s="4">
        <v>0</v>
      </c>
      <c r="F20" s="7">
        <v>12.714</v>
      </c>
      <c r="G20" s="15">
        <f t="shared" si="4"/>
        <v>1098489.6000000001</v>
      </c>
      <c r="H20" s="21">
        <f t="shared" si="5"/>
        <v>1.0984896000000002</v>
      </c>
      <c r="I20" s="20">
        <v>26684</v>
      </c>
      <c r="J20" s="46">
        <f t="shared" si="0"/>
        <v>2.6683999999999999E-2</v>
      </c>
      <c r="K20" s="20">
        <v>2254</v>
      </c>
      <c r="L20" s="20">
        <f t="shared" ref="L20:L23" si="6">K20/1000000</f>
        <v>2.2539999999999999E-3</v>
      </c>
      <c r="M20" s="20">
        <f t="shared" si="2"/>
        <v>2.8937999999999998E-2</v>
      </c>
      <c r="N20" s="20">
        <v>3.10608E-2</v>
      </c>
      <c r="O20" s="20">
        <f t="shared" si="3"/>
        <v>1.0384908000000004</v>
      </c>
    </row>
    <row r="21" spans="1:15" x14ac:dyDescent="0.7">
      <c r="A21" s="6"/>
      <c r="B21" s="6"/>
      <c r="C21" s="6">
        <v>19</v>
      </c>
      <c r="D21" s="7">
        <v>11.965999999999999</v>
      </c>
      <c r="E21" s="4">
        <v>0</v>
      </c>
      <c r="F21" s="7">
        <v>11.965999999999999</v>
      </c>
      <c r="G21" s="15">
        <f t="shared" si="4"/>
        <v>1033862.3999999999</v>
      </c>
      <c r="H21" s="21">
        <f t="shared" si="5"/>
        <v>1.0338623999999998</v>
      </c>
      <c r="I21" s="20">
        <v>34225</v>
      </c>
      <c r="J21" s="46">
        <f t="shared" si="0"/>
        <v>3.4224999999999998E-2</v>
      </c>
      <c r="K21" s="20">
        <v>4702</v>
      </c>
      <c r="L21" s="20">
        <f t="shared" si="6"/>
        <v>4.7019999999999996E-3</v>
      </c>
      <c r="M21" s="20">
        <f t="shared" si="2"/>
        <v>3.8926999999999996E-2</v>
      </c>
      <c r="N21" s="20">
        <v>3.10608E-2</v>
      </c>
      <c r="O21" s="20">
        <f t="shared" si="3"/>
        <v>0.9638745999999998</v>
      </c>
    </row>
    <row r="22" spans="1:15" x14ac:dyDescent="0.7">
      <c r="A22" s="6"/>
      <c r="B22" s="6"/>
      <c r="C22" s="6">
        <v>20</v>
      </c>
      <c r="D22" s="7">
        <v>11.965999999999999</v>
      </c>
      <c r="E22" s="4">
        <v>0</v>
      </c>
      <c r="F22" s="7">
        <v>11.965999999999999</v>
      </c>
      <c r="G22" s="15">
        <f t="shared" si="4"/>
        <v>1033862.3999999999</v>
      </c>
      <c r="H22" s="21">
        <f t="shared" si="5"/>
        <v>1.0338623999999998</v>
      </c>
      <c r="I22" s="20">
        <v>22570</v>
      </c>
      <c r="J22" s="46">
        <f t="shared" si="0"/>
        <v>2.257E-2</v>
      </c>
      <c r="K22" s="20">
        <v>1687</v>
      </c>
      <c r="L22" s="20">
        <f t="shared" si="6"/>
        <v>1.6869999999999999E-3</v>
      </c>
      <c r="M22" s="20">
        <f t="shared" si="2"/>
        <v>2.4257000000000001E-2</v>
      </c>
      <c r="N22" s="20">
        <v>3.62016E-2</v>
      </c>
      <c r="O22" s="20">
        <f t="shared" si="3"/>
        <v>0.97340379999999982</v>
      </c>
    </row>
    <row r="23" spans="1:15" x14ac:dyDescent="0.7">
      <c r="A23" s="6"/>
      <c r="B23" s="6"/>
      <c r="C23" s="6">
        <v>21</v>
      </c>
      <c r="D23" s="7">
        <v>11.715999999999999</v>
      </c>
      <c r="E23" s="4">
        <v>0</v>
      </c>
      <c r="F23" s="7">
        <v>11.715999999999999</v>
      </c>
      <c r="G23" s="15">
        <f t="shared" si="4"/>
        <v>1012262.3999999999</v>
      </c>
      <c r="H23" s="21">
        <f t="shared" si="5"/>
        <v>1.0122624</v>
      </c>
      <c r="I23" s="20">
        <v>27933</v>
      </c>
      <c r="J23" s="46">
        <f t="shared" si="0"/>
        <v>2.7932999999999999E-2</v>
      </c>
      <c r="K23" s="20">
        <v>1922</v>
      </c>
      <c r="L23" s="20">
        <f t="shared" si="6"/>
        <v>1.9220000000000001E-3</v>
      </c>
      <c r="M23" s="20">
        <f t="shared" si="2"/>
        <v>2.9855E-2</v>
      </c>
      <c r="N23" s="20">
        <v>3.5999999999999997E-2</v>
      </c>
      <c r="O23" s="20">
        <f t="shared" si="3"/>
        <v>0.94640740000000001</v>
      </c>
    </row>
    <row r="24" spans="1:15" x14ac:dyDescent="0.7">
      <c r="A24" s="6"/>
      <c r="B24" s="6"/>
      <c r="C24" s="6">
        <v>22</v>
      </c>
      <c r="D24" s="7">
        <v>11.47</v>
      </c>
      <c r="E24" s="4">
        <v>0</v>
      </c>
      <c r="F24" s="7">
        <v>11.47</v>
      </c>
      <c r="G24" s="15">
        <f t="shared" si="4"/>
        <v>991008</v>
      </c>
      <c r="H24" s="21">
        <f t="shared" si="5"/>
        <v>0.991008</v>
      </c>
      <c r="I24" s="20">
        <v>30440.857142857101</v>
      </c>
      <c r="J24" s="46">
        <f t="shared" ref="J24:J33" si="7">I24/1000000</f>
        <v>3.0440857142857103E-2</v>
      </c>
      <c r="K24" s="20">
        <v>3536.4285714285702</v>
      </c>
      <c r="L24" s="20">
        <v>0</v>
      </c>
      <c r="M24" s="20">
        <f t="shared" ref="M24:M42" si="8">J24+L24</f>
        <v>3.0440857142857103E-2</v>
      </c>
      <c r="N24" s="20">
        <v>1.23696E-2</v>
      </c>
      <c r="O24" s="20">
        <f t="shared" ref="O24:O42" si="9">H24-M24-N24</f>
        <v>0.94819754285714297</v>
      </c>
    </row>
    <row r="25" spans="1:15" x14ac:dyDescent="0.7">
      <c r="A25" s="6"/>
      <c r="B25" s="6"/>
      <c r="C25" s="6">
        <v>23</v>
      </c>
      <c r="D25" s="7">
        <v>10.84</v>
      </c>
      <c r="E25" s="4">
        <v>0</v>
      </c>
      <c r="F25" s="7">
        <v>10.84</v>
      </c>
      <c r="G25" s="15">
        <f t="shared" si="4"/>
        <v>936576</v>
      </c>
      <c r="H25" s="21">
        <f t="shared" si="5"/>
        <v>0.93657599999999996</v>
      </c>
      <c r="I25" s="20">
        <v>31878.1428571428</v>
      </c>
      <c r="J25" s="46">
        <f t="shared" si="7"/>
        <v>3.1878142857142799E-2</v>
      </c>
      <c r="K25" s="20">
        <v>4030.7857142857101</v>
      </c>
      <c r="L25" s="20">
        <v>0</v>
      </c>
      <c r="M25" s="20">
        <f t="shared" si="8"/>
        <v>3.1878142857142799E-2</v>
      </c>
      <c r="N25" s="20">
        <v>3.5675999999999798E-3</v>
      </c>
      <c r="O25" s="20">
        <f t="shared" si="9"/>
        <v>0.90113025714285722</v>
      </c>
    </row>
    <row r="26" spans="1:15" x14ac:dyDescent="0.7">
      <c r="A26" s="6"/>
      <c r="B26" s="6"/>
      <c r="C26" s="6">
        <v>24</v>
      </c>
      <c r="D26" s="7">
        <v>10.595000000000001</v>
      </c>
      <c r="E26" s="4">
        <v>0</v>
      </c>
      <c r="F26" s="7">
        <v>10.595000000000001</v>
      </c>
      <c r="G26" s="15">
        <f t="shared" si="4"/>
        <v>915408</v>
      </c>
      <c r="H26" s="21">
        <f t="shared" si="5"/>
        <v>0.915408</v>
      </c>
      <c r="I26" s="20">
        <v>33315.4285714285</v>
      </c>
      <c r="J26" s="46">
        <f t="shared" si="7"/>
        <v>3.3315428571428503E-2</v>
      </c>
      <c r="K26" s="20">
        <v>4525.1428571428596</v>
      </c>
      <c r="L26" s="20">
        <v>0</v>
      </c>
      <c r="M26" s="20">
        <f t="shared" si="8"/>
        <v>3.3315428571428503E-2</v>
      </c>
      <c r="N26" s="20">
        <v>-5.2344000000000097E-3</v>
      </c>
      <c r="O26" s="20">
        <f t="shared" si="9"/>
        <v>0.88732697142857142</v>
      </c>
    </row>
    <row r="27" spans="1:15" x14ac:dyDescent="0.7">
      <c r="A27" s="6"/>
      <c r="B27" s="6"/>
      <c r="C27" s="6">
        <v>25</v>
      </c>
      <c r="D27" s="7">
        <v>10.34</v>
      </c>
      <c r="E27" s="4">
        <v>0</v>
      </c>
      <c r="F27" s="7">
        <v>10.34</v>
      </c>
      <c r="G27" s="15">
        <f t="shared" si="4"/>
        <v>893376</v>
      </c>
      <c r="H27" s="21">
        <f t="shared" si="5"/>
        <v>0.89337599999999995</v>
      </c>
      <c r="I27" s="20">
        <v>34752.714285714203</v>
      </c>
      <c r="J27" s="46">
        <f t="shared" si="7"/>
        <v>3.4752714285714199E-2</v>
      </c>
      <c r="K27" s="20">
        <v>5019.5</v>
      </c>
      <c r="L27" s="20">
        <f t="shared" ref="L27:L30" si="10">K27/1000000</f>
        <v>5.0194999999999997E-3</v>
      </c>
      <c r="M27" s="20">
        <f t="shared" si="8"/>
        <v>3.9772214285714202E-2</v>
      </c>
      <c r="N27" s="20">
        <v>-1.4036399999999999E-2</v>
      </c>
      <c r="O27" s="20">
        <f t="shared" si="9"/>
        <v>0.86764018571428569</v>
      </c>
    </row>
    <row r="28" spans="1:15" x14ac:dyDescent="0.7">
      <c r="A28" s="6"/>
      <c r="B28" s="6"/>
      <c r="C28" s="6">
        <v>26</v>
      </c>
      <c r="D28" s="7">
        <v>10.077</v>
      </c>
      <c r="E28" s="4">
        <v>0</v>
      </c>
      <c r="F28" s="7">
        <v>10.077</v>
      </c>
      <c r="G28" s="15">
        <f t="shared" si="4"/>
        <v>870652.8</v>
      </c>
      <c r="H28" s="21">
        <f t="shared" si="5"/>
        <v>0.8706528</v>
      </c>
      <c r="I28" s="20">
        <v>36190</v>
      </c>
      <c r="J28" s="46">
        <f t="shared" si="7"/>
        <v>3.619E-2</v>
      </c>
      <c r="K28" s="20">
        <v>5513.8571428571404</v>
      </c>
      <c r="L28" s="20">
        <f t="shared" si="10"/>
        <v>5.5138571428571407E-3</v>
      </c>
      <c r="M28" s="20">
        <f t="shared" si="8"/>
        <v>4.170385714285714E-2</v>
      </c>
      <c r="N28" s="20">
        <v>-2.2838399999999998E-2</v>
      </c>
      <c r="O28" s="20">
        <f t="shared" si="9"/>
        <v>0.85178734285714286</v>
      </c>
    </row>
    <row r="29" spans="1:15" x14ac:dyDescent="0.7">
      <c r="A29" s="6"/>
      <c r="B29" s="6"/>
      <c r="C29" s="6">
        <v>27</v>
      </c>
      <c r="D29" s="7">
        <v>10.077</v>
      </c>
      <c r="E29" s="4">
        <v>0</v>
      </c>
      <c r="F29" s="7">
        <v>10.077</v>
      </c>
      <c r="G29" s="15">
        <f t="shared" si="4"/>
        <v>870652.8</v>
      </c>
      <c r="H29" s="21">
        <f t="shared" si="5"/>
        <v>0.8706528</v>
      </c>
      <c r="I29" s="20">
        <v>37627.285714285703</v>
      </c>
      <c r="J29" s="46">
        <f t="shared" si="7"/>
        <v>3.7627285714285703E-2</v>
      </c>
      <c r="K29" s="20">
        <v>6008.2142857142799</v>
      </c>
      <c r="L29" s="20">
        <f t="shared" si="10"/>
        <v>6.0082142857142799E-3</v>
      </c>
      <c r="M29" s="20">
        <f t="shared" si="8"/>
        <v>4.363549999999998E-2</v>
      </c>
      <c r="N29" s="20">
        <v>-3.1640399999999999E-2</v>
      </c>
      <c r="O29" s="20">
        <f t="shared" si="9"/>
        <v>0.85865770000000008</v>
      </c>
    </row>
    <row r="30" spans="1:15" x14ac:dyDescent="0.7">
      <c r="A30" s="6"/>
      <c r="B30" s="6"/>
      <c r="C30" s="6">
        <v>28</v>
      </c>
      <c r="D30" s="7">
        <v>10.077</v>
      </c>
      <c r="E30" s="4">
        <v>0</v>
      </c>
      <c r="F30" s="7">
        <v>10.077</v>
      </c>
      <c r="G30" s="15">
        <f t="shared" si="4"/>
        <v>870652.8</v>
      </c>
      <c r="H30" s="21">
        <f t="shared" si="5"/>
        <v>0.8706528</v>
      </c>
      <c r="I30" s="20">
        <v>39064.571428571398</v>
      </c>
      <c r="J30" s="46">
        <f t="shared" si="7"/>
        <v>3.90645714285714E-2</v>
      </c>
      <c r="K30" s="20">
        <v>6502.5714285714303</v>
      </c>
      <c r="L30" s="20">
        <f t="shared" si="10"/>
        <v>6.5025714285714305E-3</v>
      </c>
      <c r="M30" s="20">
        <f t="shared" si="8"/>
        <v>4.5567142857142834E-2</v>
      </c>
      <c r="N30" s="20">
        <v>-4.0442400000000003E-2</v>
      </c>
      <c r="O30" s="20">
        <f t="shared" si="9"/>
        <v>0.86552805714285719</v>
      </c>
    </row>
    <row r="31" spans="1:15" x14ac:dyDescent="0.7">
      <c r="A31" s="6"/>
      <c r="B31" s="6"/>
      <c r="C31" s="6">
        <v>29</v>
      </c>
      <c r="D31" s="7">
        <v>9.532</v>
      </c>
      <c r="E31" s="4">
        <v>0</v>
      </c>
      <c r="F31" s="7">
        <v>9.532</v>
      </c>
      <c r="G31" s="15">
        <f t="shared" si="4"/>
        <v>823564.80000000005</v>
      </c>
      <c r="H31" s="21">
        <f t="shared" si="5"/>
        <v>0.8235648000000001</v>
      </c>
      <c r="I31" s="20">
        <v>40501.857142857101</v>
      </c>
      <c r="J31" s="46">
        <f t="shared" si="7"/>
        <v>4.0501857142857103E-2</v>
      </c>
      <c r="K31" s="20">
        <v>6996.9285714285697</v>
      </c>
      <c r="L31" s="20">
        <v>0</v>
      </c>
      <c r="M31" s="20">
        <f t="shared" si="8"/>
        <v>4.0501857142857103E-2</v>
      </c>
      <c r="N31" s="20">
        <v>-4.9244400000000001E-2</v>
      </c>
      <c r="O31" s="20">
        <f t="shared" si="9"/>
        <v>0.83230734285714292</v>
      </c>
    </row>
    <row r="32" spans="1:15" x14ac:dyDescent="0.7">
      <c r="A32" s="6"/>
      <c r="B32" s="6"/>
      <c r="C32" s="6">
        <v>30</v>
      </c>
      <c r="D32" s="7">
        <v>8.5289999999999999</v>
      </c>
      <c r="E32" s="4">
        <v>0</v>
      </c>
      <c r="F32" s="7">
        <v>8.5289999999999999</v>
      </c>
      <c r="G32" s="15">
        <f t="shared" si="4"/>
        <v>736905.6</v>
      </c>
      <c r="H32" s="21">
        <f t="shared" si="5"/>
        <v>0.73690559999999994</v>
      </c>
      <c r="I32" s="20">
        <v>41939.142857142797</v>
      </c>
      <c r="J32" s="46">
        <f t="shared" si="7"/>
        <v>4.19391428571428E-2</v>
      </c>
      <c r="K32" s="20">
        <v>7491.2857142857101</v>
      </c>
      <c r="L32" s="20">
        <v>0</v>
      </c>
      <c r="M32" s="20">
        <f t="shared" si="8"/>
        <v>4.19391428571428E-2</v>
      </c>
      <c r="N32" s="20">
        <v>-5.8046399999999998E-2</v>
      </c>
      <c r="O32" s="20">
        <f t="shared" si="9"/>
        <v>0.75301285714285715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8.0079999999999991</v>
      </c>
      <c r="E33" s="19">
        <v>0</v>
      </c>
      <c r="F33" s="10">
        <v>8.0079999999999991</v>
      </c>
      <c r="G33" s="28">
        <f t="shared" si="4"/>
        <v>691891.19999999995</v>
      </c>
      <c r="H33" s="29">
        <f t="shared" si="5"/>
        <v>0.69189119999999993</v>
      </c>
      <c r="I33" s="22">
        <v>43376.4285714285</v>
      </c>
      <c r="J33" s="47">
        <f t="shared" si="7"/>
        <v>4.3376428571428496E-2</v>
      </c>
      <c r="K33" s="22">
        <v>7985.6428571428596</v>
      </c>
      <c r="L33" s="22">
        <v>0</v>
      </c>
      <c r="M33" s="22">
        <f t="shared" si="8"/>
        <v>4.3376428571428496E-2</v>
      </c>
      <c r="N33" s="22">
        <v>-6.6848400000000002E-2</v>
      </c>
      <c r="O33" s="22">
        <f t="shared" si="9"/>
        <v>0.71536317142857142</v>
      </c>
    </row>
    <row r="34" spans="1:15" x14ac:dyDescent="0.7">
      <c r="A34" s="3"/>
      <c r="B34" s="3" t="s">
        <v>16</v>
      </c>
      <c r="C34" s="3">
        <v>1</v>
      </c>
      <c r="D34" s="4">
        <v>8.0079999999999991</v>
      </c>
      <c r="E34" s="4">
        <v>0</v>
      </c>
      <c r="F34" s="4">
        <v>8.0079999999999991</v>
      </c>
      <c r="G34" s="15">
        <f t="shared" si="4"/>
        <v>691891.19999999995</v>
      </c>
      <c r="H34" s="21">
        <f t="shared" si="5"/>
        <v>0.69189119999999993</v>
      </c>
      <c r="I34" s="16">
        <v>13301</v>
      </c>
      <c r="J34" s="25">
        <v>1.3301E-2</v>
      </c>
      <c r="K34" s="16">
        <v>0</v>
      </c>
      <c r="L34" s="16">
        <v>0</v>
      </c>
      <c r="M34" s="16">
        <f t="shared" si="8"/>
        <v>1.3301E-2</v>
      </c>
      <c r="N34" s="27">
        <v>6.2121599999999999E-2</v>
      </c>
      <c r="O34" s="4">
        <f t="shared" si="9"/>
        <v>0.61646859999999992</v>
      </c>
    </row>
    <row r="35" spans="1:15" x14ac:dyDescent="0.7">
      <c r="A35" s="6"/>
      <c r="B35" s="6"/>
      <c r="C35" s="6">
        <v>2</v>
      </c>
      <c r="D35" s="7">
        <v>8.0079999999999991</v>
      </c>
      <c r="E35" s="4">
        <v>0</v>
      </c>
      <c r="F35" s="7">
        <v>8.0079999999999991</v>
      </c>
      <c r="G35" s="15">
        <f t="shared" si="4"/>
        <v>691891.19999999995</v>
      </c>
      <c r="H35" s="21">
        <f t="shared" si="5"/>
        <v>0.69189119999999993</v>
      </c>
      <c r="I35" s="17">
        <v>13718</v>
      </c>
      <c r="J35" s="31">
        <v>1.3717999999999999E-2</v>
      </c>
      <c r="K35" s="17">
        <v>8539</v>
      </c>
      <c r="L35" s="17">
        <v>8.5389999999999997E-3</v>
      </c>
      <c r="M35" s="17">
        <f t="shared" si="8"/>
        <v>2.2256999999999999E-2</v>
      </c>
      <c r="N35" s="26">
        <v>6.2121599999999999E-2</v>
      </c>
      <c r="O35" s="7">
        <f t="shared" si="9"/>
        <v>0.60751259999999996</v>
      </c>
    </row>
    <row r="36" spans="1:15" x14ac:dyDescent="0.7">
      <c r="A36" s="6"/>
      <c r="B36" s="6"/>
      <c r="C36" s="6">
        <v>3</v>
      </c>
      <c r="D36" s="7">
        <v>8.0079999999999991</v>
      </c>
      <c r="E36" s="4">
        <v>0</v>
      </c>
      <c r="F36" s="7">
        <v>8.0079999999999991</v>
      </c>
      <c r="G36" s="15">
        <f t="shared" si="4"/>
        <v>691891.19999999995</v>
      </c>
      <c r="H36" s="21">
        <f t="shared" si="5"/>
        <v>0.69189119999999993</v>
      </c>
      <c r="I36" s="17">
        <v>13702</v>
      </c>
      <c r="J36" s="31">
        <v>1.3702000000000001E-2</v>
      </c>
      <c r="K36" s="17">
        <v>5096</v>
      </c>
      <c r="L36" s="17">
        <v>5.0959999999999998E-3</v>
      </c>
      <c r="M36" s="17">
        <f t="shared" si="8"/>
        <v>1.8798000000000002E-2</v>
      </c>
      <c r="N36" s="26">
        <v>6.2121599999999999E-2</v>
      </c>
      <c r="O36" s="7">
        <f t="shared" si="9"/>
        <v>0.61097159999999995</v>
      </c>
    </row>
    <row r="37" spans="1:15" x14ac:dyDescent="0.7">
      <c r="A37" s="6"/>
      <c r="B37" s="6"/>
      <c r="C37" s="6">
        <v>4</v>
      </c>
      <c r="D37" s="7">
        <v>8.0150000000000006</v>
      </c>
      <c r="E37" s="4">
        <v>0</v>
      </c>
      <c r="F37" s="7">
        <v>8.0150000000000006</v>
      </c>
      <c r="G37" s="15">
        <f t="shared" si="4"/>
        <v>692496</v>
      </c>
      <c r="H37" s="21">
        <f t="shared" si="5"/>
        <v>0.692496</v>
      </c>
      <c r="I37" s="17">
        <v>15210</v>
      </c>
      <c r="J37" s="31">
        <v>1.521E-2</v>
      </c>
      <c r="K37" s="17">
        <v>6073</v>
      </c>
      <c r="L37" s="17">
        <v>6.0730000000000003E-3</v>
      </c>
      <c r="M37" s="17">
        <f t="shared" si="8"/>
        <v>2.1283E-2</v>
      </c>
      <c r="N37" s="26">
        <v>6.2121599999999999E-2</v>
      </c>
      <c r="O37" s="7">
        <f t="shared" si="9"/>
        <v>0.60909139999999995</v>
      </c>
    </row>
    <row r="38" spans="1:15" x14ac:dyDescent="0.7">
      <c r="A38" s="6"/>
      <c r="B38" s="6"/>
      <c r="C38" s="6">
        <v>5</v>
      </c>
      <c r="D38" s="7">
        <v>8.0150000000000006</v>
      </c>
      <c r="E38" s="4">
        <v>0</v>
      </c>
      <c r="F38" s="7">
        <v>8.0150000000000006</v>
      </c>
      <c r="G38" s="15">
        <f t="shared" si="4"/>
        <v>692496</v>
      </c>
      <c r="H38" s="21">
        <f t="shared" si="5"/>
        <v>0.692496</v>
      </c>
      <c r="I38" s="17">
        <v>15396</v>
      </c>
      <c r="J38" s="31">
        <v>1.5396E-2</v>
      </c>
      <c r="K38" s="17">
        <v>6299</v>
      </c>
      <c r="L38" s="17">
        <v>6.2989999999999999E-3</v>
      </c>
      <c r="M38" s="17">
        <f t="shared" si="8"/>
        <v>2.1694999999999999E-2</v>
      </c>
      <c r="N38" s="26">
        <v>6.2121599999999999E-2</v>
      </c>
      <c r="O38" s="7">
        <f t="shared" si="9"/>
        <v>0.60867939999999998</v>
      </c>
    </row>
    <row r="39" spans="1:15" x14ac:dyDescent="0.7">
      <c r="A39" s="6"/>
      <c r="B39" s="6"/>
      <c r="C39" s="6">
        <v>6</v>
      </c>
      <c r="D39" s="7">
        <v>8.0150000000000006</v>
      </c>
      <c r="E39" s="4">
        <v>0</v>
      </c>
      <c r="F39" s="7">
        <v>8.0150000000000006</v>
      </c>
      <c r="G39" s="15">
        <f t="shared" si="4"/>
        <v>692496</v>
      </c>
      <c r="H39" s="21">
        <f t="shared" si="5"/>
        <v>0.692496</v>
      </c>
      <c r="I39" s="17">
        <v>17770</v>
      </c>
      <c r="J39" s="31">
        <v>1.7770000000000001E-2</v>
      </c>
      <c r="K39" s="17">
        <v>5947</v>
      </c>
      <c r="L39" s="17">
        <v>5.947E-3</v>
      </c>
      <c r="M39" s="17">
        <f t="shared" si="8"/>
        <v>2.3717000000000002E-2</v>
      </c>
      <c r="N39" s="26">
        <v>5.1839999999999997E-2</v>
      </c>
      <c r="O39" s="7">
        <f t="shared" si="9"/>
        <v>0.61693900000000002</v>
      </c>
    </row>
    <row r="40" spans="1:15" x14ac:dyDescent="0.7">
      <c r="A40" s="6"/>
      <c r="B40" s="6"/>
      <c r="C40" s="6">
        <v>7</v>
      </c>
      <c r="D40" s="7">
        <v>8.0150000000000006</v>
      </c>
      <c r="E40" s="4">
        <v>0</v>
      </c>
      <c r="F40" s="7">
        <v>8.0150000000000006</v>
      </c>
      <c r="G40" s="15">
        <f t="shared" si="4"/>
        <v>692496</v>
      </c>
      <c r="H40" s="21">
        <f t="shared" si="5"/>
        <v>0.692496</v>
      </c>
      <c r="I40" s="17">
        <v>18159</v>
      </c>
      <c r="J40" s="31">
        <v>1.8159000000000002E-2</v>
      </c>
      <c r="K40" s="17">
        <v>6069</v>
      </c>
      <c r="L40" s="17">
        <v>6.0689999999999997E-3</v>
      </c>
      <c r="M40" s="17">
        <f t="shared" si="8"/>
        <v>2.4228E-2</v>
      </c>
      <c r="N40" s="26">
        <v>5.1839999999999997E-2</v>
      </c>
      <c r="O40" s="7">
        <f t="shared" si="9"/>
        <v>0.61642799999999998</v>
      </c>
    </row>
    <row r="41" spans="1:15" x14ac:dyDescent="0.7">
      <c r="A41" s="6"/>
      <c r="B41" s="6"/>
      <c r="C41" s="6">
        <v>8</v>
      </c>
      <c r="D41" s="7">
        <v>8.0150000000000006</v>
      </c>
      <c r="E41" s="4">
        <v>0</v>
      </c>
      <c r="F41" s="7">
        <v>8.0150000000000006</v>
      </c>
      <c r="G41" s="15">
        <f t="shared" si="4"/>
        <v>692496</v>
      </c>
      <c r="H41" s="21">
        <f t="shared" si="5"/>
        <v>0.692496</v>
      </c>
      <c r="I41" s="17">
        <v>15637</v>
      </c>
      <c r="J41" s="31">
        <v>1.5637000000000002E-2</v>
      </c>
      <c r="K41" s="17">
        <v>6263</v>
      </c>
      <c r="L41" s="17">
        <v>6.2630000000000003E-3</v>
      </c>
      <c r="M41" s="17">
        <f t="shared" si="8"/>
        <v>2.1900000000000003E-2</v>
      </c>
      <c r="N41" s="26">
        <v>3.456E-2</v>
      </c>
      <c r="O41" s="7">
        <f t="shared" si="9"/>
        <v>0.63603599999999993</v>
      </c>
    </row>
    <row r="42" spans="1:15" x14ac:dyDescent="0.7">
      <c r="A42" s="6"/>
      <c r="B42" s="6"/>
      <c r="C42" s="6">
        <v>9</v>
      </c>
      <c r="D42" s="7">
        <v>8.0150000000000006</v>
      </c>
      <c r="E42" s="4">
        <v>0</v>
      </c>
      <c r="F42" s="7">
        <v>8.0150000000000006</v>
      </c>
      <c r="G42" s="15">
        <f t="shared" si="4"/>
        <v>692496</v>
      </c>
      <c r="H42" s="21">
        <f t="shared" si="5"/>
        <v>0.692496</v>
      </c>
      <c r="I42" s="17">
        <v>14685</v>
      </c>
      <c r="J42" s="31">
        <v>1.4685E-2</v>
      </c>
      <c r="K42" s="17">
        <v>6810</v>
      </c>
      <c r="L42" s="17">
        <v>6.8100000000000001E-3</v>
      </c>
      <c r="M42" s="17">
        <f t="shared" si="8"/>
        <v>2.1495E-2</v>
      </c>
      <c r="N42" s="26">
        <v>3.456E-2</v>
      </c>
      <c r="O42" s="7">
        <f t="shared" si="9"/>
        <v>0.63644099999999992</v>
      </c>
    </row>
    <row r="43" spans="1:15" x14ac:dyDescent="0.7">
      <c r="A43" s="6"/>
      <c r="B43" s="6"/>
      <c r="C43" s="6">
        <v>10</v>
      </c>
      <c r="D43" s="7">
        <v>8.0150000000000006</v>
      </c>
      <c r="E43" s="4">
        <v>0</v>
      </c>
      <c r="F43" s="7">
        <v>8.0150000000000006</v>
      </c>
      <c r="G43" s="15">
        <f t="shared" si="4"/>
        <v>692496</v>
      </c>
      <c r="H43" s="21">
        <f t="shared" si="5"/>
        <v>0.692496</v>
      </c>
      <c r="I43" s="17">
        <v>17183.694444444402</v>
      </c>
      <c r="J43" s="31">
        <v>1.7183694444444401E-2</v>
      </c>
      <c r="K43" s="17">
        <v>7530</v>
      </c>
      <c r="L43" s="17">
        <v>7.5300000000000002E-3</v>
      </c>
      <c r="M43" s="17">
        <f t="shared" ref="M43:M58" si="11">J43+L43</f>
        <v>2.4713694444444399E-2</v>
      </c>
      <c r="N43" s="26">
        <v>3.5063999999999998E-2</v>
      </c>
      <c r="O43" s="7">
        <f t="shared" ref="O43:O58" si="12">H43-M43-N43</f>
        <v>0.63271830555555564</v>
      </c>
    </row>
    <row r="44" spans="1:15" x14ac:dyDescent="0.7">
      <c r="A44" s="6"/>
      <c r="B44" s="6"/>
      <c r="C44" s="6">
        <v>11</v>
      </c>
      <c r="D44" s="7">
        <v>8.0150000000000006</v>
      </c>
      <c r="E44" s="4">
        <v>0</v>
      </c>
      <c r="F44" s="7">
        <v>8.0150000000000006</v>
      </c>
      <c r="G44" s="15">
        <f t="shared" si="4"/>
        <v>692496</v>
      </c>
      <c r="H44" s="21">
        <f t="shared" si="5"/>
        <v>0.692496</v>
      </c>
      <c r="I44" s="17">
        <v>17563.144444444399</v>
      </c>
      <c r="J44" s="31">
        <v>1.7563144444444401E-2</v>
      </c>
      <c r="K44" s="17">
        <v>7900.5333333333301</v>
      </c>
      <c r="L44" s="17">
        <v>7.9005333333333292E-3</v>
      </c>
      <c r="M44" s="17">
        <f t="shared" si="11"/>
        <v>2.5463677777777728E-2</v>
      </c>
      <c r="N44" s="26">
        <v>3.1334399999999998E-2</v>
      </c>
      <c r="O44" s="7">
        <f t="shared" si="12"/>
        <v>0.63569792222222232</v>
      </c>
    </row>
    <row r="45" spans="1:15" x14ac:dyDescent="0.7">
      <c r="A45" s="6"/>
      <c r="B45" s="6"/>
      <c r="C45" s="6">
        <v>12</v>
      </c>
      <c r="D45" s="7">
        <v>8.0150000000000006</v>
      </c>
      <c r="E45" s="4">
        <v>0</v>
      </c>
      <c r="F45" s="7">
        <v>8.0150000000000006</v>
      </c>
      <c r="G45" s="15">
        <f t="shared" si="4"/>
        <v>692496</v>
      </c>
      <c r="H45" s="21">
        <f t="shared" si="5"/>
        <v>0.692496</v>
      </c>
      <c r="I45" s="17">
        <v>17942.594444444399</v>
      </c>
      <c r="J45" s="31">
        <v>1.7942594444444401E-2</v>
      </c>
      <c r="K45" s="17">
        <v>8271.0666666666602</v>
      </c>
      <c r="L45" s="17">
        <v>8.2710666666666703E-3</v>
      </c>
      <c r="M45" s="17">
        <f t="shared" si="11"/>
        <v>2.6213661111111071E-2</v>
      </c>
      <c r="N45" s="26">
        <v>2.7604799999999999E-2</v>
      </c>
      <c r="O45" s="7">
        <f t="shared" si="12"/>
        <v>0.6386775388888889</v>
      </c>
    </row>
    <row r="46" spans="1:15" x14ac:dyDescent="0.7">
      <c r="A46" s="6"/>
      <c r="B46" s="6"/>
      <c r="C46" s="6">
        <v>13</v>
      </c>
      <c r="D46" s="7">
        <v>7.7060000000000004</v>
      </c>
      <c r="E46" s="4">
        <v>0</v>
      </c>
      <c r="F46" s="7">
        <v>7.7060000000000004</v>
      </c>
      <c r="G46" s="15">
        <f t="shared" si="4"/>
        <v>665798.40000000002</v>
      </c>
      <c r="H46" s="21">
        <f t="shared" si="5"/>
        <v>0.66579840000000001</v>
      </c>
      <c r="I46" s="17">
        <v>18322.0444444444</v>
      </c>
      <c r="J46" s="31">
        <v>1.8322044444444401E-2</v>
      </c>
      <c r="K46" s="17">
        <v>8641.6</v>
      </c>
      <c r="L46" s="17">
        <v>8.6415999999999993E-3</v>
      </c>
      <c r="M46" s="17">
        <f t="shared" si="11"/>
        <v>2.69636444444444E-2</v>
      </c>
      <c r="N46" s="26">
        <v>2.3875199999999999E-2</v>
      </c>
      <c r="O46" s="7">
        <f t="shared" si="12"/>
        <v>0.61495955555555559</v>
      </c>
    </row>
    <row r="47" spans="1:15" x14ac:dyDescent="0.7">
      <c r="A47" s="6"/>
      <c r="B47" s="6"/>
      <c r="C47" s="6">
        <v>14</v>
      </c>
      <c r="D47" s="7">
        <v>7.7060000000000004</v>
      </c>
      <c r="E47" s="4">
        <v>0</v>
      </c>
      <c r="F47" s="7">
        <v>7.7060000000000004</v>
      </c>
      <c r="G47" s="15">
        <f t="shared" si="4"/>
        <v>665798.40000000002</v>
      </c>
      <c r="H47" s="21">
        <f t="shared" si="5"/>
        <v>0.66579840000000001</v>
      </c>
      <c r="I47" s="17">
        <v>18701.494444444401</v>
      </c>
      <c r="J47" s="31">
        <v>1.87014944444444E-2</v>
      </c>
      <c r="K47" s="17">
        <v>9012.1333333333296</v>
      </c>
      <c r="L47" s="17">
        <v>9.01213333333333E-3</v>
      </c>
      <c r="M47" s="17">
        <f t="shared" si="11"/>
        <v>2.7713627777777729E-2</v>
      </c>
      <c r="N47" s="26">
        <v>2.01456E-2</v>
      </c>
      <c r="O47" s="7">
        <f t="shared" si="12"/>
        <v>0.61793917222222228</v>
      </c>
    </row>
    <row r="48" spans="1:15" x14ac:dyDescent="0.7">
      <c r="A48" s="6"/>
      <c r="B48" s="6"/>
      <c r="C48" s="6">
        <v>15</v>
      </c>
      <c r="D48" s="7">
        <v>7.7060000000000004</v>
      </c>
      <c r="E48" s="4">
        <v>0</v>
      </c>
      <c r="F48" s="7">
        <v>7.7060000000000004</v>
      </c>
      <c r="G48" s="15">
        <f t="shared" si="4"/>
        <v>665798.40000000002</v>
      </c>
      <c r="H48" s="21">
        <f t="shared" si="5"/>
        <v>0.66579840000000001</v>
      </c>
      <c r="I48" s="17">
        <v>19080.944444444402</v>
      </c>
      <c r="J48" s="31">
        <v>1.90809444444444E-2</v>
      </c>
      <c r="K48" s="17">
        <v>9382.6666666666606</v>
      </c>
      <c r="L48" s="17">
        <v>9.3826666666666694E-3</v>
      </c>
      <c r="M48" s="17">
        <f t="shared" si="11"/>
        <v>2.8463611111111072E-2</v>
      </c>
      <c r="N48" s="26">
        <v>1.6416E-2</v>
      </c>
      <c r="O48" s="7">
        <f t="shared" si="12"/>
        <v>0.62091878888888896</v>
      </c>
    </row>
    <row r="49" spans="1:15" x14ac:dyDescent="0.7">
      <c r="A49" s="6"/>
      <c r="B49" s="6"/>
      <c r="C49" s="6">
        <v>16</v>
      </c>
      <c r="D49" s="7">
        <v>7.67</v>
      </c>
      <c r="E49" s="4">
        <v>0</v>
      </c>
      <c r="F49" s="7">
        <v>7.67</v>
      </c>
      <c r="G49" s="15">
        <f t="shared" si="4"/>
        <v>662688</v>
      </c>
      <c r="H49" s="21">
        <f t="shared" si="5"/>
        <v>0.66268800000000005</v>
      </c>
      <c r="I49" s="17">
        <v>19460.394444444399</v>
      </c>
      <c r="J49" s="31">
        <v>1.94603944444444E-2</v>
      </c>
      <c r="K49" s="17">
        <v>9753.2000000000007</v>
      </c>
      <c r="L49" s="17">
        <v>9.7532000000000001E-3</v>
      </c>
      <c r="M49" s="17">
        <f t="shared" si="11"/>
        <v>2.92135944444444E-2</v>
      </c>
      <c r="N49" s="26">
        <v>1.26864E-2</v>
      </c>
      <c r="O49" s="7">
        <f t="shared" si="12"/>
        <v>0.62078800555555569</v>
      </c>
    </row>
    <row r="50" spans="1:15" x14ac:dyDescent="0.7">
      <c r="A50" s="6"/>
      <c r="B50" s="6"/>
      <c r="C50" s="6">
        <v>17</v>
      </c>
      <c r="D50" s="7">
        <v>7.2050000000000001</v>
      </c>
      <c r="E50" s="4">
        <v>0</v>
      </c>
      <c r="F50" s="7">
        <v>7.2050000000000001</v>
      </c>
      <c r="G50" s="15">
        <f t="shared" si="4"/>
        <v>622512</v>
      </c>
      <c r="H50" s="21">
        <f t="shared" si="5"/>
        <v>0.62251199999999995</v>
      </c>
      <c r="I50" s="17">
        <v>19839.844444444399</v>
      </c>
      <c r="J50" s="31">
        <v>1.98398444444444E-2</v>
      </c>
      <c r="K50" s="17">
        <v>10123.733333333301</v>
      </c>
      <c r="L50" s="17">
        <v>1.01237333333333E-2</v>
      </c>
      <c r="M50" s="17">
        <f t="shared" si="11"/>
        <v>2.9963577777777702E-2</v>
      </c>
      <c r="N50" s="26">
        <v>8.9567999999999905E-3</v>
      </c>
      <c r="O50" s="7">
        <f t="shared" si="12"/>
        <v>0.58359162222222227</v>
      </c>
    </row>
    <row r="51" spans="1:15" x14ac:dyDescent="0.7">
      <c r="A51" s="6"/>
      <c r="B51" s="6"/>
      <c r="C51" s="6">
        <v>18</v>
      </c>
      <c r="D51" s="7">
        <v>7.2050000000000001</v>
      </c>
      <c r="E51" s="4">
        <v>0</v>
      </c>
      <c r="F51" s="7">
        <v>7.2050000000000001</v>
      </c>
      <c r="G51" s="15">
        <f t="shared" si="4"/>
        <v>622512</v>
      </c>
      <c r="H51" s="21">
        <f t="shared" si="5"/>
        <v>0.62251199999999995</v>
      </c>
      <c r="I51" s="17">
        <v>20219.2944444444</v>
      </c>
      <c r="J51" s="31">
        <v>2.02192944444444E-2</v>
      </c>
      <c r="K51" s="17">
        <v>10494.266666666699</v>
      </c>
      <c r="L51" s="17">
        <v>1.04942666666667E-2</v>
      </c>
      <c r="M51" s="17">
        <f t="shared" si="11"/>
        <v>3.07135611111111E-2</v>
      </c>
      <c r="N51" s="26">
        <v>5.22719999999999E-3</v>
      </c>
      <c r="O51" s="7">
        <f t="shared" si="12"/>
        <v>0.58657123888888885</v>
      </c>
    </row>
    <row r="52" spans="1:15" x14ac:dyDescent="0.7">
      <c r="A52" s="6"/>
      <c r="B52" s="6"/>
      <c r="C52" s="6">
        <v>19</v>
      </c>
      <c r="D52" s="7">
        <v>7.2050000000000001</v>
      </c>
      <c r="E52" s="4">
        <v>0</v>
      </c>
      <c r="F52" s="7">
        <v>7.2050000000000001</v>
      </c>
      <c r="G52" s="15">
        <f t="shared" si="4"/>
        <v>622512</v>
      </c>
      <c r="H52" s="21">
        <f t="shared" si="5"/>
        <v>0.62251199999999995</v>
      </c>
      <c r="I52" s="17">
        <v>20598.744444444401</v>
      </c>
      <c r="J52" s="31">
        <v>2.05987444444444E-2</v>
      </c>
      <c r="K52" s="17">
        <v>10864.8</v>
      </c>
      <c r="L52" s="17">
        <v>1.0864800000000001E-2</v>
      </c>
      <c r="M52" s="17">
        <f t="shared" si="11"/>
        <v>3.1463544444444401E-2</v>
      </c>
      <c r="N52" s="26">
        <v>1.49759999999999E-3</v>
      </c>
      <c r="O52" s="7">
        <f t="shared" si="12"/>
        <v>0.58955085555555553</v>
      </c>
    </row>
    <row r="53" spans="1:15" x14ac:dyDescent="0.7">
      <c r="A53" s="6"/>
      <c r="B53" s="6"/>
      <c r="C53" s="6">
        <v>20</v>
      </c>
      <c r="D53" s="7">
        <v>7.2050000000000001</v>
      </c>
      <c r="E53" s="4">
        <v>0</v>
      </c>
      <c r="F53" s="7">
        <v>7.2050000000000001</v>
      </c>
      <c r="G53" s="15">
        <f t="shared" si="4"/>
        <v>622512</v>
      </c>
      <c r="H53" s="21">
        <f t="shared" si="5"/>
        <v>0.62251199999999995</v>
      </c>
      <c r="I53" s="17">
        <v>20978.194444444402</v>
      </c>
      <c r="J53" s="31">
        <v>2.09781944444444E-2</v>
      </c>
      <c r="K53" s="17">
        <v>11235.333333333299</v>
      </c>
      <c r="L53" s="17">
        <v>1.12353333333333E-2</v>
      </c>
      <c r="M53" s="17">
        <f t="shared" si="11"/>
        <v>3.2213527777777702E-2</v>
      </c>
      <c r="N53" s="26">
        <v>-2.23200000000001E-3</v>
      </c>
      <c r="O53" s="7">
        <f t="shared" si="12"/>
        <v>0.59253047222222222</v>
      </c>
    </row>
    <row r="54" spans="1:15" x14ac:dyDescent="0.7">
      <c r="A54" s="6"/>
      <c r="B54" s="6"/>
      <c r="C54" s="6">
        <v>21</v>
      </c>
      <c r="D54" s="7">
        <v>7.2050000000000001</v>
      </c>
      <c r="E54" s="4">
        <v>0</v>
      </c>
      <c r="F54" s="7">
        <v>7.2050000000000001</v>
      </c>
      <c r="G54" s="15">
        <f t="shared" si="4"/>
        <v>622512</v>
      </c>
      <c r="H54" s="21">
        <f t="shared" si="5"/>
        <v>0.62251199999999995</v>
      </c>
      <c r="I54" s="17">
        <v>21357.644444444399</v>
      </c>
      <c r="J54" s="31">
        <v>2.13576444444444E-2</v>
      </c>
      <c r="K54" s="17">
        <v>11605.8666666667</v>
      </c>
      <c r="L54" s="17">
        <v>1.16058666666667E-2</v>
      </c>
      <c r="M54" s="17">
        <f t="shared" si="11"/>
        <v>3.29635111111111E-2</v>
      </c>
      <c r="N54" s="26">
        <v>-5.9616000000000096E-3</v>
      </c>
      <c r="O54" s="7">
        <f t="shared" si="12"/>
        <v>0.5955100888888889</v>
      </c>
    </row>
    <row r="55" spans="1:15" x14ac:dyDescent="0.7">
      <c r="A55" s="6"/>
      <c r="B55" s="6"/>
      <c r="C55" s="6">
        <v>22</v>
      </c>
      <c r="D55" s="7">
        <v>6.4169999999999998</v>
      </c>
      <c r="E55" s="4">
        <v>0</v>
      </c>
      <c r="F55" s="7">
        <v>6.4169999999999998</v>
      </c>
      <c r="G55" s="15">
        <f t="shared" si="4"/>
        <v>554428.79999999993</v>
      </c>
      <c r="H55" s="21">
        <f t="shared" si="5"/>
        <v>0.55442879999999994</v>
      </c>
      <c r="I55" s="17">
        <v>21737.094444444399</v>
      </c>
      <c r="J55" s="31">
        <v>2.17370944444444E-2</v>
      </c>
      <c r="K55" s="17">
        <v>11976.4</v>
      </c>
      <c r="L55" s="17">
        <v>1.19764E-2</v>
      </c>
      <c r="M55" s="17">
        <f t="shared" si="11"/>
        <v>3.3713494444444402E-2</v>
      </c>
      <c r="N55" s="26">
        <v>-9.6912000000000092E-3</v>
      </c>
      <c r="O55" s="7">
        <f t="shared" si="12"/>
        <v>0.53040650555555557</v>
      </c>
    </row>
    <row r="56" spans="1:15" x14ac:dyDescent="0.7">
      <c r="A56" s="6"/>
      <c r="B56" s="6"/>
      <c r="C56" s="6">
        <v>23</v>
      </c>
      <c r="D56" s="7">
        <v>6.0609999999999999</v>
      </c>
      <c r="E56" s="4">
        <v>0</v>
      </c>
      <c r="F56" s="7">
        <v>6.0609999999999999</v>
      </c>
      <c r="G56" s="15">
        <f t="shared" si="4"/>
        <v>523670.4</v>
      </c>
      <c r="H56" s="21">
        <f t="shared" si="5"/>
        <v>0.52367039999999998</v>
      </c>
      <c r="I56" s="17">
        <v>22116.5444444444</v>
      </c>
      <c r="J56" s="31">
        <v>2.21165444444444E-2</v>
      </c>
      <c r="K56" s="17">
        <v>12346.9333333333</v>
      </c>
      <c r="L56" s="17">
        <v>1.2346933333333299E-2</v>
      </c>
      <c r="M56" s="17">
        <f t="shared" si="11"/>
        <v>3.4463477777777696E-2</v>
      </c>
      <c r="N56" s="26">
        <v>-1.34208E-2</v>
      </c>
      <c r="O56" s="7">
        <f t="shared" si="12"/>
        <v>0.5026277222222223</v>
      </c>
    </row>
    <row r="57" spans="1:15" x14ac:dyDescent="0.7">
      <c r="A57" s="6"/>
      <c r="B57" s="6"/>
      <c r="C57" s="6">
        <v>24</v>
      </c>
      <c r="D57" s="7">
        <v>6.0670000000000002</v>
      </c>
      <c r="E57" s="4">
        <v>0</v>
      </c>
      <c r="F57" s="7">
        <v>6.0670000000000002</v>
      </c>
      <c r="G57" s="15">
        <f t="shared" si="4"/>
        <v>524188.8</v>
      </c>
      <c r="H57" s="21">
        <f t="shared" si="5"/>
        <v>0.52418880000000001</v>
      </c>
      <c r="I57" s="17">
        <v>22495.994444444401</v>
      </c>
      <c r="J57" s="31">
        <v>2.24959944444444E-2</v>
      </c>
      <c r="K57" s="17">
        <v>12717.4666666667</v>
      </c>
      <c r="L57" s="17">
        <v>1.2717466666666699E-2</v>
      </c>
      <c r="M57" s="17">
        <f t="shared" si="11"/>
        <v>3.5213461111111101E-2</v>
      </c>
      <c r="N57" s="26">
        <v>-1.71504E-2</v>
      </c>
      <c r="O57" s="7">
        <f t="shared" si="12"/>
        <v>0.5061257388888889</v>
      </c>
    </row>
    <row r="58" spans="1:15" x14ac:dyDescent="0.7">
      <c r="A58" s="6"/>
      <c r="B58" s="6"/>
      <c r="C58" s="6">
        <v>25</v>
      </c>
      <c r="D58" s="7">
        <v>5.4619999999999997</v>
      </c>
      <c r="E58" s="4">
        <v>0</v>
      </c>
      <c r="F58" s="7">
        <v>5.4619999999999997</v>
      </c>
      <c r="G58" s="15">
        <f t="shared" si="4"/>
        <v>471916.79999999999</v>
      </c>
      <c r="H58" s="21">
        <f t="shared" si="5"/>
        <v>0.47191679999999997</v>
      </c>
      <c r="I58" s="17">
        <v>22875.444444444402</v>
      </c>
      <c r="J58" s="31">
        <v>2.28754444444444E-2</v>
      </c>
      <c r="K58" s="17">
        <v>13088</v>
      </c>
      <c r="L58" s="17">
        <v>1.3088000000000001E-2</v>
      </c>
      <c r="M58" s="17">
        <f t="shared" si="11"/>
        <v>3.5963444444444402E-2</v>
      </c>
      <c r="N58" s="26">
        <v>-2.0879999999999999E-2</v>
      </c>
      <c r="O58" s="7">
        <f t="shared" si="12"/>
        <v>0.4568333555555556</v>
      </c>
    </row>
    <row r="59" spans="1:15" x14ac:dyDescent="0.7">
      <c r="A59" s="6"/>
      <c r="B59" s="6"/>
      <c r="C59" s="6">
        <v>26</v>
      </c>
      <c r="D59" s="7">
        <v>5.444</v>
      </c>
      <c r="E59" s="4">
        <v>0</v>
      </c>
      <c r="F59" s="7">
        <v>5.444</v>
      </c>
      <c r="G59" s="15">
        <f t="shared" si="4"/>
        <v>470361.59999999998</v>
      </c>
      <c r="H59" s="21">
        <f t="shared" si="5"/>
        <v>0.47036159999999999</v>
      </c>
      <c r="I59" s="17">
        <v>23254.894444444399</v>
      </c>
      <c r="J59" s="31">
        <v>2.32548944444444E-2</v>
      </c>
      <c r="K59" s="17">
        <v>13458.5333333333</v>
      </c>
      <c r="L59" s="17">
        <v>1.34585333333333E-2</v>
      </c>
      <c r="M59" s="17">
        <f t="shared" ref="M59:M61" si="13">J59+L59</f>
        <v>3.6713427777777696E-2</v>
      </c>
      <c r="N59" s="26">
        <v>-2.4609599999999999E-2</v>
      </c>
      <c r="O59" s="7">
        <f t="shared" ref="O59:O61" si="14">H59-M59-N59</f>
        <v>0.4582577722222223</v>
      </c>
    </row>
    <row r="60" spans="1:15" x14ac:dyDescent="0.7">
      <c r="A60" s="6"/>
      <c r="B60" s="6"/>
      <c r="C60" s="6">
        <v>27</v>
      </c>
      <c r="D60" s="7">
        <v>5.444</v>
      </c>
      <c r="E60" s="34">
        <v>0</v>
      </c>
      <c r="F60" s="33">
        <v>5.444</v>
      </c>
      <c r="G60" s="35">
        <f t="shared" si="4"/>
        <v>470361.59999999998</v>
      </c>
      <c r="H60" s="36">
        <f t="shared" si="5"/>
        <v>0.47036159999999999</v>
      </c>
      <c r="I60" s="37">
        <v>23634.344444444301</v>
      </c>
      <c r="J60" s="38">
        <v>2.36343444444444E-2</v>
      </c>
      <c r="K60" s="37">
        <v>13829.0666666667</v>
      </c>
      <c r="L60" s="37">
        <v>1.38290666666667E-2</v>
      </c>
      <c r="M60" s="37">
        <f t="shared" si="13"/>
        <v>3.7463411111111102E-2</v>
      </c>
      <c r="N60" s="39">
        <v>-2.8339199999999998E-2</v>
      </c>
      <c r="O60" s="33">
        <f t="shared" si="14"/>
        <v>0.46123738888888888</v>
      </c>
    </row>
    <row r="61" spans="1:15" s="13" customFormat="1" ht="25.2" thickBot="1" x14ac:dyDescent="0.75">
      <c r="A61" s="11"/>
      <c r="B61" s="11" t="s">
        <v>16</v>
      </c>
      <c r="C61" s="11">
        <v>28</v>
      </c>
      <c r="D61" s="19">
        <v>5.444</v>
      </c>
      <c r="E61" s="10">
        <v>0</v>
      </c>
      <c r="F61" s="10">
        <v>5.444</v>
      </c>
      <c r="G61" s="41">
        <f t="shared" si="4"/>
        <v>470361.59999999998</v>
      </c>
      <c r="H61" s="22">
        <f t="shared" si="5"/>
        <v>0.47036159999999999</v>
      </c>
      <c r="I61" s="18">
        <v>24013.7944444444</v>
      </c>
      <c r="J61" s="32">
        <v>1.94603944444444E-2</v>
      </c>
      <c r="K61" s="18">
        <v>10864.8</v>
      </c>
      <c r="L61" s="18">
        <v>1.41996E-2</v>
      </c>
      <c r="M61" s="18">
        <f t="shared" si="13"/>
        <v>3.3659994444444397E-2</v>
      </c>
      <c r="N61" s="30">
        <v>-3.2068800000000001E-2</v>
      </c>
      <c r="O61" s="10">
        <f t="shared" si="14"/>
        <v>0.4687704055555556</v>
      </c>
    </row>
    <row r="62" spans="1:15" x14ac:dyDescent="0.7">
      <c r="A62" s="3"/>
      <c r="B62" s="3" t="s">
        <v>17</v>
      </c>
      <c r="C62" s="3">
        <v>1</v>
      </c>
      <c r="D62" s="4">
        <v>5.44</v>
      </c>
      <c r="E62" s="4">
        <v>0</v>
      </c>
      <c r="F62" s="4">
        <v>5.44</v>
      </c>
      <c r="G62" s="15">
        <f t="shared" ref="G62" si="15">F62*86400</f>
        <v>470016.00000000006</v>
      </c>
      <c r="H62" s="21">
        <f t="shared" ref="H62" si="16">G62/1000000</f>
        <v>0.47001600000000004</v>
      </c>
      <c r="I62" s="16">
        <v>24393.244444444401</v>
      </c>
      <c r="J62" s="25">
        <v>2.4393244444444399E-2</v>
      </c>
      <c r="K62" s="16">
        <v>14570.1333333332</v>
      </c>
      <c r="L62" s="16">
        <v>1.45701333333332E-2</v>
      </c>
      <c r="M62" s="16">
        <f t="shared" ref="M62" si="17">J62+L62</f>
        <v>3.89633777777776E-2</v>
      </c>
      <c r="N62" s="27">
        <v>-3.5798400000000001E-2</v>
      </c>
      <c r="O62" s="4">
        <f t="shared" ref="O62" si="18">H62-M62-N62</f>
        <v>0.46685102222222247</v>
      </c>
    </row>
    <row r="63" spans="1:15" x14ac:dyDescent="0.7">
      <c r="A63" s="6"/>
      <c r="B63" s="6"/>
      <c r="C63" s="6">
        <v>2</v>
      </c>
      <c r="D63" s="7">
        <v>5.4669999999999996</v>
      </c>
      <c r="E63" s="4">
        <v>0</v>
      </c>
      <c r="F63" s="7">
        <v>5.4669999999999996</v>
      </c>
      <c r="G63" s="15">
        <f t="shared" ref="G63" si="19">F63*86400</f>
        <v>472348.8</v>
      </c>
      <c r="H63" s="21">
        <f t="shared" ref="H63" si="20">G63/1000000</f>
        <v>0.47234880000000001</v>
      </c>
      <c r="I63" s="17">
        <v>24772.694444444402</v>
      </c>
      <c r="J63" s="31">
        <v>2.4772694444444399E-2</v>
      </c>
      <c r="K63" s="17">
        <v>14940.666666666501</v>
      </c>
      <c r="L63" s="17">
        <v>1.49406666666665E-2</v>
      </c>
      <c r="M63" s="17">
        <f t="shared" ref="M63" si="21">J63+L63</f>
        <v>3.9713361111110901E-2</v>
      </c>
      <c r="N63" s="26">
        <v>-3.9528000000000001E-2</v>
      </c>
      <c r="O63" s="7">
        <f t="shared" ref="O63" si="22">H63-M63-N63</f>
        <v>0.47216343888888912</v>
      </c>
    </row>
    <row r="64" spans="1:15" x14ac:dyDescent="0.7">
      <c r="A64" s="6"/>
      <c r="B64" s="6"/>
      <c r="C64" s="6">
        <v>3</v>
      </c>
      <c r="D64" s="7">
        <v>5.1859999999999999</v>
      </c>
      <c r="E64" s="4">
        <v>0</v>
      </c>
      <c r="F64" s="7">
        <v>5.1859999999999999</v>
      </c>
      <c r="G64" s="15">
        <f t="shared" ref="G64" si="23">F64*86400</f>
        <v>448070.40000000002</v>
      </c>
      <c r="H64" s="21">
        <f t="shared" ref="H64" si="24">G64/1000000</f>
        <v>0.44807040000000004</v>
      </c>
      <c r="I64" s="17">
        <v>25152.144444444399</v>
      </c>
      <c r="J64" s="31">
        <v>2.5152144444444399E-2</v>
      </c>
      <c r="K64" s="17">
        <v>15311.199999999801</v>
      </c>
      <c r="L64" s="17">
        <v>1.5311199999999799E-2</v>
      </c>
      <c r="M64" s="17">
        <f t="shared" ref="M64" si="25">J64+L64</f>
        <v>4.0463344444444202E-2</v>
      </c>
      <c r="N64" s="26">
        <v>-4.32576E-2</v>
      </c>
      <c r="O64" s="7">
        <f t="shared" ref="O64" si="26">H64-M64-N64</f>
        <v>0.45086465555555583</v>
      </c>
    </row>
    <row r="65" spans="1:15" x14ac:dyDescent="0.7">
      <c r="A65" s="6"/>
      <c r="B65" s="6"/>
      <c r="C65" s="6">
        <v>4</v>
      </c>
      <c r="D65" s="7">
        <v>5.1859999999999999</v>
      </c>
      <c r="E65" s="4">
        <v>0</v>
      </c>
      <c r="F65" s="7">
        <v>5.1859999999999999</v>
      </c>
      <c r="G65" s="15">
        <f t="shared" ref="G65" si="27">F65*86400</f>
        <v>448070.40000000002</v>
      </c>
      <c r="H65" s="21">
        <f t="shared" ref="H65" si="28">G65/1000000</f>
        <v>0.44807040000000004</v>
      </c>
      <c r="I65" s="17">
        <v>25531.594444444399</v>
      </c>
      <c r="J65" s="31">
        <v>2.5531594444444399E-2</v>
      </c>
      <c r="K65" s="17">
        <v>15681.733333333101</v>
      </c>
      <c r="L65" s="17">
        <v>1.56817333333331E-2</v>
      </c>
      <c r="M65" s="17">
        <f t="shared" ref="M65" si="29">J65+L65</f>
        <v>4.1213327777777503E-2</v>
      </c>
      <c r="N65" s="26">
        <v>-4.69872E-2</v>
      </c>
      <c r="O65" s="7">
        <f t="shared" ref="O65" si="30">H65-M65-N65</f>
        <v>0.45384427222222257</v>
      </c>
    </row>
    <row r="66" spans="1:15" x14ac:dyDescent="0.7">
      <c r="A66" s="6"/>
      <c r="B66" s="6"/>
      <c r="C66" s="6">
        <v>5</v>
      </c>
      <c r="D66" s="7">
        <v>5.1859999999999999</v>
      </c>
      <c r="E66" s="4">
        <v>0</v>
      </c>
      <c r="F66" s="7">
        <v>5.1859999999999999</v>
      </c>
      <c r="G66" s="15">
        <f t="shared" ref="G66" si="31">F66*86400</f>
        <v>448070.40000000002</v>
      </c>
      <c r="H66" s="21">
        <f t="shared" ref="H66" si="32">G66/1000000</f>
        <v>0.44807040000000004</v>
      </c>
      <c r="I66" s="17">
        <v>25911.0444444444</v>
      </c>
      <c r="J66" s="31">
        <v>2.5911044444444399E-2</v>
      </c>
      <c r="K66" s="17">
        <v>16052.266666666401</v>
      </c>
      <c r="L66" s="17">
        <v>1.6052266666666402E-2</v>
      </c>
      <c r="M66" s="17">
        <f t="shared" ref="M66" si="33">J66+L66</f>
        <v>4.1963311111110804E-2</v>
      </c>
      <c r="N66" s="26">
        <v>-5.0716799999999999E-2</v>
      </c>
      <c r="O66" s="7">
        <f t="shared" ref="O66" si="34">H66-M66-N66</f>
        <v>0.45682388888888925</v>
      </c>
    </row>
    <row r="67" spans="1:15" x14ac:dyDescent="0.7">
      <c r="A67" s="6"/>
      <c r="B67" s="6"/>
      <c r="C67" s="6">
        <v>6</v>
      </c>
      <c r="D67" s="7">
        <v>5.1859999999999999</v>
      </c>
      <c r="E67" s="4">
        <v>0</v>
      </c>
      <c r="F67" s="7">
        <v>5.1859999999999999</v>
      </c>
      <c r="G67" s="15">
        <f t="shared" ref="G67" si="35">F67*86400</f>
        <v>448070.40000000002</v>
      </c>
      <c r="H67" s="21">
        <f t="shared" ref="H67" si="36">G67/1000000</f>
        <v>0.44807040000000004</v>
      </c>
      <c r="I67" s="17">
        <v>26290.494444444401</v>
      </c>
      <c r="J67" s="31">
        <v>2.6290494444444399E-2</v>
      </c>
      <c r="K67" s="17">
        <v>16422.799999999701</v>
      </c>
      <c r="L67" s="17">
        <v>1.6422799999999699E-2</v>
      </c>
      <c r="M67" s="17">
        <f t="shared" ref="M67" si="37">J67+L67</f>
        <v>4.2713294444444098E-2</v>
      </c>
      <c r="N67" s="26">
        <v>-5.4446399999999999E-2</v>
      </c>
      <c r="O67" s="7">
        <f t="shared" ref="O67" si="38">H67-M67-N67</f>
        <v>0.45980350555555594</v>
      </c>
    </row>
    <row r="68" spans="1:15" x14ac:dyDescent="0.7">
      <c r="A68" s="6"/>
      <c r="B68" s="6"/>
      <c r="C68" s="6">
        <v>7</v>
      </c>
      <c r="D68" s="7">
        <v>5.1859999999999999</v>
      </c>
      <c r="E68" s="4">
        <v>0</v>
      </c>
      <c r="F68" s="7">
        <v>5.1859999999999999</v>
      </c>
      <c r="G68" s="15">
        <f t="shared" ref="G68" si="39">F68*86400</f>
        <v>448070.40000000002</v>
      </c>
      <c r="H68" s="21">
        <f t="shared" ref="H68" si="40">G68/1000000</f>
        <v>0.44807040000000004</v>
      </c>
      <c r="I68" s="17">
        <v>26669.944444444402</v>
      </c>
      <c r="J68" s="31">
        <v>2.6669944444444399E-2</v>
      </c>
      <c r="K68" s="17">
        <v>16793.333333333001</v>
      </c>
      <c r="L68" s="17">
        <v>1.6793333333333001E-2</v>
      </c>
      <c r="M68" s="17">
        <f t="shared" ref="M68" si="41">J68+L68</f>
        <v>4.34632777777774E-2</v>
      </c>
      <c r="N68" s="26">
        <v>-5.8175999999999999E-2</v>
      </c>
      <c r="O68" s="7">
        <f t="shared" ref="O68" si="42">H68-M68-N68</f>
        <v>0.46278312222222262</v>
      </c>
    </row>
    <row r="69" spans="1:15" x14ac:dyDescent="0.7">
      <c r="A69" s="6"/>
      <c r="B69" s="6"/>
      <c r="C69" s="6">
        <v>8</v>
      </c>
      <c r="D69" s="7">
        <v>5.04</v>
      </c>
      <c r="E69" s="4">
        <v>0</v>
      </c>
      <c r="F69" s="7">
        <v>5.04</v>
      </c>
      <c r="G69" s="15">
        <f t="shared" ref="G69" si="43">F69*86400</f>
        <v>435456</v>
      </c>
      <c r="H69" s="21">
        <f t="shared" ref="H69" si="44">G69/1000000</f>
        <v>0.43545600000000001</v>
      </c>
      <c r="I69" s="17">
        <v>27049.394444444399</v>
      </c>
      <c r="J69" s="31">
        <v>2.7049394444444399E-2</v>
      </c>
      <c r="K69" s="17">
        <v>17163.866666666301</v>
      </c>
      <c r="L69" s="17">
        <v>1.7163866666666298E-2</v>
      </c>
      <c r="M69" s="17">
        <f t="shared" ref="M69" si="45">J69+L69</f>
        <v>4.4213261111110694E-2</v>
      </c>
      <c r="N69" s="26">
        <v>-6.1905599999999998E-2</v>
      </c>
      <c r="O69" s="7">
        <f t="shared" ref="O69" si="46">H69-M69-N69</f>
        <v>0.45314833888888933</v>
      </c>
    </row>
    <row r="70" spans="1:15" x14ac:dyDescent="0.7">
      <c r="A70" s="6"/>
      <c r="B70" s="6"/>
      <c r="C70" s="6">
        <v>9</v>
      </c>
      <c r="D70" s="7">
        <v>5.04</v>
      </c>
      <c r="E70" s="4">
        <v>0</v>
      </c>
      <c r="F70" s="7">
        <v>5.04</v>
      </c>
      <c r="G70" s="15">
        <f t="shared" ref="G70" si="47">F70*86400</f>
        <v>435456</v>
      </c>
      <c r="H70" s="21">
        <f t="shared" ref="H70" si="48">G70/1000000</f>
        <v>0.43545600000000001</v>
      </c>
      <c r="I70" s="17">
        <v>27428.844444444399</v>
      </c>
      <c r="J70" s="31">
        <v>2.7428844444444399E-2</v>
      </c>
      <c r="K70" s="17">
        <v>17534.399999999601</v>
      </c>
      <c r="L70" s="17">
        <v>1.75343999999996E-2</v>
      </c>
      <c r="M70" s="17">
        <f t="shared" ref="M70" si="49">J70+L70</f>
        <v>4.4963244444443995E-2</v>
      </c>
      <c r="N70" s="26">
        <v>-6.5635200000000005E-2</v>
      </c>
      <c r="O70" s="7">
        <f t="shared" ref="O70" si="50">H70-M70-N70</f>
        <v>0.45612795555555602</v>
      </c>
    </row>
    <row r="71" spans="1:15" x14ac:dyDescent="0.7">
      <c r="A71" s="6"/>
      <c r="B71" s="6"/>
      <c r="C71" s="6">
        <v>10</v>
      </c>
      <c r="D71" s="7">
        <v>5.04</v>
      </c>
      <c r="E71" s="4">
        <v>0</v>
      </c>
      <c r="F71" s="7">
        <v>5.04</v>
      </c>
      <c r="G71" s="15">
        <f t="shared" ref="G71" si="51">F71*86400</f>
        <v>435456</v>
      </c>
      <c r="H71" s="21">
        <f t="shared" ref="H71" si="52">G71/1000000</f>
        <v>0.43545600000000001</v>
      </c>
      <c r="I71" s="17">
        <v>27808.2944444444</v>
      </c>
      <c r="J71" s="31">
        <v>2.7808294444444399E-2</v>
      </c>
      <c r="K71" s="17">
        <v>17904.933333332901</v>
      </c>
      <c r="L71" s="17">
        <v>1.7904933333332901E-2</v>
      </c>
      <c r="M71" s="17">
        <f t="shared" ref="M71" si="53">J71+L71</f>
        <v>4.5713227777777296E-2</v>
      </c>
      <c r="N71" s="26">
        <v>-6.9364800000000004E-2</v>
      </c>
      <c r="O71" s="7">
        <f t="shared" ref="O71" si="54">H71-M71-N71</f>
        <v>0.4591075722222227</v>
      </c>
    </row>
    <row r="72" spans="1:15" x14ac:dyDescent="0.7">
      <c r="A72" s="6"/>
      <c r="B72" s="6"/>
      <c r="C72" s="6">
        <v>11</v>
      </c>
      <c r="D72" s="7">
        <v>5.04</v>
      </c>
      <c r="E72" s="4">
        <v>4.9000000000000004</v>
      </c>
      <c r="F72" s="7">
        <v>5.04</v>
      </c>
      <c r="G72" s="15">
        <f t="shared" ref="G72" si="55">F72*86400</f>
        <v>435456</v>
      </c>
      <c r="H72" s="21">
        <f t="shared" ref="H72" si="56">G72/1000000</f>
        <v>0.43545600000000001</v>
      </c>
      <c r="I72" s="17">
        <v>28187.744444444401</v>
      </c>
      <c r="J72" s="31">
        <v>2.8187744444444399E-2</v>
      </c>
      <c r="K72" s="17">
        <v>18275.466666666201</v>
      </c>
      <c r="L72" s="17">
        <v>1.8275466666666199E-2</v>
      </c>
      <c r="M72" s="17">
        <f t="shared" ref="M72" si="57">J72+L72</f>
        <v>4.6463211111110597E-2</v>
      </c>
      <c r="N72" s="26">
        <v>-7.3094400000000004E-2</v>
      </c>
      <c r="O72" s="7">
        <f t="shared" ref="O72" si="58">H72-M72-N72</f>
        <v>0.46208718888888944</v>
      </c>
    </row>
    <row r="73" spans="1:15" x14ac:dyDescent="0.7">
      <c r="A73" s="6"/>
      <c r="B73" s="6"/>
      <c r="C73" s="6">
        <v>12</v>
      </c>
      <c r="D73" s="7">
        <v>4.8899999999999997</v>
      </c>
      <c r="E73" s="4">
        <v>0</v>
      </c>
      <c r="F73" s="7">
        <v>4.8899999999999997</v>
      </c>
      <c r="G73" s="15">
        <f t="shared" ref="G73" si="59">F73*86400</f>
        <v>422496</v>
      </c>
      <c r="H73" s="21">
        <f t="shared" ref="H73" si="60">G73/1000000</f>
        <v>0.42249599999999998</v>
      </c>
      <c r="I73" s="17">
        <v>28567.194444444402</v>
      </c>
      <c r="J73" s="31">
        <v>2.8567194444444399E-2</v>
      </c>
      <c r="K73" s="17">
        <v>18645.999999999502</v>
      </c>
      <c r="L73" s="17">
        <v>1.86459999999995E-2</v>
      </c>
      <c r="M73" s="17">
        <f t="shared" ref="M73" si="61">J73+L73</f>
        <v>4.7213194444443898E-2</v>
      </c>
      <c r="N73" s="26">
        <v>-7.6824000000000003E-2</v>
      </c>
      <c r="O73" s="7">
        <f t="shared" ref="O73" si="62">H73-M73-N73</f>
        <v>0.4521068055555561</v>
      </c>
    </row>
    <row r="74" spans="1:15" x14ac:dyDescent="0.7">
      <c r="A74" s="6"/>
      <c r="B74" s="6"/>
      <c r="C74" s="6">
        <v>13</v>
      </c>
      <c r="D74" s="7">
        <v>4.734</v>
      </c>
      <c r="E74" s="4">
        <v>0</v>
      </c>
      <c r="F74" s="7">
        <v>4.734</v>
      </c>
      <c r="G74" s="15">
        <f t="shared" ref="G74" si="63">F74*86400</f>
        <v>409017.59999999998</v>
      </c>
      <c r="H74" s="21">
        <f t="shared" ref="H74" si="64">G74/1000000</f>
        <v>0.40901759999999998</v>
      </c>
      <c r="I74" s="17">
        <v>28946.644444444399</v>
      </c>
      <c r="J74" s="31">
        <v>2.8946644444444398E-2</v>
      </c>
      <c r="K74" s="17">
        <v>19016.533333332802</v>
      </c>
      <c r="L74" s="17">
        <v>1.9016533333332801E-2</v>
      </c>
      <c r="M74" s="17">
        <f t="shared" ref="M74" si="65">J74+L74</f>
        <v>4.7963177777777199E-2</v>
      </c>
      <c r="N74" s="26">
        <v>-8.0553600000000003E-2</v>
      </c>
      <c r="O74" s="7">
        <f t="shared" ref="O74" si="66">H74-M74-N74</f>
        <v>0.44160802222222278</v>
      </c>
    </row>
    <row r="75" spans="1:15" x14ac:dyDescent="0.7">
      <c r="A75" s="6"/>
      <c r="B75" s="6"/>
      <c r="C75" s="6">
        <v>14</v>
      </c>
      <c r="D75" s="7">
        <v>4.734</v>
      </c>
      <c r="E75" s="4">
        <v>0</v>
      </c>
      <c r="F75" s="7">
        <v>4.734</v>
      </c>
      <c r="G75" s="15">
        <f t="shared" ref="G75" si="67">F75*86400</f>
        <v>409017.59999999998</v>
      </c>
      <c r="H75" s="21">
        <f t="shared" ref="H75" si="68">G75/1000000</f>
        <v>0.40901759999999998</v>
      </c>
      <c r="I75" s="17">
        <v>29326.094444444399</v>
      </c>
      <c r="J75" s="31">
        <v>2.9326094444444398E-2</v>
      </c>
      <c r="K75" s="17">
        <v>19387.066666666102</v>
      </c>
      <c r="L75" s="17">
        <v>1.9387066666666099E-2</v>
      </c>
      <c r="M75" s="17">
        <f t="shared" ref="M75" si="69">J75+L75</f>
        <v>4.8713161111110501E-2</v>
      </c>
      <c r="N75" s="26">
        <v>-8.4283200000000003E-2</v>
      </c>
      <c r="O75" s="7">
        <f t="shared" ref="O75" si="70">H75-M75-N75</f>
        <v>0.44458763888888947</v>
      </c>
    </row>
    <row r="76" spans="1:15" x14ac:dyDescent="0.7">
      <c r="A76" s="6"/>
      <c r="B76" s="6"/>
      <c r="C76" s="6">
        <v>15</v>
      </c>
      <c r="D76" s="7">
        <v>4.734</v>
      </c>
      <c r="E76" s="4">
        <v>0</v>
      </c>
      <c r="F76" s="7">
        <v>4.734</v>
      </c>
      <c r="G76" s="15">
        <f t="shared" ref="G76" si="71">F76*86400</f>
        <v>409017.59999999998</v>
      </c>
      <c r="H76" s="21">
        <f t="shared" ref="H76" si="72">G76/1000000</f>
        <v>0.40901759999999998</v>
      </c>
      <c r="I76" s="17">
        <v>29705.5444444444</v>
      </c>
      <c r="J76" s="31">
        <v>2.9705544444444398E-2</v>
      </c>
      <c r="K76" s="17">
        <v>19757.599999999398</v>
      </c>
      <c r="L76" s="17">
        <v>1.97575999999994E-2</v>
      </c>
      <c r="M76" s="17">
        <f t="shared" ref="M76" si="73">J76+L76</f>
        <v>4.9463144444443802E-2</v>
      </c>
      <c r="N76" s="26">
        <v>-8.8012800000000002E-2</v>
      </c>
      <c r="O76" s="7">
        <f t="shared" ref="O76" si="74">H76-M76-N76</f>
        <v>0.44756725555555621</v>
      </c>
    </row>
    <row r="77" spans="1:15" x14ac:dyDescent="0.7">
      <c r="A77" s="6"/>
      <c r="B77" s="6"/>
      <c r="C77" s="6">
        <v>16</v>
      </c>
      <c r="D77" s="7">
        <v>4.734</v>
      </c>
      <c r="E77" s="4">
        <v>0</v>
      </c>
      <c r="F77" s="7">
        <v>4.734</v>
      </c>
      <c r="G77" s="15">
        <f t="shared" ref="G77" si="75">F77*86400</f>
        <v>409017.59999999998</v>
      </c>
      <c r="H77" s="21">
        <f t="shared" ref="H77" si="76">G77/1000000</f>
        <v>0.40901759999999998</v>
      </c>
      <c r="I77" s="17">
        <v>30084.994444444299</v>
      </c>
      <c r="J77" s="31">
        <v>3.0084994444444398E-2</v>
      </c>
      <c r="K77" s="17">
        <v>20128.133333332698</v>
      </c>
      <c r="L77" s="17">
        <v>2.0128133333332701E-2</v>
      </c>
      <c r="M77" s="17">
        <f t="shared" ref="M77" si="77">J77+L77</f>
        <v>5.0213127777777103E-2</v>
      </c>
      <c r="N77" s="26">
        <v>-9.1742400000000002E-2</v>
      </c>
      <c r="O77" s="7">
        <f t="shared" ref="O77" si="78">H77-M77-N77</f>
        <v>0.45054687222222289</v>
      </c>
    </row>
    <row r="78" spans="1:15" x14ac:dyDescent="0.7">
      <c r="A78" s="6"/>
      <c r="B78" s="6"/>
      <c r="C78" s="6">
        <v>17</v>
      </c>
      <c r="D78" s="7">
        <v>4.734</v>
      </c>
      <c r="E78" s="4">
        <v>7</v>
      </c>
      <c r="F78" s="7">
        <v>4.734</v>
      </c>
      <c r="G78" s="15">
        <f t="shared" ref="G78" si="79">F78*86400</f>
        <v>409017.59999999998</v>
      </c>
      <c r="H78" s="21">
        <f t="shared" ref="H78" si="80">G78/1000000</f>
        <v>0.40901759999999998</v>
      </c>
      <c r="I78" s="17">
        <v>30464.4444444443</v>
      </c>
      <c r="J78" s="31">
        <v>3.0464444444444402E-2</v>
      </c>
      <c r="K78" s="17">
        <v>20498.666666665998</v>
      </c>
      <c r="L78" s="17">
        <v>2.0498666666665999E-2</v>
      </c>
      <c r="M78" s="17">
        <f t="shared" ref="M78" si="81">J78+L78</f>
        <v>5.0963111111110404E-2</v>
      </c>
      <c r="N78" s="26">
        <v>-9.5472000000000001E-2</v>
      </c>
      <c r="O78" s="7">
        <f t="shared" ref="O78" si="82">H78-M78-N78</f>
        <v>0.45352648888888958</v>
      </c>
    </row>
    <row r="79" spans="1:15" x14ac:dyDescent="0.7">
      <c r="A79" s="6"/>
      <c r="B79" s="6"/>
      <c r="C79" s="6">
        <v>18</v>
      </c>
      <c r="D79" s="7">
        <v>5.4669999999999996</v>
      </c>
      <c r="E79" s="4">
        <v>0</v>
      </c>
      <c r="F79" s="7">
        <v>5.4669999999999996</v>
      </c>
      <c r="G79" s="15">
        <f t="shared" ref="G79" si="83">F79*86400</f>
        <v>472348.8</v>
      </c>
      <c r="H79" s="21">
        <f t="shared" ref="H79" si="84">G79/1000000</f>
        <v>0.47234880000000001</v>
      </c>
      <c r="I79" s="17">
        <v>30843.8944444443</v>
      </c>
      <c r="J79" s="31">
        <v>3.0843894444444402E-2</v>
      </c>
      <c r="K79" s="17">
        <v>20869.199999999299</v>
      </c>
      <c r="L79" s="17">
        <v>2.08691999999993E-2</v>
      </c>
      <c r="M79" s="17">
        <f t="shared" ref="M79" si="85">J79+L79</f>
        <v>5.1713094444443705E-2</v>
      </c>
      <c r="N79" s="26">
        <v>-9.9201600000000001E-2</v>
      </c>
      <c r="O79" s="7">
        <f t="shared" ref="O79" si="86">H79-M79-N79</f>
        <v>0.51983730555555629</v>
      </c>
    </row>
    <row r="80" spans="1:15" x14ac:dyDescent="0.7">
      <c r="A80" s="6"/>
      <c r="B80" s="6"/>
      <c r="C80" s="6">
        <v>19</v>
      </c>
      <c r="D80" s="7">
        <v>4.8899999999999997</v>
      </c>
      <c r="E80" s="4">
        <v>0</v>
      </c>
      <c r="F80" s="7">
        <v>4.8899999999999997</v>
      </c>
      <c r="G80" s="15">
        <f t="shared" ref="G80" si="87">F80*86400</f>
        <v>422496</v>
      </c>
      <c r="H80" s="21">
        <f t="shared" ref="H80" si="88">G80/1000000</f>
        <v>0.42249599999999998</v>
      </c>
      <c r="I80" s="17">
        <v>31223.344444444301</v>
      </c>
      <c r="J80" s="31">
        <v>3.1223344444444402E-2</v>
      </c>
      <c r="K80" s="17">
        <v>21239.733333332599</v>
      </c>
      <c r="L80" s="17">
        <v>2.1239733333332601E-2</v>
      </c>
      <c r="M80" s="17">
        <f t="shared" ref="M80" si="89">J80+L80</f>
        <v>5.2463077777777006E-2</v>
      </c>
      <c r="N80" s="26">
        <v>-0.1029312</v>
      </c>
      <c r="O80" s="7">
        <f t="shared" ref="O80" si="90">H80-M80-N80</f>
        <v>0.47296412222222295</v>
      </c>
    </row>
    <row r="81" spans="1:15" x14ac:dyDescent="0.7">
      <c r="A81" s="6"/>
      <c r="B81" s="6"/>
      <c r="C81" s="6">
        <v>20</v>
      </c>
      <c r="D81" s="7">
        <v>4.5279999999999996</v>
      </c>
      <c r="E81" s="4">
        <v>0</v>
      </c>
      <c r="F81" s="7">
        <v>4.5279999999999996</v>
      </c>
      <c r="G81" s="15">
        <f t="shared" ref="G81" si="91">F81*86400</f>
        <v>391219.19999999995</v>
      </c>
      <c r="H81" s="21">
        <f t="shared" ref="H81" si="92">G81/1000000</f>
        <v>0.39121919999999993</v>
      </c>
      <c r="I81" s="17">
        <v>31602.794444444298</v>
      </c>
      <c r="J81" s="31">
        <v>3.1602794444444401E-2</v>
      </c>
      <c r="K81" s="17">
        <v>21610.266666665899</v>
      </c>
      <c r="L81" s="17">
        <v>2.1610266666665899E-2</v>
      </c>
      <c r="M81" s="17">
        <f t="shared" ref="M81" si="93">J81+L81</f>
        <v>5.3213061111110301E-2</v>
      </c>
      <c r="N81" s="26">
        <v>-0.1066608</v>
      </c>
      <c r="O81" s="7">
        <f t="shared" ref="O81" si="94">H81-M81-N81</f>
        <v>0.44466693888888964</v>
      </c>
    </row>
    <row r="82" spans="1:15" x14ac:dyDescent="0.7">
      <c r="A82" s="6"/>
      <c r="B82" s="6"/>
      <c r="C82" s="6">
        <v>21</v>
      </c>
      <c r="D82" s="7">
        <v>4.5279999999999996</v>
      </c>
      <c r="E82" s="4">
        <v>0</v>
      </c>
      <c r="F82" s="7">
        <v>4.5279999999999996</v>
      </c>
      <c r="G82" s="15">
        <f t="shared" ref="G82" si="95">F82*86400</f>
        <v>391219.19999999995</v>
      </c>
      <c r="H82" s="21">
        <f t="shared" ref="H82" si="96">G82/1000000</f>
        <v>0.39121919999999993</v>
      </c>
      <c r="I82" s="17">
        <v>31982.244444444299</v>
      </c>
      <c r="J82" s="31">
        <v>3.1982244444444398E-2</v>
      </c>
      <c r="K82" s="17">
        <v>21980.799999999199</v>
      </c>
      <c r="L82" s="17">
        <v>2.19807999999992E-2</v>
      </c>
      <c r="M82" s="17">
        <f t="shared" ref="M82" si="97">J82+L82</f>
        <v>5.3963044444443595E-2</v>
      </c>
      <c r="N82" s="26">
        <v>-0.1103904</v>
      </c>
      <c r="O82" s="7">
        <f t="shared" ref="O82" si="98">H82-M82-N82</f>
        <v>0.44764655555555632</v>
      </c>
    </row>
    <row r="83" spans="1:15" x14ac:dyDescent="0.7">
      <c r="A83" s="6"/>
      <c r="B83" s="6"/>
      <c r="C83" s="6">
        <v>22</v>
      </c>
      <c r="D83" s="7">
        <v>4.2160000000000002</v>
      </c>
      <c r="E83" s="4">
        <v>0</v>
      </c>
      <c r="F83" s="7">
        <v>4.2160000000000002</v>
      </c>
      <c r="G83" s="15">
        <f t="shared" ref="G83" si="99">F83*86400</f>
        <v>364262.40000000002</v>
      </c>
      <c r="H83" s="21">
        <f t="shared" ref="H83" si="100">G83/1000000</f>
        <v>0.36426240000000004</v>
      </c>
      <c r="I83" s="17">
        <v>32361.6944444443</v>
      </c>
      <c r="J83" s="31">
        <v>3.2361694444444401E-2</v>
      </c>
      <c r="K83" s="17">
        <v>22351.333333332499</v>
      </c>
      <c r="L83" s="17">
        <v>2.2351333333332501E-2</v>
      </c>
      <c r="M83" s="17">
        <f t="shared" ref="M83" si="101">J83+L83</f>
        <v>5.4713027777776903E-2</v>
      </c>
      <c r="N83" s="26">
        <v>-0.11412</v>
      </c>
      <c r="O83" s="7">
        <f t="shared" ref="O83" si="102">H83-M83-N83</f>
        <v>0.42366937222222312</v>
      </c>
    </row>
    <row r="84" spans="1:15" x14ac:dyDescent="0.7">
      <c r="A84" s="6"/>
      <c r="B84" s="6"/>
      <c r="C84" s="6">
        <v>23</v>
      </c>
      <c r="D84" s="7">
        <v>4.2160000000000002</v>
      </c>
      <c r="E84" s="4">
        <v>0</v>
      </c>
      <c r="F84" s="7">
        <v>4.2160000000000002</v>
      </c>
      <c r="G84" s="15">
        <f t="shared" ref="G84" si="103">F84*86400</f>
        <v>364262.40000000002</v>
      </c>
      <c r="H84" s="21">
        <f t="shared" ref="H84" si="104">G84/1000000</f>
        <v>0.36426240000000004</v>
      </c>
      <c r="I84" s="17">
        <v>32741.1444444443</v>
      </c>
      <c r="J84" s="31">
        <v>3.2741144444444398E-2</v>
      </c>
      <c r="K84" s="17">
        <v>22721.866666665799</v>
      </c>
      <c r="L84" s="17">
        <v>2.2721866666665799E-2</v>
      </c>
      <c r="M84" s="17">
        <f t="shared" ref="M84" si="105">J84+L84</f>
        <v>5.5463011111110197E-2</v>
      </c>
      <c r="N84" s="26">
        <v>-0.1178496</v>
      </c>
      <c r="O84" s="7">
        <f t="shared" ref="O84" si="106">H84-M84-N84</f>
        <v>0.42664898888888986</v>
      </c>
    </row>
    <row r="85" spans="1:15" x14ac:dyDescent="0.7">
      <c r="A85" s="6"/>
      <c r="B85" s="6"/>
      <c r="C85" s="6">
        <v>24</v>
      </c>
      <c r="D85" s="7">
        <v>4.2160000000000002</v>
      </c>
      <c r="E85" s="4">
        <v>0</v>
      </c>
      <c r="F85" s="7">
        <v>4.2160000000000002</v>
      </c>
      <c r="G85" s="15">
        <f t="shared" ref="G85" si="107">F85*86400</f>
        <v>364262.40000000002</v>
      </c>
      <c r="H85" s="21">
        <f t="shared" ref="H85" si="108">G85/1000000</f>
        <v>0.36426240000000004</v>
      </c>
      <c r="I85" s="17">
        <v>33120.594444444301</v>
      </c>
      <c r="J85" s="31">
        <v>3.3120594444444401E-2</v>
      </c>
      <c r="K85" s="17">
        <v>23092.399999999099</v>
      </c>
      <c r="L85" s="17">
        <v>2.30923999999991E-2</v>
      </c>
      <c r="M85" s="17">
        <f t="shared" ref="M85" si="109">J85+L85</f>
        <v>5.6212994444443498E-2</v>
      </c>
      <c r="N85" s="26">
        <v>-0.1215792</v>
      </c>
      <c r="O85" s="7">
        <f t="shared" ref="O85" si="110">H85-M85-N85</f>
        <v>0.42962860555555654</v>
      </c>
    </row>
    <row r="86" spans="1:15" x14ac:dyDescent="0.7">
      <c r="A86" s="6"/>
      <c r="B86" s="6"/>
      <c r="C86" s="6">
        <v>25</v>
      </c>
      <c r="D86" s="7">
        <v>4.2160000000000002</v>
      </c>
      <c r="E86" s="4">
        <v>0</v>
      </c>
      <c r="F86" s="7">
        <v>4.2160000000000002</v>
      </c>
      <c r="G86" s="15">
        <f t="shared" ref="G86" si="111">F86*86400</f>
        <v>364262.40000000002</v>
      </c>
      <c r="H86" s="21">
        <f t="shared" ref="H86" si="112">G86/1000000</f>
        <v>0.36426240000000004</v>
      </c>
      <c r="I86" s="17">
        <v>33500.044444444298</v>
      </c>
      <c r="J86" s="31">
        <v>3.3500044444444398E-2</v>
      </c>
      <c r="K86" s="17">
        <v>23462.933333332399</v>
      </c>
      <c r="L86" s="17">
        <v>2.3462933333332402E-2</v>
      </c>
      <c r="M86" s="17">
        <f t="shared" ref="M86" si="113">J86+L86</f>
        <v>5.6962977777776799E-2</v>
      </c>
      <c r="N86" s="26">
        <v>-0.1253088</v>
      </c>
      <c r="O86" s="7">
        <f t="shared" ref="O86" si="114">H86-M86-N86</f>
        <v>0.43260822222222323</v>
      </c>
    </row>
    <row r="87" spans="1:15" x14ac:dyDescent="0.7">
      <c r="A87" s="6"/>
      <c r="B87" s="6"/>
      <c r="C87" s="6">
        <v>26</v>
      </c>
      <c r="D87" s="7">
        <v>4.024</v>
      </c>
      <c r="E87" s="4">
        <v>0</v>
      </c>
      <c r="F87" s="7">
        <v>4.024</v>
      </c>
      <c r="G87" s="15">
        <f t="shared" ref="G87" si="115">F87*86400</f>
        <v>347673.59999999998</v>
      </c>
      <c r="H87" s="21">
        <f t="shared" ref="H87" si="116">G87/1000000</f>
        <v>0.34767359999999997</v>
      </c>
      <c r="I87" s="17">
        <v>33879.494444444303</v>
      </c>
      <c r="J87" s="31">
        <v>3.3879494444444401E-2</v>
      </c>
      <c r="K87" s="17">
        <v>23833.466666665699</v>
      </c>
      <c r="L87" s="17">
        <v>2.3833466666665699E-2</v>
      </c>
      <c r="M87" s="17">
        <f t="shared" ref="M87" si="117">J87+L87</f>
        <v>5.77129611111101E-2</v>
      </c>
      <c r="N87" s="26">
        <v>-0.1290384</v>
      </c>
      <c r="O87" s="7">
        <f t="shared" ref="O87" si="118">H87-M87-N87</f>
        <v>0.4189990388888899</v>
      </c>
    </row>
    <row r="88" spans="1:15" x14ac:dyDescent="0.7">
      <c r="A88" s="6"/>
      <c r="B88" s="6"/>
      <c r="C88" s="6">
        <v>27</v>
      </c>
      <c r="D88" s="7">
        <v>3.3610000000000002</v>
      </c>
      <c r="E88" s="4">
        <v>0</v>
      </c>
      <c r="F88" s="7">
        <v>3.3610000000000002</v>
      </c>
      <c r="G88" s="15">
        <f t="shared" ref="G88" si="119">F88*86400</f>
        <v>290390.40000000002</v>
      </c>
      <c r="H88" s="21">
        <f t="shared" ref="H88" si="120">G88/1000000</f>
        <v>0.29039040000000005</v>
      </c>
      <c r="I88" s="17">
        <v>34258.9444444443</v>
      </c>
      <c r="J88" s="31">
        <v>3.4258944444444397E-2</v>
      </c>
      <c r="K88" s="17">
        <v>24203.999999999</v>
      </c>
      <c r="L88" s="17">
        <v>2.4203999999999001E-2</v>
      </c>
      <c r="M88" s="17">
        <f t="shared" ref="M88" si="121">J88+L88</f>
        <v>5.8462944444443402E-2</v>
      </c>
      <c r="N88" s="26">
        <v>-0.132768</v>
      </c>
      <c r="O88" s="7">
        <f t="shared" ref="O88" si="122">H88-M88-N88</f>
        <v>0.36469545555555666</v>
      </c>
    </row>
    <row r="89" spans="1:15" x14ac:dyDescent="0.7">
      <c r="A89" s="6"/>
      <c r="B89" s="6"/>
      <c r="C89" s="6">
        <v>28</v>
      </c>
      <c r="D89" s="7">
        <v>3.3610000000000002</v>
      </c>
      <c r="E89" s="4">
        <v>0</v>
      </c>
      <c r="F89" s="7">
        <v>3.3610000000000002</v>
      </c>
      <c r="G89" s="15">
        <f t="shared" ref="G89" si="123">F89*86400</f>
        <v>290390.40000000002</v>
      </c>
      <c r="H89" s="21">
        <f t="shared" ref="H89" si="124">G89/1000000</f>
        <v>0.29039040000000005</v>
      </c>
      <c r="I89" s="17">
        <v>34638.394444444297</v>
      </c>
      <c r="J89" s="31">
        <v>3.4638394444444401E-2</v>
      </c>
      <c r="K89" s="17">
        <v>24574.5333333323</v>
      </c>
      <c r="L89" s="17">
        <v>2.4574533333332298E-2</v>
      </c>
      <c r="M89" s="17">
        <f t="shared" ref="M89" si="125">J89+L89</f>
        <v>5.9212927777776703E-2</v>
      </c>
      <c r="N89" s="26">
        <v>-0.1364976</v>
      </c>
      <c r="O89" s="7">
        <f t="shared" ref="O89" si="126">H89-M89-N89</f>
        <v>0.36767507222222334</v>
      </c>
    </row>
    <row r="90" spans="1:15" x14ac:dyDescent="0.7">
      <c r="A90" s="12"/>
      <c r="B90" s="12"/>
      <c r="C90" s="12">
        <v>29</v>
      </c>
      <c r="D90" s="33">
        <v>3.3610000000000002</v>
      </c>
      <c r="E90" s="34">
        <v>0</v>
      </c>
      <c r="F90" s="33">
        <v>3.3610000000000002</v>
      </c>
      <c r="G90" s="35">
        <f t="shared" ref="G90" si="127">F90*86400</f>
        <v>290390.40000000002</v>
      </c>
      <c r="H90" s="36">
        <f t="shared" ref="H90" si="128">G90/1000000</f>
        <v>0.29039040000000005</v>
      </c>
      <c r="I90" s="37">
        <v>35017.844444444301</v>
      </c>
      <c r="J90" s="38">
        <v>3.5017844444444397E-2</v>
      </c>
      <c r="K90" s="37">
        <v>24945.0666666656</v>
      </c>
      <c r="L90" s="37">
        <v>2.49450666666656E-2</v>
      </c>
      <c r="M90" s="37">
        <f t="shared" ref="M90" si="129">J90+L90</f>
        <v>5.9962911111109997E-2</v>
      </c>
      <c r="N90" s="39">
        <v>-0.1402272</v>
      </c>
      <c r="O90" s="33">
        <f t="shared" ref="O90" si="130">H90-M90-N90</f>
        <v>0.37065468888889008</v>
      </c>
    </row>
    <row r="91" spans="1:15" s="42" customFormat="1" x14ac:dyDescent="0.7">
      <c r="A91" s="6"/>
      <c r="B91" s="6"/>
      <c r="C91" s="6">
        <v>30</v>
      </c>
      <c r="D91" s="7">
        <v>3.3610000000000002</v>
      </c>
      <c r="E91" s="7">
        <v>0</v>
      </c>
      <c r="F91" s="7">
        <v>3.3610000000000002</v>
      </c>
      <c r="G91" s="40">
        <f t="shared" ref="G91" si="131">F91*86400</f>
        <v>290390.40000000002</v>
      </c>
      <c r="H91" s="20">
        <f t="shared" ref="H91" si="132">G91/1000000</f>
        <v>0.29039040000000005</v>
      </c>
      <c r="I91" s="17">
        <v>35397.294444444298</v>
      </c>
      <c r="J91" s="31">
        <v>3.5397294444444401E-2</v>
      </c>
      <c r="K91" s="17">
        <v>25315.5999999989</v>
      </c>
      <c r="L91" s="17">
        <v>2.5315599999998901E-2</v>
      </c>
      <c r="M91" s="17">
        <f t="shared" ref="M91" si="133">J91+L91</f>
        <v>6.0712894444443305E-2</v>
      </c>
      <c r="N91" s="26">
        <v>-0.1439568</v>
      </c>
      <c r="O91" s="7">
        <f t="shared" ref="O91" si="134">H91-M91-N91</f>
        <v>0.37363430555555677</v>
      </c>
    </row>
    <row r="92" spans="1:15" ht="25.2" thickBot="1" x14ac:dyDescent="0.75">
      <c r="A92" s="11"/>
      <c r="B92" s="11" t="s">
        <v>17</v>
      </c>
      <c r="C92" s="11">
        <v>31</v>
      </c>
      <c r="D92" s="19">
        <v>3.3610000000000002</v>
      </c>
      <c r="E92" s="19">
        <v>0.3</v>
      </c>
      <c r="F92" s="19">
        <v>3.3610000000000002</v>
      </c>
      <c r="G92" s="28">
        <f t="shared" ref="G92" si="135">F92*86400</f>
        <v>290390.40000000002</v>
      </c>
      <c r="H92" s="29">
        <f t="shared" ref="H92" si="136">G92/1000000</f>
        <v>0.29039040000000005</v>
      </c>
      <c r="I92" s="43">
        <v>35776.744444444303</v>
      </c>
      <c r="J92" s="44">
        <v>3.5776744444444397E-2</v>
      </c>
      <c r="K92" s="43">
        <v>25686.1333333322</v>
      </c>
      <c r="L92" s="43">
        <v>2.5686133333332199E-2</v>
      </c>
      <c r="M92" s="43">
        <f t="shared" ref="M92" si="137">J92+L92</f>
        <v>6.1462877777776592E-2</v>
      </c>
      <c r="N92" s="45">
        <v>-0.1476864</v>
      </c>
      <c r="O92" s="19">
        <f t="shared" ref="O92" si="138">H92-M92-N92</f>
        <v>0.37661392222222345</v>
      </c>
    </row>
    <row r="93" spans="1:15" x14ac:dyDescent="0.7">
      <c r="A93" s="3"/>
      <c r="B93" s="3" t="s">
        <v>18</v>
      </c>
      <c r="C93" s="3">
        <v>1</v>
      </c>
      <c r="D93" s="4">
        <v>5.0979999999999999</v>
      </c>
      <c r="E93" s="7">
        <v>0</v>
      </c>
      <c r="F93" s="4">
        <v>5.0979999999999999</v>
      </c>
      <c r="G93" s="15">
        <f t="shared" ref="G93" si="139">F93*86400</f>
        <v>440467.20000000001</v>
      </c>
      <c r="H93" s="21">
        <f t="shared" ref="H93" si="140">G93/1000000</f>
        <v>0.4404672</v>
      </c>
      <c r="I93" s="16">
        <v>36156.1944444443</v>
      </c>
      <c r="J93" s="25">
        <v>3.6156194444444401E-2</v>
      </c>
      <c r="K93" s="16">
        <v>26056.6666666655</v>
      </c>
      <c r="L93" s="16">
        <v>2.60566666666655E-2</v>
      </c>
      <c r="M93" s="16">
        <f t="shared" ref="M93" si="141">J93+L93</f>
        <v>6.22128611111099E-2</v>
      </c>
      <c r="N93" s="27">
        <v>-0.151416</v>
      </c>
      <c r="O93" s="4">
        <f t="shared" ref="O93" si="142">H93-M93-N93</f>
        <v>0.52967033888889015</v>
      </c>
    </row>
    <row r="94" spans="1:15" x14ac:dyDescent="0.7">
      <c r="A94" s="6"/>
      <c r="B94" s="6"/>
      <c r="C94" s="6">
        <v>2</v>
      </c>
      <c r="D94" s="7">
        <v>5.0979999999999999</v>
      </c>
      <c r="E94" s="4">
        <v>7.7</v>
      </c>
      <c r="F94" s="7">
        <v>5.0979999999999999</v>
      </c>
      <c r="G94" s="15">
        <f t="shared" ref="G94" si="143">F94*86400</f>
        <v>440467.20000000001</v>
      </c>
      <c r="H94" s="21">
        <f t="shared" ref="H94" si="144">G94/1000000</f>
        <v>0.4404672</v>
      </c>
      <c r="I94" s="17">
        <v>36535.644444444297</v>
      </c>
      <c r="J94" s="31">
        <v>3.6535644444444397E-2</v>
      </c>
      <c r="K94" s="17">
        <v>26427.1999999988</v>
      </c>
      <c r="L94" s="17">
        <v>2.6427199999998801E-2</v>
      </c>
      <c r="M94" s="17">
        <f t="shared" ref="M94" si="145">J94+L94</f>
        <v>6.2962844444443195E-2</v>
      </c>
      <c r="N94" s="26">
        <v>-0.15514559999999999</v>
      </c>
      <c r="O94" s="7">
        <f t="shared" ref="O94" si="146">H94-M94-N94</f>
        <v>0.53264995555555683</v>
      </c>
    </row>
    <row r="95" spans="1:15" x14ac:dyDescent="0.7">
      <c r="A95" s="6"/>
      <c r="B95" s="6"/>
      <c r="C95" s="6">
        <v>3</v>
      </c>
      <c r="D95" s="7">
        <v>5.3150000000000004</v>
      </c>
      <c r="E95" s="7">
        <v>0</v>
      </c>
      <c r="F95" s="7">
        <v>5.3150000000000004</v>
      </c>
      <c r="G95" s="15">
        <f t="shared" ref="G95" si="147">F95*86400</f>
        <v>459216.00000000006</v>
      </c>
      <c r="H95" s="21">
        <f t="shared" ref="H95" si="148">G95/1000000</f>
        <v>0.45921600000000007</v>
      </c>
      <c r="I95" s="17">
        <v>36915.094444444301</v>
      </c>
      <c r="J95" s="31">
        <v>3.69150944444444E-2</v>
      </c>
      <c r="K95" s="17">
        <v>26797.7333333321</v>
      </c>
      <c r="L95" s="17">
        <v>2.6797733333332099E-2</v>
      </c>
      <c r="M95" s="17">
        <f t="shared" ref="M95" si="149">J95+L95</f>
        <v>6.3712827777776496E-2</v>
      </c>
      <c r="N95" s="26">
        <v>-0.15887519999999999</v>
      </c>
      <c r="O95" s="7">
        <f t="shared" ref="O95" si="150">H95-M95-N95</f>
        <v>0.55437837222222353</v>
      </c>
    </row>
    <row r="96" spans="1:15" x14ac:dyDescent="0.7">
      <c r="A96" s="6"/>
      <c r="B96" s="6"/>
      <c r="C96" s="6">
        <v>4</v>
      </c>
      <c r="D96" s="7">
        <v>5.3140000000000001</v>
      </c>
      <c r="E96" s="4">
        <v>14.3</v>
      </c>
      <c r="F96" s="7">
        <v>5.3140000000000001</v>
      </c>
      <c r="G96" s="15">
        <f t="shared" ref="G96" si="151">F96*86400</f>
        <v>459129.59999999998</v>
      </c>
      <c r="H96" s="21">
        <f t="shared" ref="H96" si="152">G96/1000000</f>
        <v>0.45912959999999997</v>
      </c>
      <c r="I96" s="17">
        <v>37294.544444444298</v>
      </c>
      <c r="J96" s="31">
        <v>3.7294544444444397E-2</v>
      </c>
      <c r="K96" s="17">
        <v>27168.2666666654</v>
      </c>
      <c r="L96" s="17">
        <v>2.71682666666654E-2</v>
      </c>
      <c r="M96" s="17">
        <f t="shared" ref="M96" si="153">J96+L96</f>
        <v>6.4462811111109797E-2</v>
      </c>
      <c r="N96" s="26">
        <v>-0.16260479999999999</v>
      </c>
      <c r="O96" s="7">
        <f t="shared" ref="O96" si="154">H96-M96-N96</f>
        <v>0.55727158888889017</v>
      </c>
    </row>
    <row r="97" spans="1:15" x14ac:dyDescent="0.7">
      <c r="A97" s="6"/>
      <c r="B97" s="6"/>
      <c r="C97" s="6">
        <v>5</v>
      </c>
      <c r="D97" s="7">
        <v>5.5229999999999997</v>
      </c>
      <c r="E97" s="4">
        <v>0.2</v>
      </c>
      <c r="F97" s="7">
        <v>5.5229999999999997</v>
      </c>
      <c r="G97" s="15">
        <f t="shared" ref="G97" si="155">F97*86400</f>
        <v>477187.19999999995</v>
      </c>
      <c r="H97" s="21">
        <f t="shared" ref="H97" si="156">G97/1000000</f>
        <v>0.47718719999999998</v>
      </c>
      <c r="I97" s="17">
        <v>37673.994444444303</v>
      </c>
      <c r="J97" s="31">
        <v>3.76739944444444E-2</v>
      </c>
      <c r="K97" s="17">
        <v>27538.799999998701</v>
      </c>
      <c r="L97" s="17">
        <v>2.7538799999998701E-2</v>
      </c>
      <c r="M97" s="17">
        <f t="shared" ref="M97" si="157">J97+L97</f>
        <v>6.5212794444443098E-2</v>
      </c>
      <c r="N97" s="26">
        <v>-0.16633439999999999</v>
      </c>
      <c r="O97" s="7">
        <f t="shared" ref="O97" si="158">H97-M97-N97</f>
        <v>0.57830880555555686</v>
      </c>
    </row>
    <row r="98" spans="1:15" x14ac:dyDescent="0.7">
      <c r="A98" s="6"/>
      <c r="B98" s="6"/>
      <c r="C98" s="6">
        <v>6</v>
      </c>
      <c r="D98" s="7">
        <v>4.7539999999999996</v>
      </c>
      <c r="E98" s="4">
        <v>2.7</v>
      </c>
      <c r="F98" s="7">
        <v>4.7539999999999996</v>
      </c>
      <c r="G98" s="15">
        <f t="shared" ref="G98" si="159">F98*86400</f>
        <v>410745.59999999998</v>
      </c>
      <c r="H98" s="21">
        <f t="shared" ref="H98" si="160">G98/1000000</f>
        <v>0.41074559999999999</v>
      </c>
      <c r="I98" s="17">
        <v>38053.4444444443</v>
      </c>
      <c r="J98" s="31">
        <v>3.8053444444444397E-2</v>
      </c>
      <c r="K98" s="17">
        <v>27909.333333332001</v>
      </c>
      <c r="L98" s="17">
        <v>2.7909333333331999E-2</v>
      </c>
      <c r="M98" s="17">
        <f t="shared" ref="M98" si="161">J98+L98</f>
        <v>6.5962777777776399E-2</v>
      </c>
      <c r="N98" s="26">
        <v>-0.17006399999999999</v>
      </c>
      <c r="O98" s="7">
        <f t="shared" ref="O98" si="162">H98-M98-N98</f>
        <v>0.51484682222222355</v>
      </c>
    </row>
    <row r="99" spans="1:15" x14ac:dyDescent="0.7">
      <c r="A99" s="6"/>
      <c r="B99" s="6"/>
      <c r="C99" s="6">
        <v>7</v>
      </c>
      <c r="D99" s="7">
        <v>4.633</v>
      </c>
      <c r="E99" s="4">
        <v>0</v>
      </c>
      <c r="F99" s="7">
        <v>4.633</v>
      </c>
      <c r="G99" s="15">
        <f t="shared" ref="G99" si="163">F99*86400</f>
        <v>400291.2</v>
      </c>
      <c r="H99" s="21">
        <f t="shared" ref="H99" si="164">G99/1000000</f>
        <v>0.40029120000000001</v>
      </c>
      <c r="I99" s="17">
        <v>38432.894444444297</v>
      </c>
      <c r="J99" s="31">
        <v>3.84328944444444E-2</v>
      </c>
      <c r="K99" s="17">
        <v>28279.866666665301</v>
      </c>
      <c r="L99" s="17">
        <v>2.82798666666653E-2</v>
      </c>
      <c r="M99" s="17">
        <f t="shared" ref="M99" si="165">J99+L99</f>
        <v>6.67127611111097E-2</v>
      </c>
      <c r="N99" s="26">
        <v>-0.17379359999999999</v>
      </c>
      <c r="O99" s="7">
        <f t="shared" ref="O99" si="166">H99-M99-N99</f>
        <v>0.50737203888889026</v>
      </c>
    </row>
    <row r="100" spans="1:15" x14ac:dyDescent="0.7">
      <c r="A100" s="6"/>
      <c r="B100" s="6"/>
      <c r="C100" s="6">
        <v>8</v>
      </c>
      <c r="D100" s="7">
        <v>4.633</v>
      </c>
      <c r="E100" s="4">
        <v>0</v>
      </c>
      <c r="F100" s="7">
        <v>4.633</v>
      </c>
      <c r="G100" s="15">
        <f t="shared" ref="G100" si="167">F100*86400</f>
        <v>400291.2</v>
      </c>
      <c r="H100" s="21">
        <f t="shared" ref="H100" si="168">G100/1000000</f>
        <v>0.40029120000000001</v>
      </c>
      <c r="I100" s="17">
        <v>38812.344444444301</v>
      </c>
      <c r="J100" s="31">
        <v>3.8812344444444397E-2</v>
      </c>
      <c r="K100" s="17">
        <v>28650.399999998601</v>
      </c>
      <c r="L100" s="17">
        <v>2.8650399999998601E-2</v>
      </c>
      <c r="M100" s="17">
        <f t="shared" ref="M100" si="169">J100+L100</f>
        <v>6.7462744444443001E-2</v>
      </c>
      <c r="N100" s="26">
        <v>-0.17752319999999999</v>
      </c>
      <c r="O100" s="7">
        <f t="shared" ref="O100" si="170">H100-M100-N100</f>
        <v>0.51035165555555695</v>
      </c>
    </row>
    <row r="101" spans="1:15" x14ac:dyDescent="0.7">
      <c r="A101" s="6"/>
      <c r="B101" s="6"/>
      <c r="C101" s="6">
        <v>9</v>
      </c>
      <c r="D101" s="7">
        <v>4.633</v>
      </c>
      <c r="E101" s="4">
        <v>0</v>
      </c>
      <c r="F101" s="7">
        <v>4.633</v>
      </c>
      <c r="G101" s="15">
        <f t="shared" ref="G101" si="171">F101*86400</f>
        <v>400291.2</v>
      </c>
      <c r="H101" s="21">
        <f t="shared" ref="H101" si="172">G101/1000000</f>
        <v>0.40029120000000001</v>
      </c>
      <c r="I101" s="17">
        <v>39191.794444444298</v>
      </c>
      <c r="J101" s="31">
        <v>3.91917944444444E-2</v>
      </c>
      <c r="K101" s="17">
        <v>29020.933333331901</v>
      </c>
      <c r="L101" s="17">
        <v>2.9020933333331899E-2</v>
      </c>
      <c r="M101" s="17">
        <f t="shared" ref="M101" si="173">J101+L101</f>
        <v>6.8212727777776302E-2</v>
      </c>
      <c r="N101" s="26">
        <v>-0.18125279999999999</v>
      </c>
      <c r="O101" s="7">
        <f t="shared" ref="O101" si="174">H101-M101-N101</f>
        <v>0.51333127222222363</v>
      </c>
    </row>
    <row r="102" spans="1:15" x14ac:dyDescent="0.7">
      <c r="A102" s="6"/>
      <c r="B102" s="6"/>
      <c r="C102" s="6">
        <v>10</v>
      </c>
      <c r="D102" s="7">
        <v>4.383</v>
      </c>
      <c r="E102" s="4">
        <v>0</v>
      </c>
      <c r="F102" s="7">
        <v>4.383</v>
      </c>
      <c r="G102" s="15">
        <f t="shared" ref="G102" si="175">F102*86400</f>
        <v>378691.2</v>
      </c>
      <c r="H102" s="21">
        <f t="shared" ref="H102" si="176">G102/1000000</f>
        <v>0.37869120000000001</v>
      </c>
      <c r="I102" s="17">
        <v>39571.244444444303</v>
      </c>
      <c r="J102" s="31">
        <v>3.9571244444444403E-2</v>
      </c>
      <c r="K102" s="17">
        <v>29391.466666665201</v>
      </c>
      <c r="L102" s="17">
        <v>2.93914666666652E-2</v>
      </c>
      <c r="M102" s="17">
        <f t="shared" ref="M102" si="177">J102+L102</f>
        <v>6.8962711111109604E-2</v>
      </c>
      <c r="N102" s="26">
        <v>-0.18498239999999999</v>
      </c>
      <c r="O102" s="7">
        <f t="shared" ref="O102" si="178">H102-M102-N102</f>
        <v>0.49471088888889037</v>
      </c>
    </row>
    <row r="103" spans="1:15" x14ac:dyDescent="0.7">
      <c r="A103" s="6"/>
      <c r="B103" s="6"/>
      <c r="C103" s="6">
        <v>11</v>
      </c>
      <c r="D103" s="7">
        <v>4.383</v>
      </c>
      <c r="E103" s="4">
        <v>0</v>
      </c>
      <c r="F103" s="7">
        <v>4.383</v>
      </c>
      <c r="G103" s="15">
        <f t="shared" ref="G103" si="179">F103*86400</f>
        <v>378691.2</v>
      </c>
      <c r="H103" s="21">
        <f t="shared" ref="H103" si="180">G103/1000000</f>
        <v>0.37869120000000001</v>
      </c>
      <c r="I103" s="17">
        <v>39950.6944444443</v>
      </c>
      <c r="J103" s="31">
        <v>3.99506944444444E-2</v>
      </c>
      <c r="K103" s="17">
        <v>29761.999999998501</v>
      </c>
      <c r="L103" s="17">
        <v>2.9761999999998501E-2</v>
      </c>
      <c r="M103" s="17">
        <f t="shared" ref="M103" si="181">J103+L103</f>
        <v>6.9712694444442905E-2</v>
      </c>
      <c r="N103" s="26">
        <v>-0.18871199999999999</v>
      </c>
      <c r="O103" s="7">
        <f t="shared" ref="O103" si="182">H103-M103-N103</f>
        <v>0.49769050555555711</v>
      </c>
    </row>
    <row r="104" spans="1:15" x14ac:dyDescent="0.7">
      <c r="A104" s="6"/>
      <c r="B104" s="6"/>
      <c r="C104" s="6">
        <v>12</v>
      </c>
      <c r="D104" s="7">
        <v>4.117</v>
      </c>
      <c r="E104" s="4">
        <v>0</v>
      </c>
      <c r="F104" s="7">
        <v>4.117</v>
      </c>
      <c r="G104" s="15">
        <f t="shared" ref="G104" si="183">F104*86400</f>
        <v>355708.8</v>
      </c>
      <c r="H104" s="21">
        <f t="shared" ref="H104" si="184">G104/1000000</f>
        <v>0.35570879999999999</v>
      </c>
      <c r="I104" s="17">
        <v>40330.144444444297</v>
      </c>
      <c r="J104" s="31">
        <v>4.0330144444444403E-2</v>
      </c>
      <c r="K104" s="17">
        <v>30132.533333331801</v>
      </c>
      <c r="L104" s="17">
        <v>3.0132533333331799E-2</v>
      </c>
      <c r="M104" s="17">
        <f t="shared" ref="M104" si="185">J104+L104</f>
        <v>7.0462677777776206E-2</v>
      </c>
      <c r="N104" s="26">
        <v>-0.19244159999999999</v>
      </c>
      <c r="O104" s="7">
        <f t="shared" ref="O104" si="186">H104-M104-N104</f>
        <v>0.47768772222222378</v>
      </c>
    </row>
    <row r="105" spans="1:15" x14ac:dyDescent="0.7">
      <c r="A105" s="6"/>
      <c r="B105" s="6"/>
      <c r="C105" s="6">
        <v>13</v>
      </c>
      <c r="D105" s="7">
        <v>3.9769999999999999</v>
      </c>
      <c r="E105" s="4">
        <v>1.6</v>
      </c>
      <c r="F105" s="7">
        <v>3.9769999999999999</v>
      </c>
      <c r="G105" s="15">
        <f t="shared" ref="G105" si="187">F105*86400</f>
        <v>343612.8</v>
      </c>
      <c r="H105" s="21">
        <f t="shared" ref="H105" si="188">G105/1000000</f>
        <v>0.3436128</v>
      </c>
      <c r="I105" s="17">
        <v>40709.594444444301</v>
      </c>
      <c r="J105" s="31">
        <v>4.07095944444444E-2</v>
      </c>
      <c r="K105" s="17">
        <v>30503.066666665101</v>
      </c>
      <c r="L105" s="17">
        <v>3.05030666666651E-2</v>
      </c>
      <c r="M105" s="17">
        <f t="shared" ref="M105" si="189">J105+L105</f>
        <v>7.1212661111109493E-2</v>
      </c>
      <c r="N105" s="26">
        <v>-0.19617119999999999</v>
      </c>
      <c r="O105" s="7">
        <f t="shared" ref="O105" si="190">H105-M105-N105</f>
        <v>0.46857133888889047</v>
      </c>
    </row>
    <row r="106" spans="1:15" x14ac:dyDescent="0.7">
      <c r="A106" s="6"/>
      <c r="B106" s="6"/>
      <c r="C106" s="6">
        <v>14</v>
      </c>
      <c r="D106" s="7">
        <v>3.9769999999999999</v>
      </c>
      <c r="E106" s="4">
        <v>0</v>
      </c>
      <c r="F106" s="7">
        <v>3.9769999999999999</v>
      </c>
      <c r="G106" s="15">
        <f t="shared" ref="G106" si="191">F106*86400</f>
        <v>343612.8</v>
      </c>
      <c r="H106" s="21">
        <f t="shared" ref="H106" si="192">G106/1000000</f>
        <v>0.3436128</v>
      </c>
      <c r="I106" s="17">
        <v>41089.044444444298</v>
      </c>
      <c r="J106" s="31">
        <v>4.1089044444444403E-2</v>
      </c>
      <c r="K106" s="17">
        <v>30873.599999998401</v>
      </c>
      <c r="L106" s="17">
        <v>3.0873599999998402E-2</v>
      </c>
      <c r="M106" s="17">
        <f t="shared" ref="M106" si="193">J106+L106</f>
        <v>7.1962644444442808E-2</v>
      </c>
      <c r="N106" s="26">
        <v>-0.264459</v>
      </c>
      <c r="O106" s="7">
        <f t="shared" ref="O106" si="194">H106-M106-N106</f>
        <v>0.53610915555555716</v>
      </c>
    </row>
    <row r="107" spans="1:15" x14ac:dyDescent="0.7">
      <c r="A107" s="6"/>
      <c r="B107" s="6"/>
      <c r="C107" s="6">
        <v>15</v>
      </c>
      <c r="D107" s="7">
        <v>3.6819999999999999</v>
      </c>
      <c r="E107" s="4">
        <v>1</v>
      </c>
      <c r="F107" s="7">
        <v>3.6819999999999999</v>
      </c>
      <c r="G107" s="15">
        <f t="shared" ref="G107" si="195">F107*86400</f>
        <v>318124.79999999999</v>
      </c>
      <c r="H107" s="21">
        <f t="shared" ref="H107" si="196">G107/1000000</f>
        <v>0.31812479999999999</v>
      </c>
      <c r="I107" s="17">
        <v>41468.494444444303</v>
      </c>
      <c r="J107" s="31">
        <v>4.14684944444444E-2</v>
      </c>
      <c r="K107" s="17">
        <v>31244.133333331702</v>
      </c>
      <c r="L107" s="17">
        <v>3.1244133333331699E-2</v>
      </c>
      <c r="M107" s="17">
        <f t="shared" ref="M107" si="197">J107+L107</f>
        <v>7.2712627777776095E-2</v>
      </c>
      <c r="N107" s="26">
        <v>-0.20363039999999999</v>
      </c>
      <c r="O107" s="7">
        <f t="shared" ref="O107" si="198">H107-M107-N107</f>
        <v>0.44904257222222388</v>
      </c>
    </row>
    <row r="108" spans="1:15" x14ac:dyDescent="0.7">
      <c r="A108" s="6"/>
      <c r="B108" s="6"/>
      <c r="C108" s="6">
        <v>16</v>
      </c>
      <c r="D108" s="7">
        <v>3.9769999999999999</v>
      </c>
      <c r="E108" s="4">
        <v>10.9</v>
      </c>
      <c r="F108" s="7">
        <v>3.9769999999999999</v>
      </c>
      <c r="G108" s="15">
        <f t="shared" ref="G108" si="199">F108*86400</f>
        <v>343612.8</v>
      </c>
      <c r="H108" s="21">
        <f t="shared" ref="H108" si="200">G108/1000000</f>
        <v>0.3436128</v>
      </c>
      <c r="I108" s="17">
        <v>41847.9444444443</v>
      </c>
      <c r="J108" s="31">
        <v>4.1847944444444403E-2</v>
      </c>
      <c r="K108" s="17">
        <v>31614.666666665002</v>
      </c>
      <c r="L108" s="17">
        <v>3.1614666666665001E-2</v>
      </c>
      <c r="M108" s="17">
        <f t="shared" ref="M108" si="201">J108+L108</f>
        <v>7.346261111110941E-2</v>
      </c>
      <c r="N108" s="26">
        <v>-0.20735999999999999</v>
      </c>
      <c r="O108" s="7">
        <f t="shared" ref="O108" si="202">H108-M108-N108</f>
        <v>0.47751018888889057</v>
      </c>
    </row>
    <row r="109" spans="1:15" x14ac:dyDescent="0.7">
      <c r="A109" s="6"/>
      <c r="B109" s="6"/>
      <c r="C109" s="6">
        <v>17</v>
      </c>
      <c r="D109" s="7">
        <v>4.9859999999999998</v>
      </c>
      <c r="E109" s="4">
        <v>3.3</v>
      </c>
      <c r="F109" s="7">
        <v>4.9859999999999998</v>
      </c>
      <c r="G109" s="15">
        <f t="shared" ref="G109" si="203">F109*86400</f>
        <v>430790.39999999997</v>
      </c>
      <c r="H109" s="21">
        <f t="shared" ref="H109" si="204">G109/1000000</f>
        <v>0.43079039999999996</v>
      </c>
      <c r="I109" s="17">
        <v>42227.394444444297</v>
      </c>
      <c r="J109" s="31">
        <v>4.2227394444444399E-2</v>
      </c>
      <c r="K109" s="17">
        <v>31985.199999998302</v>
      </c>
      <c r="L109" s="17">
        <v>3.1985199999998298E-2</v>
      </c>
      <c r="M109" s="17">
        <f t="shared" ref="M109" si="205">J109+L109</f>
        <v>7.4212594444442698E-2</v>
      </c>
      <c r="N109" s="26">
        <v>-0.21108959999999999</v>
      </c>
      <c r="O109" s="7">
        <f t="shared" ref="O109" si="206">H109-M109-N109</f>
        <v>0.56766740555555728</v>
      </c>
    </row>
    <row r="110" spans="1:15" x14ac:dyDescent="0.7">
      <c r="A110" s="6"/>
      <c r="B110" s="6"/>
      <c r="C110" s="6">
        <v>18</v>
      </c>
      <c r="D110" s="7">
        <v>6.5090000000000003</v>
      </c>
      <c r="E110" s="4">
        <v>0</v>
      </c>
      <c r="F110" s="7">
        <v>6.5090000000000003</v>
      </c>
      <c r="G110" s="15">
        <f t="shared" ref="G110" si="207">F110*86400</f>
        <v>562377.6</v>
      </c>
      <c r="H110" s="21">
        <f t="shared" ref="H110" si="208">G110/1000000</f>
        <v>0.56237759999999992</v>
      </c>
      <c r="I110" s="17">
        <v>42606.844444444199</v>
      </c>
      <c r="J110" s="31">
        <v>4.2606844444444403E-2</v>
      </c>
      <c r="K110" s="17">
        <v>32355.733333331598</v>
      </c>
      <c r="L110" s="17">
        <v>3.2355733333331603E-2</v>
      </c>
      <c r="M110" s="17">
        <f t="shared" ref="M110" si="209">J110+L110</f>
        <v>7.4962577777776013E-2</v>
      </c>
      <c r="N110" s="26">
        <v>-0.21481919999999999</v>
      </c>
      <c r="O110" s="7">
        <f t="shared" ref="O110" si="210">H110-M110-N110</f>
        <v>0.70223422222222387</v>
      </c>
    </row>
    <row r="111" spans="1:15" x14ac:dyDescent="0.7">
      <c r="A111" s="6"/>
      <c r="B111" s="6"/>
      <c r="C111" s="6">
        <v>19</v>
      </c>
      <c r="D111" s="7">
        <v>6.2320000000000002</v>
      </c>
      <c r="E111" s="4">
        <v>0</v>
      </c>
      <c r="F111" s="7">
        <v>6.2320000000000002</v>
      </c>
      <c r="G111" s="15">
        <f t="shared" ref="G111" si="211">F111*86400</f>
        <v>538444.80000000005</v>
      </c>
      <c r="H111" s="21">
        <f t="shared" ref="H111" si="212">G111/1000000</f>
        <v>0.53844480000000006</v>
      </c>
      <c r="I111" s="17">
        <v>42986.294444444196</v>
      </c>
      <c r="J111" s="31">
        <v>4.2986294444444399E-2</v>
      </c>
      <c r="K111" s="17">
        <v>32726.266666664898</v>
      </c>
      <c r="L111" s="17">
        <v>3.2726266666664901E-2</v>
      </c>
      <c r="M111" s="17">
        <f t="shared" ref="M111" si="213">J111+L111</f>
        <v>7.57125611111093E-2</v>
      </c>
      <c r="N111" s="26">
        <v>-0.21854879999999999</v>
      </c>
      <c r="O111" s="7">
        <f t="shared" ref="O111" si="214">H111-M111-N111</f>
        <v>0.6812810388888908</v>
      </c>
    </row>
    <row r="112" spans="1:15" x14ac:dyDescent="0.7">
      <c r="A112" s="6"/>
      <c r="B112" s="6"/>
      <c r="C112" s="6">
        <v>20</v>
      </c>
      <c r="D112" s="7">
        <v>6.9039999999999999</v>
      </c>
      <c r="E112" s="4">
        <v>0</v>
      </c>
      <c r="F112" s="7">
        <v>6.9039999999999999</v>
      </c>
      <c r="G112" s="15">
        <f t="shared" ref="G112" si="215">F112*86400</f>
        <v>596505.59999999998</v>
      </c>
      <c r="H112" s="21">
        <f t="shared" ref="H112" si="216">G112/1000000</f>
        <v>0.59650559999999997</v>
      </c>
      <c r="I112" s="17">
        <v>43365.744444444201</v>
      </c>
      <c r="J112" s="31">
        <v>4.3365744444444403E-2</v>
      </c>
      <c r="K112" s="17">
        <v>33096.799999998198</v>
      </c>
      <c r="L112" s="17">
        <v>3.3096799999998198E-2</v>
      </c>
      <c r="M112" s="17">
        <f t="shared" ref="M112" si="217">J112+L112</f>
        <v>7.6462544444442601E-2</v>
      </c>
      <c r="N112" s="26">
        <v>-0.22227839999999999</v>
      </c>
      <c r="O112" s="7">
        <f t="shared" ref="O112" si="218">H112-M112-N112</f>
        <v>0.7423214555555574</v>
      </c>
    </row>
    <row r="113" spans="1:15" x14ac:dyDescent="0.7">
      <c r="A113" s="6"/>
      <c r="B113" s="6"/>
      <c r="C113" s="6">
        <v>21</v>
      </c>
      <c r="D113" s="7">
        <v>6.6440000000000001</v>
      </c>
      <c r="E113" s="4">
        <v>0</v>
      </c>
      <c r="F113" s="7">
        <v>6.6440000000000001</v>
      </c>
      <c r="G113" s="15">
        <f t="shared" ref="G113" si="219">F113*86400</f>
        <v>574041.59999999998</v>
      </c>
      <c r="H113" s="21">
        <f t="shared" ref="H113" si="220">G113/1000000</f>
        <v>0.57404159999999993</v>
      </c>
      <c r="I113" s="17">
        <v>43745.194444444198</v>
      </c>
      <c r="J113" s="31">
        <v>4.3745194444444399E-2</v>
      </c>
      <c r="K113" s="17">
        <v>33467.333333331502</v>
      </c>
      <c r="L113" s="17">
        <v>3.3467333333331503E-2</v>
      </c>
      <c r="M113" s="17">
        <f t="shared" ref="M113" si="221">J113+L113</f>
        <v>7.7212527777775902E-2</v>
      </c>
      <c r="N113" s="26">
        <v>-0.22600799999999999</v>
      </c>
      <c r="O113" s="7">
        <f t="shared" ref="O113" si="222">H113-M113-N113</f>
        <v>0.72283707222222404</v>
      </c>
    </row>
    <row r="114" spans="1:15" x14ac:dyDescent="0.7">
      <c r="A114" s="6"/>
      <c r="B114" s="6"/>
      <c r="C114" s="6">
        <v>22</v>
      </c>
      <c r="D114" s="7">
        <v>5.9770000000000003</v>
      </c>
      <c r="E114" s="4">
        <v>0</v>
      </c>
      <c r="F114" s="7">
        <v>5.9770000000000003</v>
      </c>
      <c r="G114" s="15">
        <f t="shared" ref="G114" si="223">F114*86400</f>
        <v>516412.80000000005</v>
      </c>
      <c r="H114" s="21">
        <f t="shared" ref="H114" si="224">G114/1000000</f>
        <v>0.51641280000000001</v>
      </c>
      <c r="I114" s="17">
        <v>44124.644444444202</v>
      </c>
      <c r="J114" s="31">
        <v>4.4124644444444402E-2</v>
      </c>
      <c r="K114" s="17">
        <v>33837.866666664799</v>
      </c>
      <c r="L114" s="17">
        <v>3.3837866666664801E-2</v>
      </c>
      <c r="M114" s="17">
        <f t="shared" ref="M114" si="225">J114+L114</f>
        <v>7.7962511111109203E-2</v>
      </c>
      <c r="N114" s="26">
        <v>-0.22973759999999999</v>
      </c>
      <c r="O114" s="7">
        <f t="shared" ref="O114" si="226">H114-M114-N114</f>
        <v>0.6681878888888908</v>
      </c>
    </row>
    <row r="115" spans="1:15" x14ac:dyDescent="0.7">
      <c r="A115" s="6"/>
      <c r="B115" s="6"/>
      <c r="C115" s="6">
        <v>23</v>
      </c>
      <c r="D115" s="7">
        <v>4.51</v>
      </c>
      <c r="E115" s="4">
        <v>0</v>
      </c>
      <c r="F115" s="7">
        <v>4.51</v>
      </c>
      <c r="G115" s="15">
        <f t="shared" ref="G115" si="227">F115*86400</f>
        <v>389664</v>
      </c>
      <c r="H115" s="21">
        <f t="shared" ref="H115" si="228">G115/1000000</f>
        <v>0.38966400000000001</v>
      </c>
      <c r="I115" s="17">
        <v>44504.094444444199</v>
      </c>
      <c r="J115" s="31">
        <v>4.4504094444444399E-2</v>
      </c>
      <c r="K115" s="17">
        <v>34208.399999998102</v>
      </c>
      <c r="L115" s="17">
        <v>3.4208399999998099E-2</v>
      </c>
      <c r="M115" s="17">
        <f t="shared" ref="M115" si="229">J115+L115</f>
        <v>7.8712494444442505E-2</v>
      </c>
      <c r="N115" s="26">
        <v>-0.23346720000000001</v>
      </c>
      <c r="O115" s="7">
        <f t="shared" ref="O115" si="230">H115-M115-N115</f>
        <v>0.54441870555555749</v>
      </c>
    </row>
    <row r="116" spans="1:15" x14ac:dyDescent="0.7">
      <c r="A116" s="6"/>
      <c r="B116" s="6"/>
      <c r="C116" s="6">
        <v>24</v>
      </c>
      <c r="D116" s="7">
        <v>4.51</v>
      </c>
      <c r="E116" s="4">
        <v>0.5</v>
      </c>
      <c r="F116" s="7">
        <v>4.51</v>
      </c>
      <c r="G116" s="15">
        <f t="shared" ref="G116" si="231">F116*86400</f>
        <v>389664</v>
      </c>
      <c r="H116" s="21">
        <f t="shared" ref="H116" si="232">G116/1000000</f>
        <v>0.38966400000000001</v>
      </c>
      <c r="I116" s="17">
        <v>44883.544444444196</v>
      </c>
      <c r="J116" s="31">
        <v>4.4883544444444402E-2</v>
      </c>
      <c r="K116" s="17">
        <v>34578.933333331399</v>
      </c>
      <c r="L116" s="17">
        <v>3.4578933333331403E-2</v>
      </c>
      <c r="M116" s="17">
        <f t="shared" ref="M116" si="233">J116+L116</f>
        <v>7.9462477777775806E-2</v>
      </c>
      <c r="N116" s="26">
        <v>-0.23719680000000001</v>
      </c>
      <c r="O116" s="7">
        <f t="shared" ref="O116" si="234">H116-M116-N116</f>
        <v>0.54739832222222418</v>
      </c>
    </row>
    <row r="117" spans="1:15" x14ac:dyDescent="0.7">
      <c r="A117" s="6"/>
      <c r="B117" s="6"/>
      <c r="C117" s="6">
        <v>25</v>
      </c>
      <c r="D117" s="7">
        <v>4.2519999999999998</v>
      </c>
      <c r="E117" s="4">
        <v>17</v>
      </c>
      <c r="F117" s="7">
        <v>4.2519999999999998</v>
      </c>
      <c r="G117" s="15">
        <f t="shared" ref="G117" si="235">F117*86400</f>
        <v>367372.79999999999</v>
      </c>
      <c r="H117" s="21">
        <f t="shared" ref="H117" si="236">G117/1000000</f>
        <v>0.3673728</v>
      </c>
      <c r="I117" s="17">
        <v>45262.994444444201</v>
      </c>
      <c r="J117" s="31">
        <v>4.5262994444444399E-2</v>
      </c>
      <c r="K117" s="17">
        <v>34949.466666664703</v>
      </c>
      <c r="L117" s="17">
        <v>3.4949466666664701E-2</v>
      </c>
      <c r="M117" s="17">
        <f t="shared" ref="M117" si="237">J117+L117</f>
        <v>8.0212461111109107E-2</v>
      </c>
      <c r="N117" s="26">
        <v>-0.24092640000000001</v>
      </c>
      <c r="O117" s="7">
        <f t="shared" ref="O117" si="238">H117-M117-N117</f>
        <v>0.52808673888889091</v>
      </c>
    </row>
    <row r="118" spans="1:15" x14ac:dyDescent="0.7">
      <c r="A118" s="6"/>
      <c r="B118" s="6"/>
      <c r="C118" s="6">
        <v>26</v>
      </c>
      <c r="D118" s="7">
        <v>6.3719999999999999</v>
      </c>
      <c r="E118" s="4">
        <v>0</v>
      </c>
      <c r="F118" s="7">
        <v>6.3719999999999999</v>
      </c>
      <c r="G118" s="15">
        <f t="shared" ref="G118" si="239">F118*86400</f>
        <v>550540.80000000005</v>
      </c>
      <c r="H118" s="21">
        <f t="shared" ref="H118" si="240">G118/1000000</f>
        <v>0.55054080000000005</v>
      </c>
      <c r="I118" s="17">
        <v>45642.444444444198</v>
      </c>
      <c r="J118" s="31">
        <v>4.5642444444444402E-2</v>
      </c>
      <c r="K118" s="17">
        <v>35319.999999997999</v>
      </c>
      <c r="L118" s="17">
        <v>3.5319999999997999E-2</v>
      </c>
      <c r="M118" s="17">
        <f t="shared" ref="M118" si="241">J118+L118</f>
        <v>8.0962444444442394E-2</v>
      </c>
      <c r="N118" s="26">
        <v>-0.24465600000000001</v>
      </c>
      <c r="O118" s="7">
        <f t="shared" ref="O118" si="242">H118-M118-N118</f>
        <v>0.7142343555555577</v>
      </c>
    </row>
    <row r="119" spans="1:15" x14ac:dyDescent="0.7">
      <c r="A119" s="6"/>
      <c r="B119" s="6"/>
      <c r="C119" s="6">
        <v>27</v>
      </c>
      <c r="D119" s="7">
        <v>6.6440000000000001</v>
      </c>
      <c r="E119" s="4">
        <v>5.7</v>
      </c>
      <c r="F119" s="7">
        <v>6.6440000000000001</v>
      </c>
      <c r="G119" s="15">
        <f t="shared" ref="G119" si="243">F119*86400</f>
        <v>574041.59999999998</v>
      </c>
      <c r="H119" s="21">
        <f t="shared" ref="H119" si="244">G119/1000000</f>
        <v>0.57404159999999993</v>
      </c>
      <c r="I119" s="17">
        <v>46021.894444444202</v>
      </c>
      <c r="J119" s="31">
        <v>4.6021894444444399E-2</v>
      </c>
      <c r="K119" s="17">
        <v>35690.533333331303</v>
      </c>
      <c r="L119" s="17">
        <v>3.5690533333331297E-2</v>
      </c>
      <c r="M119" s="17">
        <f t="shared" ref="M119" si="245">J119+L119</f>
        <v>8.1712427777775695E-2</v>
      </c>
      <c r="N119" s="26">
        <v>-0.24838560000000001</v>
      </c>
      <c r="O119" s="7">
        <f t="shared" ref="O119" si="246">H119-M119-N119</f>
        <v>0.74071477222222426</v>
      </c>
    </row>
    <row r="120" spans="1:15" x14ac:dyDescent="0.7">
      <c r="A120" s="12"/>
      <c r="B120" s="12"/>
      <c r="C120" s="12">
        <v>28</v>
      </c>
      <c r="D120" s="33">
        <v>7.9729999999999999</v>
      </c>
      <c r="E120" s="4">
        <v>0</v>
      </c>
      <c r="F120" s="33">
        <v>7.9729999999999999</v>
      </c>
      <c r="G120" s="35">
        <f t="shared" ref="G120" si="247">F120*86400</f>
        <v>688867.2</v>
      </c>
      <c r="H120" s="36">
        <f t="shared" ref="H120" si="248">G120/1000000</f>
        <v>0.6888671999999999</v>
      </c>
      <c r="I120" s="37">
        <v>46401.344444444199</v>
      </c>
      <c r="J120" s="38">
        <v>4.6401344444444402E-2</v>
      </c>
      <c r="K120" s="37">
        <v>36061.066666664599</v>
      </c>
      <c r="L120" s="37">
        <v>3.6061066666664601E-2</v>
      </c>
      <c r="M120" s="37">
        <f t="shared" ref="M120" si="249">J120+L120</f>
        <v>8.2462411111108996E-2</v>
      </c>
      <c r="N120" s="39">
        <v>-0.25211519999999998</v>
      </c>
      <c r="O120" s="33">
        <f t="shared" ref="O120" si="250">H120-M120-N120</f>
        <v>0.85851998888889092</v>
      </c>
    </row>
    <row r="121" spans="1:15" s="42" customFormat="1" x14ac:dyDescent="0.7">
      <c r="A121" s="6"/>
      <c r="B121" s="6"/>
      <c r="C121" s="6">
        <v>29</v>
      </c>
      <c r="D121" s="7">
        <v>7.9729999999999999</v>
      </c>
      <c r="E121" s="4">
        <v>1.6</v>
      </c>
      <c r="F121" s="7">
        <v>7.9729999999999999</v>
      </c>
      <c r="G121" s="40">
        <f t="shared" ref="G121" si="251">F121*86400</f>
        <v>688867.2</v>
      </c>
      <c r="H121" s="20">
        <f t="shared" ref="H121" si="252">G121/1000000</f>
        <v>0.6888671999999999</v>
      </c>
      <c r="I121" s="17">
        <v>46780.794444444196</v>
      </c>
      <c r="J121" s="31">
        <v>4.6780794444444398E-2</v>
      </c>
      <c r="K121" s="17">
        <v>36431.599999997903</v>
      </c>
      <c r="L121" s="17">
        <v>3.6431599999997899E-2</v>
      </c>
      <c r="M121" s="17">
        <f t="shared" ref="M121" si="253">J121+L121</f>
        <v>8.3212394444442297E-2</v>
      </c>
      <c r="N121" s="26">
        <v>-0.25584479999999998</v>
      </c>
      <c r="O121" s="7">
        <f t="shared" ref="O121" si="254">H121-M121-N121</f>
        <v>0.8614996055555576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7.9729999999999999</v>
      </c>
      <c r="E122" s="19">
        <v>0</v>
      </c>
      <c r="F122" s="19">
        <v>7.9729999999999999</v>
      </c>
      <c r="G122" s="28">
        <f t="shared" ref="G122" si="255">F122*86400</f>
        <v>688867.2</v>
      </c>
      <c r="H122" s="29">
        <f t="shared" ref="H122" si="256">G122/1000000</f>
        <v>0.6888671999999999</v>
      </c>
      <c r="I122" s="43">
        <v>47160.244444444201</v>
      </c>
      <c r="J122" s="44">
        <v>4.7160244444444402E-2</v>
      </c>
      <c r="K122" s="43">
        <v>36802.1333333312</v>
      </c>
      <c r="L122" s="43">
        <v>3.6802133333331197E-2</v>
      </c>
      <c r="M122" s="43">
        <f t="shared" ref="M122" si="257">J122+L122</f>
        <v>8.3962377777775599E-2</v>
      </c>
      <c r="N122" s="45">
        <v>-0.25957439999999998</v>
      </c>
      <c r="O122" s="19">
        <f t="shared" ref="O122" si="258">H122-M122-N122</f>
        <v>0.86447922222222429</v>
      </c>
    </row>
    <row r="123" spans="1:15" x14ac:dyDescent="0.7">
      <c r="A123" s="3"/>
      <c r="B123" s="3" t="s">
        <v>19</v>
      </c>
      <c r="C123" s="3">
        <v>1</v>
      </c>
      <c r="D123" s="4">
        <v>7.1310000000000002</v>
      </c>
      <c r="E123" s="4">
        <v>23</v>
      </c>
      <c r="F123" s="4">
        <v>7.1310000000000002</v>
      </c>
      <c r="G123" s="15">
        <f t="shared" ref="G123" si="259">F123*86400</f>
        <v>616118.4</v>
      </c>
      <c r="H123" s="21">
        <f t="shared" ref="H123" si="260">G123/1000000</f>
        <v>0.61611840000000007</v>
      </c>
      <c r="I123" s="16">
        <v>47539.694444444198</v>
      </c>
      <c r="J123" s="25">
        <v>4.7539694444444398E-2</v>
      </c>
      <c r="K123" s="16">
        <v>37172.666666664503</v>
      </c>
      <c r="L123" s="16">
        <v>3.7172666666664501E-2</v>
      </c>
      <c r="M123" s="16">
        <f t="shared" ref="M123" si="261">J123+L123</f>
        <v>8.47123611111089E-2</v>
      </c>
      <c r="N123" s="27">
        <v>-0.26330399999999998</v>
      </c>
      <c r="O123" s="4">
        <f t="shared" ref="O123" si="262">H123-M123-N123</f>
        <v>0.79471003888889113</v>
      </c>
    </row>
    <row r="124" spans="1:15" x14ac:dyDescent="0.7">
      <c r="A124" s="6"/>
      <c r="B124" s="3"/>
      <c r="C124" s="6">
        <v>2</v>
      </c>
      <c r="D124" s="7">
        <v>5.3150000000000004</v>
      </c>
      <c r="E124" s="4">
        <v>18.899999999999999</v>
      </c>
      <c r="F124" s="7">
        <v>5.3150000000000004</v>
      </c>
      <c r="G124" s="15">
        <f t="shared" ref="G124" si="263">F124*86400</f>
        <v>459216.00000000006</v>
      </c>
      <c r="H124" s="21">
        <f t="shared" ref="H124" si="264">G124/1000000</f>
        <v>0.45921600000000007</v>
      </c>
      <c r="I124" s="17">
        <v>47919.144444444202</v>
      </c>
      <c r="J124" s="31">
        <v>4.7919144444444402E-2</v>
      </c>
      <c r="K124" s="17">
        <v>37543.1999999978</v>
      </c>
      <c r="L124" s="17">
        <v>3.7543199999997799E-2</v>
      </c>
      <c r="M124" s="17">
        <f t="shared" ref="M124" si="265">J124+L124</f>
        <v>8.5462344444442201E-2</v>
      </c>
      <c r="N124" s="26">
        <v>-0.26703359999999998</v>
      </c>
      <c r="O124" s="7">
        <f t="shared" ref="O124" si="266">H124-M124-N124</f>
        <v>0.64078725555555782</v>
      </c>
    </row>
    <row r="125" spans="1:15" x14ac:dyDescent="0.7">
      <c r="A125" s="6"/>
      <c r="B125" s="6"/>
      <c r="C125" s="6">
        <v>3</v>
      </c>
      <c r="D125" s="7">
        <v>9.2570000000000014</v>
      </c>
      <c r="E125" s="4">
        <v>0</v>
      </c>
      <c r="F125" s="7">
        <v>9.2570000000000014</v>
      </c>
      <c r="G125" s="15">
        <f t="shared" ref="G125" si="267">F125*86400</f>
        <v>799804.80000000016</v>
      </c>
      <c r="H125" s="21">
        <f t="shared" ref="H125" si="268">G125/1000000</f>
        <v>0.7998048000000002</v>
      </c>
      <c r="I125" s="17">
        <v>48298.594444444199</v>
      </c>
      <c r="J125" s="31">
        <v>4.8298594444444398E-2</v>
      </c>
      <c r="K125" s="17">
        <v>37913.733333331103</v>
      </c>
      <c r="L125" s="17">
        <v>3.7913733333331097E-2</v>
      </c>
      <c r="M125" s="17">
        <f t="shared" ref="M125" si="269">J125+L125</f>
        <v>8.6212327777775488E-2</v>
      </c>
      <c r="N125" s="26">
        <v>-0.27076319999999998</v>
      </c>
      <c r="O125" s="7">
        <f t="shared" ref="O125" si="270">H125-M125-N125</f>
        <v>0.98435567222222464</v>
      </c>
    </row>
    <row r="126" spans="1:15" x14ac:dyDescent="0.7">
      <c r="A126" s="6"/>
      <c r="B126" s="6"/>
      <c r="C126" s="6">
        <v>4</v>
      </c>
      <c r="D126" s="7">
        <v>8.86</v>
      </c>
      <c r="E126" s="4">
        <v>5.9</v>
      </c>
      <c r="F126" s="7">
        <v>8.86</v>
      </c>
      <c r="G126" s="15">
        <f t="shared" ref="G126" si="271">F126*86400</f>
        <v>765504</v>
      </c>
      <c r="H126" s="21">
        <f t="shared" ref="H126" si="272">G126/1000000</f>
        <v>0.76550399999999996</v>
      </c>
      <c r="I126" s="17">
        <v>48678.044444444196</v>
      </c>
      <c r="J126" s="31">
        <v>4.8678044444444402E-2</v>
      </c>
      <c r="K126" s="17">
        <v>38284.2666666644</v>
      </c>
      <c r="L126" s="17">
        <v>3.8284266666664402E-2</v>
      </c>
      <c r="M126" s="17">
        <f t="shared" ref="M126" si="273">J126+L126</f>
        <v>8.6962311111108803E-2</v>
      </c>
      <c r="N126" s="26">
        <v>-0.27449279999999998</v>
      </c>
      <c r="O126" s="7">
        <f t="shared" ref="O126" si="274">H126-M126-N126</f>
        <v>0.95303448888889108</v>
      </c>
    </row>
    <row r="127" spans="1:15" x14ac:dyDescent="0.7">
      <c r="A127" s="6"/>
      <c r="B127" s="6"/>
      <c r="C127" s="6">
        <v>5</v>
      </c>
      <c r="D127" s="7">
        <v>8.5419999999999998</v>
      </c>
      <c r="E127" s="4">
        <v>0</v>
      </c>
      <c r="F127" s="7">
        <v>8.5419999999999998</v>
      </c>
      <c r="G127" s="15">
        <f t="shared" ref="G127" si="275">F127*86400</f>
        <v>738028.79999999993</v>
      </c>
      <c r="H127" s="21">
        <f t="shared" ref="H127" si="276">G127/1000000</f>
        <v>0.73802879999999993</v>
      </c>
      <c r="I127" s="17">
        <v>49057.494444444201</v>
      </c>
      <c r="J127" s="31">
        <v>4.9057494444444398E-2</v>
      </c>
      <c r="K127" s="17">
        <v>38654.799999997696</v>
      </c>
      <c r="L127" s="17">
        <v>3.8654799999997699E-2</v>
      </c>
      <c r="M127" s="17">
        <f t="shared" ref="M127:M130" si="277">J127+L127</f>
        <v>8.771229444444209E-2</v>
      </c>
      <c r="N127" s="26">
        <v>-0.27822239999999998</v>
      </c>
      <c r="O127" s="7">
        <f t="shared" ref="O127:O130" si="278">H127-M127-N127</f>
        <v>0.92853890555555785</v>
      </c>
    </row>
    <row r="128" spans="1:15" x14ac:dyDescent="0.7">
      <c r="A128" s="6"/>
      <c r="B128" s="6"/>
      <c r="C128" s="6">
        <v>6</v>
      </c>
      <c r="D128" s="7">
        <v>8.8290000000000006</v>
      </c>
      <c r="E128" s="4">
        <v>0</v>
      </c>
      <c r="F128" s="7">
        <v>8.8290000000000006</v>
      </c>
      <c r="G128" s="15">
        <f t="shared" ref="G128" si="279">F128*86400</f>
        <v>762825.60000000009</v>
      </c>
      <c r="H128" s="21">
        <f t="shared" ref="H128" si="280">G128/1000000</f>
        <v>0.7628256000000001</v>
      </c>
      <c r="I128" s="17">
        <v>38432.894444444297</v>
      </c>
      <c r="J128" s="31">
        <v>3.84328944444444E-2</v>
      </c>
      <c r="K128" s="17">
        <v>28279.866666665301</v>
      </c>
      <c r="L128" s="17">
        <v>2.82798666666653E-2</v>
      </c>
      <c r="M128" s="17">
        <f t="shared" si="277"/>
        <v>6.67127611111097E-2</v>
      </c>
      <c r="N128" s="26">
        <v>-0.17379359999999999</v>
      </c>
      <c r="O128" s="7">
        <f t="shared" si="278"/>
        <v>0.86990643888889041</v>
      </c>
    </row>
    <row r="129" spans="1:15" x14ac:dyDescent="0.7">
      <c r="A129" s="6"/>
      <c r="B129" s="6"/>
      <c r="C129" s="6">
        <v>7</v>
      </c>
      <c r="D129" s="7">
        <v>8.7330000000000005</v>
      </c>
      <c r="E129" s="4">
        <v>0</v>
      </c>
      <c r="F129" s="7">
        <v>8.7330000000000005</v>
      </c>
      <c r="G129" s="15">
        <f t="shared" ref="G129" si="281">F129*86400</f>
        <v>754531.20000000007</v>
      </c>
      <c r="H129" s="21">
        <f t="shared" ref="H129" si="282">G129/1000000</f>
        <v>0.75453120000000007</v>
      </c>
      <c r="I129" s="17">
        <v>38812.344444444301</v>
      </c>
      <c r="J129" s="31">
        <v>3.8812344444444397E-2</v>
      </c>
      <c r="K129" s="17">
        <v>28650.399999998601</v>
      </c>
      <c r="L129" s="17">
        <v>2.8650399999998601E-2</v>
      </c>
      <c r="M129" s="17">
        <f t="shared" si="277"/>
        <v>6.7462744444443001E-2</v>
      </c>
      <c r="N129" s="26">
        <v>-0.17752319999999999</v>
      </c>
      <c r="O129" s="7">
        <f t="shared" si="278"/>
        <v>0.86459165555555706</v>
      </c>
    </row>
    <row r="130" spans="1:15" x14ac:dyDescent="0.7">
      <c r="A130" s="6"/>
      <c r="B130" s="6"/>
      <c r="C130" s="6">
        <v>8</v>
      </c>
      <c r="D130" s="7">
        <v>4.4209999999999994</v>
      </c>
      <c r="E130" s="4">
        <v>0</v>
      </c>
      <c r="F130" s="7">
        <v>4.4209999999999994</v>
      </c>
      <c r="G130" s="15">
        <f t="shared" ref="G130" si="283">F130*86400</f>
        <v>381974.39999999997</v>
      </c>
      <c r="H130" s="21">
        <f t="shared" ref="H130" si="284">G130/1000000</f>
        <v>0.38197439999999999</v>
      </c>
      <c r="I130" s="17">
        <v>39191.794444444298</v>
      </c>
      <c r="J130" s="31">
        <v>3.91917944444444E-2</v>
      </c>
      <c r="K130" s="17">
        <v>29020.933333331901</v>
      </c>
      <c r="L130" s="17">
        <v>2.9020933333331899E-2</v>
      </c>
      <c r="M130" s="17">
        <f t="shared" si="277"/>
        <v>6.8212727777776302E-2</v>
      </c>
      <c r="N130" s="26">
        <v>-0.18125279999999999</v>
      </c>
      <c r="O130" s="7">
        <f t="shared" si="278"/>
        <v>0.49501447222222367</v>
      </c>
    </row>
    <row r="131" spans="1:15" x14ac:dyDescent="0.7">
      <c r="A131" s="6"/>
      <c r="B131" s="6"/>
      <c r="C131" s="6">
        <v>9</v>
      </c>
      <c r="D131" s="7">
        <v>4.3689999999999998</v>
      </c>
      <c r="E131" s="4">
        <v>22.3</v>
      </c>
      <c r="F131" s="7">
        <v>4.3689999999999998</v>
      </c>
      <c r="G131" s="15">
        <f t="shared" ref="G131" si="285">F131*86400</f>
        <v>377481.6</v>
      </c>
      <c r="H131" s="21">
        <f t="shared" ref="H131" si="286">G131/1000000</f>
        <v>0.37748159999999997</v>
      </c>
      <c r="I131" s="17">
        <v>50575.294444444196</v>
      </c>
      <c r="J131" s="31">
        <v>5.0575294444444398E-2</v>
      </c>
      <c r="K131" s="17">
        <v>40136.933333330897</v>
      </c>
      <c r="L131" s="17">
        <v>4.0136933333330897E-2</v>
      </c>
      <c r="M131" s="17">
        <f t="shared" ref="M131" si="287">J131+L131</f>
        <v>9.0712227777775295E-2</v>
      </c>
      <c r="N131" s="26">
        <v>-0.29314079999999998</v>
      </c>
      <c r="O131" s="7">
        <f t="shared" ref="O131" si="288">H131-M131-N131</f>
        <v>0.57991017222222463</v>
      </c>
    </row>
    <row r="132" spans="1:15" x14ac:dyDescent="0.7">
      <c r="A132" s="6"/>
      <c r="B132" s="6"/>
      <c r="C132" s="6">
        <v>10</v>
      </c>
      <c r="D132" s="7">
        <v>5.49</v>
      </c>
      <c r="E132" s="4">
        <v>11</v>
      </c>
      <c r="F132" s="7">
        <v>5.49</v>
      </c>
      <c r="G132" s="15">
        <f t="shared" ref="G132" si="289">F132*86400</f>
        <v>474336</v>
      </c>
      <c r="H132" s="21">
        <f t="shared" ref="H132" si="290">G132/1000000</f>
        <v>0.47433599999999998</v>
      </c>
      <c r="I132" s="17">
        <v>50954.744444444201</v>
      </c>
      <c r="J132" s="31">
        <v>5.0954744444444401E-2</v>
      </c>
      <c r="K132" s="17">
        <v>40507.466666664201</v>
      </c>
      <c r="L132" s="17">
        <v>4.0507466666664202E-2</v>
      </c>
      <c r="M132" s="17">
        <f t="shared" ref="M132" si="291">J132+L132</f>
        <v>9.146221111110861E-2</v>
      </c>
      <c r="N132" s="26">
        <v>-0.29687039999999998</v>
      </c>
      <c r="O132" s="7">
        <f t="shared" ref="O132" si="292">H132-M132-N132</f>
        <v>0.67974418888889132</v>
      </c>
    </row>
    <row r="133" spans="1:15" x14ac:dyDescent="0.7">
      <c r="A133" s="6"/>
      <c r="B133" s="6"/>
      <c r="C133" s="6">
        <v>11</v>
      </c>
      <c r="D133" s="7">
        <v>5.9719999999999995</v>
      </c>
      <c r="E133" s="4">
        <v>0</v>
      </c>
      <c r="F133" s="7">
        <v>5.9719999999999995</v>
      </c>
      <c r="G133" s="15">
        <f t="shared" ref="G133" si="293">F133*86400</f>
        <v>515980.79999999999</v>
      </c>
      <c r="H133" s="21">
        <f t="shared" ref="H133" si="294">G133/1000000</f>
        <v>0.51598080000000002</v>
      </c>
      <c r="I133" s="17">
        <v>51334.194444444198</v>
      </c>
      <c r="J133" s="31">
        <v>5.1334194444444398E-2</v>
      </c>
      <c r="K133" s="17">
        <v>40877.999999997497</v>
      </c>
      <c r="L133" s="17">
        <v>4.08779999999975E-2</v>
      </c>
      <c r="M133" s="17">
        <f t="shared" ref="M133" si="295">J133+L133</f>
        <v>9.2212194444441897E-2</v>
      </c>
      <c r="N133" s="26">
        <v>-0.30059999999999998</v>
      </c>
      <c r="O133" s="7">
        <f t="shared" ref="O133" si="296">H133-M133-N133</f>
        <v>0.72436860555555804</v>
      </c>
    </row>
    <row r="134" spans="1:15" x14ac:dyDescent="0.7">
      <c r="A134" s="6"/>
      <c r="B134" s="6"/>
      <c r="C134" s="6">
        <v>12</v>
      </c>
      <c r="D134" s="7">
        <v>9.6370000000000005</v>
      </c>
      <c r="E134" s="4">
        <v>25.9</v>
      </c>
      <c r="F134" s="7">
        <v>9.6370000000000005</v>
      </c>
      <c r="G134" s="15">
        <f t="shared" ref="G134" si="297">F134*86400</f>
        <v>832636.8</v>
      </c>
      <c r="H134" s="21">
        <f t="shared" ref="H134" si="298">G134/1000000</f>
        <v>0.83263680000000007</v>
      </c>
      <c r="I134" s="17">
        <v>51713.644444444202</v>
      </c>
      <c r="J134" s="31">
        <v>5.1713644444444401E-2</v>
      </c>
      <c r="K134" s="17">
        <v>41248.533333330801</v>
      </c>
      <c r="L134" s="17">
        <v>4.1248533333330797E-2</v>
      </c>
      <c r="M134" s="17">
        <f t="shared" ref="M134" si="299">J134+L134</f>
        <v>9.2962177777775198E-2</v>
      </c>
      <c r="N134" s="26">
        <v>-0.30432959999999998</v>
      </c>
      <c r="O134" s="7">
        <f t="shared" ref="O134" si="300">H134-M134-N134</f>
        <v>1.0440042222222248</v>
      </c>
    </row>
    <row r="135" spans="1:15" x14ac:dyDescent="0.7">
      <c r="A135" s="6"/>
      <c r="B135" s="6"/>
      <c r="C135" s="6">
        <v>13</v>
      </c>
      <c r="D135" s="7">
        <v>10.118</v>
      </c>
      <c r="E135" s="4">
        <v>0</v>
      </c>
      <c r="F135" s="7">
        <v>10.118</v>
      </c>
      <c r="G135" s="15">
        <f t="shared" ref="G135" si="301">F135*86400</f>
        <v>874195.20000000007</v>
      </c>
      <c r="H135" s="21">
        <f t="shared" ref="H135" si="302">G135/1000000</f>
        <v>0.87419520000000006</v>
      </c>
      <c r="I135" s="17">
        <v>52093.094444444199</v>
      </c>
      <c r="J135" s="31">
        <v>5.2093094444444397E-2</v>
      </c>
      <c r="K135" s="17">
        <v>41619.066666664097</v>
      </c>
      <c r="L135" s="17">
        <v>4.1619066666664102E-2</v>
      </c>
      <c r="M135" s="17">
        <f t="shared" ref="M135" si="303">J135+L135</f>
        <v>9.37121611111085E-2</v>
      </c>
      <c r="N135" s="26">
        <v>-0.30805919999999998</v>
      </c>
      <c r="O135" s="7">
        <f t="shared" ref="O135" si="304">H135-M135-N135</f>
        <v>1.0885422388888917</v>
      </c>
    </row>
    <row r="136" spans="1:15" x14ac:dyDescent="0.7">
      <c r="A136" s="6"/>
      <c r="B136" s="6"/>
      <c r="C136" s="6">
        <v>14</v>
      </c>
      <c r="D136" s="7">
        <v>14.038</v>
      </c>
      <c r="E136" s="4">
        <v>0</v>
      </c>
      <c r="F136" s="7">
        <v>14.038</v>
      </c>
      <c r="G136" s="15">
        <f t="shared" ref="G136" si="305">F136*86400</f>
        <v>1212883.2</v>
      </c>
      <c r="H136" s="21">
        <f t="shared" ref="H136" si="306">G136/1000000</f>
        <v>1.2128832000000001</v>
      </c>
      <c r="I136" s="17">
        <v>52472.544444444196</v>
      </c>
      <c r="J136" s="31">
        <v>5.2472544444444401E-2</v>
      </c>
      <c r="K136" s="17">
        <v>41989.599999997401</v>
      </c>
      <c r="L136" s="17">
        <v>4.19895999999974E-2</v>
      </c>
      <c r="M136" s="17">
        <f t="shared" ref="M136" si="307">J136+L136</f>
        <v>9.4462144444441801E-2</v>
      </c>
      <c r="N136" s="26">
        <v>-0.31178879999999998</v>
      </c>
      <c r="O136" s="7">
        <f t="shared" ref="O136" si="308">H136-M136-N136</f>
        <v>1.4302098555555582</v>
      </c>
    </row>
    <row r="137" spans="1:15" x14ac:dyDescent="0.7">
      <c r="A137" s="6"/>
      <c r="B137" s="6"/>
      <c r="C137" s="6">
        <v>15</v>
      </c>
      <c r="D137" s="7">
        <v>13.798</v>
      </c>
      <c r="E137" s="4">
        <v>0</v>
      </c>
      <c r="F137" s="7">
        <v>13.798</v>
      </c>
      <c r="G137" s="15">
        <f t="shared" ref="G137" si="309">F137*86400</f>
        <v>1192147.2</v>
      </c>
      <c r="H137" s="21">
        <f t="shared" ref="H137" si="310">G137/1000000</f>
        <v>1.1921472</v>
      </c>
      <c r="I137" s="17">
        <v>52851.994444444201</v>
      </c>
      <c r="J137" s="31">
        <v>5.2851994444444397E-2</v>
      </c>
      <c r="K137" s="17">
        <v>42360.133333330697</v>
      </c>
      <c r="L137" s="17">
        <v>4.2360133333330698E-2</v>
      </c>
      <c r="M137" s="17">
        <f t="shared" ref="M137" si="311">J137+L137</f>
        <v>9.5212127777775102E-2</v>
      </c>
      <c r="N137" s="26">
        <v>-0.31551839999999998</v>
      </c>
      <c r="O137" s="7">
        <f t="shared" ref="O137" si="312">H137-M137-N137</f>
        <v>1.4124534722222248</v>
      </c>
    </row>
    <row r="138" spans="1:15" x14ac:dyDescent="0.7">
      <c r="A138" s="6"/>
      <c r="B138" s="6"/>
      <c r="C138" s="6">
        <v>16</v>
      </c>
      <c r="D138" s="7">
        <v>6.7780000000000005</v>
      </c>
      <c r="E138" s="4">
        <v>0</v>
      </c>
      <c r="F138" s="7">
        <v>6.7780000000000005</v>
      </c>
      <c r="G138" s="15">
        <f t="shared" ref="G138" si="313">F138*86400</f>
        <v>585619.20000000007</v>
      </c>
      <c r="H138" s="21">
        <f t="shared" ref="H138" si="314">G138/1000000</f>
        <v>0.58561920000000012</v>
      </c>
      <c r="I138" s="17">
        <v>53231.444444444198</v>
      </c>
      <c r="J138" s="31">
        <v>5.3231444444444401E-2</v>
      </c>
      <c r="K138" s="17">
        <v>42730.666666664001</v>
      </c>
      <c r="L138" s="17">
        <v>4.2730666666664002E-2</v>
      </c>
      <c r="M138" s="17">
        <f t="shared" ref="M138" si="315">J138+L138</f>
        <v>9.5962111111108403E-2</v>
      </c>
      <c r="N138" s="26">
        <v>-0.31924799999999998</v>
      </c>
      <c r="O138" s="7">
        <f t="shared" ref="O138" si="316">H138-M138-N138</f>
        <v>0.80890508888889168</v>
      </c>
    </row>
    <row r="139" spans="1:15" x14ac:dyDescent="0.7">
      <c r="A139" s="6"/>
      <c r="B139" s="6"/>
      <c r="C139" s="6">
        <v>17</v>
      </c>
      <c r="D139" s="7">
        <v>6.2880000000000003</v>
      </c>
      <c r="E139" s="4">
        <v>4.2</v>
      </c>
      <c r="F139" s="7">
        <v>6.2880000000000003</v>
      </c>
      <c r="G139" s="15">
        <f t="shared" ref="G139" si="317">F139*86400</f>
        <v>543283.20000000007</v>
      </c>
      <c r="H139" s="21">
        <f t="shared" ref="H139" si="318">G139/1000000</f>
        <v>0.54328320000000008</v>
      </c>
      <c r="I139" s="17">
        <v>53610.894444444202</v>
      </c>
      <c r="J139" s="31">
        <v>5.3610894444444397E-2</v>
      </c>
      <c r="K139" s="17">
        <v>43101.199999997298</v>
      </c>
      <c r="L139" s="17">
        <v>4.31011999999973E-2</v>
      </c>
      <c r="M139" s="17">
        <f t="shared" ref="M139" si="319">J139+L139</f>
        <v>9.6712094444441704E-2</v>
      </c>
      <c r="N139" s="26">
        <v>-0.32297759999999998</v>
      </c>
      <c r="O139" s="7">
        <f t="shared" ref="O139" si="320">H139-M139-N139</f>
        <v>0.76954870555555832</v>
      </c>
    </row>
    <row r="140" spans="1:15" x14ac:dyDescent="0.7">
      <c r="A140" s="6"/>
      <c r="B140" s="6"/>
      <c r="C140" s="6">
        <v>18</v>
      </c>
      <c r="D140" s="7">
        <v>5.5049999999999999</v>
      </c>
      <c r="E140" s="4">
        <v>1.5</v>
      </c>
      <c r="F140" s="7">
        <v>5.5049999999999999</v>
      </c>
      <c r="G140" s="15">
        <f t="shared" ref="G140" si="321">F140*86400</f>
        <v>475632</v>
      </c>
      <c r="H140" s="21">
        <f t="shared" ref="H140" si="322">G140/1000000</f>
        <v>0.475632</v>
      </c>
      <c r="I140" s="17">
        <v>53990.344444444199</v>
      </c>
      <c r="J140" s="31">
        <v>5.3990344444444401E-2</v>
      </c>
      <c r="K140" s="17">
        <v>43471.733333330601</v>
      </c>
      <c r="L140" s="17">
        <v>4.3471733333330598E-2</v>
      </c>
      <c r="M140" s="17">
        <f t="shared" ref="M140" si="323">J140+L140</f>
        <v>9.7462077777774991E-2</v>
      </c>
      <c r="N140" s="26">
        <v>-0.32670719999999998</v>
      </c>
      <c r="O140" s="7">
        <f t="shared" ref="O140" si="324">H140-M140-N140</f>
        <v>0.70487712222222498</v>
      </c>
    </row>
    <row r="141" spans="1:15" x14ac:dyDescent="0.7">
      <c r="A141" s="6"/>
      <c r="B141" s="6"/>
      <c r="C141" s="6">
        <v>19</v>
      </c>
      <c r="D141" s="7">
        <v>10.931999999999999</v>
      </c>
      <c r="E141" s="4">
        <v>4.5</v>
      </c>
      <c r="F141" s="7">
        <v>10.931999999999999</v>
      </c>
      <c r="G141" s="15">
        <f t="shared" ref="G141" si="325">F141*86400</f>
        <v>944524.79999999993</v>
      </c>
      <c r="H141" s="21">
        <f t="shared" ref="H141" si="326">G141/1000000</f>
        <v>0.94452479999999994</v>
      </c>
      <c r="I141" s="17">
        <v>54369.794444444196</v>
      </c>
      <c r="J141" s="31">
        <v>5.4369794444444397E-2</v>
      </c>
      <c r="K141" s="17">
        <v>43842.266666663898</v>
      </c>
      <c r="L141" s="17">
        <v>4.3842266666663902E-2</v>
      </c>
      <c r="M141" s="17">
        <f t="shared" ref="M141" si="327">J141+L141</f>
        <v>9.8212061111108306E-2</v>
      </c>
      <c r="N141" s="26">
        <v>-0.33043679999999997</v>
      </c>
      <c r="O141" s="7">
        <f t="shared" ref="O141" si="328">H141-M141-N141</f>
        <v>1.1767495388888916</v>
      </c>
    </row>
    <row r="142" spans="1:15" x14ac:dyDescent="0.7">
      <c r="A142" s="6"/>
      <c r="B142" s="6"/>
      <c r="C142" s="6">
        <v>20</v>
      </c>
      <c r="D142" s="7">
        <v>9.0890000000000004</v>
      </c>
      <c r="E142" s="4">
        <v>0</v>
      </c>
      <c r="F142" s="7">
        <v>9.0890000000000004</v>
      </c>
      <c r="G142" s="15">
        <f t="shared" ref="G142" si="329">F142*86400</f>
        <v>785289.60000000009</v>
      </c>
      <c r="H142" s="21">
        <f t="shared" ref="H142" si="330">G142/1000000</f>
        <v>0.78528960000000014</v>
      </c>
      <c r="I142" s="17">
        <v>54749.244444444201</v>
      </c>
      <c r="J142" s="31">
        <v>5.47492444444444E-2</v>
      </c>
      <c r="K142" s="17">
        <v>44212.799999997202</v>
      </c>
      <c r="L142" s="17">
        <v>4.42127999999972E-2</v>
      </c>
      <c r="M142" s="17">
        <f t="shared" ref="M142" si="331">J142+L142</f>
        <v>9.8962044444441594E-2</v>
      </c>
      <c r="N142" s="26">
        <v>-0.33416639999999997</v>
      </c>
      <c r="O142" s="7">
        <f t="shared" ref="O142" si="332">H142-M142-N142</f>
        <v>1.0204939555555586</v>
      </c>
    </row>
    <row r="143" spans="1:15" x14ac:dyDescent="0.7">
      <c r="A143" s="6"/>
      <c r="B143" s="6"/>
      <c r="C143" s="6">
        <v>21</v>
      </c>
      <c r="D143" s="7">
        <v>6.5670000000000002</v>
      </c>
      <c r="E143" s="4">
        <v>0</v>
      </c>
      <c r="F143" s="7">
        <v>6.5670000000000002</v>
      </c>
      <c r="G143" s="15">
        <f t="shared" ref="G143" si="333">F143*86400</f>
        <v>567388.80000000005</v>
      </c>
      <c r="H143" s="21">
        <f t="shared" ref="H143" si="334">G143/1000000</f>
        <v>0.56738880000000003</v>
      </c>
      <c r="I143" s="17">
        <v>55128.694444444198</v>
      </c>
      <c r="J143" s="31">
        <v>5.5128694444444397E-2</v>
      </c>
      <c r="K143" s="17">
        <v>44583.333333330498</v>
      </c>
      <c r="L143" s="17">
        <v>4.4583333333330498E-2</v>
      </c>
      <c r="M143" s="17">
        <f t="shared" ref="M143" si="335">J143+L143</f>
        <v>9.9712027777774895E-2</v>
      </c>
      <c r="N143" s="26">
        <v>-0.33789599999999997</v>
      </c>
      <c r="O143" s="7">
        <f t="shared" ref="O143" si="336">H143-M143-N143</f>
        <v>0.80557277222222512</v>
      </c>
    </row>
    <row r="144" spans="1:15" x14ac:dyDescent="0.7">
      <c r="A144" s="6"/>
      <c r="B144" s="6"/>
      <c r="C144" s="6">
        <v>22</v>
      </c>
      <c r="D144" s="7">
        <v>6.5629999999999997</v>
      </c>
      <c r="E144" s="4">
        <v>57.2</v>
      </c>
      <c r="F144" s="7">
        <v>6.5629999999999997</v>
      </c>
      <c r="G144" s="15">
        <f t="shared" ref="G144" si="337">F144*86400</f>
        <v>567043.19999999995</v>
      </c>
      <c r="H144" s="21">
        <f t="shared" ref="H144" si="338">G144/1000000</f>
        <v>0.56704319999999997</v>
      </c>
      <c r="I144" s="17">
        <v>55508.1444444441</v>
      </c>
      <c r="J144" s="31">
        <v>5.55081444444444E-2</v>
      </c>
      <c r="K144" s="17">
        <v>44953.866666663802</v>
      </c>
      <c r="L144" s="17">
        <v>4.4953866666663803E-2</v>
      </c>
      <c r="M144" s="17">
        <f t="shared" ref="M144" si="339">J144+L144</f>
        <v>0.1004620111111082</v>
      </c>
      <c r="N144" s="26">
        <v>-0.34162559999999997</v>
      </c>
      <c r="O144" s="7">
        <f t="shared" ref="O144" si="340">H144-M144-N144</f>
        <v>0.80820678888889175</v>
      </c>
    </row>
    <row r="145" spans="1:15" x14ac:dyDescent="0.7">
      <c r="A145" s="6"/>
      <c r="B145" s="6"/>
      <c r="C145" s="6">
        <v>23</v>
      </c>
      <c r="D145" s="7">
        <v>8.5050000000000008</v>
      </c>
      <c r="E145" s="4">
        <v>51.3</v>
      </c>
      <c r="F145" s="7">
        <v>8.5050000000000008</v>
      </c>
      <c r="G145" s="15">
        <f t="shared" ref="G145" si="341">F145*86400</f>
        <v>734832.00000000012</v>
      </c>
      <c r="H145" s="21">
        <f t="shared" ref="H145" si="342">G145/1000000</f>
        <v>0.73483200000000015</v>
      </c>
      <c r="I145" s="17">
        <v>55887.594444444097</v>
      </c>
      <c r="J145" s="31">
        <v>5.5887594444444397E-2</v>
      </c>
      <c r="K145" s="17">
        <v>45324.399999997098</v>
      </c>
      <c r="L145" s="17">
        <v>4.53243999999971E-2</v>
      </c>
      <c r="M145" s="17">
        <f t="shared" ref="M145" si="343">J145+L145</f>
        <v>0.1012119944444415</v>
      </c>
      <c r="N145" s="26">
        <v>-0.34535519999999997</v>
      </c>
      <c r="O145" s="7">
        <f t="shared" ref="O145" si="344">H145-M145-N145</f>
        <v>0.97897520555555861</v>
      </c>
    </row>
    <row r="146" spans="1:15" x14ac:dyDescent="0.7">
      <c r="A146" s="6"/>
      <c r="B146" s="6"/>
      <c r="C146" s="6">
        <v>24</v>
      </c>
      <c r="D146" s="7">
        <v>8.09</v>
      </c>
      <c r="E146" s="4">
        <v>1.1000000000000001</v>
      </c>
      <c r="F146" s="7">
        <v>8.09</v>
      </c>
      <c r="G146" s="15">
        <f t="shared" ref="G146" si="345">F146*86400</f>
        <v>698976</v>
      </c>
      <c r="H146" s="21">
        <f t="shared" ref="H146" si="346">G146/1000000</f>
        <v>0.69897600000000004</v>
      </c>
      <c r="I146" s="17">
        <v>56267.044444444102</v>
      </c>
      <c r="J146" s="31">
        <v>5.62670444444444E-2</v>
      </c>
      <c r="K146" s="17">
        <v>45694.933333330402</v>
      </c>
      <c r="L146" s="17">
        <v>4.5694933333330398E-2</v>
      </c>
      <c r="M146" s="17">
        <f t="shared" ref="M146" si="347">J146+L146</f>
        <v>0.1019619777777748</v>
      </c>
      <c r="N146" s="26">
        <v>-0.34908479999999997</v>
      </c>
      <c r="O146" s="7">
        <f t="shared" ref="O146" si="348">H146-M146-N146</f>
        <v>0.94609882222222519</v>
      </c>
    </row>
    <row r="147" spans="1:15" x14ac:dyDescent="0.7">
      <c r="A147" s="6"/>
      <c r="B147" s="6"/>
      <c r="C147" s="6">
        <v>25</v>
      </c>
      <c r="D147" s="7">
        <v>10.91</v>
      </c>
      <c r="E147" s="4">
        <v>0</v>
      </c>
      <c r="F147" s="7">
        <v>10.91</v>
      </c>
      <c r="G147" s="15">
        <f t="shared" ref="G147" si="349">F147*86400</f>
        <v>942624</v>
      </c>
      <c r="H147" s="21">
        <f t="shared" ref="H147" si="350">G147/1000000</f>
        <v>0.94262400000000002</v>
      </c>
      <c r="I147" s="17">
        <v>56646.494444444099</v>
      </c>
      <c r="J147" s="31">
        <v>5.6646494444444397E-2</v>
      </c>
      <c r="K147" s="17">
        <v>46065.466666663699</v>
      </c>
      <c r="L147" s="17">
        <v>4.6065466666663703E-2</v>
      </c>
      <c r="M147" s="17">
        <f t="shared" ref="M147" si="351">J147+L147</f>
        <v>0.1027119611111081</v>
      </c>
      <c r="N147" s="26">
        <v>-0.35281439999999997</v>
      </c>
      <c r="O147" s="7">
        <f t="shared" ref="O147" si="352">H147-M147-N147</f>
        <v>1.1927264388888918</v>
      </c>
    </row>
    <row r="148" spans="1:15" x14ac:dyDescent="0.7">
      <c r="A148" s="6"/>
      <c r="B148" s="6"/>
      <c r="C148" s="6">
        <v>26</v>
      </c>
      <c r="D148" s="7">
        <v>8.0869999999999997</v>
      </c>
      <c r="E148" s="4">
        <v>36</v>
      </c>
      <c r="F148" s="7">
        <v>8.0869999999999997</v>
      </c>
      <c r="G148" s="15">
        <f t="shared" ref="G148" si="353">F148*86400</f>
        <v>698716.79999999993</v>
      </c>
      <c r="H148" s="21">
        <f t="shared" ref="H148" si="354">G148/1000000</f>
        <v>0.69871679999999992</v>
      </c>
      <c r="I148" s="17">
        <v>57025.944444444103</v>
      </c>
      <c r="J148" s="31">
        <v>5.70259444444444E-2</v>
      </c>
      <c r="K148" s="17">
        <v>46435.999999997002</v>
      </c>
      <c r="L148" s="17">
        <v>4.6435999999996903E-2</v>
      </c>
      <c r="M148" s="17">
        <f t="shared" ref="M148" si="355">J148+L148</f>
        <v>0.1034619444444413</v>
      </c>
      <c r="N148" s="26">
        <v>-0.35654400000000003</v>
      </c>
      <c r="O148" s="7">
        <f t="shared" ref="O148" si="356">H148-M148-N148</f>
        <v>0.95179885555555854</v>
      </c>
    </row>
    <row r="149" spans="1:15" x14ac:dyDescent="0.7">
      <c r="A149" s="6"/>
      <c r="B149" s="6"/>
      <c r="C149" s="6">
        <v>27</v>
      </c>
      <c r="D149" s="7">
        <v>45.29</v>
      </c>
      <c r="E149" s="4">
        <v>1.4</v>
      </c>
      <c r="F149" s="7">
        <v>45.29</v>
      </c>
      <c r="G149" s="15">
        <f t="shared" ref="G149" si="357">F149*86400</f>
        <v>3913056</v>
      </c>
      <c r="H149" s="21">
        <f t="shared" ref="H149" si="358">G149/1000000</f>
        <v>3.9130560000000001</v>
      </c>
      <c r="I149" s="17">
        <v>57405.3944444441</v>
      </c>
      <c r="J149" s="31">
        <v>5.7405394444444403E-2</v>
      </c>
      <c r="K149" s="17">
        <v>46806.533333330299</v>
      </c>
      <c r="L149" s="17">
        <v>4.6806533333330298E-2</v>
      </c>
      <c r="M149" s="17">
        <f t="shared" ref="M149" si="359">J149+L149</f>
        <v>0.1042119277777747</v>
      </c>
      <c r="N149" s="26">
        <v>-0.36027360000000003</v>
      </c>
      <c r="O149" s="7">
        <f t="shared" ref="O149" si="360">H149-M149-N149</f>
        <v>4.1691176722222254</v>
      </c>
    </row>
    <row r="150" spans="1:15" x14ac:dyDescent="0.7">
      <c r="A150" s="6"/>
      <c r="B150" s="6"/>
      <c r="C150" s="6">
        <v>28</v>
      </c>
      <c r="D150" s="7">
        <v>24.9</v>
      </c>
      <c r="E150" s="4">
        <v>3.5</v>
      </c>
      <c r="F150" s="7">
        <v>24.9</v>
      </c>
      <c r="G150" s="15">
        <f t="shared" ref="G150" si="361">F150*86400</f>
        <v>2151360</v>
      </c>
      <c r="H150" s="21">
        <f t="shared" ref="H150" si="362">G150/1000000</f>
        <v>2.1513599999999999</v>
      </c>
      <c r="I150" s="17">
        <v>57784.844444444097</v>
      </c>
      <c r="J150" s="31">
        <v>5.77848444444444E-2</v>
      </c>
      <c r="K150" s="17">
        <v>47177.066666663603</v>
      </c>
      <c r="L150" s="17">
        <v>4.7177066666663603E-2</v>
      </c>
      <c r="M150" s="17">
        <f t="shared" ref="M150" si="363">J150+L150</f>
        <v>0.104961911111108</v>
      </c>
      <c r="N150" s="26">
        <v>-0.36400320000000003</v>
      </c>
      <c r="O150" s="7">
        <f t="shared" ref="O150" si="364">H150-M150-N150</f>
        <v>2.4104012888888917</v>
      </c>
    </row>
    <row r="151" spans="1:15" x14ac:dyDescent="0.7">
      <c r="A151" s="12"/>
      <c r="B151" s="12"/>
      <c r="C151" s="12">
        <v>29</v>
      </c>
      <c r="D151" s="33">
        <v>14.516999999999999</v>
      </c>
      <c r="E151" s="4">
        <v>6.6</v>
      </c>
      <c r="F151" s="33">
        <v>14.516999999999999</v>
      </c>
      <c r="G151" s="35">
        <f t="shared" ref="G151" si="365">F151*86400</f>
        <v>1254268.8</v>
      </c>
      <c r="H151" s="36">
        <f t="shared" ref="H151" si="366">G151/1000000</f>
        <v>1.2542688</v>
      </c>
      <c r="I151" s="37">
        <v>58164.294444444102</v>
      </c>
      <c r="J151" s="38">
        <v>5.8164294444444403E-2</v>
      </c>
      <c r="K151" s="37">
        <v>47547.599999996899</v>
      </c>
      <c r="L151" s="37">
        <v>4.7547599999996797E-2</v>
      </c>
      <c r="M151" s="37">
        <f t="shared" ref="M151" si="367">J151+L151</f>
        <v>0.10571189444444121</v>
      </c>
      <c r="N151" s="39">
        <v>-0.36773280000000003</v>
      </c>
      <c r="O151" s="33">
        <f t="shared" ref="O151" si="368">H151-M151-N151</f>
        <v>1.5162897055555586</v>
      </c>
    </row>
    <row r="152" spans="1:15" s="42" customFormat="1" x14ac:dyDescent="0.7">
      <c r="A152" s="6"/>
      <c r="B152" s="6"/>
      <c r="C152" s="6">
        <v>30</v>
      </c>
      <c r="D152" s="7">
        <v>15.487</v>
      </c>
      <c r="E152" s="4">
        <v>0.5</v>
      </c>
      <c r="F152" s="7">
        <v>15.487</v>
      </c>
      <c r="G152" s="40">
        <f t="shared" ref="G152" si="369">F152*86400</f>
        <v>1338076.8</v>
      </c>
      <c r="H152" s="20">
        <f t="shared" ref="H152" si="370">G152/1000000</f>
        <v>1.3380768000000001</v>
      </c>
      <c r="I152" s="17">
        <v>58543.744444444099</v>
      </c>
      <c r="J152" s="31">
        <v>5.85437444444444E-2</v>
      </c>
      <c r="K152" s="17">
        <v>47918.133333330203</v>
      </c>
      <c r="L152" s="17">
        <v>4.7918133333330198E-2</v>
      </c>
      <c r="M152" s="17">
        <f t="shared" ref="M152" si="371">J152+L152</f>
        <v>0.10646187777777461</v>
      </c>
      <c r="N152" s="26">
        <v>-0.37146240000000003</v>
      </c>
      <c r="O152" s="7">
        <f t="shared" ref="O152" si="372">H152-M152-N152</f>
        <v>1.6030773222222254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18.885000000000002</v>
      </c>
      <c r="E153" s="19">
        <v>0</v>
      </c>
      <c r="F153" s="19">
        <v>18.885000000000002</v>
      </c>
      <c r="G153" s="28">
        <f t="shared" ref="G153" si="373">F153*86400</f>
        <v>1631664.0000000002</v>
      </c>
      <c r="H153" s="29">
        <f t="shared" ref="H153" si="374">G153/1000000</f>
        <v>1.6316640000000002</v>
      </c>
      <c r="I153" s="43">
        <v>58923.194444444103</v>
      </c>
      <c r="J153" s="44">
        <v>5.8923194444444403E-2</v>
      </c>
      <c r="K153" s="43">
        <v>48288.666666663499</v>
      </c>
      <c r="L153" s="43">
        <v>4.8288666666663503E-2</v>
      </c>
      <c r="M153" s="43">
        <f t="shared" ref="M153" si="375">J153+L153</f>
        <v>0.10721186111110791</v>
      </c>
      <c r="N153" s="45">
        <v>-0.37519200000000003</v>
      </c>
      <c r="O153" s="19">
        <f t="shared" ref="O153" si="376">H153-M153-N153</f>
        <v>1.8996441388888923</v>
      </c>
    </row>
    <row r="154" spans="1:15" x14ac:dyDescent="0.7">
      <c r="A154" s="3"/>
      <c r="B154" s="3" t="s">
        <v>20</v>
      </c>
      <c r="C154" s="3">
        <v>1</v>
      </c>
      <c r="D154" s="4">
        <v>0</v>
      </c>
      <c r="E154" s="4">
        <v>17</v>
      </c>
      <c r="F154" s="4">
        <v>0</v>
      </c>
      <c r="G154" s="15">
        <f t="shared" ref="G154" si="377">F154*86400</f>
        <v>0</v>
      </c>
      <c r="H154" s="21">
        <f t="shared" ref="H154" si="378">G154/1000000</f>
        <v>0</v>
      </c>
      <c r="I154" s="16">
        <v>59302.6444444441</v>
      </c>
      <c r="J154" s="25">
        <v>5.93026444444444E-2</v>
      </c>
      <c r="K154" s="16">
        <v>48659.199999996803</v>
      </c>
      <c r="L154" s="16">
        <v>4.8659199999996697E-2</v>
      </c>
      <c r="M154" s="16">
        <f t="shared" ref="M154" si="379">J154+L154</f>
        <v>0.1079618444444411</v>
      </c>
      <c r="N154" s="27">
        <v>-0.37892160000000003</v>
      </c>
      <c r="O154" s="4">
        <f t="shared" ref="O154" si="380">H154-M154-N154</f>
        <v>0.27095975555555896</v>
      </c>
    </row>
    <row r="155" spans="1:15" x14ac:dyDescent="0.7">
      <c r="A155" s="6"/>
      <c r="B155" s="6"/>
      <c r="C155" s="6">
        <v>2</v>
      </c>
      <c r="D155" s="7">
        <v>22.132999999999999</v>
      </c>
      <c r="E155" s="4">
        <v>2.1</v>
      </c>
      <c r="F155" s="7">
        <v>22.132999999999999</v>
      </c>
      <c r="G155" s="15">
        <f t="shared" ref="G155" si="381">F155*86400</f>
        <v>1912291.2</v>
      </c>
      <c r="H155" s="21">
        <f t="shared" ref="H155" si="382">G155/1000000</f>
        <v>1.9122911999999999</v>
      </c>
      <c r="I155" s="17">
        <v>59682.094444444097</v>
      </c>
      <c r="J155" s="31">
        <v>5.9682094444444403E-2</v>
      </c>
      <c r="K155" s="17">
        <v>49029.733333330099</v>
      </c>
      <c r="L155" s="17">
        <v>4.9029733333330001E-2</v>
      </c>
      <c r="M155" s="17">
        <f t="shared" ref="M155" si="383">J155+L155</f>
        <v>0.10871182777777441</v>
      </c>
      <c r="N155" s="26">
        <v>-0.38265120000000002</v>
      </c>
      <c r="O155" s="7">
        <f t="shared" ref="O155" si="384">H155-M155-N155</f>
        <v>2.1862305722222257</v>
      </c>
    </row>
    <row r="156" spans="1:15" x14ac:dyDescent="0.7">
      <c r="A156" s="6"/>
      <c r="B156" s="6"/>
      <c r="C156" s="6">
        <v>3</v>
      </c>
      <c r="D156" s="7">
        <v>17.143999999999998</v>
      </c>
      <c r="E156" s="4">
        <v>0</v>
      </c>
      <c r="F156" s="7">
        <v>17.143999999999998</v>
      </c>
      <c r="G156" s="15">
        <f t="shared" ref="G156" si="385">F156*86400</f>
        <v>1481241.5999999999</v>
      </c>
      <c r="H156" s="21">
        <f t="shared" ref="H156" si="386">G156/1000000</f>
        <v>1.4812415999999999</v>
      </c>
      <c r="I156" s="17">
        <v>60061.544444444102</v>
      </c>
      <c r="J156" s="31">
        <v>6.0061544444444399E-2</v>
      </c>
      <c r="K156" s="17">
        <v>49400.266666663403</v>
      </c>
      <c r="L156" s="17">
        <v>4.9400266666663299E-2</v>
      </c>
      <c r="M156" s="17">
        <f t="shared" ref="M156:M160" si="387">J156+L156</f>
        <v>0.1094618111111077</v>
      </c>
      <c r="N156" s="26">
        <v>-0.38638080000000002</v>
      </c>
      <c r="O156" s="7">
        <f t="shared" ref="O156:O160" si="388">H156-M156-N156</f>
        <v>1.7581605888888923</v>
      </c>
    </row>
    <row r="157" spans="1:15" x14ac:dyDescent="0.7">
      <c r="A157" s="6"/>
      <c r="B157" s="6"/>
      <c r="C157" s="3">
        <v>4</v>
      </c>
      <c r="D157" s="7">
        <v>18.071999999999999</v>
      </c>
      <c r="E157" s="4">
        <v>0</v>
      </c>
      <c r="F157" s="7">
        <v>18.071999999999999</v>
      </c>
      <c r="G157" s="15">
        <f t="shared" ref="G157" si="389">F157*86400</f>
        <v>1561420.7999999998</v>
      </c>
      <c r="H157" s="21">
        <f t="shared" ref="H157" si="390">G157/1000000</f>
        <v>1.5614207999999998</v>
      </c>
      <c r="I157" s="20">
        <v>14570</v>
      </c>
      <c r="J157" s="46">
        <f t="shared" ref="J157:J160" si="391">I157/1000000</f>
        <v>1.457E-2</v>
      </c>
      <c r="K157" s="20">
        <v>2902</v>
      </c>
      <c r="L157" s="20">
        <f t="shared" ref="L157:L160" si="392">K157/1000000</f>
        <v>2.9020000000000001E-3</v>
      </c>
      <c r="M157" s="20">
        <f t="shared" si="387"/>
        <v>1.7472000000000001E-2</v>
      </c>
      <c r="N157" s="20">
        <v>9.4175999999999982E-3</v>
      </c>
      <c r="O157" s="7">
        <f t="shared" si="388"/>
        <v>1.5345312</v>
      </c>
    </row>
    <row r="158" spans="1:15" x14ac:dyDescent="0.7">
      <c r="A158" s="6"/>
      <c r="B158" s="6"/>
      <c r="C158" s="6">
        <v>5</v>
      </c>
      <c r="D158" s="7">
        <v>13.353</v>
      </c>
      <c r="E158" s="4">
        <v>2</v>
      </c>
      <c r="F158" s="7">
        <v>13.353</v>
      </c>
      <c r="G158" s="15">
        <f t="shared" ref="G158" si="393">F158*86400</f>
        <v>1153699.2</v>
      </c>
      <c r="H158" s="21">
        <f t="shared" ref="H158" si="394">G158/1000000</f>
        <v>1.1536991999999999</v>
      </c>
      <c r="I158" s="20">
        <v>12261</v>
      </c>
      <c r="J158" s="46">
        <f t="shared" si="391"/>
        <v>1.2260999999999999E-2</v>
      </c>
      <c r="K158" s="20">
        <v>4782</v>
      </c>
      <c r="L158" s="20">
        <f t="shared" si="392"/>
        <v>4.7819999999999998E-3</v>
      </c>
      <c r="M158" s="20">
        <f t="shared" si="387"/>
        <v>1.7042999999999999E-2</v>
      </c>
      <c r="N158" s="20">
        <v>9.4175999999999982E-3</v>
      </c>
      <c r="O158" s="7">
        <f t="shared" si="388"/>
        <v>1.1272386000000001</v>
      </c>
    </row>
    <row r="159" spans="1:15" x14ac:dyDescent="0.7">
      <c r="A159" s="6"/>
      <c r="B159" s="6"/>
      <c r="C159" s="6">
        <v>6</v>
      </c>
      <c r="D159" s="7">
        <v>13.433</v>
      </c>
      <c r="E159" s="4">
        <v>0</v>
      </c>
      <c r="F159" s="7">
        <v>13.433</v>
      </c>
      <c r="G159" s="15">
        <f t="shared" ref="G159" si="395">F159*86400</f>
        <v>1160611.2</v>
      </c>
      <c r="H159" s="21">
        <f t="shared" ref="H159" si="396">G159/1000000</f>
        <v>1.1606112</v>
      </c>
      <c r="I159" s="20">
        <v>15936</v>
      </c>
      <c r="J159" s="46">
        <f t="shared" si="391"/>
        <v>1.5935999999999999E-2</v>
      </c>
      <c r="K159" s="20">
        <v>5091</v>
      </c>
      <c r="L159" s="20">
        <f t="shared" si="392"/>
        <v>5.091E-3</v>
      </c>
      <c r="M159" s="20">
        <f t="shared" si="387"/>
        <v>2.1026999999999997E-2</v>
      </c>
      <c r="N159" s="20">
        <v>9.4175999999999982E-3</v>
      </c>
      <c r="O159" s="7">
        <f t="shared" si="388"/>
        <v>1.1301666000000001</v>
      </c>
    </row>
    <row r="160" spans="1:15" x14ac:dyDescent="0.7">
      <c r="A160" s="6"/>
      <c r="B160" s="6"/>
      <c r="C160" s="3">
        <v>7</v>
      </c>
      <c r="D160" s="7">
        <v>11.646000000000001</v>
      </c>
      <c r="E160" s="4">
        <v>15.3</v>
      </c>
      <c r="F160" s="7">
        <v>11.646000000000001</v>
      </c>
      <c r="G160" s="15">
        <f t="shared" ref="G160" si="397">F160*86400</f>
        <v>1006214.4</v>
      </c>
      <c r="H160" s="21">
        <f t="shared" ref="H160" si="398">G160/1000000</f>
        <v>1.0062144</v>
      </c>
      <c r="I160" s="20">
        <v>13438</v>
      </c>
      <c r="J160" s="46">
        <f t="shared" si="391"/>
        <v>1.3438E-2</v>
      </c>
      <c r="K160" s="20">
        <v>1613</v>
      </c>
      <c r="L160" s="20">
        <f t="shared" si="392"/>
        <v>1.6130000000000001E-3</v>
      </c>
      <c r="M160" s="20">
        <f t="shared" si="387"/>
        <v>1.5051E-2</v>
      </c>
      <c r="N160" s="20">
        <v>9.4175999999999982E-3</v>
      </c>
      <c r="O160" s="7">
        <f t="shared" si="388"/>
        <v>0.98174579999999989</v>
      </c>
    </row>
    <row r="161" spans="1:15" x14ac:dyDescent="0.7">
      <c r="A161" s="6"/>
      <c r="B161" s="6"/>
      <c r="C161" s="6">
        <v>8</v>
      </c>
      <c r="D161" s="7">
        <v>10.624000000000001</v>
      </c>
      <c r="E161" s="4">
        <v>1.4</v>
      </c>
      <c r="F161" s="7">
        <v>10.624000000000001</v>
      </c>
      <c r="G161" s="15">
        <f t="shared" ref="G161" si="399">F161*86400</f>
        <v>917913.60000000009</v>
      </c>
      <c r="H161" s="21">
        <f t="shared" ref="H161" si="400">G161/1000000</f>
        <v>0.91791360000000011</v>
      </c>
      <c r="I161" s="17">
        <v>61958.794444444102</v>
      </c>
      <c r="J161" s="31">
        <v>6.1958794444444402E-2</v>
      </c>
      <c r="K161" s="17">
        <v>51252.9333333299</v>
      </c>
      <c r="L161" s="17">
        <v>5.1252933333329802E-2</v>
      </c>
      <c r="M161" s="17">
        <f t="shared" ref="M161" si="401">J161+L161</f>
        <v>0.1132117277777742</v>
      </c>
      <c r="N161" s="26">
        <v>-0.40502880000000002</v>
      </c>
      <c r="O161" s="7">
        <f t="shared" ref="O161" si="402">H161-M161-N161</f>
        <v>1.2097306722222259</v>
      </c>
    </row>
    <row r="162" spans="1:15" x14ac:dyDescent="0.7">
      <c r="A162" s="6"/>
      <c r="B162" s="6"/>
      <c r="C162" s="6">
        <v>9</v>
      </c>
      <c r="D162" s="7">
        <v>12.381</v>
      </c>
      <c r="E162" s="4">
        <v>6.8</v>
      </c>
      <c r="F162" s="7">
        <v>12.381</v>
      </c>
      <c r="G162" s="15">
        <f t="shared" ref="G162" si="403">F162*86400</f>
        <v>1069718.3999999999</v>
      </c>
      <c r="H162" s="21">
        <f t="shared" ref="H162" si="404">G162/1000000</f>
        <v>1.0697184</v>
      </c>
      <c r="I162" s="17">
        <v>62338.244444444099</v>
      </c>
      <c r="J162" s="31">
        <v>6.2338244444444399E-2</v>
      </c>
      <c r="K162" s="17">
        <v>51623.466666663197</v>
      </c>
      <c r="L162" s="17">
        <v>5.16234666666631E-2</v>
      </c>
      <c r="M162" s="17">
        <f t="shared" ref="M162" si="405">J162+L162</f>
        <v>0.11396171111110751</v>
      </c>
      <c r="N162" s="26">
        <v>-0.40875840000000002</v>
      </c>
      <c r="O162" s="7">
        <f t="shared" ref="O162" si="406">H162-M162-N162</f>
        <v>1.3645150888888924</v>
      </c>
    </row>
    <row r="163" spans="1:15" x14ac:dyDescent="0.7">
      <c r="A163" s="6"/>
      <c r="B163" s="6"/>
      <c r="C163" s="3">
        <v>10</v>
      </c>
      <c r="D163" s="7">
        <v>13.393000000000001</v>
      </c>
      <c r="E163" s="4">
        <v>0</v>
      </c>
      <c r="F163" s="7">
        <v>13.393000000000001</v>
      </c>
      <c r="G163" s="15">
        <f t="shared" ref="G163" si="407">F163*86400</f>
        <v>1157155.2</v>
      </c>
      <c r="H163" s="21">
        <f t="shared" ref="H163" si="408">G163/1000000</f>
        <v>1.1571552000000001</v>
      </c>
      <c r="I163" s="17">
        <v>62717.694444444103</v>
      </c>
      <c r="J163" s="31">
        <v>6.2717694444444402E-2</v>
      </c>
      <c r="K163" s="17">
        <v>51993.9999999965</v>
      </c>
      <c r="L163" s="17">
        <v>5.1993999999996397E-2</v>
      </c>
      <c r="M163" s="17">
        <f t="shared" ref="M163" si="409">J163+L163</f>
        <v>0.11471169444444079</v>
      </c>
      <c r="N163" s="26">
        <v>-0.41248800000000002</v>
      </c>
      <c r="O163" s="7">
        <f t="shared" ref="O163" si="410">H163-M163-N163</f>
        <v>1.4549315055555592</v>
      </c>
    </row>
    <row r="164" spans="1:15" x14ac:dyDescent="0.7">
      <c r="A164" s="6"/>
      <c r="B164" s="6"/>
      <c r="C164" s="6">
        <v>11</v>
      </c>
      <c r="D164" s="7">
        <v>13.545</v>
      </c>
      <c r="E164" s="4">
        <v>4.8</v>
      </c>
      <c r="F164" s="7">
        <v>13.545</v>
      </c>
      <c r="G164" s="15">
        <f t="shared" ref="G164" si="411">F164*86400</f>
        <v>1170288</v>
      </c>
      <c r="H164" s="21">
        <f t="shared" ref="H164" si="412">G164/1000000</f>
        <v>1.170288</v>
      </c>
      <c r="I164" s="17">
        <v>63097.1444444441</v>
      </c>
      <c r="J164" s="31">
        <v>6.3097144444444406E-2</v>
      </c>
      <c r="K164" s="17">
        <v>52364.533333329797</v>
      </c>
      <c r="L164" s="17">
        <v>5.2364533333329702E-2</v>
      </c>
      <c r="M164" s="17">
        <f t="shared" ref="M164" si="413">J164+L164</f>
        <v>0.11546167777777411</v>
      </c>
      <c r="N164" s="26">
        <v>-0.41621760000000002</v>
      </c>
      <c r="O164" s="7">
        <f t="shared" ref="O164" si="414">H164-M164-N164</f>
        <v>1.4710439222222258</v>
      </c>
    </row>
    <row r="165" spans="1:15" x14ac:dyDescent="0.7">
      <c r="A165" s="6"/>
      <c r="B165" s="6"/>
      <c r="C165" s="6">
        <v>12</v>
      </c>
      <c r="D165" s="7">
        <v>14.519</v>
      </c>
      <c r="E165" s="4">
        <v>5.5</v>
      </c>
      <c r="F165" s="7">
        <v>14.519</v>
      </c>
      <c r="G165" s="15">
        <f t="shared" ref="G165" si="415">F165*86400</f>
        <v>1254441.6000000001</v>
      </c>
      <c r="H165" s="21">
        <f t="shared" ref="H165" si="416">G165/1000000</f>
        <v>1.2544416</v>
      </c>
      <c r="I165" s="17">
        <v>63476.594444444097</v>
      </c>
      <c r="J165" s="31">
        <v>6.3476594444444395E-2</v>
      </c>
      <c r="K165" s="17">
        <v>52735.0666666631</v>
      </c>
      <c r="L165" s="17">
        <v>5.2735066666663E-2</v>
      </c>
      <c r="M165" s="17">
        <f t="shared" ref="M165" si="417">J165+L165</f>
        <v>0.11621166111110739</v>
      </c>
      <c r="N165" s="26">
        <v>-0.41994720000000002</v>
      </c>
      <c r="O165" s="7">
        <f t="shared" ref="O165" si="418">H165-M165-N165</f>
        <v>1.5581771388888925</v>
      </c>
    </row>
    <row r="166" spans="1:15" x14ac:dyDescent="0.7">
      <c r="A166" s="6"/>
      <c r="B166" s="6"/>
      <c r="C166" s="3">
        <v>13</v>
      </c>
      <c r="D166" s="7">
        <v>16.195999999999998</v>
      </c>
      <c r="E166" s="4">
        <v>6.4</v>
      </c>
      <c r="F166" s="7">
        <v>16.195999999999998</v>
      </c>
      <c r="G166" s="15">
        <f t="shared" ref="G166" si="419">F166*86400</f>
        <v>1399334.4</v>
      </c>
      <c r="H166" s="21">
        <f t="shared" ref="H166" si="420">G166/1000000</f>
        <v>1.3993343999999999</v>
      </c>
      <c r="I166" s="17">
        <v>63856.044444444102</v>
      </c>
      <c r="J166" s="31">
        <v>6.3856044444444399E-2</v>
      </c>
      <c r="K166" s="17">
        <v>53105.599999996397</v>
      </c>
      <c r="L166" s="17">
        <v>5.3105599999996297E-2</v>
      </c>
      <c r="M166" s="17">
        <f t="shared" ref="M166" si="421">J166+L166</f>
        <v>0.1169616444444407</v>
      </c>
      <c r="N166" s="26">
        <v>-0.42367680000000002</v>
      </c>
      <c r="O166" s="7">
        <f t="shared" ref="O166" si="422">H166-M166-N166</f>
        <v>1.706049555555559</v>
      </c>
    </row>
    <row r="167" spans="1:15" x14ac:dyDescent="0.7">
      <c r="A167" s="6"/>
      <c r="B167" s="6"/>
      <c r="C167" s="6">
        <v>14</v>
      </c>
      <c r="D167" s="7">
        <v>15.43</v>
      </c>
      <c r="E167" s="4">
        <v>1</v>
      </c>
      <c r="F167" s="7">
        <v>15.43</v>
      </c>
      <c r="G167" s="15">
        <f t="shared" ref="G167" si="423">F167*86400</f>
        <v>1333152</v>
      </c>
      <c r="H167" s="21">
        <f t="shared" ref="H167" si="424">G167/1000000</f>
        <v>1.3331519999999999</v>
      </c>
      <c r="I167" s="17">
        <v>64235.494444444099</v>
      </c>
      <c r="J167" s="31">
        <v>6.4235494444444402E-2</v>
      </c>
      <c r="K167" s="17">
        <v>53476.133333329701</v>
      </c>
      <c r="L167" s="17">
        <v>5.3476133333329602E-2</v>
      </c>
      <c r="M167" s="17">
        <f t="shared" ref="M167" si="425">J167+L167</f>
        <v>0.117711627777774</v>
      </c>
      <c r="N167" s="26">
        <v>-0.42740640000000002</v>
      </c>
      <c r="O167" s="7">
        <f t="shared" ref="O167" si="426">H167-M167-N167</f>
        <v>1.642846772222226</v>
      </c>
    </row>
    <row r="168" spans="1:15" x14ac:dyDescent="0.7">
      <c r="A168" s="6"/>
      <c r="B168" s="6"/>
      <c r="C168" s="6">
        <v>15</v>
      </c>
      <c r="D168" s="7">
        <v>12.577</v>
      </c>
      <c r="E168" s="4">
        <v>1.5</v>
      </c>
      <c r="F168" s="7">
        <v>12.577</v>
      </c>
      <c r="G168" s="15">
        <f t="shared" ref="G168" si="427">F168*86400</f>
        <v>1086652.8</v>
      </c>
      <c r="H168" s="21">
        <f t="shared" ref="H168" si="428">G168/1000000</f>
        <v>1.0866528</v>
      </c>
      <c r="I168" s="17">
        <v>64614.944444444103</v>
      </c>
      <c r="J168" s="31">
        <v>6.4614944444444405E-2</v>
      </c>
      <c r="K168" s="17">
        <v>53846.666666662997</v>
      </c>
      <c r="L168" s="17">
        <v>5.38466666666629E-2</v>
      </c>
      <c r="M168" s="17">
        <f t="shared" ref="M168" si="429">J168+L168</f>
        <v>0.11846161111110731</v>
      </c>
      <c r="N168" s="26">
        <v>-0.43113600000000002</v>
      </c>
      <c r="O168" s="7">
        <f t="shared" ref="O168" si="430">H168-M168-N168</f>
        <v>1.3993271888888927</v>
      </c>
    </row>
    <row r="169" spans="1:15" x14ac:dyDescent="0.7">
      <c r="A169" s="6"/>
      <c r="B169" s="6"/>
      <c r="C169" s="3">
        <v>16</v>
      </c>
      <c r="D169" s="7">
        <v>12.192</v>
      </c>
      <c r="E169" s="4">
        <v>0</v>
      </c>
      <c r="F169" s="7">
        <v>12.192</v>
      </c>
      <c r="G169" s="15">
        <f t="shared" ref="G169" si="431">F169*86400</f>
        <v>1053388.8</v>
      </c>
      <c r="H169" s="21">
        <f t="shared" ref="H169" si="432">G169/1000000</f>
        <v>1.0533888</v>
      </c>
      <c r="I169" s="17">
        <v>64994.3944444441</v>
      </c>
      <c r="J169" s="31">
        <v>6.4994394444444395E-2</v>
      </c>
      <c r="K169" s="17">
        <v>54217.199999996301</v>
      </c>
      <c r="L169" s="17">
        <v>5.4217199999996198E-2</v>
      </c>
      <c r="M169" s="17">
        <f t="shared" ref="M169" si="433">J169+L169</f>
        <v>0.1192115944444406</v>
      </c>
      <c r="N169" s="26">
        <v>-0.43486560000000002</v>
      </c>
      <c r="O169" s="7">
        <f t="shared" ref="O169" si="434">H169-M169-N169</f>
        <v>1.3690428055555595</v>
      </c>
    </row>
    <row r="170" spans="1:15" x14ac:dyDescent="0.7">
      <c r="A170" s="6"/>
      <c r="B170" s="6"/>
      <c r="C170" s="6">
        <v>17</v>
      </c>
      <c r="D170" s="7">
        <v>10.654</v>
      </c>
      <c r="E170" s="4">
        <v>0</v>
      </c>
      <c r="F170" s="7">
        <v>10.654</v>
      </c>
      <c r="G170" s="15">
        <f t="shared" ref="G170" si="435">F170*86400</f>
        <v>920505.6</v>
      </c>
      <c r="H170" s="21">
        <f t="shared" ref="H170" si="436">G170/1000000</f>
        <v>0.92050559999999992</v>
      </c>
      <c r="I170" s="17">
        <v>65373.844444444097</v>
      </c>
      <c r="J170" s="31">
        <v>6.5373844444444398E-2</v>
      </c>
      <c r="K170" s="17">
        <v>54587.733333329597</v>
      </c>
      <c r="L170" s="17">
        <v>5.4587733333329502E-2</v>
      </c>
      <c r="M170" s="17">
        <f t="shared" ref="M170:M176" si="437">J170+L170</f>
        <v>0.1199615777777739</v>
      </c>
      <c r="N170" s="26">
        <v>-0.43859520000000002</v>
      </c>
      <c r="O170" s="7">
        <f t="shared" ref="O170:O176" si="438">H170-M170-N170</f>
        <v>1.2391392222222259</v>
      </c>
    </row>
    <row r="171" spans="1:15" x14ac:dyDescent="0.7">
      <c r="A171" s="6"/>
      <c r="B171" s="6"/>
      <c r="C171" s="6">
        <v>18</v>
      </c>
      <c r="D171" s="7">
        <v>10.840999999999999</v>
      </c>
      <c r="E171" s="4">
        <v>0</v>
      </c>
      <c r="F171" s="7">
        <v>10.840999999999999</v>
      </c>
      <c r="G171" s="15">
        <f t="shared" ref="G171" si="439">F171*86400</f>
        <v>936662.39999999991</v>
      </c>
      <c r="H171" s="21">
        <f t="shared" ref="H171" si="440">G171/1000000</f>
        <v>0.9366623999999999</v>
      </c>
      <c r="I171" s="20">
        <v>11512</v>
      </c>
      <c r="J171" s="46">
        <f t="shared" ref="J171:J176" si="441">I171/1000000</f>
        <v>1.1512E-2</v>
      </c>
      <c r="K171" s="20">
        <v>3132</v>
      </c>
      <c r="L171" s="20">
        <f t="shared" ref="L171:L176" si="442">K171/1000000</f>
        <v>3.1319999999999998E-3</v>
      </c>
      <c r="M171" s="20">
        <f t="shared" si="437"/>
        <v>1.4643999999999999E-2</v>
      </c>
      <c r="N171" s="20">
        <v>1.4428799999999999E-2</v>
      </c>
      <c r="O171" s="7">
        <f t="shared" si="438"/>
        <v>0.90758959999999989</v>
      </c>
    </row>
    <row r="172" spans="1:15" x14ac:dyDescent="0.7">
      <c r="A172" s="6"/>
      <c r="B172" s="6"/>
      <c r="C172" s="3">
        <v>19</v>
      </c>
      <c r="D172" s="7">
        <v>10.63</v>
      </c>
      <c r="E172" s="4">
        <v>6.8</v>
      </c>
      <c r="F172" s="7">
        <v>10.63</v>
      </c>
      <c r="G172" s="15">
        <f t="shared" ref="G172" si="443">F172*86400</f>
        <v>918432.00000000012</v>
      </c>
      <c r="H172" s="21">
        <f t="shared" ref="H172" si="444">G172/1000000</f>
        <v>0.91843200000000014</v>
      </c>
      <c r="I172" s="20">
        <v>17916</v>
      </c>
      <c r="J172" s="46">
        <f t="shared" si="441"/>
        <v>1.7916000000000001E-2</v>
      </c>
      <c r="K172" s="20">
        <v>5439</v>
      </c>
      <c r="L172" s="20">
        <f t="shared" si="442"/>
        <v>5.4390000000000003E-3</v>
      </c>
      <c r="M172" s="20">
        <f t="shared" si="437"/>
        <v>2.3355000000000001E-2</v>
      </c>
      <c r="N172" s="20">
        <v>1.4428799999999999E-2</v>
      </c>
      <c r="O172" s="7">
        <f t="shared" si="438"/>
        <v>0.8806482000000001</v>
      </c>
    </row>
    <row r="173" spans="1:15" x14ac:dyDescent="0.7">
      <c r="A173" s="6"/>
      <c r="B173" s="6"/>
      <c r="C173" s="6">
        <v>20</v>
      </c>
      <c r="D173" s="7">
        <v>12.287000000000001</v>
      </c>
      <c r="E173" s="4">
        <v>0</v>
      </c>
      <c r="F173" s="7">
        <v>12.287000000000001</v>
      </c>
      <c r="G173" s="15">
        <f t="shared" ref="G173" si="445">F173*86400</f>
        <v>1061596.8</v>
      </c>
      <c r="H173" s="21">
        <f t="shared" ref="H173" si="446">G173/1000000</f>
        <v>1.0615968</v>
      </c>
      <c r="I173" s="20">
        <v>14972</v>
      </c>
      <c r="J173" s="46">
        <f t="shared" si="441"/>
        <v>1.4971999999999999E-2</v>
      </c>
      <c r="K173" s="20">
        <v>5274</v>
      </c>
      <c r="L173" s="20">
        <f t="shared" si="442"/>
        <v>5.274E-3</v>
      </c>
      <c r="M173" s="20">
        <f t="shared" si="437"/>
        <v>2.0246E-2</v>
      </c>
      <c r="N173" s="20">
        <v>1.8748799999999996E-2</v>
      </c>
      <c r="O173" s="7">
        <f t="shared" si="438"/>
        <v>1.022602</v>
      </c>
    </row>
    <row r="174" spans="1:15" x14ac:dyDescent="0.7">
      <c r="A174" s="6"/>
      <c r="B174" s="6"/>
      <c r="C174" s="6">
        <v>21</v>
      </c>
      <c r="D174" s="7">
        <v>12.196</v>
      </c>
      <c r="E174" s="4">
        <v>9</v>
      </c>
      <c r="F174" s="7">
        <v>12.196</v>
      </c>
      <c r="G174" s="15">
        <f t="shared" ref="G174" si="447">F174*86400</f>
        <v>1053734.3999999999</v>
      </c>
      <c r="H174" s="21">
        <f t="shared" ref="H174" si="448">G174/1000000</f>
        <v>1.0537344</v>
      </c>
      <c r="I174" s="20">
        <v>14810</v>
      </c>
      <c r="J174" s="46">
        <f t="shared" si="441"/>
        <v>1.481E-2</v>
      </c>
      <c r="K174" s="20">
        <v>4996</v>
      </c>
      <c r="L174" s="20">
        <f t="shared" si="442"/>
        <v>4.9959999999999996E-3</v>
      </c>
      <c r="M174" s="20">
        <f t="shared" si="437"/>
        <v>1.9806000000000001E-2</v>
      </c>
      <c r="N174" s="20">
        <v>1.8748799999999996E-2</v>
      </c>
      <c r="O174" s="7">
        <f t="shared" si="438"/>
        <v>1.0151796</v>
      </c>
    </row>
    <row r="175" spans="1:15" x14ac:dyDescent="0.7">
      <c r="A175" s="6"/>
      <c r="B175" s="6"/>
      <c r="C175" s="3">
        <v>22</v>
      </c>
      <c r="D175" s="7">
        <v>12.207000000000001</v>
      </c>
      <c r="E175" s="4">
        <v>9.6999999999999993</v>
      </c>
      <c r="F175" s="7">
        <v>12.207000000000001</v>
      </c>
      <c r="G175" s="15">
        <f t="shared" ref="G175" si="449">F175*86400</f>
        <v>1054684.8</v>
      </c>
      <c r="H175" s="21">
        <f t="shared" ref="H175" si="450">G175/1000000</f>
        <v>1.0546848</v>
      </c>
      <c r="I175" s="20">
        <v>12937</v>
      </c>
      <c r="J175" s="46">
        <f t="shared" si="441"/>
        <v>1.2937000000000001E-2</v>
      </c>
      <c r="K175" s="20">
        <v>5942</v>
      </c>
      <c r="L175" s="20">
        <f t="shared" si="442"/>
        <v>5.9420000000000002E-3</v>
      </c>
      <c r="M175" s="20">
        <f t="shared" si="437"/>
        <v>1.8879E-2</v>
      </c>
      <c r="N175" s="20">
        <v>1.8748799999999996E-2</v>
      </c>
      <c r="O175" s="7">
        <f t="shared" si="438"/>
        <v>1.0170569999999999</v>
      </c>
    </row>
    <row r="176" spans="1:15" x14ac:dyDescent="0.7">
      <c r="A176" s="6"/>
      <c r="B176" s="6"/>
      <c r="C176" s="6">
        <v>23</v>
      </c>
      <c r="D176" s="7">
        <v>12.207000000000001</v>
      </c>
      <c r="E176" s="4">
        <v>4.3</v>
      </c>
      <c r="F176" s="7">
        <v>12.207000000000001</v>
      </c>
      <c r="G176" s="15">
        <f t="shared" ref="G176" si="451">F176*86400</f>
        <v>1054684.8</v>
      </c>
      <c r="H176" s="21">
        <f t="shared" ref="H176" si="452">G176/1000000</f>
        <v>1.0546848</v>
      </c>
      <c r="I176" s="20">
        <v>11854</v>
      </c>
      <c r="J176" s="46">
        <f t="shared" si="441"/>
        <v>1.1854E-2</v>
      </c>
      <c r="K176" s="20">
        <v>5014</v>
      </c>
      <c r="L176" s="20">
        <f t="shared" si="442"/>
        <v>5.0140000000000002E-3</v>
      </c>
      <c r="M176" s="20">
        <f t="shared" si="437"/>
        <v>1.6868000000000001E-2</v>
      </c>
      <c r="N176" s="20">
        <v>9.4175999999999982E-3</v>
      </c>
      <c r="O176" s="7">
        <f t="shared" si="438"/>
        <v>1.0283992</v>
      </c>
    </row>
    <row r="177" spans="1:15" x14ac:dyDescent="0.7">
      <c r="A177" s="6"/>
      <c r="B177" s="6"/>
      <c r="C177" s="6">
        <v>24</v>
      </c>
      <c r="D177" s="7">
        <v>12.009</v>
      </c>
      <c r="E177" s="4">
        <v>0</v>
      </c>
      <c r="F177" s="7">
        <v>12.009</v>
      </c>
      <c r="G177" s="15">
        <f t="shared" ref="G177" si="453">F177*86400</f>
        <v>1037577.6</v>
      </c>
      <c r="H177" s="21">
        <f t="shared" ref="H177" si="454">G177/1000000</f>
        <v>1.0375775999999999</v>
      </c>
      <c r="I177" s="17">
        <v>68029.994444444106</v>
      </c>
      <c r="J177" s="31">
        <v>6.8029994444444394E-2</v>
      </c>
      <c r="K177" s="17">
        <v>57181.466666662702</v>
      </c>
      <c r="L177" s="17">
        <v>5.71814666666626E-2</v>
      </c>
      <c r="M177" s="17">
        <f t="shared" ref="M177:M183" si="455">J177+L177</f>
        <v>0.12521146111110698</v>
      </c>
      <c r="N177" s="26">
        <v>-0.46470240000000002</v>
      </c>
      <c r="O177" s="7">
        <f t="shared" ref="O177:O183" si="456">H177-M177-N177</f>
        <v>1.3770685388888928</v>
      </c>
    </row>
    <row r="178" spans="1:15" x14ac:dyDescent="0.7">
      <c r="A178" s="6"/>
      <c r="B178" s="6"/>
      <c r="C178" s="3">
        <v>25</v>
      </c>
      <c r="D178" s="7">
        <v>11.179</v>
      </c>
      <c r="E178" s="4">
        <v>7.3</v>
      </c>
      <c r="F178" s="7">
        <v>11.179</v>
      </c>
      <c r="G178" s="15">
        <f t="shared" ref="G178" si="457">F178*86400</f>
        <v>965865.6</v>
      </c>
      <c r="H178" s="21">
        <f t="shared" ref="H178" si="458">G178/1000000</f>
        <v>0.96586559999999999</v>
      </c>
      <c r="I178" s="27">
        <v>15246</v>
      </c>
      <c r="J178" s="73">
        <f t="shared" ref="J178:J183" si="459">I178/1000000</f>
        <v>1.5245999999999999E-2</v>
      </c>
      <c r="K178" s="21">
        <v>1900</v>
      </c>
      <c r="L178" s="21">
        <f t="shared" ref="L178:L183" si="460">K178/1000000</f>
        <v>1.9E-3</v>
      </c>
      <c r="M178" s="21">
        <f t="shared" si="455"/>
        <v>1.7145999999999998E-2</v>
      </c>
      <c r="N178" s="21">
        <v>1.257984E-2</v>
      </c>
      <c r="O178" s="4">
        <f t="shared" si="456"/>
        <v>0.93613975999999999</v>
      </c>
    </row>
    <row r="179" spans="1:15" x14ac:dyDescent="0.7">
      <c r="A179" s="6"/>
      <c r="B179" s="6"/>
      <c r="C179" s="6">
        <v>26</v>
      </c>
      <c r="D179" s="7">
        <v>10.962</v>
      </c>
      <c r="E179" s="4">
        <v>24.4</v>
      </c>
      <c r="F179" s="7">
        <v>10.962</v>
      </c>
      <c r="G179" s="15">
        <f t="shared" ref="G179" si="461">F179*86400</f>
        <v>947116.79999999993</v>
      </c>
      <c r="H179" s="21">
        <f t="shared" ref="H179" si="462">G179/1000000</f>
        <v>0.94711679999999998</v>
      </c>
      <c r="I179" s="26">
        <v>15598</v>
      </c>
      <c r="J179" s="46">
        <f t="shared" si="459"/>
        <v>1.5598000000000001E-2</v>
      </c>
      <c r="K179" s="20">
        <v>1323</v>
      </c>
      <c r="L179" s="20">
        <f t="shared" si="460"/>
        <v>1.323E-3</v>
      </c>
      <c r="M179" s="20">
        <f t="shared" si="455"/>
        <v>1.6921000000000002E-2</v>
      </c>
      <c r="N179" s="20">
        <v>1.257984E-2</v>
      </c>
      <c r="O179" s="7">
        <f t="shared" si="456"/>
        <v>0.91761596000000001</v>
      </c>
    </row>
    <row r="180" spans="1:15" x14ac:dyDescent="0.7">
      <c r="A180" s="6"/>
      <c r="B180" s="6"/>
      <c r="C180" s="6">
        <v>27</v>
      </c>
      <c r="D180" s="7">
        <v>12.055999999999999</v>
      </c>
      <c r="E180" s="4">
        <v>2.4</v>
      </c>
      <c r="F180" s="7">
        <v>12.055999999999999</v>
      </c>
      <c r="G180" s="15">
        <f t="shared" ref="G180" si="463">F180*86400</f>
        <v>1041638.3999999999</v>
      </c>
      <c r="H180" s="21">
        <f t="shared" ref="H180" si="464">G180/1000000</f>
        <v>1.0416383999999999</v>
      </c>
      <c r="I180" s="26">
        <v>12306</v>
      </c>
      <c r="J180" s="46">
        <f t="shared" si="459"/>
        <v>1.2305999999999999E-2</v>
      </c>
      <c r="K180" s="20">
        <v>0</v>
      </c>
      <c r="L180" s="20">
        <f t="shared" si="460"/>
        <v>0</v>
      </c>
      <c r="M180" s="20">
        <f t="shared" si="455"/>
        <v>1.2305999999999999E-2</v>
      </c>
      <c r="N180" s="20">
        <v>3.0378239999999997E-2</v>
      </c>
      <c r="O180" s="7">
        <f t="shared" si="456"/>
        <v>0.99895415999999992</v>
      </c>
    </row>
    <row r="181" spans="1:15" x14ac:dyDescent="0.7">
      <c r="A181" s="12"/>
      <c r="B181" s="12"/>
      <c r="C181" s="49">
        <v>28</v>
      </c>
      <c r="D181" s="33">
        <v>98.329000000000008</v>
      </c>
      <c r="E181" s="4">
        <v>12</v>
      </c>
      <c r="F181" s="33">
        <v>98.329000000000008</v>
      </c>
      <c r="G181" s="35">
        <f t="shared" ref="G181" si="465">F181*86400</f>
        <v>8495625.6000000015</v>
      </c>
      <c r="H181" s="36">
        <f t="shared" ref="H181" si="466">G181/1000000</f>
        <v>8.4956256000000021</v>
      </c>
      <c r="I181" s="26">
        <v>13516</v>
      </c>
      <c r="J181" s="46">
        <f t="shared" si="459"/>
        <v>1.3516E-2</v>
      </c>
      <c r="K181" s="20">
        <v>0</v>
      </c>
      <c r="L181" s="20">
        <f t="shared" si="460"/>
        <v>0</v>
      </c>
      <c r="M181" s="20">
        <f t="shared" si="455"/>
        <v>1.3516E-2</v>
      </c>
      <c r="N181" s="20">
        <v>3.7670400000000001E-3</v>
      </c>
      <c r="O181" s="7">
        <f t="shared" si="456"/>
        <v>8.4783425600000033</v>
      </c>
    </row>
    <row r="182" spans="1:15" s="42" customFormat="1" x14ac:dyDescent="0.7">
      <c r="A182" s="6"/>
      <c r="B182" s="6"/>
      <c r="C182" s="6">
        <v>29</v>
      </c>
      <c r="D182" s="7">
        <v>76.412000000000006</v>
      </c>
      <c r="E182" s="4">
        <v>3.1</v>
      </c>
      <c r="F182" s="7">
        <v>76.412000000000006</v>
      </c>
      <c r="G182" s="40">
        <f t="shared" ref="G182" si="467">F182*86400</f>
        <v>6601996.8000000007</v>
      </c>
      <c r="H182" s="20">
        <f t="shared" ref="H182" si="468">G182/1000000</f>
        <v>6.6019968000000011</v>
      </c>
      <c r="I182" s="26">
        <v>27772</v>
      </c>
      <c r="J182" s="46">
        <f t="shared" si="459"/>
        <v>2.7772000000000002E-2</v>
      </c>
      <c r="K182" s="20">
        <v>4098</v>
      </c>
      <c r="L182" s="20">
        <f t="shared" si="460"/>
        <v>4.0980000000000001E-3</v>
      </c>
      <c r="M182" s="20">
        <f t="shared" si="455"/>
        <v>3.1870000000000002E-2</v>
      </c>
      <c r="N182" s="20">
        <v>0</v>
      </c>
      <c r="O182" s="7">
        <f t="shared" si="456"/>
        <v>6.5701268000000015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39.18</v>
      </c>
      <c r="E183" s="19">
        <v>4</v>
      </c>
      <c r="F183" s="19">
        <v>39.18</v>
      </c>
      <c r="G183" s="28">
        <f t="shared" ref="G183" si="469">F183*86400</f>
        <v>3385152</v>
      </c>
      <c r="H183" s="29">
        <f t="shared" ref="H183" si="470">G183/1000000</f>
        <v>3.3851520000000002</v>
      </c>
      <c r="I183" s="30">
        <v>31966</v>
      </c>
      <c r="J183" s="47">
        <f t="shared" si="459"/>
        <v>3.1966000000000001E-2</v>
      </c>
      <c r="K183" s="22">
        <v>4156</v>
      </c>
      <c r="L183" s="22">
        <f t="shared" si="460"/>
        <v>4.156E-3</v>
      </c>
      <c r="M183" s="22">
        <f t="shared" si="455"/>
        <v>3.6122000000000001E-2</v>
      </c>
      <c r="N183" s="22">
        <v>0</v>
      </c>
      <c r="O183" s="10">
        <f t="shared" si="456"/>
        <v>3.34903</v>
      </c>
    </row>
    <row r="184" spans="1:15" x14ac:dyDescent="0.7">
      <c r="A184" s="3"/>
      <c r="B184" s="3" t="s">
        <v>21</v>
      </c>
      <c r="C184" s="3">
        <v>1</v>
      </c>
      <c r="D184" s="4">
        <v>20.033000000000001</v>
      </c>
      <c r="E184" s="4">
        <v>0</v>
      </c>
      <c r="F184" s="4">
        <v>20.033000000000001</v>
      </c>
      <c r="G184" s="15">
        <f t="shared" ref="G184" si="471">F184*86400</f>
        <v>1730851.2000000002</v>
      </c>
      <c r="H184" s="21">
        <f t="shared" ref="H184" si="472">G184/1000000</f>
        <v>1.7308512000000003</v>
      </c>
      <c r="I184" s="16">
        <v>70686.144444443999</v>
      </c>
      <c r="J184" s="25">
        <v>7.0686144444444404E-2</v>
      </c>
      <c r="K184" s="16">
        <v>59775.199999995799</v>
      </c>
      <c r="L184" s="16">
        <v>5.9775199999995698E-2</v>
      </c>
      <c r="M184" s="16">
        <f t="shared" ref="M184" si="473">J184+L184</f>
        <v>0.1304613444444401</v>
      </c>
      <c r="N184" s="27">
        <v>-0.49080960000000001</v>
      </c>
      <c r="O184" s="4">
        <f t="shared" ref="O184" si="474">H184-M184-N184</f>
        <v>2.0911994555555604</v>
      </c>
    </row>
    <row r="185" spans="1:15" x14ac:dyDescent="0.7">
      <c r="A185" s="6"/>
      <c r="B185" s="6"/>
      <c r="C185" s="6">
        <v>2</v>
      </c>
      <c r="D185" s="7">
        <v>12.548</v>
      </c>
      <c r="E185" s="4">
        <v>0</v>
      </c>
      <c r="F185" s="7">
        <v>12.548</v>
      </c>
      <c r="G185" s="15">
        <f t="shared" ref="G185" si="475">F185*86400</f>
        <v>1084147.2</v>
      </c>
      <c r="H185" s="21">
        <f t="shared" ref="H185" si="476">G185/1000000</f>
        <v>1.0841471999999999</v>
      </c>
      <c r="I185" s="17">
        <v>71065.594444443996</v>
      </c>
      <c r="J185" s="31">
        <v>7.1065594444444394E-2</v>
      </c>
      <c r="K185" s="17">
        <v>60145.733333329103</v>
      </c>
      <c r="L185" s="17">
        <v>6.0145733333329003E-2</v>
      </c>
      <c r="M185" s="17">
        <f t="shared" ref="M185" si="477">J185+L185</f>
        <v>0.13121132777777339</v>
      </c>
      <c r="N185" s="26">
        <v>-0.49453920000000001</v>
      </c>
      <c r="O185" s="7">
        <f t="shared" ref="O185" si="478">H185-M185-N185</f>
        <v>1.4474750722222265</v>
      </c>
    </row>
    <row r="186" spans="1:15" x14ac:dyDescent="0.7">
      <c r="A186" s="6"/>
      <c r="B186" s="6"/>
      <c r="C186" s="6">
        <v>3</v>
      </c>
      <c r="D186" s="7">
        <v>10.146000000000001</v>
      </c>
      <c r="E186" s="4">
        <v>0.2</v>
      </c>
      <c r="F186" s="7">
        <v>10.146000000000001</v>
      </c>
      <c r="G186" s="15">
        <f t="shared" ref="G186" si="479">F186*86400</f>
        <v>876614.4</v>
      </c>
      <c r="H186" s="21">
        <f t="shared" ref="H186" si="480">G186/1000000</f>
        <v>0.87661440000000002</v>
      </c>
      <c r="I186" s="17">
        <v>71445.044444444007</v>
      </c>
      <c r="J186" s="31">
        <v>7.1445044444444397E-2</v>
      </c>
      <c r="K186" s="17">
        <v>60516.266666662399</v>
      </c>
      <c r="L186" s="17">
        <v>6.0516266666662301E-2</v>
      </c>
      <c r="M186" s="17">
        <f t="shared" ref="M186" si="481">J186+L186</f>
        <v>0.1319613111111067</v>
      </c>
      <c r="N186" s="26">
        <v>-0.49826880000000001</v>
      </c>
      <c r="O186" s="7">
        <f t="shared" ref="O186" si="482">H186-M186-N186</f>
        <v>1.2429218888888933</v>
      </c>
    </row>
    <row r="187" spans="1:15" x14ac:dyDescent="0.7">
      <c r="A187" s="6"/>
      <c r="B187" s="6"/>
      <c r="C187" s="3">
        <v>4</v>
      </c>
      <c r="D187" s="7">
        <v>8.5500000000000007</v>
      </c>
      <c r="E187" s="4">
        <v>0</v>
      </c>
      <c r="F187" s="7">
        <v>8.5500000000000007</v>
      </c>
      <c r="G187" s="15">
        <f t="shared" ref="G187" si="483">F187*86400</f>
        <v>738720.00000000012</v>
      </c>
      <c r="H187" s="21">
        <f t="shared" ref="H187" si="484">G187/1000000</f>
        <v>0.73872000000000015</v>
      </c>
      <c r="I187" s="21">
        <v>1900</v>
      </c>
      <c r="J187" s="21">
        <f t="shared" ref="J187:J192" si="485">I187/1000000</f>
        <v>1.9E-3</v>
      </c>
      <c r="K187" s="21">
        <f t="shared" ref="K187:K192" si="486">H187+J187</f>
        <v>0.74062000000000017</v>
      </c>
      <c r="L187" s="21">
        <v>1.257984E-2</v>
      </c>
      <c r="M187" s="4">
        <f t="shared" ref="M187:M192" si="487">F187-K187-L187</f>
        <v>7.796800160000001</v>
      </c>
      <c r="N187" s="26">
        <v>-0.50199839999999996</v>
      </c>
      <c r="O187" s="7">
        <f t="shared" ref="O187" si="488">H187-M187-N187</f>
        <v>-6.5560817600000014</v>
      </c>
    </row>
    <row r="188" spans="1:15" x14ac:dyDescent="0.7">
      <c r="A188" s="6"/>
      <c r="B188" s="6"/>
      <c r="C188" s="6">
        <v>5</v>
      </c>
      <c r="D188" s="7">
        <v>8.1020000000000003</v>
      </c>
      <c r="E188" s="4">
        <v>0</v>
      </c>
      <c r="F188" s="7">
        <v>8.1020000000000003</v>
      </c>
      <c r="G188" s="15">
        <f t="shared" ref="G188" si="489">F188*86400</f>
        <v>700012.8</v>
      </c>
      <c r="H188" s="21">
        <f t="shared" ref="H188" si="490">G188/1000000</f>
        <v>0.7000128000000001</v>
      </c>
      <c r="I188" s="20">
        <v>1323</v>
      </c>
      <c r="J188" s="20">
        <f t="shared" si="485"/>
        <v>1.323E-3</v>
      </c>
      <c r="K188" s="20">
        <f t="shared" si="486"/>
        <v>0.70133580000000006</v>
      </c>
      <c r="L188" s="20">
        <v>1.257984E-2</v>
      </c>
      <c r="M188" s="7">
        <f t="shared" si="487"/>
        <v>7.3880843600000006</v>
      </c>
      <c r="N188" s="26">
        <v>-0.50572799999999996</v>
      </c>
      <c r="O188" s="7">
        <f t="shared" ref="O188" si="491">H188-M188-N188</f>
        <v>-6.1823435600000014</v>
      </c>
    </row>
    <row r="189" spans="1:15" x14ac:dyDescent="0.7">
      <c r="A189" s="6"/>
      <c r="B189" s="6"/>
      <c r="C189" s="6">
        <v>6</v>
      </c>
      <c r="D189" s="7">
        <v>7.8689999999999998</v>
      </c>
      <c r="E189" s="4">
        <v>0.1</v>
      </c>
      <c r="F189" s="7">
        <v>7.8689999999999998</v>
      </c>
      <c r="G189" s="15">
        <f t="shared" ref="G189" si="492">F189*86400</f>
        <v>679881.6</v>
      </c>
      <c r="H189" s="21">
        <f t="shared" ref="H189" si="493">G189/1000000</f>
        <v>0.67988159999999997</v>
      </c>
      <c r="I189" s="20">
        <v>0</v>
      </c>
      <c r="J189" s="20">
        <f t="shared" si="485"/>
        <v>0</v>
      </c>
      <c r="K189" s="20">
        <f t="shared" si="486"/>
        <v>0.67988159999999997</v>
      </c>
      <c r="L189" s="20">
        <v>3.0378239999999997E-2</v>
      </c>
      <c r="M189" s="7">
        <f t="shared" si="487"/>
        <v>7.1587401599999998</v>
      </c>
      <c r="N189" s="26">
        <v>-0.50945759999999995</v>
      </c>
      <c r="O189" s="7">
        <f t="shared" ref="O189" si="494">H189-M189-N189</f>
        <v>-5.9694009599999998</v>
      </c>
    </row>
    <row r="190" spans="1:15" x14ac:dyDescent="0.7">
      <c r="A190" s="6"/>
      <c r="B190" s="6"/>
      <c r="C190" s="3">
        <v>7</v>
      </c>
      <c r="D190" s="7">
        <v>7.3789999999999996</v>
      </c>
      <c r="E190" s="4">
        <v>0.5</v>
      </c>
      <c r="F190" s="7">
        <v>7.3789999999999996</v>
      </c>
      <c r="G190" s="15">
        <f t="shared" ref="G190" si="495">F190*86400</f>
        <v>637545.6</v>
      </c>
      <c r="H190" s="21">
        <f t="shared" ref="H190" si="496">G190/1000000</f>
        <v>0.63754559999999993</v>
      </c>
      <c r="I190" s="20">
        <v>0</v>
      </c>
      <c r="J190" s="20">
        <f t="shared" si="485"/>
        <v>0</v>
      </c>
      <c r="K190" s="20">
        <f t="shared" si="486"/>
        <v>0.63754559999999993</v>
      </c>
      <c r="L190" s="20">
        <v>3.7670400000000001E-3</v>
      </c>
      <c r="M190" s="7">
        <f t="shared" si="487"/>
        <v>6.7376873599999998</v>
      </c>
      <c r="N190" s="26">
        <v>-0.51318719999999995</v>
      </c>
      <c r="O190" s="7">
        <f t="shared" ref="O190" si="497">H190-M190-N190</f>
        <v>-5.5869545599999997</v>
      </c>
    </row>
    <row r="191" spans="1:15" x14ac:dyDescent="0.7">
      <c r="A191" s="6"/>
      <c r="B191" s="6"/>
      <c r="C191" s="6">
        <v>8</v>
      </c>
      <c r="D191" s="7">
        <v>7.07</v>
      </c>
      <c r="E191" s="4">
        <v>6.5</v>
      </c>
      <c r="F191" s="7">
        <v>7.07</v>
      </c>
      <c r="G191" s="15">
        <f t="shared" ref="G191" si="498">F191*86400</f>
        <v>610848</v>
      </c>
      <c r="H191" s="21">
        <f t="shared" ref="H191" si="499">G191/1000000</f>
        <v>0.61084799999999995</v>
      </c>
      <c r="I191" s="20">
        <v>4098</v>
      </c>
      <c r="J191" s="20">
        <f t="shared" si="485"/>
        <v>4.0980000000000001E-3</v>
      </c>
      <c r="K191" s="20">
        <f t="shared" si="486"/>
        <v>0.61494599999999999</v>
      </c>
      <c r="L191" s="20">
        <v>0</v>
      </c>
      <c r="M191" s="7">
        <f t="shared" si="487"/>
        <v>6.4550540000000005</v>
      </c>
      <c r="N191" s="26">
        <v>-0.51691679999999995</v>
      </c>
      <c r="O191" s="7">
        <f t="shared" ref="O191" si="500">H191-M191-N191</f>
        <v>-5.3272892000000009</v>
      </c>
    </row>
    <row r="192" spans="1:15" x14ac:dyDescent="0.7">
      <c r="A192" s="6"/>
      <c r="B192" s="6"/>
      <c r="C192" s="6">
        <v>9</v>
      </c>
      <c r="D192" s="7">
        <v>7.1740000000000004</v>
      </c>
      <c r="E192" s="4">
        <v>0</v>
      </c>
      <c r="F192" s="7">
        <v>7.1740000000000004</v>
      </c>
      <c r="G192" s="15">
        <f t="shared" ref="G192" si="501">F192*86400</f>
        <v>619833.59999999998</v>
      </c>
      <c r="H192" s="21">
        <f t="shared" ref="H192" si="502">G192/1000000</f>
        <v>0.61983359999999998</v>
      </c>
      <c r="I192" s="20">
        <v>4156</v>
      </c>
      <c r="J192" s="20">
        <f t="shared" si="485"/>
        <v>4.156E-3</v>
      </c>
      <c r="K192" s="20">
        <f t="shared" si="486"/>
        <v>0.62398960000000003</v>
      </c>
      <c r="L192" s="20">
        <v>0</v>
      </c>
      <c r="M192" s="7">
        <f t="shared" si="487"/>
        <v>6.5500104000000006</v>
      </c>
      <c r="N192" s="26">
        <v>-0.52064639999999995</v>
      </c>
      <c r="O192" s="7">
        <f t="shared" ref="O192" si="503">H192-M192-N192</f>
        <v>-5.4095304000000013</v>
      </c>
    </row>
    <row r="193" spans="1:15" x14ac:dyDescent="0.7">
      <c r="A193" s="6"/>
      <c r="B193" s="6"/>
      <c r="C193" s="3">
        <v>10</v>
      </c>
      <c r="D193" s="7">
        <v>9.0399999999999991</v>
      </c>
      <c r="E193" s="4">
        <v>0</v>
      </c>
      <c r="F193" s="7">
        <v>9.0399999999999991</v>
      </c>
      <c r="G193" s="15">
        <f t="shared" ref="G193" si="504">F193*86400</f>
        <v>781055.99999999988</v>
      </c>
      <c r="H193" s="21">
        <f t="shared" ref="H193" si="505">G193/1000000</f>
        <v>0.78105599999999986</v>
      </c>
      <c r="I193" s="17">
        <v>74101.194444444001</v>
      </c>
      <c r="J193" s="31">
        <v>7.4101194444444393E-2</v>
      </c>
      <c r="K193" s="17">
        <v>63109.999999995503</v>
      </c>
      <c r="L193" s="17">
        <v>6.3109999999995406E-2</v>
      </c>
      <c r="M193" s="17">
        <f t="shared" ref="M193" si="506">J193+L193</f>
        <v>0.1372111944444398</v>
      </c>
      <c r="N193" s="26">
        <v>-0.52437599999999995</v>
      </c>
      <c r="O193" s="7">
        <f t="shared" ref="O193" si="507">H193-M193-N193</f>
        <v>1.1682208055555601</v>
      </c>
    </row>
    <row r="194" spans="1:15" x14ac:dyDescent="0.7">
      <c r="A194" s="6"/>
      <c r="B194" s="6"/>
      <c r="C194" s="6">
        <v>11</v>
      </c>
      <c r="D194" s="7">
        <v>7.4859999999999998</v>
      </c>
      <c r="E194" s="4">
        <v>0.3</v>
      </c>
      <c r="F194" s="7">
        <v>7.4859999999999998</v>
      </c>
      <c r="G194" s="15">
        <f t="shared" ref="G194" si="508">F194*86400</f>
        <v>646790.40000000002</v>
      </c>
      <c r="H194" s="21">
        <f t="shared" ref="H194" si="509">G194/1000000</f>
        <v>0.64679039999999999</v>
      </c>
      <c r="I194" s="17">
        <v>74480.644444443999</v>
      </c>
      <c r="J194" s="31">
        <v>7.4480644444444397E-2</v>
      </c>
      <c r="K194" s="17">
        <v>63480.5333333288</v>
      </c>
      <c r="L194" s="17">
        <v>6.3480533333328704E-2</v>
      </c>
      <c r="M194" s="17">
        <f t="shared" ref="M194" si="510">J194+L194</f>
        <v>0.13796117777777311</v>
      </c>
      <c r="N194" s="26">
        <v>-0.52810559999999995</v>
      </c>
      <c r="O194" s="7">
        <f t="shared" ref="O194" si="511">H194-M194-N194</f>
        <v>1.0369348222222268</v>
      </c>
    </row>
    <row r="195" spans="1:15" x14ac:dyDescent="0.7">
      <c r="A195" s="6"/>
      <c r="B195" s="6"/>
      <c r="C195" s="6">
        <v>12</v>
      </c>
      <c r="D195" s="7">
        <v>7.4530000000000003</v>
      </c>
      <c r="E195" s="4">
        <v>43.8</v>
      </c>
      <c r="F195" s="7">
        <v>7.4530000000000003</v>
      </c>
      <c r="G195" s="15">
        <f t="shared" ref="G195" si="512">F195*86400</f>
        <v>643939.20000000007</v>
      </c>
      <c r="H195" s="21">
        <f t="shared" ref="H195" si="513">G195/1000000</f>
        <v>0.64393920000000004</v>
      </c>
      <c r="I195" s="17">
        <v>74860.094444443996</v>
      </c>
      <c r="J195" s="31">
        <v>7.48600944444444E-2</v>
      </c>
      <c r="K195" s="17">
        <v>63851.066666662096</v>
      </c>
      <c r="L195" s="17">
        <v>6.3851066666662001E-2</v>
      </c>
      <c r="M195" s="17">
        <f t="shared" ref="M195" si="514">J195+L195</f>
        <v>0.1387111611111064</v>
      </c>
      <c r="N195" s="26">
        <v>-0.53183519999999995</v>
      </c>
      <c r="O195" s="7">
        <f t="shared" ref="O195" si="515">H195-M195-N195</f>
        <v>1.0370632388888936</v>
      </c>
    </row>
    <row r="196" spans="1:15" x14ac:dyDescent="0.7">
      <c r="A196" s="6"/>
      <c r="B196" s="6"/>
      <c r="C196" s="3">
        <v>13</v>
      </c>
      <c r="D196" s="7">
        <v>8.0060000000000002</v>
      </c>
      <c r="E196" s="4">
        <v>0</v>
      </c>
      <c r="F196" s="7">
        <v>8.0060000000000002</v>
      </c>
      <c r="G196" s="15">
        <f t="shared" ref="G196" si="516">F196*86400</f>
        <v>691718.4</v>
      </c>
      <c r="H196" s="21">
        <f t="shared" ref="H196" si="517">G196/1000000</f>
        <v>0.69171840000000007</v>
      </c>
      <c r="I196" s="17">
        <v>75239.544444444007</v>
      </c>
      <c r="J196" s="31">
        <v>7.5239544444444403E-2</v>
      </c>
      <c r="K196" s="17">
        <v>64221.5999999954</v>
      </c>
      <c r="L196" s="17">
        <v>6.4221599999995299E-2</v>
      </c>
      <c r="M196" s="17">
        <f t="shared" ref="M196" si="518">J196+L196</f>
        <v>0.13946114444443969</v>
      </c>
      <c r="N196" s="26">
        <v>-0.53556479999999995</v>
      </c>
      <c r="O196" s="7">
        <f t="shared" ref="O196" si="519">H196-M196-N196</f>
        <v>1.0878220555555602</v>
      </c>
    </row>
    <row r="197" spans="1:15" x14ac:dyDescent="0.7">
      <c r="A197" s="6"/>
      <c r="B197" s="6"/>
      <c r="C197" s="6">
        <v>14</v>
      </c>
      <c r="D197" s="7">
        <v>10.250999999999999</v>
      </c>
      <c r="E197" s="4">
        <v>0</v>
      </c>
      <c r="F197" s="7">
        <v>10.250999999999999</v>
      </c>
      <c r="G197" s="15">
        <f t="shared" ref="G197" si="520">F197*86400</f>
        <v>885686.39999999991</v>
      </c>
      <c r="H197" s="21">
        <f t="shared" ref="H197" si="521">G197/1000000</f>
        <v>0.88568639999999987</v>
      </c>
      <c r="I197" s="17">
        <v>75618.994444444004</v>
      </c>
      <c r="J197" s="31">
        <v>7.5618994444444407E-2</v>
      </c>
      <c r="K197" s="17">
        <v>64592.133333328697</v>
      </c>
      <c r="L197" s="17">
        <v>6.4592133333328597E-2</v>
      </c>
      <c r="M197" s="17">
        <f t="shared" ref="M197" si="522">J197+L197</f>
        <v>0.140211127777773</v>
      </c>
      <c r="N197" s="26">
        <v>-0.53929439999999995</v>
      </c>
      <c r="O197" s="7">
        <f t="shared" ref="O197" si="523">H197-M197-N197</f>
        <v>1.2847696722222268</v>
      </c>
    </row>
    <row r="198" spans="1:15" x14ac:dyDescent="0.7">
      <c r="A198" s="6"/>
      <c r="B198" s="6"/>
      <c r="C198" s="6">
        <v>15</v>
      </c>
      <c r="D198" s="7">
        <v>11.638</v>
      </c>
      <c r="E198" s="4">
        <v>1.6</v>
      </c>
      <c r="F198" s="7">
        <v>11.638</v>
      </c>
      <c r="G198" s="15">
        <f t="shared" ref="G198" si="524">F198*86400</f>
        <v>1005523.2</v>
      </c>
      <c r="H198" s="21">
        <f t="shared" ref="H198" si="525">G198/1000000</f>
        <v>1.0055232000000001</v>
      </c>
      <c r="I198" s="17">
        <v>75998.444444444001</v>
      </c>
      <c r="J198" s="31">
        <v>7.5998444444444396E-2</v>
      </c>
      <c r="K198" s="17">
        <v>64962.666666662</v>
      </c>
      <c r="L198" s="17">
        <v>6.4962666666661895E-2</v>
      </c>
      <c r="M198" s="17">
        <f t="shared" ref="M198" si="526">J198+L198</f>
        <v>0.14096111111110629</v>
      </c>
      <c r="N198" s="26">
        <v>-0.54302399999999995</v>
      </c>
      <c r="O198" s="7">
        <f t="shared" ref="O198" si="527">H198-M198-N198</f>
        <v>1.4075860888888938</v>
      </c>
    </row>
    <row r="199" spans="1:15" x14ac:dyDescent="0.7">
      <c r="A199" s="6"/>
      <c r="B199" s="6"/>
      <c r="C199" s="3">
        <v>16</v>
      </c>
      <c r="D199" s="7">
        <v>9.5429999999999993</v>
      </c>
      <c r="E199" s="4">
        <v>0</v>
      </c>
      <c r="F199" s="7">
        <v>9.5429999999999993</v>
      </c>
      <c r="G199" s="15">
        <f t="shared" ref="G199" si="528">F199*86400</f>
        <v>824515.2</v>
      </c>
      <c r="H199" s="21">
        <f t="shared" ref="H199" si="529">G199/1000000</f>
        <v>0.8245152</v>
      </c>
      <c r="I199" s="17">
        <v>76377.894444443999</v>
      </c>
      <c r="J199" s="31">
        <v>7.63778944444444E-2</v>
      </c>
      <c r="K199" s="17">
        <v>65333.199999995297</v>
      </c>
      <c r="L199" s="17">
        <v>6.5333199999995206E-2</v>
      </c>
      <c r="M199" s="17">
        <f t="shared" ref="M199" si="530">J199+L199</f>
        <v>0.14171109444443961</v>
      </c>
      <c r="N199" s="26">
        <v>-0.54675359999999995</v>
      </c>
      <c r="O199" s="7">
        <f t="shared" ref="O199" si="531">H199-M199-N199</f>
        <v>1.2295577055555604</v>
      </c>
    </row>
    <row r="200" spans="1:15" x14ac:dyDescent="0.7">
      <c r="A200" s="6"/>
      <c r="B200" s="6"/>
      <c r="C200" s="6">
        <v>17</v>
      </c>
      <c r="D200" s="7">
        <v>7.64</v>
      </c>
      <c r="E200" s="4">
        <v>23.2</v>
      </c>
      <c r="F200" s="7">
        <v>7.64</v>
      </c>
      <c r="G200" s="15">
        <f t="shared" ref="G200" si="532">F200*86400</f>
        <v>660096</v>
      </c>
      <c r="H200" s="21">
        <f t="shared" ref="H200" si="533">G200/1000000</f>
        <v>0.66009600000000002</v>
      </c>
      <c r="I200" s="17">
        <v>76757.344444443996</v>
      </c>
      <c r="J200" s="31">
        <v>7.6757344444444403E-2</v>
      </c>
      <c r="K200" s="17">
        <v>65703.733333328593</v>
      </c>
      <c r="L200" s="17">
        <v>6.5703733333328504E-2</v>
      </c>
      <c r="M200" s="17">
        <f t="shared" ref="M200" si="534">J200+L200</f>
        <v>0.14246107777777289</v>
      </c>
      <c r="N200" s="26">
        <v>-0.55048319999999995</v>
      </c>
      <c r="O200" s="7">
        <f t="shared" ref="O200" si="535">H200-M200-N200</f>
        <v>1.0681181222222271</v>
      </c>
    </row>
    <row r="201" spans="1:15" x14ac:dyDescent="0.7">
      <c r="A201" s="6"/>
      <c r="B201" s="6"/>
      <c r="C201" s="6">
        <v>18</v>
      </c>
      <c r="D201" s="7">
        <v>23.451000000000001</v>
      </c>
      <c r="E201" s="4">
        <v>3.5</v>
      </c>
      <c r="F201" s="7">
        <v>23.451000000000001</v>
      </c>
      <c r="G201" s="15">
        <f t="shared" ref="G201" si="536">F201*86400</f>
        <v>2026166.4000000001</v>
      </c>
      <c r="H201" s="21">
        <f t="shared" ref="H201" si="537">G201/1000000</f>
        <v>2.0261664000000001</v>
      </c>
      <c r="I201" s="17">
        <v>77136.794444444007</v>
      </c>
      <c r="J201" s="31">
        <v>7.7136794444444406E-2</v>
      </c>
      <c r="K201" s="17">
        <v>66074.266666661904</v>
      </c>
      <c r="L201" s="17">
        <v>6.6074266666661802E-2</v>
      </c>
      <c r="M201" s="17">
        <f t="shared" ref="M201" si="538">J201+L201</f>
        <v>0.14321106111110621</v>
      </c>
      <c r="N201" s="26">
        <v>-0.55421279999999995</v>
      </c>
      <c r="O201" s="7">
        <f t="shared" ref="O201" si="539">H201-M201-N201</f>
        <v>2.4371681388888939</v>
      </c>
    </row>
    <row r="202" spans="1:15" x14ac:dyDescent="0.7">
      <c r="A202" s="6"/>
      <c r="B202" s="6"/>
      <c r="C202" s="3">
        <v>19</v>
      </c>
      <c r="D202" s="7">
        <v>41.222000000000001</v>
      </c>
      <c r="E202" s="4">
        <v>0.4</v>
      </c>
      <c r="F202" s="7">
        <v>41.222000000000001</v>
      </c>
      <c r="G202" s="15">
        <f t="shared" ref="G202" si="540">F202*86400</f>
        <v>3561580.8000000003</v>
      </c>
      <c r="H202" s="21">
        <f t="shared" ref="H202" si="541">G202/1000000</f>
        <v>3.5615808000000002</v>
      </c>
      <c r="I202" s="17">
        <v>77516.244444444004</v>
      </c>
      <c r="J202" s="31">
        <v>7.7516244444444396E-2</v>
      </c>
      <c r="K202" s="17">
        <v>66444.799999995201</v>
      </c>
      <c r="L202" s="17">
        <v>6.6444799999995099E-2</v>
      </c>
      <c r="M202" s="17">
        <f t="shared" ref="M202" si="542">J202+L202</f>
        <v>0.1439610444444395</v>
      </c>
      <c r="N202" s="26">
        <v>-0.55794239999999995</v>
      </c>
      <c r="O202" s="7">
        <f t="shared" ref="O202" si="543">H202-M202-N202</f>
        <v>3.9755621555555605</v>
      </c>
    </row>
    <row r="203" spans="1:15" x14ac:dyDescent="0.7">
      <c r="A203" s="6"/>
      <c r="B203" s="6"/>
      <c r="C203" s="6">
        <v>20</v>
      </c>
      <c r="D203" s="7">
        <v>31.158000000000001</v>
      </c>
      <c r="E203" s="4">
        <v>9.6</v>
      </c>
      <c r="F203" s="7">
        <v>31.158000000000001</v>
      </c>
      <c r="G203" s="15">
        <f t="shared" ref="G203" si="544">F203*86400</f>
        <v>2692051.2</v>
      </c>
      <c r="H203" s="21">
        <f t="shared" ref="H203" si="545">G203/1000000</f>
        <v>2.6920512000000003</v>
      </c>
      <c r="I203" s="17">
        <v>77895.694444444001</v>
      </c>
      <c r="J203" s="31">
        <v>7.7895694444444399E-2</v>
      </c>
      <c r="K203" s="17">
        <v>66815.333333328497</v>
      </c>
      <c r="L203" s="17">
        <v>6.6815333333328397E-2</v>
      </c>
      <c r="M203" s="17">
        <f t="shared" ref="M203" si="546">J203+L203</f>
        <v>0.14471102777777278</v>
      </c>
      <c r="N203" s="26">
        <v>-0.56167199999999995</v>
      </c>
      <c r="O203" s="7">
        <f t="shared" ref="O203" si="547">H203-M203-N203</f>
        <v>3.1090121722222275</v>
      </c>
    </row>
    <row r="204" spans="1:15" x14ac:dyDescent="0.7">
      <c r="A204" s="6"/>
      <c r="B204" s="6"/>
      <c r="C204" s="6">
        <v>21</v>
      </c>
      <c r="D204" s="7">
        <v>68.274000000000001</v>
      </c>
      <c r="E204" s="4">
        <v>3.2</v>
      </c>
      <c r="F204" s="7">
        <v>68.274000000000001</v>
      </c>
      <c r="G204" s="15">
        <f t="shared" ref="G204" si="548">F204*86400</f>
        <v>5898873.5999999996</v>
      </c>
      <c r="H204" s="21">
        <f t="shared" ref="H204" si="549">G204/1000000</f>
        <v>5.8988735999999999</v>
      </c>
      <c r="I204" s="17">
        <v>78275.144444443999</v>
      </c>
      <c r="J204" s="31">
        <v>7.8275144444444403E-2</v>
      </c>
      <c r="K204" s="17">
        <v>67185.866666661794</v>
      </c>
      <c r="L204" s="17">
        <v>6.7185866666661695E-2</v>
      </c>
      <c r="M204" s="17">
        <f t="shared" ref="M204" si="550">J204+L204</f>
        <v>0.1454610111111061</v>
      </c>
      <c r="N204" s="26">
        <v>-0.56540159999999995</v>
      </c>
      <c r="O204" s="7">
        <f t="shared" ref="O204" si="551">H204-M204-N204</f>
        <v>6.3188141888888936</v>
      </c>
    </row>
    <row r="205" spans="1:15" x14ac:dyDescent="0.7">
      <c r="A205" s="6"/>
      <c r="B205" s="6"/>
      <c r="C205" s="3">
        <v>22</v>
      </c>
      <c r="D205" s="7">
        <v>34.204999999999998</v>
      </c>
      <c r="E205" s="4">
        <v>12.5</v>
      </c>
      <c r="F205" s="7">
        <v>34.204999999999998</v>
      </c>
      <c r="G205" s="15">
        <f t="shared" ref="G205" si="552">F205*86400</f>
        <v>2955312</v>
      </c>
      <c r="H205" s="21">
        <f t="shared" ref="H205" si="553">G205/1000000</f>
        <v>2.9553120000000002</v>
      </c>
      <c r="I205" s="17">
        <v>78654.594444443996</v>
      </c>
      <c r="J205" s="31">
        <v>7.8654594444444406E-2</v>
      </c>
      <c r="K205" s="17">
        <v>67556.399999995105</v>
      </c>
      <c r="L205" s="17">
        <v>6.7556399999995007E-2</v>
      </c>
      <c r="M205" s="17">
        <f t="shared" ref="M205" si="554">J205+L205</f>
        <v>0.14621099444443941</v>
      </c>
      <c r="N205" s="26">
        <v>-0.56913119999999995</v>
      </c>
      <c r="O205" s="7">
        <f t="shared" ref="O205" si="555">H205-M205-N205</f>
        <v>3.3782322055555607</v>
      </c>
    </row>
    <row r="206" spans="1:15" x14ac:dyDescent="0.7">
      <c r="A206" s="6"/>
      <c r="B206" s="6"/>
      <c r="C206" s="6">
        <v>23</v>
      </c>
      <c r="D206" s="7">
        <v>40.497</v>
      </c>
      <c r="E206" s="4">
        <v>1.8</v>
      </c>
      <c r="F206" s="7">
        <v>40.497</v>
      </c>
      <c r="G206" s="15">
        <f t="shared" ref="G206" si="556">F206*86400</f>
        <v>3498940.8</v>
      </c>
      <c r="H206" s="21">
        <f t="shared" ref="H206" si="557">G206/1000000</f>
        <v>3.4989407999999997</v>
      </c>
      <c r="I206" s="17">
        <v>79034.044444444007</v>
      </c>
      <c r="J206" s="31">
        <v>7.9034044444444396E-2</v>
      </c>
      <c r="K206" s="17">
        <v>67926.933333328401</v>
      </c>
      <c r="L206" s="17">
        <v>6.7926933333328304E-2</v>
      </c>
      <c r="M206" s="17">
        <f t="shared" ref="M206" si="558">J206+L206</f>
        <v>0.1469609777777727</v>
      </c>
      <c r="N206" s="26">
        <v>-0.57286079999999995</v>
      </c>
      <c r="O206" s="7">
        <f t="shared" ref="O206" si="559">H206-M206-N206</f>
        <v>3.9248406222222272</v>
      </c>
    </row>
    <row r="207" spans="1:15" x14ac:dyDescent="0.7">
      <c r="A207" s="6"/>
      <c r="B207" s="6"/>
      <c r="C207" s="6">
        <v>24</v>
      </c>
      <c r="D207" s="7">
        <v>33.006</v>
      </c>
      <c r="E207" s="4">
        <v>5.4</v>
      </c>
      <c r="F207" s="7">
        <v>33.006</v>
      </c>
      <c r="G207" s="15">
        <f t="shared" ref="G207" si="560">F207*86400</f>
        <v>2851718.4</v>
      </c>
      <c r="H207" s="21">
        <f t="shared" ref="H207" si="561">G207/1000000</f>
        <v>2.8517183999999998</v>
      </c>
      <c r="I207" s="17">
        <v>79413.494444444004</v>
      </c>
      <c r="J207" s="31">
        <v>7.9413494444444399E-2</v>
      </c>
      <c r="K207" s="17">
        <v>68297.466666661698</v>
      </c>
      <c r="L207" s="17">
        <v>6.8297466666661602E-2</v>
      </c>
      <c r="M207" s="17">
        <f t="shared" ref="M207" si="562">J207+L207</f>
        <v>0.14771096111110599</v>
      </c>
      <c r="N207" s="26">
        <v>-0.57659039999999995</v>
      </c>
      <c r="O207" s="7">
        <f t="shared" ref="O207" si="563">H207-M207-N207</f>
        <v>3.2805978388888937</v>
      </c>
    </row>
    <row r="208" spans="1:15" x14ac:dyDescent="0.7">
      <c r="A208" s="6"/>
      <c r="B208" s="6"/>
      <c r="C208" s="3">
        <v>25</v>
      </c>
      <c r="D208" s="7">
        <v>26.254000000000001</v>
      </c>
      <c r="E208" s="4">
        <v>11.3</v>
      </c>
      <c r="F208" s="7">
        <v>26.254000000000001</v>
      </c>
      <c r="G208" s="15">
        <f t="shared" ref="G208" si="564">F208*86400</f>
        <v>2268345.6</v>
      </c>
      <c r="H208" s="21">
        <f t="shared" ref="H208" si="565">G208/1000000</f>
        <v>2.2683456</v>
      </c>
      <c r="I208" s="17">
        <v>79792.944444444001</v>
      </c>
      <c r="J208" s="31">
        <v>7.9792944444444402E-2</v>
      </c>
      <c r="K208" s="17">
        <v>68667.999999994994</v>
      </c>
      <c r="L208" s="17">
        <v>6.86679999999949E-2</v>
      </c>
      <c r="M208" s="17">
        <f t="shared" ref="M208" si="566">J208+L208</f>
        <v>0.1484609444444393</v>
      </c>
      <c r="N208" s="26">
        <v>-0.58031999999999995</v>
      </c>
      <c r="O208" s="7">
        <f t="shared" ref="O208" si="567">H208-M208-N208</f>
        <v>2.7002046555555608</v>
      </c>
    </row>
    <row r="209" spans="1:15" x14ac:dyDescent="0.7">
      <c r="A209" s="6"/>
      <c r="B209" s="6"/>
      <c r="C209" s="6">
        <v>26</v>
      </c>
      <c r="D209" s="7">
        <v>58.971000000000004</v>
      </c>
      <c r="E209" s="4">
        <v>0.1</v>
      </c>
      <c r="F209" s="7">
        <v>58.971000000000004</v>
      </c>
      <c r="G209" s="15">
        <f t="shared" ref="G209" si="568">F209*86400</f>
        <v>5095094.4000000004</v>
      </c>
      <c r="H209" s="21">
        <f t="shared" ref="H209" si="569">G209/1000000</f>
        <v>5.0950944000000007</v>
      </c>
      <c r="I209" s="17">
        <v>80172.394444443999</v>
      </c>
      <c r="J209" s="31">
        <v>8.0172394444444406E-2</v>
      </c>
      <c r="K209" s="17">
        <v>69038.533333328305</v>
      </c>
      <c r="L209" s="17">
        <v>6.9038533333328198E-2</v>
      </c>
      <c r="M209" s="17">
        <f t="shared" ref="M209" si="570">J209+L209</f>
        <v>0.14921092777777262</v>
      </c>
      <c r="N209" s="26">
        <v>-0.58404959999999995</v>
      </c>
      <c r="O209" s="7">
        <f t="shared" ref="O209" si="571">H209-M209-N209</f>
        <v>5.529933072222228</v>
      </c>
    </row>
    <row r="210" spans="1:15" x14ac:dyDescent="0.7">
      <c r="A210" s="6"/>
      <c r="B210" s="6"/>
      <c r="C210" s="6">
        <v>27</v>
      </c>
      <c r="D210" s="7">
        <v>40.498000000000005</v>
      </c>
      <c r="E210" s="4">
        <v>1.3</v>
      </c>
      <c r="F210" s="7">
        <v>40.498000000000005</v>
      </c>
      <c r="G210" s="15">
        <f t="shared" ref="G210" si="572">F210*86400</f>
        <v>3499027.2</v>
      </c>
      <c r="H210" s="21">
        <f t="shared" ref="H210" si="573">G210/1000000</f>
        <v>3.4990272</v>
      </c>
      <c r="I210" s="17">
        <v>80551.844444443996</v>
      </c>
      <c r="J210" s="31">
        <v>8.0551844444444395E-2</v>
      </c>
      <c r="K210" s="17">
        <v>69409.066666661602</v>
      </c>
      <c r="L210" s="17">
        <v>6.9409066666661495E-2</v>
      </c>
      <c r="M210" s="17">
        <f t="shared" ref="M210" si="574">J210+L210</f>
        <v>0.14996091111110588</v>
      </c>
      <c r="N210" s="26">
        <v>-0.58777919999999995</v>
      </c>
      <c r="O210" s="7">
        <f t="shared" ref="O210" si="575">H210-M210-N210</f>
        <v>3.9368454888888942</v>
      </c>
    </row>
    <row r="211" spans="1:15" x14ac:dyDescent="0.7">
      <c r="A211" s="6"/>
      <c r="B211" s="6"/>
      <c r="C211" s="3">
        <v>28</v>
      </c>
      <c r="D211" s="7">
        <v>37.908000000000001</v>
      </c>
      <c r="E211" s="4">
        <v>8.6</v>
      </c>
      <c r="F211" s="7">
        <v>37.908000000000001</v>
      </c>
      <c r="G211" s="15">
        <f t="shared" ref="G211" si="576">F211*86400</f>
        <v>3275251.2</v>
      </c>
      <c r="H211" s="21">
        <f t="shared" ref="H211" si="577">G211/1000000</f>
        <v>3.2752512</v>
      </c>
      <c r="I211" s="17">
        <v>80931.294444444007</v>
      </c>
      <c r="J211" s="31">
        <v>8.0931294444444399E-2</v>
      </c>
      <c r="K211" s="17">
        <v>69779.599999994898</v>
      </c>
      <c r="L211" s="17">
        <v>6.9779599999994807E-2</v>
      </c>
      <c r="M211" s="17">
        <f t="shared" ref="M211" si="578">J211+L211</f>
        <v>0.15071089444443919</v>
      </c>
      <c r="N211" s="26">
        <v>-0.59150879999999995</v>
      </c>
      <c r="O211" s="7">
        <f t="shared" ref="O211" si="579">H211-M211-N211</f>
        <v>3.7160491055555607</v>
      </c>
    </row>
    <row r="212" spans="1:15" x14ac:dyDescent="0.7">
      <c r="A212" s="12"/>
      <c r="B212" s="12"/>
      <c r="C212" s="12">
        <v>29</v>
      </c>
      <c r="D212" s="33">
        <v>44.508000000000003</v>
      </c>
      <c r="E212" s="4">
        <v>1.8</v>
      </c>
      <c r="F212" s="33">
        <v>44.508000000000003</v>
      </c>
      <c r="G212" s="35">
        <f t="shared" ref="G212" si="580">F212*86400</f>
        <v>3845491.2</v>
      </c>
      <c r="H212" s="36">
        <f t="shared" ref="H212" si="581">G212/1000000</f>
        <v>3.8454912000000001</v>
      </c>
      <c r="I212" s="37">
        <v>81310.744444444004</v>
      </c>
      <c r="J212" s="38">
        <v>8.1310744444444402E-2</v>
      </c>
      <c r="K212" s="37">
        <v>70150.133333328195</v>
      </c>
      <c r="L212" s="37">
        <v>7.0150133333328105E-2</v>
      </c>
      <c r="M212" s="37">
        <f t="shared" ref="M212" si="582">J212+L212</f>
        <v>0.15146087777777251</v>
      </c>
      <c r="N212" s="39">
        <v>-0.59523839999999995</v>
      </c>
      <c r="O212" s="33">
        <f t="shared" ref="O212" si="583">H212-M212-N212</f>
        <v>4.2892687222222277</v>
      </c>
    </row>
    <row r="213" spans="1:15" s="42" customFormat="1" x14ac:dyDescent="0.7">
      <c r="A213" s="6"/>
      <c r="B213" s="6"/>
      <c r="C213" s="6">
        <v>30</v>
      </c>
      <c r="D213" s="7">
        <v>36.664000000000001</v>
      </c>
      <c r="E213" s="4">
        <v>7</v>
      </c>
      <c r="F213" s="7">
        <v>36.664000000000001</v>
      </c>
      <c r="G213" s="40">
        <f t="shared" ref="G213" si="584">F213*86400</f>
        <v>3167769.6</v>
      </c>
      <c r="H213" s="20">
        <f t="shared" ref="H213" si="585">G213/1000000</f>
        <v>3.1677696000000002</v>
      </c>
      <c r="I213" s="17">
        <v>81690.1944444439</v>
      </c>
      <c r="J213" s="31">
        <v>8.1690194444444406E-2</v>
      </c>
      <c r="K213" s="17">
        <v>70520.666666661506</v>
      </c>
      <c r="L213" s="17">
        <v>7.0520666666661402E-2</v>
      </c>
      <c r="M213" s="17">
        <f t="shared" ref="M213" si="586">J213+L213</f>
        <v>0.15221086111110582</v>
      </c>
      <c r="N213" s="26">
        <v>-0.59896799999999994</v>
      </c>
      <c r="O213" s="7">
        <f t="shared" ref="O213" si="587">H213-M213-N213</f>
        <v>3.6145267388888946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33.006</v>
      </c>
      <c r="E214" s="19">
        <v>5.8</v>
      </c>
      <c r="F214" s="19">
        <v>33.006</v>
      </c>
      <c r="G214" s="28">
        <f t="shared" ref="G214" si="588">F214*86400</f>
        <v>2851718.4</v>
      </c>
      <c r="H214" s="29">
        <f t="shared" ref="H214" si="589">G214/1000000</f>
        <v>2.8517183999999998</v>
      </c>
      <c r="I214" s="43">
        <v>82069.644444443897</v>
      </c>
      <c r="J214" s="44">
        <v>8.2069644444444395E-2</v>
      </c>
      <c r="K214" s="43">
        <v>70891.199999994802</v>
      </c>
      <c r="L214" s="43">
        <v>7.08911999999947E-2</v>
      </c>
      <c r="M214" s="43">
        <f t="shared" ref="M214" si="590">J214+L214</f>
        <v>0.15296084444443908</v>
      </c>
      <c r="N214" s="45">
        <v>-0.60269759999999994</v>
      </c>
      <c r="O214" s="19">
        <f t="shared" ref="O214" si="591">H214-M214-N214</f>
        <v>3.3014551555555607</v>
      </c>
    </row>
    <row r="215" spans="1:15" x14ac:dyDescent="0.7">
      <c r="A215" s="3"/>
      <c r="B215" s="3" t="s">
        <v>22</v>
      </c>
      <c r="C215" s="3">
        <v>1</v>
      </c>
      <c r="D215" s="4">
        <v>26.254000000000001</v>
      </c>
      <c r="E215" s="4">
        <v>12.5</v>
      </c>
      <c r="F215" s="4">
        <v>26.254000000000001</v>
      </c>
      <c r="G215" s="15">
        <f t="shared" ref="G215" si="592">F215*86400</f>
        <v>2268345.6</v>
      </c>
      <c r="H215" s="21">
        <f t="shared" ref="H215" si="593">G215/1000000</f>
        <v>2.2683456</v>
      </c>
      <c r="I215" s="16">
        <v>82449.094444443894</v>
      </c>
      <c r="J215" s="25">
        <v>8.2449094444444398E-2</v>
      </c>
      <c r="K215" s="16">
        <v>71261.733333328099</v>
      </c>
      <c r="L215" s="16">
        <v>7.1261733333327998E-2</v>
      </c>
      <c r="M215" s="16">
        <f t="shared" ref="M215" si="594">J215+L215</f>
        <v>0.1537108277777724</v>
      </c>
      <c r="N215" s="27">
        <v>-0.60642720000000006</v>
      </c>
      <c r="O215" s="4">
        <f t="shared" ref="O215" si="595">H215-M215-N215</f>
        <v>2.7210619722222278</v>
      </c>
    </row>
    <row r="216" spans="1:15" x14ac:dyDescent="0.7">
      <c r="A216" s="6"/>
      <c r="B216" s="6"/>
      <c r="C216" s="6">
        <v>2</v>
      </c>
      <c r="D216" s="7">
        <v>31.827000000000002</v>
      </c>
      <c r="E216" s="4">
        <v>1.8</v>
      </c>
      <c r="F216" s="7">
        <v>31.827000000000002</v>
      </c>
      <c r="G216" s="15">
        <f t="shared" ref="G216" si="596">F216*86400</f>
        <v>2749852.8000000003</v>
      </c>
      <c r="H216" s="21">
        <f t="shared" ref="H216" si="597">G216/1000000</f>
        <v>2.7498528000000002</v>
      </c>
      <c r="I216" s="17">
        <v>82828.544444443905</v>
      </c>
      <c r="J216" s="31">
        <v>8.2828544444444402E-2</v>
      </c>
      <c r="K216" s="17">
        <v>71632.266666661395</v>
      </c>
      <c r="L216" s="17">
        <v>7.1632266666661296E-2</v>
      </c>
      <c r="M216" s="17">
        <f t="shared" ref="M216" si="598">J216+L216</f>
        <v>0.15446081111110571</v>
      </c>
      <c r="N216" s="26">
        <v>-0.61015680000000005</v>
      </c>
      <c r="O216" s="7">
        <f t="shared" ref="O216" si="599">H216-M216-N216</f>
        <v>3.2055487888888945</v>
      </c>
    </row>
    <row r="217" spans="1:15" x14ac:dyDescent="0.7">
      <c r="A217" s="6"/>
      <c r="B217" s="6"/>
      <c r="C217" s="6">
        <v>3</v>
      </c>
      <c r="D217" s="7">
        <v>22.207999999999998</v>
      </c>
      <c r="E217" s="4">
        <v>0</v>
      </c>
      <c r="F217" s="7">
        <v>22.207999999999998</v>
      </c>
      <c r="G217" s="15">
        <f t="shared" ref="G217" si="600">F217*86400</f>
        <v>1918771.2</v>
      </c>
      <c r="H217" s="21">
        <f t="shared" ref="H217" si="601">G217/1000000</f>
        <v>1.9187711999999999</v>
      </c>
      <c r="I217" s="17">
        <v>83207.994444443902</v>
      </c>
      <c r="J217" s="31">
        <v>8.3207994444444405E-2</v>
      </c>
      <c r="K217" s="17">
        <v>72002.799999994706</v>
      </c>
      <c r="L217" s="17">
        <v>7.2002799999994593E-2</v>
      </c>
      <c r="M217" s="17">
        <f t="shared" ref="M217" si="602">J217+L217</f>
        <v>0.155210794444439</v>
      </c>
      <c r="N217" s="26">
        <v>-0.61388640000000005</v>
      </c>
      <c r="O217" s="7">
        <f t="shared" ref="O217" si="603">H217-M217-N217</f>
        <v>2.3774468055555609</v>
      </c>
    </row>
    <row r="218" spans="1:15" x14ac:dyDescent="0.7">
      <c r="A218" s="6"/>
      <c r="B218" s="6"/>
      <c r="C218" s="3">
        <v>4</v>
      </c>
      <c r="D218" s="7">
        <v>17.006</v>
      </c>
      <c r="E218" s="4">
        <v>0</v>
      </c>
      <c r="F218" s="7">
        <v>17.006</v>
      </c>
      <c r="G218" s="15">
        <f t="shared" ref="G218" si="604">F218*86400</f>
        <v>1469318.4</v>
      </c>
      <c r="H218" s="21">
        <f t="shared" ref="H218" si="605">G218/1000000</f>
        <v>1.4693183999999999</v>
      </c>
      <c r="I218" s="17">
        <v>83587.4444444439</v>
      </c>
      <c r="J218" s="31">
        <v>8.3587444444444395E-2</v>
      </c>
      <c r="K218" s="17">
        <v>72373.333333328002</v>
      </c>
      <c r="L218" s="17">
        <v>7.2373333333327905E-2</v>
      </c>
      <c r="M218" s="17">
        <f t="shared" ref="M218" si="606">J218+L218</f>
        <v>0.15596077777777229</v>
      </c>
      <c r="N218" s="26">
        <v>-0.61761600000000005</v>
      </c>
      <c r="O218" s="7">
        <f t="shared" ref="O218" si="607">H218-M218-N218</f>
        <v>1.9309736222222278</v>
      </c>
    </row>
    <row r="219" spans="1:15" x14ac:dyDescent="0.7">
      <c r="A219" s="6"/>
      <c r="B219" s="6"/>
      <c r="C219" s="6">
        <v>5</v>
      </c>
      <c r="D219" s="7">
        <v>12.181000000000001</v>
      </c>
      <c r="E219" s="4">
        <v>7.1</v>
      </c>
      <c r="F219" s="7">
        <v>12.181000000000001</v>
      </c>
      <c r="G219" s="15">
        <f t="shared" ref="G219" si="608">F219*86400</f>
        <v>1052438.4000000001</v>
      </c>
      <c r="H219" s="21">
        <f t="shared" ref="H219" si="609">G219/1000000</f>
        <v>1.0524384000000002</v>
      </c>
      <c r="I219" s="17">
        <v>83966.894444443897</v>
      </c>
      <c r="J219" s="31">
        <v>8.3966894444444398E-2</v>
      </c>
      <c r="K219" s="17">
        <v>72743.866666661299</v>
      </c>
      <c r="L219" s="17">
        <v>7.2743866666661203E-2</v>
      </c>
      <c r="M219" s="17">
        <f t="shared" ref="M219" si="610">J219+L219</f>
        <v>0.1567107611111056</v>
      </c>
      <c r="N219" s="26">
        <v>-0.62134560000000005</v>
      </c>
      <c r="O219" s="7">
        <f t="shared" ref="O219" si="611">H219-M219-N219</f>
        <v>1.5170732388888948</v>
      </c>
    </row>
    <row r="220" spans="1:15" x14ac:dyDescent="0.7">
      <c r="A220" s="6"/>
      <c r="B220" s="6"/>
      <c r="C220" s="6">
        <v>6</v>
      </c>
      <c r="D220" s="7">
        <v>15.388000000000002</v>
      </c>
      <c r="E220" s="4">
        <v>7.5</v>
      </c>
      <c r="F220" s="7">
        <v>15.388000000000002</v>
      </c>
      <c r="G220" s="15">
        <f t="shared" ref="G220" si="612">F220*86400</f>
        <v>1329523.2000000002</v>
      </c>
      <c r="H220" s="21">
        <f t="shared" ref="H220" si="613">G220/1000000</f>
        <v>1.3295232000000001</v>
      </c>
      <c r="I220" s="17">
        <v>84346.344444443894</v>
      </c>
      <c r="J220" s="31">
        <v>8.4346344444444402E-2</v>
      </c>
      <c r="K220" s="17">
        <v>73114.399999994595</v>
      </c>
      <c r="L220" s="17">
        <v>7.31143999999945E-2</v>
      </c>
      <c r="M220" s="17">
        <f t="shared" ref="M220" si="614">J220+L220</f>
        <v>0.15746074444443892</v>
      </c>
      <c r="N220" s="26">
        <v>-0.62507520000000005</v>
      </c>
      <c r="O220" s="7">
        <f t="shared" ref="O220" si="615">H220-M220-N220</f>
        <v>1.7971376555555612</v>
      </c>
    </row>
    <row r="221" spans="1:15" x14ac:dyDescent="0.7">
      <c r="A221" s="6"/>
      <c r="B221" s="6"/>
      <c r="C221" s="3">
        <v>7</v>
      </c>
      <c r="D221" s="7">
        <v>25.207000000000001</v>
      </c>
      <c r="E221" s="4">
        <v>0</v>
      </c>
      <c r="F221" s="7">
        <v>25.207000000000001</v>
      </c>
      <c r="G221" s="15">
        <f t="shared" ref="G221" si="616">F221*86400</f>
        <v>2177884.8000000003</v>
      </c>
      <c r="H221" s="21">
        <f t="shared" ref="H221" si="617">G221/1000000</f>
        <v>2.1778848000000002</v>
      </c>
      <c r="I221" s="17">
        <v>84725.794444443905</v>
      </c>
      <c r="J221" s="31">
        <v>8.4725794444444405E-2</v>
      </c>
      <c r="K221" s="17">
        <v>73484.933333327906</v>
      </c>
      <c r="L221" s="17">
        <v>7.3484933333327798E-2</v>
      </c>
      <c r="M221" s="17">
        <f t="shared" ref="M221" si="618">J221+L221</f>
        <v>0.1582107277777722</v>
      </c>
      <c r="N221" s="26">
        <v>-0.62880480000000005</v>
      </c>
      <c r="O221" s="7">
        <f t="shared" ref="O221" si="619">H221-M221-N221</f>
        <v>2.6484788722222281</v>
      </c>
    </row>
    <row r="222" spans="1:15" x14ac:dyDescent="0.7">
      <c r="A222" s="6"/>
      <c r="B222" s="6"/>
      <c r="C222" s="6">
        <v>8</v>
      </c>
      <c r="D222" s="7">
        <v>24.183</v>
      </c>
      <c r="E222" s="4">
        <v>0.2</v>
      </c>
      <c r="F222" s="7">
        <v>24.183</v>
      </c>
      <c r="G222" s="15">
        <f t="shared" ref="G222" si="620">F222*86400</f>
        <v>2089411.2</v>
      </c>
      <c r="H222" s="21">
        <f t="shared" ref="H222" si="621">G222/1000000</f>
        <v>2.0894111999999998</v>
      </c>
      <c r="I222" s="17">
        <v>85105.244444443902</v>
      </c>
      <c r="J222" s="31">
        <v>8.5105244444444395E-2</v>
      </c>
      <c r="K222" s="17">
        <v>73855.466666661203</v>
      </c>
      <c r="L222" s="17">
        <v>7.3855466666661096E-2</v>
      </c>
      <c r="M222" s="17">
        <f t="shared" ref="M222" si="622">J222+L222</f>
        <v>0.15896071111110549</v>
      </c>
      <c r="N222" s="26">
        <v>-0.63253440000000005</v>
      </c>
      <c r="O222" s="7">
        <f t="shared" ref="O222" si="623">H222-M222-N222</f>
        <v>2.5629848888888942</v>
      </c>
    </row>
    <row r="223" spans="1:15" x14ac:dyDescent="0.7">
      <c r="A223" s="6"/>
      <c r="B223" s="6"/>
      <c r="C223" s="6">
        <v>9</v>
      </c>
      <c r="D223" s="7">
        <v>13.895999999999999</v>
      </c>
      <c r="E223" s="4">
        <v>1.1000000000000001</v>
      </c>
      <c r="F223" s="7">
        <v>13.895999999999999</v>
      </c>
      <c r="G223" s="15">
        <f t="shared" ref="G223" si="624">F223*86400</f>
        <v>1200614.3999999999</v>
      </c>
      <c r="H223" s="21">
        <f t="shared" ref="H223" si="625">G223/1000000</f>
        <v>1.2006143999999999</v>
      </c>
      <c r="I223" s="17">
        <v>85484.6944444439</v>
      </c>
      <c r="J223" s="31">
        <v>8.5484694444444398E-2</v>
      </c>
      <c r="K223" s="17">
        <v>74225.999999994499</v>
      </c>
      <c r="L223" s="17">
        <v>7.4225999999994394E-2</v>
      </c>
      <c r="M223" s="17">
        <f t="shared" ref="M223" si="626">J223+L223</f>
        <v>0.15971069444443881</v>
      </c>
      <c r="N223" s="26">
        <v>-0.63626400000000005</v>
      </c>
      <c r="O223" s="7">
        <f t="shared" ref="O223" si="627">H223-M223-N223</f>
        <v>1.6771677055555609</v>
      </c>
    </row>
    <row r="224" spans="1:15" x14ac:dyDescent="0.7">
      <c r="A224" s="6"/>
      <c r="B224" s="6"/>
      <c r="C224" s="3">
        <v>10</v>
      </c>
      <c r="D224" s="7">
        <v>0</v>
      </c>
      <c r="E224" s="4">
        <v>0</v>
      </c>
      <c r="F224" s="7">
        <v>0</v>
      </c>
      <c r="G224" s="15">
        <f t="shared" ref="G224" si="628">F224*86400</f>
        <v>0</v>
      </c>
      <c r="H224" s="21">
        <f t="shared" ref="H224" si="629">G224/1000000</f>
        <v>0</v>
      </c>
      <c r="I224" s="17">
        <v>1864.1444444439001</v>
      </c>
      <c r="J224" s="31">
        <v>8.5864144444444401E-2</v>
      </c>
      <c r="K224" s="17">
        <v>74596.533333327796</v>
      </c>
      <c r="L224" s="17">
        <v>7.4596533333327705E-2</v>
      </c>
      <c r="M224" s="17">
        <f t="shared" ref="M224" si="630">J224+L224</f>
        <v>0.16046067777777212</v>
      </c>
      <c r="N224" s="26">
        <v>-0.63999360000000005</v>
      </c>
      <c r="O224" s="7">
        <f t="shared" ref="O224" si="631">H224-M224-N224</f>
        <v>0.47953292222222793</v>
      </c>
    </row>
    <row r="225" spans="1:15" x14ac:dyDescent="0.7">
      <c r="A225" s="6"/>
      <c r="B225" s="6"/>
      <c r="C225" s="6">
        <v>11</v>
      </c>
      <c r="D225" s="7">
        <v>0</v>
      </c>
      <c r="E225" s="4">
        <v>0</v>
      </c>
      <c r="F225" s="7">
        <v>0</v>
      </c>
      <c r="G225" s="15">
        <f t="shared" ref="G225" si="632">F225*86400</f>
        <v>0</v>
      </c>
      <c r="H225" s="21">
        <f t="shared" ref="H225" si="633">G225/1000000</f>
        <v>0</v>
      </c>
      <c r="I225" s="17">
        <v>1043.5944444439001</v>
      </c>
      <c r="J225" s="31">
        <v>8.6243594444444405E-2</v>
      </c>
      <c r="K225" s="17">
        <v>74967.066666661107</v>
      </c>
      <c r="L225" s="17">
        <v>7.4967066666661003E-2</v>
      </c>
      <c r="M225" s="17">
        <f t="shared" ref="M225" si="634">J225+L225</f>
        <v>0.16121066111110541</v>
      </c>
      <c r="N225" s="26">
        <v>-0.64372320000000005</v>
      </c>
      <c r="O225" s="7">
        <f t="shared" ref="O225" si="635">H225-M225-N225</f>
        <v>0.48251253888889467</v>
      </c>
    </row>
    <row r="226" spans="1:15" x14ac:dyDescent="0.7">
      <c r="A226" s="6"/>
      <c r="B226" s="6"/>
      <c r="C226" s="6">
        <v>12</v>
      </c>
      <c r="D226" s="7">
        <v>28.417999999999999</v>
      </c>
      <c r="E226" s="4">
        <v>1.8</v>
      </c>
      <c r="F226" s="7">
        <v>28.417999999999999</v>
      </c>
      <c r="G226" s="15">
        <f t="shared" ref="G226" si="636">F226*86400</f>
        <v>2455315.1999999997</v>
      </c>
      <c r="H226" s="21">
        <f t="shared" ref="H226" si="637">G226/1000000</f>
        <v>2.4553151999999998</v>
      </c>
      <c r="I226" s="17">
        <v>86623.044444443905</v>
      </c>
      <c r="J226" s="31">
        <v>8.6623044444444394E-2</v>
      </c>
      <c r="K226" s="17">
        <v>75337.599999994403</v>
      </c>
      <c r="L226" s="17">
        <v>7.5337599999994301E-2</v>
      </c>
      <c r="M226" s="17">
        <f t="shared" ref="M226" si="638">J226+L226</f>
        <v>0.1619606444444387</v>
      </c>
      <c r="N226" s="26">
        <v>-0.64745280000000005</v>
      </c>
      <c r="O226" s="7">
        <f t="shared" ref="O226" si="639">H226-M226-N226</f>
        <v>2.9408073555555609</v>
      </c>
    </row>
    <row r="227" spans="1:15" x14ac:dyDescent="0.7">
      <c r="A227" s="6"/>
      <c r="B227" s="6"/>
      <c r="C227" s="3">
        <v>13</v>
      </c>
      <c r="D227" s="7">
        <v>16.917000000000002</v>
      </c>
      <c r="E227" s="4">
        <v>0.1</v>
      </c>
      <c r="F227" s="7">
        <v>16.917000000000002</v>
      </c>
      <c r="G227" s="15">
        <f t="shared" ref="G227" si="640">F227*86400</f>
        <v>1461628.8</v>
      </c>
      <c r="H227" s="21">
        <f t="shared" ref="H227" si="641">G227/1000000</f>
        <v>1.4616288</v>
      </c>
      <c r="I227" s="17">
        <v>87002.494444443902</v>
      </c>
      <c r="J227" s="31">
        <v>8.7002494444444398E-2</v>
      </c>
      <c r="K227" s="17">
        <v>75708.1333333277</v>
      </c>
      <c r="L227" s="17">
        <v>7.5708133333327599E-2</v>
      </c>
      <c r="M227" s="17">
        <f t="shared" ref="M227" si="642">J227+L227</f>
        <v>0.16271062777777201</v>
      </c>
      <c r="N227" s="26">
        <v>-0.65118240000000005</v>
      </c>
      <c r="O227" s="7">
        <f t="shared" ref="O227" si="643">H227-M227-N227</f>
        <v>1.9501005722222282</v>
      </c>
    </row>
    <row r="228" spans="1:15" x14ac:dyDescent="0.7">
      <c r="A228" s="6"/>
      <c r="B228" s="6"/>
      <c r="C228" s="6">
        <v>14</v>
      </c>
      <c r="D228" s="7">
        <v>16.945</v>
      </c>
      <c r="E228" s="4">
        <v>0</v>
      </c>
      <c r="F228" s="7">
        <v>16.945</v>
      </c>
      <c r="G228" s="15">
        <f t="shared" ref="G228" si="644">F228*86400</f>
        <v>1464048</v>
      </c>
      <c r="H228" s="21">
        <f t="shared" ref="H228" si="645">G228/1000000</f>
        <v>1.464048</v>
      </c>
      <c r="I228" s="17">
        <v>87381.9444444439</v>
      </c>
      <c r="J228" s="31">
        <v>8.7381944444444401E-2</v>
      </c>
      <c r="K228" s="17">
        <v>76078.666666660996</v>
      </c>
      <c r="L228" s="17">
        <v>7.6078666666660896E-2</v>
      </c>
      <c r="M228" s="17">
        <f t="shared" ref="M228" si="646">J228+L228</f>
        <v>0.1634606111111053</v>
      </c>
      <c r="N228" s="26">
        <v>-0.65491200000000005</v>
      </c>
      <c r="O228" s="7">
        <f t="shared" ref="O228" si="647">H228-M228-N228</f>
        <v>1.955499388888895</v>
      </c>
    </row>
    <row r="229" spans="1:15" x14ac:dyDescent="0.7">
      <c r="A229" s="6"/>
      <c r="B229" s="6"/>
      <c r="C229" s="6">
        <v>15</v>
      </c>
      <c r="D229" s="7">
        <v>14.02</v>
      </c>
      <c r="E229" s="4">
        <v>45.5</v>
      </c>
      <c r="F229" s="7">
        <v>14.02</v>
      </c>
      <c r="G229" s="15">
        <f t="shared" ref="G229" si="648">F229*86400</f>
        <v>1211328</v>
      </c>
      <c r="H229" s="21">
        <f t="shared" ref="H229" si="649">G229/1000000</f>
        <v>1.211328</v>
      </c>
      <c r="I229" s="17">
        <v>87761.394444443897</v>
      </c>
      <c r="J229" s="31">
        <v>8.7761394444444404E-2</v>
      </c>
      <c r="K229" s="17">
        <v>76449.199999994293</v>
      </c>
      <c r="L229" s="17">
        <v>7.6449199999994194E-2</v>
      </c>
      <c r="M229" s="17">
        <f t="shared" ref="M229" si="650">J229+L229</f>
        <v>0.16421059444443858</v>
      </c>
      <c r="N229" s="26">
        <v>-0.65864160000000005</v>
      </c>
      <c r="O229" s="7">
        <f t="shared" ref="O229" si="651">H229-M229-N229</f>
        <v>1.7057590055555614</v>
      </c>
    </row>
    <row r="230" spans="1:15" x14ac:dyDescent="0.7">
      <c r="A230" s="6"/>
      <c r="B230" s="6"/>
      <c r="C230" s="3">
        <v>16</v>
      </c>
      <c r="D230" s="7">
        <v>15.135</v>
      </c>
      <c r="E230" s="4">
        <v>4.5</v>
      </c>
      <c r="F230" s="7">
        <v>15.135</v>
      </c>
      <c r="G230" s="15">
        <f t="shared" ref="G230" si="652">F230*86400</f>
        <v>1307664</v>
      </c>
      <c r="H230" s="21">
        <f t="shared" ref="H230" si="653">G230/1000000</f>
        <v>1.3076639999999999</v>
      </c>
      <c r="I230" s="17">
        <v>88140.844444443894</v>
      </c>
      <c r="J230" s="31">
        <v>8.8140844444444394E-2</v>
      </c>
      <c r="K230" s="17">
        <v>76819.733333327604</v>
      </c>
      <c r="L230" s="17">
        <v>7.6819733333327506E-2</v>
      </c>
      <c r="M230" s="17">
        <f t="shared" ref="M230" si="654">J230+L230</f>
        <v>0.1649605777777719</v>
      </c>
      <c r="N230" s="26">
        <v>-0.66237120000000005</v>
      </c>
      <c r="O230" s="7">
        <f t="shared" ref="O230" si="655">H230-M230-N230</f>
        <v>1.8050746222222283</v>
      </c>
    </row>
    <row r="231" spans="1:15" x14ac:dyDescent="0.7">
      <c r="A231" s="6"/>
      <c r="B231" s="6"/>
      <c r="C231" s="6">
        <v>17</v>
      </c>
      <c r="D231" s="7">
        <v>12.347</v>
      </c>
      <c r="E231" s="4">
        <v>93.7</v>
      </c>
      <c r="F231" s="7">
        <v>12.347</v>
      </c>
      <c r="G231" s="15">
        <f t="shared" ref="G231" si="656">F231*86400</f>
        <v>1066780.8</v>
      </c>
      <c r="H231" s="21">
        <f t="shared" ref="H231" si="657">G231/1000000</f>
        <v>1.0667808000000001</v>
      </c>
      <c r="I231" s="17">
        <v>88520.294444443905</v>
      </c>
      <c r="J231" s="31">
        <v>8.8520294444444397E-2</v>
      </c>
      <c r="K231" s="17">
        <v>77190.2666666609</v>
      </c>
      <c r="L231" s="17">
        <v>7.7190266666660803E-2</v>
      </c>
      <c r="M231" s="17">
        <f t="shared" ref="M231" si="658">J231+L231</f>
        <v>0.16571056111110521</v>
      </c>
      <c r="N231" s="26">
        <v>-0.66610080000000005</v>
      </c>
      <c r="O231" s="7">
        <f t="shared" ref="O231" si="659">H231-M231-N231</f>
        <v>1.5671710388888949</v>
      </c>
    </row>
    <row r="232" spans="1:15" x14ac:dyDescent="0.7">
      <c r="A232" s="6"/>
      <c r="B232" s="6"/>
      <c r="C232" s="6">
        <v>18</v>
      </c>
      <c r="D232" s="7">
        <v>108.52099999999999</v>
      </c>
      <c r="E232" s="4">
        <v>29</v>
      </c>
      <c r="F232" s="7">
        <v>108.52099999999999</v>
      </c>
      <c r="G232" s="15">
        <f t="shared" ref="G232" si="660">F232*86400</f>
        <v>9376214.3999999985</v>
      </c>
      <c r="H232" s="21">
        <f t="shared" ref="H232" si="661">G232/1000000</f>
        <v>9.3762143999999985</v>
      </c>
      <c r="I232" s="17">
        <v>88899.744444443902</v>
      </c>
      <c r="J232" s="31">
        <v>8.8899744444444401E-2</v>
      </c>
      <c r="K232" s="17">
        <v>77560.799999994197</v>
      </c>
      <c r="L232" s="17">
        <v>7.7560799999994101E-2</v>
      </c>
      <c r="M232" s="17">
        <f t="shared" ref="M232" si="662">J232+L232</f>
        <v>0.1664605444444385</v>
      </c>
      <c r="N232" s="26">
        <v>-0.66983040000000005</v>
      </c>
      <c r="O232" s="7">
        <f t="shared" ref="O232" si="663">H232-M232-N232</f>
        <v>9.8795842555555602</v>
      </c>
    </row>
    <row r="233" spans="1:15" x14ac:dyDescent="0.7">
      <c r="A233" s="6"/>
      <c r="B233" s="6"/>
      <c r="C233" s="3">
        <v>19</v>
      </c>
      <c r="D233" s="7">
        <v>228.33</v>
      </c>
      <c r="E233" s="4">
        <v>0</v>
      </c>
      <c r="F233" s="7">
        <v>228.33</v>
      </c>
      <c r="G233" s="15">
        <f t="shared" ref="G233" si="664">F233*86400</f>
        <v>19727712</v>
      </c>
      <c r="H233" s="21">
        <f t="shared" ref="H233" si="665">G233/1000000</f>
        <v>19.727712</v>
      </c>
      <c r="I233" s="17">
        <v>89279.1944444439</v>
      </c>
      <c r="J233" s="31">
        <v>8.9279194444444404E-2</v>
      </c>
      <c r="K233" s="17">
        <v>77931.333333327493</v>
      </c>
      <c r="L233" s="17">
        <v>7.7931333333327399E-2</v>
      </c>
      <c r="M233" s="17">
        <f t="shared" ref="M233" si="666">J233+L233</f>
        <v>0.16721052777777179</v>
      </c>
      <c r="N233" s="26">
        <v>-0.67356000000000005</v>
      </c>
      <c r="O233" s="7">
        <f t="shared" ref="O233" si="667">H233-M233-N233</f>
        <v>20.234061472222226</v>
      </c>
    </row>
    <row r="234" spans="1:15" x14ac:dyDescent="0.7">
      <c r="A234" s="6"/>
      <c r="B234" s="6"/>
      <c r="C234" s="6">
        <v>20</v>
      </c>
      <c r="D234" s="7">
        <v>147.83800000000002</v>
      </c>
      <c r="E234" s="4">
        <v>0</v>
      </c>
      <c r="F234" s="7">
        <v>147.83800000000002</v>
      </c>
      <c r="G234" s="15">
        <f t="shared" ref="G234" si="668">F234*86400</f>
        <v>12773203.200000001</v>
      </c>
      <c r="H234" s="21">
        <f t="shared" ref="H234" si="669">G234/1000000</f>
        <v>12.773203200000001</v>
      </c>
      <c r="I234" s="17">
        <v>89658.644444443897</v>
      </c>
      <c r="J234" s="31">
        <v>8.9658644444444394E-2</v>
      </c>
      <c r="K234" s="17">
        <v>78301.866666660804</v>
      </c>
      <c r="L234" s="17">
        <v>7.8301866666660697E-2</v>
      </c>
      <c r="M234" s="17">
        <f t="shared" ref="M234" si="670">J234+L234</f>
        <v>0.1679605111111051</v>
      </c>
      <c r="N234" s="26">
        <v>-0.67728960000000005</v>
      </c>
      <c r="O234" s="7">
        <f t="shared" ref="O234" si="671">H234-M234-N234</f>
        <v>13.282532288888897</v>
      </c>
    </row>
    <row r="235" spans="1:15" x14ac:dyDescent="0.7">
      <c r="A235" s="6"/>
      <c r="B235" s="6"/>
      <c r="C235" s="6">
        <v>21</v>
      </c>
      <c r="D235" s="7">
        <v>94.968000000000004</v>
      </c>
      <c r="E235" s="4">
        <v>7.4</v>
      </c>
      <c r="F235" s="7">
        <v>94.968000000000004</v>
      </c>
      <c r="G235" s="15">
        <f t="shared" ref="G235" si="672">F235*86400</f>
        <v>8205235.2000000002</v>
      </c>
      <c r="H235" s="21">
        <f t="shared" ref="H235" si="673">G235/1000000</f>
        <v>8.2052352000000006</v>
      </c>
      <c r="I235" s="17">
        <v>90038.094444443894</v>
      </c>
      <c r="J235" s="31">
        <v>9.0038094444444397E-2</v>
      </c>
      <c r="K235" s="17">
        <v>78672.399999994101</v>
      </c>
      <c r="L235" s="17">
        <v>7.8672399999993994E-2</v>
      </c>
      <c r="M235" s="17">
        <f t="shared" ref="M235" si="674">J235+L235</f>
        <v>0.16871049444443839</v>
      </c>
      <c r="N235" s="26">
        <v>-0.68101920000000005</v>
      </c>
      <c r="O235" s="7">
        <f t="shared" ref="O235" si="675">H235-M235-N235</f>
        <v>8.7175439055555621</v>
      </c>
    </row>
    <row r="236" spans="1:15" x14ac:dyDescent="0.7">
      <c r="A236" s="6"/>
      <c r="B236" s="6"/>
      <c r="C236" s="3">
        <v>22</v>
      </c>
      <c r="D236" s="7">
        <v>66.733000000000004</v>
      </c>
      <c r="E236" s="4">
        <v>0.2</v>
      </c>
      <c r="F236" s="7">
        <v>66.733000000000004</v>
      </c>
      <c r="G236" s="15">
        <f t="shared" ref="G236" si="676">F236*86400</f>
        <v>5765731.2000000002</v>
      </c>
      <c r="H236" s="21">
        <f t="shared" ref="H236" si="677">G236/1000000</f>
        <v>5.7657312000000003</v>
      </c>
      <c r="I236" s="17">
        <v>90417.544444443905</v>
      </c>
      <c r="J236" s="31">
        <v>9.04175444444444E-2</v>
      </c>
      <c r="K236" s="17">
        <v>79042.933333327397</v>
      </c>
      <c r="L236" s="17">
        <v>7.9042933333327306E-2</v>
      </c>
      <c r="M236" s="17">
        <f t="shared" ref="M236" si="678">J236+L236</f>
        <v>0.16946047777777171</v>
      </c>
      <c r="N236" s="26">
        <v>-0.68474880000000005</v>
      </c>
      <c r="O236" s="7">
        <f t="shared" ref="O236" si="679">H236-M236-N236</f>
        <v>6.2810195222222287</v>
      </c>
    </row>
    <row r="237" spans="1:15" x14ac:dyDescent="0.7">
      <c r="A237" s="6"/>
      <c r="B237" s="6"/>
      <c r="C237" s="6">
        <v>23</v>
      </c>
      <c r="D237" s="7">
        <v>52.478999999999999</v>
      </c>
      <c r="E237" s="4">
        <v>3</v>
      </c>
      <c r="F237" s="7">
        <v>52.478999999999999</v>
      </c>
      <c r="G237" s="15">
        <f t="shared" ref="G237" si="680">F237*86400</f>
        <v>4534185.5999999996</v>
      </c>
      <c r="H237" s="21">
        <f t="shared" ref="H237" si="681">G237/1000000</f>
        <v>4.5341855999999998</v>
      </c>
      <c r="I237" s="17">
        <v>90796.994444443902</v>
      </c>
      <c r="J237" s="31">
        <v>9.0796994444444404E-2</v>
      </c>
      <c r="K237" s="17">
        <v>79413.466666660694</v>
      </c>
      <c r="L237" s="17">
        <v>7.9413466666660604E-2</v>
      </c>
      <c r="M237" s="17">
        <f t="shared" ref="M237" si="682">J237+L237</f>
        <v>0.17021046111110499</v>
      </c>
      <c r="N237" s="26">
        <v>-0.68847840000000005</v>
      </c>
      <c r="O237" s="7">
        <f t="shared" ref="O237" si="683">H237-M237-N237</f>
        <v>5.0524535388888951</v>
      </c>
    </row>
    <row r="238" spans="1:15" x14ac:dyDescent="0.7">
      <c r="A238" s="6"/>
      <c r="B238" s="6"/>
      <c r="C238" s="6">
        <v>24</v>
      </c>
      <c r="D238" s="7">
        <v>58.715000000000003</v>
      </c>
      <c r="E238" s="4">
        <v>0</v>
      </c>
      <c r="F238" s="7">
        <v>58.715000000000003</v>
      </c>
      <c r="G238" s="15">
        <f t="shared" ref="G238" si="684">F238*86400</f>
        <v>5072976</v>
      </c>
      <c r="H238" s="21">
        <f t="shared" ref="H238" si="685">G238/1000000</f>
        <v>5.0729759999999997</v>
      </c>
      <c r="I238" s="17">
        <v>91176.4444444439</v>
      </c>
      <c r="J238" s="31">
        <v>9.1176444444444393E-2</v>
      </c>
      <c r="K238" s="17">
        <v>79783.999999994005</v>
      </c>
      <c r="L238" s="17">
        <v>7.9783999999993901E-2</v>
      </c>
      <c r="M238" s="17">
        <f t="shared" ref="M238" si="686">J238+L238</f>
        <v>0.17096044444443831</v>
      </c>
      <c r="N238" s="26">
        <v>-0.69220800000000005</v>
      </c>
      <c r="O238" s="7">
        <f t="shared" ref="O238" si="687">H238-M238-N238</f>
        <v>5.5942235555555611</v>
      </c>
    </row>
    <row r="239" spans="1:15" x14ac:dyDescent="0.7">
      <c r="A239" s="6"/>
      <c r="B239" s="6"/>
      <c r="C239" s="3">
        <v>25</v>
      </c>
      <c r="D239" s="7">
        <v>62.043999999999997</v>
      </c>
      <c r="E239" s="4">
        <v>6.1</v>
      </c>
      <c r="F239" s="7">
        <v>62.043999999999997</v>
      </c>
      <c r="G239" s="15">
        <f t="shared" ref="G239" si="688">F239*86400</f>
        <v>5360601.5999999996</v>
      </c>
      <c r="H239" s="21">
        <f t="shared" ref="H239" si="689">G239/1000000</f>
        <v>5.3606015999999999</v>
      </c>
      <c r="I239" s="17">
        <v>91555.894444443897</v>
      </c>
      <c r="J239" s="31">
        <v>9.1555894444444397E-2</v>
      </c>
      <c r="K239" s="17">
        <v>80154.533333327301</v>
      </c>
      <c r="L239" s="17">
        <v>8.0154533333327199E-2</v>
      </c>
      <c r="M239" s="17">
        <f t="shared" ref="M239" si="690">J239+L239</f>
        <v>0.1717104277777716</v>
      </c>
      <c r="N239" s="26">
        <v>-0.69593760000000005</v>
      </c>
      <c r="O239" s="7">
        <f t="shared" ref="O239" si="691">H239-M239-N239</f>
        <v>5.8848287722222281</v>
      </c>
    </row>
    <row r="240" spans="1:15" x14ac:dyDescent="0.7">
      <c r="A240" s="6"/>
      <c r="B240" s="6"/>
      <c r="C240" s="6">
        <v>26</v>
      </c>
      <c r="D240" s="7">
        <v>46.052</v>
      </c>
      <c r="E240" s="4">
        <v>19.600000000000001</v>
      </c>
      <c r="F240" s="7">
        <v>46.052</v>
      </c>
      <c r="G240" s="15">
        <f t="shared" ref="G240" si="692">F240*86400</f>
        <v>3978892.8</v>
      </c>
      <c r="H240" s="21">
        <f t="shared" ref="H240" si="693">G240/1000000</f>
        <v>3.9788927999999997</v>
      </c>
      <c r="I240" s="17">
        <v>91935.344444443894</v>
      </c>
      <c r="J240" s="31">
        <v>9.19353444444444E-2</v>
      </c>
      <c r="K240" s="17">
        <v>80525.066666660598</v>
      </c>
      <c r="L240" s="17">
        <v>8.0525066666660497E-2</v>
      </c>
      <c r="M240" s="17">
        <f t="shared" ref="M240" si="694">J240+L240</f>
        <v>0.17246041111110488</v>
      </c>
      <c r="N240" s="26">
        <v>-0.69966720000000004</v>
      </c>
      <c r="O240" s="7">
        <f t="shared" ref="O240" si="695">H240-M240-N240</f>
        <v>4.5060995888888948</v>
      </c>
    </row>
    <row r="241" spans="1:15" x14ac:dyDescent="0.7">
      <c r="A241" s="6"/>
      <c r="B241" s="6"/>
      <c r="C241" s="6">
        <v>27</v>
      </c>
      <c r="D241" s="7">
        <v>40.519999999999996</v>
      </c>
      <c r="E241" s="4">
        <v>14.1</v>
      </c>
      <c r="F241" s="7">
        <v>40.519999999999996</v>
      </c>
      <c r="G241" s="15">
        <f t="shared" ref="G241" si="696">F241*86400</f>
        <v>3500927.9999999995</v>
      </c>
      <c r="H241" s="21">
        <f t="shared" ref="H241" si="697">G241/1000000</f>
        <v>3.5009279999999996</v>
      </c>
      <c r="I241" s="17">
        <v>92314.794444443905</v>
      </c>
      <c r="J241" s="31">
        <v>9.2314794444444404E-2</v>
      </c>
      <c r="K241" s="17">
        <v>80895.599999993894</v>
      </c>
      <c r="L241" s="17">
        <v>8.0895599999993795E-2</v>
      </c>
      <c r="M241" s="17">
        <f t="shared" ref="M241" si="698">J241+L241</f>
        <v>0.1732103944444382</v>
      </c>
      <c r="N241" s="26">
        <v>-0.70339680000000004</v>
      </c>
      <c r="O241" s="7">
        <f t="shared" ref="O241" si="699">H241-M241-N241</f>
        <v>4.0311144055555612</v>
      </c>
    </row>
    <row r="242" spans="1:15" x14ac:dyDescent="0.7">
      <c r="A242" s="6"/>
      <c r="B242" s="6"/>
      <c r="C242" s="3">
        <v>28</v>
      </c>
      <c r="D242" s="7">
        <v>68.403000000000006</v>
      </c>
      <c r="E242" s="4">
        <v>37.200000000000003</v>
      </c>
      <c r="F242" s="7">
        <v>68.403000000000006</v>
      </c>
      <c r="G242" s="15">
        <f t="shared" ref="G242" si="700">F242*86400</f>
        <v>5910019.2000000002</v>
      </c>
      <c r="H242" s="21">
        <f t="shared" ref="H242" si="701">G242/1000000</f>
        <v>5.9100191999999998</v>
      </c>
      <c r="I242" s="17">
        <v>92694.244444443902</v>
      </c>
      <c r="J242" s="31">
        <v>9.2694244444444407E-2</v>
      </c>
      <c r="K242" s="17">
        <v>81266.133333327205</v>
      </c>
      <c r="L242" s="17">
        <v>8.1266133333327106E-2</v>
      </c>
      <c r="M242" s="17">
        <f t="shared" ref="M242" si="702">J242+L242</f>
        <v>0.17396037777777151</v>
      </c>
      <c r="N242" s="26">
        <v>-0.70712640000000004</v>
      </c>
      <c r="O242" s="7">
        <f t="shared" ref="O242" si="703">H242-M242-N242</f>
        <v>6.4431852222222279</v>
      </c>
    </row>
    <row r="243" spans="1:15" x14ac:dyDescent="0.7">
      <c r="A243" s="12"/>
      <c r="B243" s="12"/>
      <c r="C243" s="12">
        <v>29</v>
      </c>
      <c r="D243" s="33">
        <v>44.107999999999997</v>
      </c>
      <c r="E243" s="4">
        <v>0.1</v>
      </c>
      <c r="F243" s="33">
        <v>44.107999999999997</v>
      </c>
      <c r="G243" s="35">
        <f t="shared" ref="G243" si="704">F243*86400</f>
        <v>3810931.1999999997</v>
      </c>
      <c r="H243" s="36">
        <f t="shared" ref="H243" si="705">G243/1000000</f>
        <v>3.8109311999999997</v>
      </c>
      <c r="I243" s="37">
        <v>93073.6944444439</v>
      </c>
      <c r="J243" s="38">
        <v>9.3073694444444396E-2</v>
      </c>
      <c r="K243" s="37">
        <v>81636.666666660502</v>
      </c>
      <c r="L243" s="37">
        <v>8.1636666666660404E-2</v>
      </c>
      <c r="M243" s="37">
        <f t="shared" ref="M243" si="706">J243+L243</f>
        <v>0.1747103611111048</v>
      </c>
      <c r="N243" s="39">
        <v>-0.71085600000000004</v>
      </c>
      <c r="O243" s="33">
        <f t="shared" ref="O243" si="707">H243-M243-N243</f>
        <v>4.3470768388888947</v>
      </c>
    </row>
    <row r="244" spans="1:15" s="42" customFormat="1" x14ac:dyDescent="0.7">
      <c r="A244" s="6"/>
      <c r="B244" s="6"/>
      <c r="C244" s="6">
        <v>30</v>
      </c>
      <c r="D244" s="7">
        <v>37.491999999999997</v>
      </c>
      <c r="E244" s="4">
        <v>7.4</v>
      </c>
      <c r="F244" s="7">
        <v>37.491999999999997</v>
      </c>
      <c r="G244" s="40">
        <f t="shared" ref="G244" si="708">F244*86400</f>
        <v>3239308.8</v>
      </c>
      <c r="H244" s="20">
        <f t="shared" ref="H244" si="709">G244/1000000</f>
        <v>3.2393087999999999</v>
      </c>
      <c r="I244" s="17">
        <v>93453.144444443897</v>
      </c>
      <c r="J244" s="31">
        <v>9.34531444444444E-2</v>
      </c>
      <c r="K244" s="17">
        <v>82007.199999993798</v>
      </c>
      <c r="L244" s="17">
        <v>8.2007199999993702E-2</v>
      </c>
      <c r="M244" s="17">
        <f t="shared" ref="M244" si="710">J244+L244</f>
        <v>0.17546034444443809</v>
      </c>
      <c r="N244" s="26">
        <v>-0.71458560000000004</v>
      </c>
      <c r="O244" s="7">
        <f t="shared" ref="O244" si="711">H244-M244-N244</f>
        <v>3.7784340555555618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34.792999999999999</v>
      </c>
      <c r="E245" s="19">
        <v>9.4</v>
      </c>
      <c r="F245" s="19">
        <v>34.792999999999999</v>
      </c>
      <c r="G245" s="28">
        <f t="shared" ref="G245" si="712">F245*86400</f>
        <v>3006115.1999999997</v>
      </c>
      <c r="H245" s="29">
        <f t="shared" ref="H245" si="713">G245/1000000</f>
        <v>3.0061151999999995</v>
      </c>
      <c r="I245" s="43">
        <v>93832.594444443894</v>
      </c>
      <c r="J245" s="44">
        <v>9.3832594444444403E-2</v>
      </c>
      <c r="K245" s="43">
        <v>82377.733333327094</v>
      </c>
      <c r="L245" s="43">
        <v>8.2377733333327E-2</v>
      </c>
      <c r="M245" s="43">
        <f t="shared" ref="M245" si="714">J245+L245</f>
        <v>0.1762103277777714</v>
      </c>
      <c r="N245" s="45">
        <v>-0.71831520000000004</v>
      </c>
      <c r="O245" s="19">
        <f t="shared" ref="O245" si="715">H245-M245-N245</f>
        <v>3.5482200722222283</v>
      </c>
    </row>
    <row r="246" spans="1:15" x14ac:dyDescent="0.7">
      <c r="A246" s="3"/>
      <c r="B246" s="3" t="s">
        <v>23</v>
      </c>
      <c r="C246" s="3">
        <v>1</v>
      </c>
      <c r="D246" s="4">
        <v>41.293999999999997</v>
      </c>
      <c r="E246" s="4">
        <v>0</v>
      </c>
      <c r="F246" s="4">
        <v>41.293999999999997</v>
      </c>
      <c r="G246" s="15">
        <f t="shared" ref="G246" si="716">F246*86400</f>
        <v>3567801.5999999996</v>
      </c>
      <c r="H246" s="21">
        <f t="shared" ref="H246" si="717">G246/1000000</f>
        <v>3.5678015999999997</v>
      </c>
      <c r="I246" s="16">
        <v>94212.044444443905</v>
      </c>
      <c r="J246" s="25">
        <v>9.4212044444444407E-2</v>
      </c>
      <c r="K246" s="16">
        <v>82748.266666660405</v>
      </c>
      <c r="L246" s="16">
        <v>8.2748266666660297E-2</v>
      </c>
      <c r="M246" s="16">
        <f t="shared" ref="M246" si="718">J246+L246</f>
        <v>0.17696031111110472</v>
      </c>
      <c r="N246" s="27">
        <v>-0.72204480000000004</v>
      </c>
      <c r="O246" s="4">
        <f t="shared" ref="O246" si="719">H246-M246-N246</f>
        <v>4.112886088888895</v>
      </c>
    </row>
    <row r="247" spans="1:15" x14ac:dyDescent="0.7">
      <c r="A247" s="6"/>
      <c r="B247" s="6"/>
      <c r="C247" s="6">
        <v>2</v>
      </c>
      <c r="D247" s="7">
        <v>35.981999999999999</v>
      </c>
      <c r="E247" s="4">
        <v>1.8</v>
      </c>
      <c r="F247" s="7">
        <v>35.981999999999999</v>
      </c>
      <c r="G247" s="15">
        <f t="shared" ref="G247" si="720">F247*86400</f>
        <v>3108844.8</v>
      </c>
      <c r="H247" s="21">
        <f t="shared" ref="H247" si="721">G247/1000000</f>
        <v>3.1088448</v>
      </c>
      <c r="I247" s="17">
        <v>94591.494444443801</v>
      </c>
      <c r="J247" s="31">
        <v>9.4591494444444396E-2</v>
      </c>
      <c r="K247" s="17">
        <v>83118.799999993702</v>
      </c>
      <c r="L247" s="17">
        <v>8.3118799999993595E-2</v>
      </c>
      <c r="M247" s="17">
        <f t="shared" ref="M247" si="722">J247+L247</f>
        <v>0.17771029444443798</v>
      </c>
      <c r="N247" s="26">
        <v>-0.72577440000000004</v>
      </c>
      <c r="O247" s="7">
        <f t="shared" ref="O247" si="723">H247-M247-N247</f>
        <v>3.6569089055555621</v>
      </c>
    </row>
    <row r="248" spans="1:15" x14ac:dyDescent="0.7">
      <c r="A248" s="6"/>
      <c r="B248" s="6"/>
      <c r="C248" s="6">
        <v>3</v>
      </c>
      <c r="D248" s="7">
        <v>29.887</v>
      </c>
      <c r="E248" s="4">
        <v>7.8</v>
      </c>
      <c r="F248" s="7">
        <v>29.887</v>
      </c>
      <c r="G248" s="15">
        <f t="shared" ref="G248" si="724">F248*86400</f>
        <v>2582236.7999999998</v>
      </c>
      <c r="H248" s="21">
        <f t="shared" ref="H248" si="725">G248/1000000</f>
        <v>2.5822368</v>
      </c>
      <c r="I248" s="17">
        <v>94970.944444443798</v>
      </c>
      <c r="J248" s="31">
        <v>9.49709444444444E-2</v>
      </c>
      <c r="K248" s="17">
        <v>83489.333333326998</v>
      </c>
      <c r="L248" s="17">
        <v>8.3489333333326907E-2</v>
      </c>
      <c r="M248" s="17">
        <f t="shared" ref="M248" si="726">J248+L248</f>
        <v>0.17846027777777129</v>
      </c>
      <c r="N248" s="26">
        <v>-0.72950400000000004</v>
      </c>
      <c r="O248" s="7">
        <f t="shared" ref="O248" si="727">H248-M248-N248</f>
        <v>3.1332805222222286</v>
      </c>
    </row>
    <row r="249" spans="1:15" x14ac:dyDescent="0.7">
      <c r="A249" s="6"/>
      <c r="B249" s="6"/>
      <c r="C249" s="3">
        <v>4</v>
      </c>
      <c r="D249" s="7">
        <v>42.573</v>
      </c>
      <c r="E249" s="4">
        <v>4.4000000000000004</v>
      </c>
      <c r="F249" s="7">
        <v>42.573</v>
      </c>
      <c r="G249" s="15">
        <f t="shared" ref="G249" si="728">F249*86400</f>
        <v>3678307.2</v>
      </c>
      <c r="H249" s="21">
        <f t="shared" ref="H249" si="729">G249/1000000</f>
        <v>3.6783072000000003</v>
      </c>
      <c r="I249" s="17">
        <v>95350.394444443795</v>
      </c>
      <c r="J249" s="31">
        <v>9.5350394444444403E-2</v>
      </c>
      <c r="K249" s="17">
        <v>83859.866666660295</v>
      </c>
      <c r="L249" s="17">
        <v>8.3859866666660204E-2</v>
      </c>
      <c r="M249" s="17">
        <f t="shared" ref="M249" si="730">J249+L249</f>
        <v>0.17921026111110461</v>
      </c>
      <c r="N249" s="26">
        <v>-0.73323360000000004</v>
      </c>
      <c r="O249" s="7">
        <f t="shared" ref="O249" si="731">H249-M249-N249</f>
        <v>4.2323305388888954</v>
      </c>
    </row>
    <row r="250" spans="1:15" x14ac:dyDescent="0.7">
      <c r="A250" s="6"/>
      <c r="B250" s="6"/>
      <c r="C250" s="6">
        <v>5</v>
      </c>
      <c r="D250" s="7">
        <v>71.531999999999996</v>
      </c>
      <c r="E250" s="4">
        <v>0</v>
      </c>
      <c r="F250" s="7">
        <v>71.531999999999996</v>
      </c>
      <c r="G250" s="15">
        <f t="shared" ref="G250" si="732">F250*86400</f>
        <v>6180364.7999999998</v>
      </c>
      <c r="H250" s="21">
        <f t="shared" ref="H250" si="733">G250/1000000</f>
        <v>6.1803647999999995</v>
      </c>
      <c r="I250" s="17">
        <v>95729.844444443806</v>
      </c>
      <c r="J250" s="31">
        <v>9.5729844444444406E-2</v>
      </c>
      <c r="K250" s="17">
        <v>84230.399999993606</v>
      </c>
      <c r="L250" s="17">
        <v>8.4230399999993502E-2</v>
      </c>
      <c r="M250" s="17">
        <f t="shared" ref="M250" si="734">J250+L250</f>
        <v>0.17996024444443792</v>
      </c>
      <c r="N250" s="26">
        <v>-0.73696320000000004</v>
      </c>
      <c r="O250" s="7">
        <f t="shared" ref="O250" si="735">H250-M250-N250</f>
        <v>6.737367755555562</v>
      </c>
    </row>
    <row r="251" spans="1:15" x14ac:dyDescent="0.7">
      <c r="A251" s="6"/>
      <c r="B251" s="6"/>
      <c r="C251" s="6">
        <v>6</v>
      </c>
      <c r="D251" s="7">
        <v>46.716999999999999</v>
      </c>
      <c r="E251" s="4">
        <v>0</v>
      </c>
      <c r="F251" s="7">
        <v>46.716999999999999</v>
      </c>
      <c r="G251" s="15">
        <f t="shared" ref="G251" si="736">F251*86400</f>
        <v>4036348.8</v>
      </c>
      <c r="H251" s="21">
        <f t="shared" ref="H251" si="737">G251/1000000</f>
        <v>4.0363487999999998</v>
      </c>
      <c r="I251" s="17">
        <v>96109.294444443804</v>
      </c>
      <c r="J251" s="31">
        <v>9.6109294444444396E-2</v>
      </c>
      <c r="K251" s="17">
        <v>84600.933333326902</v>
      </c>
      <c r="L251" s="17">
        <v>8.46009333333268E-2</v>
      </c>
      <c r="M251" s="17">
        <f t="shared" ref="M251" si="738">J251+L251</f>
        <v>0.18071022777777118</v>
      </c>
      <c r="N251" s="26">
        <v>-0.74069280000000004</v>
      </c>
      <c r="O251" s="7">
        <f t="shared" ref="O251" si="739">H251-M251-N251</f>
        <v>4.5963313722222283</v>
      </c>
    </row>
    <row r="252" spans="1:15" x14ac:dyDescent="0.7">
      <c r="A252" s="6"/>
      <c r="B252" s="6"/>
      <c r="C252" s="3">
        <v>7</v>
      </c>
      <c r="D252" s="7">
        <v>32.521000000000001</v>
      </c>
      <c r="E252" s="4">
        <v>0</v>
      </c>
      <c r="F252" s="7">
        <v>32.521000000000001</v>
      </c>
      <c r="G252" s="15">
        <f t="shared" ref="G252" si="740">F252*86400</f>
        <v>2809814.4</v>
      </c>
      <c r="H252" s="21">
        <f t="shared" ref="H252" si="741">G252/1000000</f>
        <v>2.8098144</v>
      </c>
      <c r="I252" s="17">
        <v>96488.744444443801</v>
      </c>
      <c r="J252" s="31">
        <v>9.6488744444444399E-2</v>
      </c>
      <c r="K252" s="17">
        <v>84971.466666660199</v>
      </c>
      <c r="L252" s="17">
        <v>8.4971466666660098E-2</v>
      </c>
      <c r="M252" s="17">
        <f t="shared" ref="M252" si="742">J252+L252</f>
        <v>0.1814602111111045</v>
      </c>
      <c r="N252" s="26">
        <v>-0.74442240000000004</v>
      </c>
      <c r="O252" s="7">
        <f t="shared" ref="O252" si="743">H252-M252-N252</f>
        <v>3.3727765888888954</v>
      </c>
    </row>
    <row r="253" spans="1:15" x14ac:dyDescent="0.7">
      <c r="A253" s="6"/>
      <c r="B253" s="6"/>
      <c r="C253" s="6">
        <v>8</v>
      </c>
      <c r="D253" s="7">
        <v>33.521999999999998</v>
      </c>
      <c r="E253" s="4">
        <v>0</v>
      </c>
      <c r="F253" s="7">
        <v>33.521999999999998</v>
      </c>
      <c r="G253" s="15">
        <f t="shared" ref="G253" si="744">F253*86400</f>
        <v>2896300.8</v>
      </c>
      <c r="H253" s="21">
        <f t="shared" ref="H253" si="745">G253/1000000</f>
        <v>2.8963007999999997</v>
      </c>
      <c r="I253" s="17">
        <v>96868.194444443798</v>
      </c>
      <c r="J253" s="31">
        <v>9.6868194444444403E-2</v>
      </c>
      <c r="K253" s="17">
        <v>85341.999999993495</v>
      </c>
      <c r="L253" s="17">
        <v>8.5341999999993395E-2</v>
      </c>
      <c r="M253" s="17">
        <f t="shared" ref="M253" si="746">J253+L253</f>
        <v>0.18221019444443781</v>
      </c>
      <c r="N253" s="26">
        <v>-0.74815200000000004</v>
      </c>
      <c r="O253" s="7">
        <f t="shared" ref="O253" si="747">H253-M253-N253</f>
        <v>3.462242605555562</v>
      </c>
    </row>
    <row r="254" spans="1:15" x14ac:dyDescent="0.7">
      <c r="A254" s="6"/>
      <c r="B254" s="6"/>
      <c r="C254" s="6">
        <v>9</v>
      </c>
      <c r="D254" s="7">
        <v>27.78</v>
      </c>
      <c r="E254" s="4">
        <v>12.6</v>
      </c>
      <c r="F254" s="7">
        <v>27.78</v>
      </c>
      <c r="G254" s="15">
        <f t="shared" ref="G254" si="748">F254*86400</f>
        <v>2400192</v>
      </c>
      <c r="H254" s="21">
        <f t="shared" ref="H254" si="749">G254/1000000</f>
        <v>2.4001920000000001</v>
      </c>
      <c r="I254" s="17">
        <v>97247.644444443795</v>
      </c>
      <c r="J254" s="31">
        <v>9.7247644444444406E-2</v>
      </c>
      <c r="K254" s="17">
        <v>85712.533333326806</v>
      </c>
      <c r="L254" s="17">
        <v>8.5712533333326693E-2</v>
      </c>
      <c r="M254" s="17">
        <f t="shared" ref="M254" si="750">J254+L254</f>
        <v>0.1829601777777711</v>
      </c>
      <c r="N254" s="26">
        <v>-0.75188160000000004</v>
      </c>
      <c r="O254" s="7">
        <f t="shared" ref="O254" si="751">H254-M254-N254</f>
        <v>2.9691134222222288</v>
      </c>
    </row>
    <row r="255" spans="1:15" x14ac:dyDescent="0.7">
      <c r="A255" s="6"/>
      <c r="B255" s="6"/>
      <c r="C255" s="3">
        <v>10</v>
      </c>
      <c r="D255" s="7">
        <v>38.548999999999999</v>
      </c>
      <c r="E255" s="4">
        <v>0</v>
      </c>
      <c r="F255" s="7">
        <v>38.548999999999999</v>
      </c>
      <c r="G255" s="15">
        <f t="shared" ref="G255" si="752">F255*86400</f>
        <v>3330633.6</v>
      </c>
      <c r="H255" s="21">
        <f t="shared" ref="H255" si="753">G255/1000000</f>
        <v>3.3306336000000001</v>
      </c>
      <c r="I255" s="17">
        <v>97627.094444443806</v>
      </c>
      <c r="J255" s="31">
        <v>9.7627094444444396E-2</v>
      </c>
      <c r="K255" s="17">
        <v>86083.066666660103</v>
      </c>
      <c r="L255" s="17">
        <v>8.6083066666660005E-2</v>
      </c>
      <c r="M255" s="17">
        <f t="shared" ref="M255" si="754">J255+L255</f>
        <v>0.18371016111110439</v>
      </c>
      <c r="N255" s="26">
        <v>-0.75561120000000004</v>
      </c>
      <c r="O255" s="7">
        <f t="shared" ref="O255" si="755">H255-M255-N255</f>
        <v>3.9025346388888957</v>
      </c>
    </row>
    <row r="256" spans="1:15" x14ac:dyDescent="0.7">
      <c r="A256" s="6"/>
      <c r="B256" s="6"/>
      <c r="C256" s="6">
        <v>11</v>
      </c>
      <c r="D256" s="7">
        <v>45.263000000000005</v>
      </c>
      <c r="E256" s="4">
        <v>0</v>
      </c>
      <c r="F256" s="7">
        <v>45.263000000000005</v>
      </c>
      <c r="G256" s="15">
        <f t="shared" ref="G256" si="756">F256*86400</f>
        <v>3910723.2000000007</v>
      </c>
      <c r="H256" s="21">
        <f t="shared" ref="H256" si="757">G256/1000000</f>
        <v>3.9107232000000005</v>
      </c>
      <c r="I256" s="17">
        <v>98006.544444443804</v>
      </c>
      <c r="J256" s="31">
        <v>9.8006544444444399E-2</v>
      </c>
      <c r="K256" s="17">
        <v>86453.599999993399</v>
      </c>
      <c r="L256" s="17">
        <v>8.6453599999993302E-2</v>
      </c>
      <c r="M256" s="17">
        <f t="shared" ref="M256" si="758">J256+L256</f>
        <v>0.1844601444444377</v>
      </c>
      <c r="N256" s="26">
        <v>-0.75934080000000004</v>
      </c>
      <c r="O256" s="7">
        <f t="shared" ref="O256" si="759">H256-M256-N256</f>
        <v>4.4856038555555626</v>
      </c>
    </row>
    <row r="257" spans="1:15" x14ac:dyDescent="0.7">
      <c r="A257" s="6"/>
      <c r="B257" s="6"/>
      <c r="C257" s="6">
        <v>12</v>
      </c>
      <c r="D257" s="7">
        <v>31.300999999999998</v>
      </c>
      <c r="E257" s="4">
        <v>1.9</v>
      </c>
      <c r="F257" s="7">
        <v>31.300999999999998</v>
      </c>
      <c r="G257" s="15">
        <f t="shared" ref="G257" si="760">F257*86400</f>
        <v>2704406.4</v>
      </c>
      <c r="H257" s="21">
        <f t="shared" ref="H257" si="761">G257/1000000</f>
        <v>2.7044063999999999</v>
      </c>
      <c r="I257" s="17">
        <v>98385.994444443801</v>
      </c>
      <c r="J257" s="31">
        <v>9.8385994444444402E-2</v>
      </c>
      <c r="K257" s="17">
        <v>86824.133333326696</v>
      </c>
      <c r="L257" s="17">
        <v>8.68241333333266E-2</v>
      </c>
      <c r="M257" s="17">
        <f t="shared" ref="M257" si="762">J257+L257</f>
        <v>0.18521012777777102</v>
      </c>
      <c r="N257" s="26">
        <v>-0.76307040000000004</v>
      </c>
      <c r="O257" s="7">
        <f t="shared" ref="O257" si="763">H257-M257-N257</f>
        <v>3.2822666722222289</v>
      </c>
    </row>
    <row r="258" spans="1:15" x14ac:dyDescent="0.7">
      <c r="A258" s="6"/>
      <c r="B258" s="6"/>
      <c r="C258" s="3">
        <v>13</v>
      </c>
      <c r="D258" s="7">
        <v>26.646000000000001</v>
      </c>
      <c r="E258" s="4">
        <v>7.1</v>
      </c>
      <c r="F258" s="7">
        <v>26.646000000000001</v>
      </c>
      <c r="G258" s="15">
        <f t="shared" ref="G258" si="764">F258*86400</f>
        <v>2302214.4</v>
      </c>
      <c r="H258" s="21">
        <f t="shared" ref="H258" si="765">G258/1000000</f>
        <v>2.3022144</v>
      </c>
      <c r="I258" s="17">
        <v>98765.444444443798</v>
      </c>
      <c r="J258" s="31">
        <v>9.8765444444444406E-2</v>
      </c>
      <c r="K258" s="17">
        <v>87194.666666660007</v>
      </c>
      <c r="L258" s="17">
        <v>8.7194666666659898E-2</v>
      </c>
      <c r="M258" s="17">
        <f t="shared" ref="M258" si="766">J258+L258</f>
        <v>0.1859601111111043</v>
      </c>
      <c r="N258" s="26">
        <v>-0.76680000000000004</v>
      </c>
      <c r="O258" s="7">
        <f t="shared" ref="O258" si="767">H258-M258-N258</f>
        <v>2.8830542888888955</v>
      </c>
    </row>
    <row r="259" spans="1:15" x14ac:dyDescent="0.7">
      <c r="A259" s="6"/>
      <c r="B259" s="6"/>
      <c r="C259" s="6">
        <v>14</v>
      </c>
      <c r="D259" s="7">
        <v>44.081000000000003</v>
      </c>
      <c r="E259" s="4">
        <v>0.5</v>
      </c>
      <c r="F259" s="7">
        <v>44.081000000000003</v>
      </c>
      <c r="G259" s="15">
        <f t="shared" ref="G259" si="768">F259*86400</f>
        <v>3808598.4000000004</v>
      </c>
      <c r="H259" s="21">
        <f t="shared" ref="H259" si="769">G259/1000000</f>
        <v>3.8085984000000002</v>
      </c>
      <c r="I259" s="17">
        <v>99144.894444443795</v>
      </c>
      <c r="J259" s="31">
        <v>9.9144894444444395E-2</v>
      </c>
      <c r="K259" s="17">
        <v>87565.199999993303</v>
      </c>
      <c r="L259" s="17">
        <v>8.7565199999993196E-2</v>
      </c>
      <c r="M259" s="17">
        <f t="shared" ref="M259" si="770">J259+L259</f>
        <v>0.18671009444443759</v>
      </c>
      <c r="N259" s="26">
        <v>-0.77052960000000004</v>
      </c>
      <c r="O259" s="7">
        <f t="shared" ref="O259" si="771">H259-M259-N259</f>
        <v>4.3924179055555621</v>
      </c>
    </row>
    <row r="260" spans="1:15" x14ac:dyDescent="0.7">
      <c r="A260" s="6"/>
      <c r="B260" s="6"/>
      <c r="C260" s="6">
        <v>15</v>
      </c>
      <c r="D260" s="7">
        <v>35.954999999999998</v>
      </c>
      <c r="E260" s="4">
        <v>0</v>
      </c>
      <c r="F260" s="7">
        <v>35.954999999999998</v>
      </c>
      <c r="G260" s="15">
        <f t="shared" ref="G260" si="772">F260*86400</f>
        <v>3106512</v>
      </c>
      <c r="H260" s="21">
        <f t="shared" ref="H260" si="773">G260/1000000</f>
        <v>3.1065119999999999</v>
      </c>
      <c r="I260" s="17">
        <v>99524.344444443806</v>
      </c>
      <c r="J260" s="31">
        <v>9.9524344444444399E-2</v>
      </c>
      <c r="K260" s="17">
        <v>87935.7333333266</v>
      </c>
      <c r="L260" s="17">
        <v>8.7935733333326493E-2</v>
      </c>
      <c r="M260" s="17">
        <f t="shared" ref="M260" si="774">J260+L260</f>
        <v>0.18746007777777091</v>
      </c>
      <c r="N260" s="26">
        <v>-0.77425920000000004</v>
      </c>
      <c r="O260" s="7">
        <f t="shared" ref="O260" si="775">H260-M260-N260</f>
        <v>3.6933111222222288</v>
      </c>
    </row>
    <row r="261" spans="1:15" x14ac:dyDescent="0.7">
      <c r="A261" s="6"/>
      <c r="B261" s="6"/>
      <c r="C261" s="3">
        <v>16</v>
      </c>
      <c r="D261" s="7">
        <v>29.86</v>
      </c>
      <c r="E261" s="4">
        <v>0</v>
      </c>
      <c r="F261" s="7">
        <v>29.86</v>
      </c>
      <c r="G261" s="15">
        <f t="shared" ref="G261" si="776">F261*86400</f>
        <v>2579904</v>
      </c>
      <c r="H261" s="21">
        <f t="shared" ref="H261" si="777">G261/1000000</f>
        <v>2.579904</v>
      </c>
      <c r="I261" s="17">
        <v>99903.794444443804</v>
      </c>
      <c r="J261" s="31">
        <v>9.9903794444444402E-2</v>
      </c>
      <c r="K261" s="17">
        <v>88306.266666659896</v>
      </c>
      <c r="L261" s="17">
        <v>8.8306266666659805E-2</v>
      </c>
      <c r="M261" s="17">
        <f t="shared" ref="M261" si="778">J261+L261</f>
        <v>0.18821006111110422</v>
      </c>
      <c r="N261" s="26">
        <v>-0.77798880000000004</v>
      </c>
      <c r="O261" s="7">
        <f t="shared" ref="O261" si="779">H261-M261-N261</f>
        <v>3.1696827388888957</v>
      </c>
    </row>
    <row r="262" spans="1:15" x14ac:dyDescent="0.7">
      <c r="A262" s="6"/>
      <c r="B262" s="6"/>
      <c r="C262" s="6">
        <v>17</v>
      </c>
      <c r="D262" s="7">
        <v>21.193999999999999</v>
      </c>
      <c r="E262" s="4">
        <v>25.6</v>
      </c>
      <c r="F262" s="7">
        <v>21.193999999999999</v>
      </c>
      <c r="G262" s="15">
        <f t="shared" ref="G262" si="780">F262*86400</f>
        <v>1831161.5999999999</v>
      </c>
      <c r="H262" s="21">
        <f t="shared" ref="H262" si="781">G262/1000000</f>
        <v>1.8311615999999999</v>
      </c>
      <c r="I262" s="17">
        <v>100283.244444444</v>
      </c>
      <c r="J262" s="31">
        <v>0.100283244444444</v>
      </c>
      <c r="K262" s="17">
        <v>88676.799999993207</v>
      </c>
      <c r="L262" s="17">
        <v>8.8676799999993103E-2</v>
      </c>
      <c r="M262" s="17">
        <f t="shared" ref="M262" si="782">J262+L262</f>
        <v>0.18896004444443709</v>
      </c>
      <c r="N262" s="26">
        <v>-0.78171840000000004</v>
      </c>
      <c r="O262" s="7">
        <f t="shared" ref="O262" si="783">H262-M262-N262</f>
        <v>2.4239199555555628</v>
      </c>
    </row>
    <row r="263" spans="1:15" x14ac:dyDescent="0.7">
      <c r="A263" s="6"/>
      <c r="B263" s="6"/>
      <c r="C263" s="6">
        <v>18</v>
      </c>
      <c r="D263" s="7">
        <v>25.815000000000001</v>
      </c>
      <c r="E263" s="4">
        <v>28.5</v>
      </c>
      <c r="F263" s="7">
        <v>25.815000000000001</v>
      </c>
      <c r="G263" s="15">
        <f t="shared" ref="G263" si="784">F263*86400</f>
        <v>2230416</v>
      </c>
      <c r="H263" s="21">
        <f t="shared" ref="H263" si="785">G263/1000000</f>
        <v>2.230416</v>
      </c>
      <c r="I263" s="17">
        <v>100662.694444444</v>
      </c>
      <c r="J263" s="31">
        <v>0.10066269444444401</v>
      </c>
      <c r="K263" s="17">
        <v>89047.333333326504</v>
      </c>
      <c r="L263" s="17">
        <v>8.9047333333326401E-2</v>
      </c>
      <c r="M263" s="17">
        <f t="shared" ref="M263" si="786">J263+L263</f>
        <v>0.18971002777777041</v>
      </c>
      <c r="N263" s="26">
        <v>-0.78544800000000004</v>
      </c>
      <c r="O263" s="7">
        <f t="shared" ref="O263" si="787">H263-M263-N263</f>
        <v>2.8261539722222295</v>
      </c>
    </row>
    <row r="264" spans="1:15" x14ac:dyDescent="0.7">
      <c r="A264" s="6"/>
      <c r="B264" s="6"/>
      <c r="C264" s="3">
        <v>19</v>
      </c>
      <c r="D264" s="7">
        <v>43.116</v>
      </c>
      <c r="E264" s="4">
        <v>20.8</v>
      </c>
      <c r="F264" s="7">
        <v>43.116</v>
      </c>
      <c r="G264" s="15">
        <f t="shared" ref="G264" si="788">F264*86400</f>
        <v>3725222.4</v>
      </c>
      <c r="H264" s="21">
        <f t="shared" ref="H264" si="789">G264/1000000</f>
        <v>3.7252223999999998</v>
      </c>
      <c r="I264" s="17">
        <v>101042.144444444</v>
      </c>
      <c r="J264" s="31">
        <v>0.101042144444444</v>
      </c>
      <c r="K264" s="17">
        <v>89417.8666666598</v>
      </c>
      <c r="L264" s="17">
        <v>8.9417866666659698E-2</v>
      </c>
      <c r="M264" s="17">
        <f t="shared" ref="M264" si="790">J264+L264</f>
        <v>0.19046001111110369</v>
      </c>
      <c r="N264" s="26">
        <v>-0.78917760000000003</v>
      </c>
      <c r="O264" s="7">
        <f t="shared" ref="O264" si="791">H264-M264-N264</f>
        <v>4.3239399888888963</v>
      </c>
    </row>
    <row r="265" spans="1:15" x14ac:dyDescent="0.7">
      <c r="A265" s="6"/>
      <c r="B265" s="6"/>
      <c r="C265" s="6">
        <v>20</v>
      </c>
      <c r="D265" s="7">
        <v>62.054000000000002</v>
      </c>
      <c r="E265" s="4">
        <v>0</v>
      </c>
      <c r="F265" s="7">
        <v>62.054000000000002</v>
      </c>
      <c r="G265" s="15">
        <f t="shared" ref="G265" si="792">F265*86400</f>
        <v>5361465.6000000006</v>
      </c>
      <c r="H265" s="21">
        <f t="shared" ref="H265" si="793">G265/1000000</f>
        <v>5.3614656000000007</v>
      </c>
      <c r="I265" s="17">
        <v>101421.594444444</v>
      </c>
      <c r="J265" s="31">
        <v>0.101421594444444</v>
      </c>
      <c r="K265" s="17">
        <v>89788.399999993097</v>
      </c>
      <c r="L265" s="17">
        <v>8.9788399999992996E-2</v>
      </c>
      <c r="M265" s="17">
        <f t="shared" ref="M265" si="794">J265+L265</f>
        <v>0.19120999444443698</v>
      </c>
      <c r="N265" s="26">
        <v>-0.79290720000000003</v>
      </c>
      <c r="O265" s="7">
        <f t="shared" ref="O265" si="795">H265-M265-N265</f>
        <v>5.9631628055555641</v>
      </c>
    </row>
    <row r="266" spans="1:15" x14ac:dyDescent="0.7">
      <c r="A266" s="6"/>
      <c r="B266" s="6"/>
      <c r="C266" s="6">
        <v>21</v>
      </c>
      <c r="D266" s="7">
        <v>46.07</v>
      </c>
      <c r="E266" s="4">
        <v>0</v>
      </c>
      <c r="F266" s="7">
        <v>46.07</v>
      </c>
      <c r="G266" s="15">
        <f t="shared" ref="G266" si="796">F266*86400</f>
        <v>3980448</v>
      </c>
      <c r="H266" s="21">
        <f t="shared" ref="H266" si="797">G266/1000000</f>
        <v>3.980448</v>
      </c>
      <c r="I266" s="17">
        <v>101801.04444444401</v>
      </c>
      <c r="J266" s="31">
        <v>0.101801044444444</v>
      </c>
      <c r="K266" s="17">
        <v>90158.933333326393</v>
      </c>
      <c r="L266" s="17">
        <v>9.0158933333326294E-2</v>
      </c>
      <c r="M266" s="17">
        <f t="shared" ref="M266" si="798">J266+L266</f>
        <v>0.1919599777777703</v>
      </c>
      <c r="N266" s="26">
        <v>-0.79663680000000003</v>
      </c>
      <c r="O266" s="7">
        <f t="shared" ref="O266" si="799">H266-M266-N266</f>
        <v>4.5851248222222294</v>
      </c>
    </row>
    <row r="267" spans="1:15" x14ac:dyDescent="0.7">
      <c r="A267" s="6"/>
      <c r="B267" s="6"/>
      <c r="C267" s="3">
        <v>22</v>
      </c>
      <c r="D267" s="7">
        <v>31.849</v>
      </c>
      <c r="E267" s="4">
        <v>0</v>
      </c>
      <c r="F267" s="7">
        <v>31.849</v>
      </c>
      <c r="G267" s="15">
        <f t="shared" ref="G267" si="800">F267*86400</f>
        <v>2751753.6</v>
      </c>
      <c r="H267" s="21">
        <f t="shared" ref="H267" si="801">G267/1000000</f>
        <v>2.7517536000000002</v>
      </c>
      <c r="I267" s="17">
        <v>102180.494444444</v>
      </c>
      <c r="J267" s="31">
        <v>0.10218049444444401</v>
      </c>
      <c r="K267" s="17">
        <v>90529.466666659704</v>
      </c>
      <c r="L267" s="17">
        <v>9.0529466666659605E-2</v>
      </c>
      <c r="M267" s="17">
        <f t="shared" ref="M267" si="802">J267+L267</f>
        <v>0.19270996111110361</v>
      </c>
      <c r="N267" s="26">
        <v>-0.80036640000000003</v>
      </c>
      <c r="O267" s="7">
        <f t="shared" ref="O267" si="803">H267-M267-N267</f>
        <v>3.3594100388888966</v>
      </c>
    </row>
    <row r="268" spans="1:15" x14ac:dyDescent="0.7">
      <c r="A268" s="6"/>
      <c r="B268" s="6"/>
      <c r="C268" s="6">
        <v>23</v>
      </c>
      <c r="D268" s="7">
        <v>31.849</v>
      </c>
      <c r="E268" s="4">
        <v>0</v>
      </c>
      <c r="F268" s="7">
        <v>31.849</v>
      </c>
      <c r="G268" s="15">
        <f t="shared" ref="G268" si="804">F268*86400</f>
        <v>2751753.6</v>
      </c>
      <c r="H268" s="21">
        <f t="shared" ref="H268" si="805">G268/1000000</f>
        <v>2.7517536000000002</v>
      </c>
      <c r="I268" s="17">
        <v>102559.944444444</v>
      </c>
      <c r="J268" s="31">
        <v>0.102559944444444</v>
      </c>
      <c r="K268" s="17">
        <v>90899.999999993001</v>
      </c>
      <c r="L268" s="17">
        <v>9.0899999999992903E-2</v>
      </c>
      <c r="M268" s="17">
        <f t="shared" ref="M268" si="806">J268+L268</f>
        <v>0.1934599444444369</v>
      </c>
      <c r="N268" s="26">
        <v>-0.80409600000000003</v>
      </c>
      <c r="O268" s="7">
        <f t="shared" ref="O268" si="807">H268-M268-N268</f>
        <v>3.3623896555555635</v>
      </c>
    </row>
    <row r="269" spans="1:15" x14ac:dyDescent="0.7">
      <c r="A269" s="6"/>
      <c r="B269" s="6"/>
      <c r="C269" s="6">
        <v>24</v>
      </c>
      <c r="D269" s="7">
        <v>28.635000000000002</v>
      </c>
      <c r="E269" s="4">
        <v>0</v>
      </c>
      <c r="F269" s="7">
        <v>28.635000000000002</v>
      </c>
      <c r="G269" s="15">
        <f t="shared" ref="G269" si="808">F269*86400</f>
        <v>2474064</v>
      </c>
      <c r="H269" s="21">
        <f t="shared" ref="H269" si="809">G269/1000000</f>
        <v>2.4740639999999998</v>
      </c>
      <c r="I269" s="17">
        <v>102939.394444444</v>
      </c>
      <c r="J269" s="31">
        <v>0.102939394444444</v>
      </c>
      <c r="K269" s="17">
        <v>91270.533333326297</v>
      </c>
      <c r="L269" s="17">
        <v>9.1270533333326201E-2</v>
      </c>
      <c r="M269" s="17">
        <f t="shared" ref="M269" si="810">J269+L269</f>
        <v>0.19420992777777019</v>
      </c>
      <c r="N269" s="26">
        <v>-0.80782560000000003</v>
      </c>
      <c r="O269" s="7">
        <f t="shared" ref="O269" si="811">H269-M269-N269</f>
        <v>3.0876796722222299</v>
      </c>
    </row>
    <row r="270" spans="1:15" x14ac:dyDescent="0.7">
      <c r="A270" s="6"/>
      <c r="B270" s="6"/>
      <c r="C270" s="3">
        <v>25</v>
      </c>
      <c r="D270" s="7">
        <v>37.944000000000003</v>
      </c>
      <c r="E270" s="4">
        <v>0</v>
      </c>
      <c r="F270" s="7">
        <v>37.944000000000003</v>
      </c>
      <c r="G270" s="15">
        <f t="shared" ref="G270" si="812">F270*86400</f>
        <v>3278361.6</v>
      </c>
      <c r="H270" s="21">
        <f t="shared" ref="H270" si="813">G270/1000000</f>
        <v>3.2783616000000002</v>
      </c>
      <c r="I270" s="17">
        <v>103318.844444444</v>
      </c>
      <c r="J270" s="31">
        <v>0.103318844444444</v>
      </c>
      <c r="K270" s="17">
        <v>91641.066666659593</v>
      </c>
      <c r="L270" s="17">
        <v>9.1641066666659499E-2</v>
      </c>
      <c r="M270" s="17">
        <f t="shared" ref="M270" si="814">J270+L270</f>
        <v>0.1949599111111035</v>
      </c>
      <c r="N270" s="26">
        <v>-0.81155520000000003</v>
      </c>
      <c r="O270" s="7">
        <f t="shared" ref="O270" si="815">H270-M270-N270</f>
        <v>3.8949568888888968</v>
      </c>
    </row>
    <row r="271" spans="1:15" x14ac:dyDescent="0.7">
      <c r="A271" s="6"/>
      <c r="B271" s="6"/>
      <c r="C271" s="6">
        <v>26</v>
      </c>
      <c r="D271" s="7">
        <v>24.359000000000002</v>
      </c>
      <c r="E271" s="4">
        <v>0</v>
      </c>
      <c r="F271" s="7">
        <v>24.359000000000002</v>
      </c>
      <c r="G271" s="15">
        <f t="shared" ref="G271" si="816">F271*86400</f>
        <v>2104617.6</v>
      </c>
      <c r="H271" s="21">
        <f t="shared" ref="H271" si="817">G271/1000000</f>
        <v>2.1046176000000001</v>
      </c>
      <c r="I271" s="17">
        <v>103698.29444444401</v>
      </c>
      <c r="J271" s="31">
        <v>0.10369829444444401</v>
      </c>
      <c r="K271" s="17">
        <v>92011.599999992904</v>
      </c>
      <c r="L271" s="17">
        <v>9.2011599999992796E-2</v>
      </c>
      <c r="M271" s="17">
        <f t="shared" ref="M271" si="818">J271+L271</f>
        <v>0.19570989444443682</v>
      </c>
      <c r="N271" s="26">
        <v>-0.81528480000000003</v>
      </c>
      <c r="O271" s="7">
        <f t="shared" ref="O271" si="819">H271-M271-N271</f>
        <v>2.7241925055555631</v>
      </c>
    </row>
    <row r="272" spans="1:15" x14ac:dyDescent="0.7">
      <c r="A272" s="6"/>
      <c r="B272" s="6"/>
      <c r="C272" s="6">
        <v>27</v>
      </c>
      <c r="D272" s="7">
        <v>21.902000000000001</v>
      </c>
      <c r="E272" s="4">
        <v>0</v>
      </c>
      <c r="F272" s="7">
        <v>21.902000000000001</v>
      </c>
      <c r="G272" s="15">
        <f t="shared" ref="G272" si="820">F272*86400</f>
        <v>1892332.8</v>
      </c>
      <c r="H272" s="21">
        <f t="shared" ref="H272" si="821">G272/1000000</f>
        <v>1.8923328000000001</v>
      </c>
      <c r="I272" s="17">
        <v>104077.744444444</v>
      </c>
      <c r="J272" s="31">
        <v>0.104077744444444</v>
      </c>
      <c r="K272" s="17">
        <v>92382.133333326201</v>
      </c>
      <c r="L272" s="17">
        <v>9.2382133333326094E-2</v>
      </c>
      <c r="M272" s="17">
        <f t="shared" ref="M272" si="822">J272+L272</f>
        <v>0.19645987777777008</v>
      </c>
      <c r="N272" s="26">
        <v>-0.81901440000000003</v>
      </c>
      <c r="O272" s="7">
        <f t="shared" ref="O272" si="823">H272-M272-N272</f>
        <v>2.5148873222222301</v>
      </c>
    </row>
    <row r="273" spans="1:15" x14ac:dyDescent="0.7">
      <c r="A273" s="12"/>
      <c r="B273" s="12"/>
      <c r="C273" s="49">
        <v>28</v>
      </c>
      <c r="D273" s="33">
        <v>18.655000000000001</v>
      </c>
      <c r="E273" s="4">
        <v>0</v>
      </c>
      <c r="F273" s="33">
        <v>18.655000000000001</v>
      </c>
      <c r="G273" s="35">
        <f t="shared" ref="G273" si="824">F273*86400</f>
        <v>1611792</v>
      </c>
      <c r="H273" s="36">
        <f t="shared" ref="H273" si="825">G273/1000000</f>
        <v>1.6117919999999999</v>
      </c>
      <c r="I273" s="37">
        <v>104457.194444444</v>
      </c>
      <c r="J273" s="38">
        <v>0.104457194444444</v>
      </c>
      <c r="K273" s="37">
        <v>92752.666666659497</v>
      </c>
      <c r="L273" s="37">
        <v>9.2752666666659406E-2</v>
      </c>
      <c r="M273" s="37">
        <f t="shared" ref="M273" si="826">J273+L273</f>
        <v>0.19720986111110339</v>
      </c>
      <c r="N273" s="39">
        <v>-0.82274400000000003</v>
      </c>
      <c r="O273" s="33">
        <f t="shared" ref="O273" si="827">H273-M273-N273</f>
        <v>2.2373261388888968</v>
      </c>
    </row>
    <row r="274" spans="1:15" s="42" customFormat="1" x14ac:dyDescent="0.7">
      <c r="A274" s="6"/>
      <c r="B274" s="6"/>
      <c r="C274" s="6">
        <v>29</v>
      </c>
      <c r="D274" s="7">
        <v>21.363999999999997</v>
      </c>
      <c r="E274" s="4">
        <v>4.7</v>
      </c>
      <c r="F274" s="7">
        <v>21.363999999999997</v>
      </c>
      <c r="G274" s="40">
        <f t="shared" ref="G274" si="828">F274*86400</f>
        <v>1845849.5999999999</v>
      </c>
      <c r="H274" s="20">
        <f t="shared" ref="H274" si="829">G274/1000000</f>
        <v>1.8458495999999998</v>
      </c>
      <c r="I274" s="17">
        <v>104836.644444444</v>
      </c>
      <c r="J274" s="31">
        <v>0.104836644444444</v>
      </c>
      <c r="K274" s="17">
        <v>93123.199999992794</v>
      </c>
      <c r="L274" s="17">
        <v>9.3123199999992703E-2</v>
      </c>
      <c r="M274" s="17">
        <f t="shared" ref="M274" si="830">J274+L274</f>
        <v>0.19795984444443671</v>
      </c>
      <c r="N274" s="26">
        <v>-0.82647360000000003</v>
      </c>
      <c r="O274" s="7">
        <f t="shared" ref="O274" si="831">H274-M274-N274</f>
        <v>2.4743633555555631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51.652000000000001</v>
      </c>
      <c r="E275" s="19">
        <v>0</v>
      </c>
      <c r="F275" s="19">
        <v>51.652000000000001</v>
      </c>
      <c r="G275" s="28">
        <f t="shared" ref="G275" si="832">F275*86400</f>
        <v>4462732.8</v>
      </c>
      <c r="H275" s="29">
        <f t="shared" ref="H275" si="833">G275/1000000</f>
        <v>4.4627327999999995</v>
      </c>
      <c r="I275" s="43">
        <v>105216.094444444</v>
      </c>
      <c r="J275" s="44">
        <v>0.10521609444444401</v>
      </c>
      <c r="K275" s="43">
        <v>93493.733333326105</v>
      </c>
      <c r="L275" s="43">
        <v>9.3493733333326001E-2</v>
      </c>
      <c r="M275" s="43">
        <f t="shared" ref="M275" si="834">J275+L275</f>
        <v>0.19870982777777002</v>
      </c>
      <c r="N275" s="45">
        <v>-0.83020320000000003</v>
      </c>
      <c r="O275" s="19">
        <f t="shared" ref="O275" si="835">H275-M275-N275</f>
        <v>5.0942261722222293</v>
      </c>
    </row>
    <row r="276" spans="1:15" x14ac:dyDescent="0.7">
      <c r="A276" s="3"/>
      <c r="B276" s="3" t="s">
        <v>24</v>
      </c>
      <c r="C276" s="3">
        <v>1</v>
      </c>
      <c r="D276" s="4">
        <v>57.617000000000004</v>
      </c>
      <c r="E276" s="4">
        <v>66.2</v>
      </c>
      <c r="F276" s="4">
        <v>57.617000000000004</v>
      </c>
      <c r="G276" s="15">
        <f t="shared" ref="G276" si="836">F276*86400</f>
        <v>4978108.8000000007</v>
      </c>
      <c r="H276" s="21">
        <f t="shared" ref="H276" si="837">G276/1000000</f>
        <v>4.9781088000000011</v>
      </c>
      <c r="I276" s="16">
        <v>105595.54444444401</v>
      </c>
      <c r="J276" s="25">
        <v>0.105595544444444</v>
      </c>
      <c r="K276" s="16">
        <v>93864.266666659401</v>
      </c>
      <c r="L276" s="16">
        <v>9.3864266666659299E-2</v>
      </c>
      <c r="M276" s="16">
        <f t="shared" ref="M276" si="838">J276+L276</f>
        <v>0.19945981111110328</v>
      </c>
      <c r="N276" s="27">
        <v>-0.83393280000000003</v>
      </c>
      <c r="O276" s="4">
        <f t="shared" ref="O276" si="839">H276-M276-N276</f>
        <v>5.6125817888888978</v>
      </c>
    </row>
    <row r="277" spans="1:15" x14ac:dyDescent="0.7">
      <c r="A277" s="6"/>
      <c r="B277" s="6"/>
      <c r="C277" s="6">
        <v>2</v>
      </c>
      <c r="D277" s="7">
        <v>275.57499999999999</v>
      </c>
      <c r="E277" s="4">
        <v>25.1</v>
      </c>
      <c r="F277" s="7">
        <v>275.57499999999999</v>
      </c>
      <c r="G277" s="15">
        <f t="shared" ref="G277" si="840">F277*86400</f>
        <v>23809680</v>
      </c>
      <c r="H277" s="21">
        <f t="shared" ref="H277" si="841">G277/1000000</f>
        <v>23.80968</v>
      </c>
      <c r="I277" s="17">
        <v>105974.994444444</v>
      </c>
      <c r="J277" s="31">
        <v>0.105974994444444</v>
      </c>
      <c r="K277" s="17">
        <v>94234.799999992698</v>
      </c>
      <c r="L277" s="17">
        <v>9.4234799999992597E-2</v>
      </c>
      <c r="M277" s="17">
        <f t="shared" ref="M277" si="842">J277+L277</f>
        <v>0.2002097944444366</v>
      </c>
      <c r="N277" s="26">
        <v>-0.83766240000000003</v>
      </c>
      <c r="O277" s="7">
        <f t="shared" ref="O277" si="843">H277-M277-N277</f>
        <v>24.447132605555563</v>
      </c>
    </row>
    <row r="278" spans="1:15" x14ac:dyDescent="0.7">
      <c r="A278" s="6"/>
      <c r="B278" s="6"/>
      <c r="C278" s="6">
        <v>3</v>
      </c>
      <c r="D278" s="7">
        <v>220.67</v>
      </c>
      <c r="E278" s="4">
        <v>7.8</v>
      </c>
      <c r="F278" s="7">
        <v>220.67</v>
      </c>
      <c r="G278" s="15">
        <f t="shared" ref="G278" si="844">F278*86400</f>
        <v>19065888</v>
      </c>
      <c r="H278" s="21">
        <f t="shared" ref="H278" si="845">G278/1000000</f>
        <v>19.065888000000001</v>
      </c>
      <c r="I278" s="17">
        <v>106354.444444444</v>
      </c>
      <c r="J278" s="31">
        <v>0.106354444444444</v>
      </c>
      <c r="K278" s="17">
        <v>94605.333333325994</v>
      </c>
      <c r="L278" s="17">
        <v>9.4605333333325894E-2</v>
      </c>
      <c r="M278" s="17">
        <f t="shared" ref="M278" si="846">J278+L278</f>
        <v>0.20095977777776991</v>
      </c>
      <c r="N278" s="26">
        <v>-0.84139200000000003</v>
      </c>
      <c r="O278" s="7">
        <f t="shared" ref="O278" si="847">H278-M278-N278</f>
        <v>19.706320222222232</v>
      </c>
    </row>
    <row r="279" spans="1:15" x14ac:dyDescent="0.7">
      <c r="A279" s="6"/>
      <c r="B279" s="6"/>
      <c r="C279" s="3">
        <v>4</v>
      </c>
      <c r="D279" s="7">
        <v>136.27699999999999</v>
      </c>
      <c r="E279" s="4">
        <v>0</v>
      </c>
      <c r="F279" s="7">
        <v>136.27699999999999</v>
      </c>
      <c r="G279" s="15">
        <f t="shared" ref="G279" si="848">F279*86400</f>
        <v>11774332.799999999</v>
      </c>
      <c r="H279" s="21">
        <f t="shared" ref="H279" si="849">G279/1000000</f>
        <v>11.774332799999998</v>
      </c>
      <c r="I279" s="17">
        <v>106733.894444444</v>
      </c>
      <c r="J279" s="31">
        <v>0.10673389444444401</v>
      </c>
      <c r="K279" s="17">
        <v>94975.866666659305</v>
      </c>
      <c r="L279" s="17">
        <v>9.4975866666659206E-2</v>
      </c>
      <c r="M279" s="17">
        <f t="shared" ref="M279" si="850">J279+L279</f>
        <v>0.20170976111110323</v>
      </c>
      <c r="N279" s="26">
        <v>-0.84512160000000003</v>
      </c>
      <c r="O279" s="7">
        <f t="shared" ref="O279" si="851">H279-M279-N279</f>
        <v>12.417744638888895</v>
      </c>
    </row>
    <row r="280" spans="1:15" x14ac:dyDescent="0.7">
      <c r="A280" s="6"/>
      <c r="B280" s="6"/>
      <c r="C280" s="6">
        <v>5</v>
      </c>
      <c r="D280" s="7">
        <v>96.135000000000005</v>
      </c>
      <c r="E280" s="4">
        <v>0</v>
      </c>
      <c r="F280" s="7">
        <v>96.135000000000005</v>
      </c>
      <c r="G280" s="15">
        <f t="shared" ref="G280" si="852">F280*86400</f>
        <v>8306064</v>
      </c>
      <c r="H280" s="21">
        <f t="shared" ref="H280" si="853">G280/1000000</f>
        <v>8.3060639999999992</v>
      </c>
      <c r="I280" s="17">
        <v>107113.344444444</v>
      </c>
      <c r="J280" s="31">
        <v>0.10711334444444399</v>
      </c>
      <c r="K280" s="17">
        <v>95346.399999992602</v>
      </c>
      <c r="L280" s="17">
        <v>9.5346399999992504E-2</v>
      </c>
      <c r="M280" s="17">
        <f t="shared" ref="M280" si="854">J280+L280</f>
        <v>0.20245974444443648</v>
      </c>
      <c r="N280" s="26">
        <v>-0.84885120000000003</v>
      </c>
      <c r="O280" s="7">
        <f t="shared" ref="O280" si="855">H280-M280-N280</f>
        <v>8.9524554555555635</v>
      </c>
    </row>
    <row r="281" spans="1:15" x14ac:dyDescent="0.7">
      <c r="A281" s="6"/>
      <c r="B281" s="6"/>
      <c r="C281" s="6">
        <v>6</v>
      </c>
      <c r="D281" s="7">
        <v>68.117999999999995</v>
      </c>
      <c r="E281" s="4">
        <v>0</v>
      </c>
      <c r="F281" s="7">
        <v>68.117999999999995</v>
      </c>
      <c r="G281" s="15">
        <f t="shared" ref="G281" si="856">F281*86400</f>
        <v>5885395.1999999993</v>
      </c>
      <c r="H281" s="21">
        <f t="shared" ref="H281" si="857">G281/1000000</f>
        <v>5.8853951999999996</v>
      </c>
      <c r="I281" s="17">
        <v>107492.79444444401</v>
      </c>
      <c r="J281" s="31">
        <v>0.107492794444444</v>
      </c>
      <c r="K281" s="17">
        <v>95716.933333325898</v>
      </c>
      <c r="L281" s="17">
        <v>9.5716933333325802E-2</v>
      </c>
      <c r="M281" s="17">
        <f t="shared" ref="M281" si="858">J281+L281</f>
        <v>0.2032097277777698</v>
      </c>
      <c r="N281" s="26">
        <v>-0.85258080000000003</v>
      </c>
      <c r="O281" s="7">
        <f t="shared" ref="O281" si="859">H281-M281-N281</f>
        <v>6.5347662722222299</v>
      </c>
    </row>
    <row r="282" spans="1:15" x14ac:dyDescent="0.7">
      <c r="A282" s="6"/>
      <c r="B282" s="6"/>
      <c r="C282" s="3">
        <v>7</v>
      </c>
      <c r="D282" s="7">
        <v>88.566999999999993</v>
      </c>
      <c r="E282" s="4">
        <v>0</v>
      </c>
      <c r="F282" s="7">
        <v>88.566999999999993</v>
      </c>
      <c r="G282" s="15">
        <f t="shared" ref="G282" si="860">F282*86400</f>
        <v>7652188.7999999998</v>
      </c>
      <c r="H282" s="21">
        <f t="shared" ref="H282" si="861">G282/1000000</f>
        <v>7.6521888000000002</v>
      </c>
      <c r="I282" s="17">
        <v>107872.244444444</v>
      </c>
      <c r="J282" s="31">
        <v>0.107872244444444</v>
      </c>
      <c r="K282" s="17">
        <v>96087.466666659195</v>
      </c>
      <c r="L282" s="17">
        <v>9.6087466666659099E-2</v>
      </c>
      <c r="M282" s="17">
        <f t="shared" ref="M282" si="862">J282+L282</f>
        <v>0.20395971111110311</v>
      </c>
      <c r="N282" s="26">
        <v>-0.85631040000000003</v>
      </c>
      <c r="O282" s="7">
        <f t="shared" ref="O282" si="863">H282-M282-N282</f>
        <v>8.3045394888888975</v>
      </c>
    </row>
    <row r="283" spans="1:15" x14ac:dyDescent="0.7">
      <c r="A283" s="6"/>
      <c r="B283" s="6"/>
      <c r="C283" s="6">
        <v>8</v>
      </c>
      <c r="D283" s="7">
        <v>58.567</v>
      </c>
      <c r="E283" s="4">
        <v>0</v>
      </c>
      <c r="F283" s="7">
        <v>58.567</v>
      </c>
      <c r="G283" s="15">
        <f t="shared" ref="G283" si="864">F283*86400</f>
        <v>5060188.8</v>
      </c>
      <c r="H283" s="21">
        <f t="shared" ref="H283" si="865">G283/1000000</f>
        <v>5.0601887999999997</v>
      </c>
      <c r="I283" s="17">
        <v>108251.694444444</v>
      </c>
      <c r="J283" s="31">
        <v>0.108251694444444</v>
      </c>
      <c r="K283" s="17">
        <v>96457.999999992506</v>
      </c>
      <c r="L283" s="17">
        <v>9.6457999999992397E-2</v>
      </c>
      <c r="M283" s="17">
        <f t="shared" ref="M283" si="866">J283+L283</f>
        <v>0.2047096944444364</v>
      </c>
      <c r="N283" s="26">
        <v>-0.86004000000000003</v>
      </c>
      <c r="O283" s="7">
        <f t="shared" ref="O283" si="867">H283-M283-N283</f>
        <v>5.715519105555563</v>
      </c>
    </row>
    <row r="284" spans="1:15" x14ac:dyDescent="0.7">
      <c r="A284" s="6"/>
      <c r="B284" s="6"/>
      <c r="C284" s="6">
        <v>9</v>
      </c>
      <c r="D284" s="7">
        <v>45.134</v>
      </c>
      <c r="E284" s="4">
        <v>0</v>
      </c>
      <c r="F284" s="7">
        <v>45.134</v>
      </c>
      <c r="G284" s="15">
        <f t="shared" ref="G284" si="868">F284*86400</f>
        <v>3899577.6</v>
      </c>
      <c r="H284" s="21">
        <f t="shared" ref="H284" si="869">G284/1000000</f>
        <v>3.8995776000000002</v>
      </c>
      <c r="I284" s="17">
        <v>108631.144444444</v>
      </c>
      <c r="J284" s="31">
        <v>0.10863114444444399</v>
      </c>
      <c r="K284" s="17">
        <v>96828.533333325802</v>
      </c>
      <c r="L284" s="17">
        <v>9.6828533333325695E-2</v>
      </c>
      <c r="M284" s="17">
        <f t="shared" ref="M284" si="870">J284+L284</f>
        <v>0.20545967777776969</v>
      </c>
      <c r="N284" s="26">
        <v>-0.86376960000000003</v>
      </c>
      <c r="O284" s="7">
        <f t="shared" ref="O284" si="871">H284-M284-N284</f>
        <v>4.5578875222222308</v>
      </c>
    </row>
    <row r="285" spans="1:15" x14ac:dyDescent="0.7">
      <c r="A285" s="6"/>
      <c r="B285" s="6"/>
      <c r="C285" s="3">
        <v>10</v>
      </c>
      <c r="D285" s="7">
        <v>92.724000000000004</v>
      </c>
      <c r="E285" s="4">
        <v>15.2</v>
      </c>
      <c r="F285" s="7">
        <v>92.724000000000004</v>
      </c>
      <c r="G285" s="15">
        <f t="shared" ref="G285" si="872">F285*86400</f>
        <v>8011353.6000000006</v>
      </c>
      <c r="H285" s="21">
        <f t="shared" ref="H285" si="873">G285/1000000</f>
        <v>8.0113536000000014</v>
      </c>
      <c r="I285" s="17">
        <v>109010.594444444</v>
      </c>
      <c r="J285" s="31">
        <v>0.109010594444444</v>
      </c>
      <c r="K285" s="17">
        <v>97199.066666659099</v>
      </c>
      <c r="L285" s="17">
        <v>9.7199066666659006E-2</v>
      </c>
      <c r="M285" s="17">
        <f t="shared" ref="M285" si="874">J285+L285</f>
        <v>0.206209661111103</v>
      </c>
      <c r="N285" s="26">
        <v>-0.86749920000000003</v>
      </c>
      <c r="O285" s="7">
        <f t="shared" ref="O285" si="875">H285-M285-N285</f>
        <v>8.6726431388888976</v>
      </c>
    </row>
    <row r="286" spans="1:15" x14ac:dyDescent="0.7">
      <c r="A286" s="6"/>
      <c r="B286" s="6"/>
      <c r="C286" s="6">
        <v>11</v>
      </c>
      <c r="D286" s="7">
        <v>62.491</v>
      </c>
      <c r="E286" s="4">
        <v>0.4</v>
      </c>
      <c r="F286" s="7">
        <v>62.491</v>
      </c>
      <c r="G286" s="15">
        <f t="shared" ref="G286" si="876">F286*86400</f>
        <v>5399222.4000000004</v>
      </c>
      <c r="H286" s="21">
        <f t="shared" ref="H286" si="877">G286/1000000</f>
        <v>5.3992224000000002</v>
      </c>
      <c r="I286" s="17">
        <v>109390.04444444401</v>
      </c>
      <c r="J286" s="31">
        <v>0.109390044444444</v>
      </c>
      <c r="K286" s="17">
        <v>97569.599999992395</v>
      </c>
      <c r="L286" s="17">
        <v>9.7569599999992304E-2</v>
      </c>
      <c r="M286" s="17">
        <f t="shared" ref="M286" si="878">J286+L286</f>
        <v>0.20695964444443632</v>
      </c>
      <c r="N286" s="26">
        <v>-0.87122880000000003</v>
      </c>
      <c r="O286" s="7">
        <f t="shared" ref="O286" si="879">H286-M286-N286</f>
        <v>6.0634915555555642</v>
      </c>
    </row>
    <row r="287" spans="1:15" x14ac:dyDescent="0.7">
      <c r="A287" s="6"/>
      <c r="B287" s="6"/>
      <c r="C287" s="6">
        <v>12</v>
      </c>
      <c r="D287" s="7">
        <v>54.964999999999996</v>
      </c>
      <c r="E287" s="4">
        <v>21.5</v>
      </c>
      <c r="F287" s="7">
        <v>54.964999999999996</v>
      </c>
      <c r="G287" s="15">
        <f t="shared" ref="G287" si="880">F287*86400</f>
        <v>4748976</v>
      </c>
      <c r="H287" s="21">
        <f t="shared" ref="H287" si="881">G287/1000000</f>
        <v>4.7489759999999999</v>
      </c>
      <c r="I287" s="17">
        <v>109769.494444444</v>
      </c>
      <c r="J287" s="31">
        <v>0.109769494444444</v>
      </c>
      <c r="K287" s="17">
        <v>97940.133333325706</v>
      </c>
      <c r="L287" s="17">
        <v>9.7940133333325602E-2</v>
      </c>
      <c r="M287" s="17">
        <f t="shared" ref="M287" si="882">J287+L287</f>
        <v>0.20770962777776961</v>
      </c>
      <c r="N287" s="26">
        <v>-0.87495840000000003</v>
      </c>
      <c r="O287" s="7">
        <f t="shared" ref="O287" si="883">H287-M287-N287</f>
        <v>5.4162247722222299</v>
      </c>
    </row>
    <row r="288" spans="1:15" x14ac:dyDescent="0.7">
      <c r="A288" s="6"/>
      <c r="B288" s="6"/>
      <c r="C288" s="3">
        <v>13</v>
      </c>
      <c r="D288" s="7">
        <v>70.412000000000006</v>
      </c>
      <c r="E288" s="4">
        <v>0</v>
      </c>
      <c r="F288" s="7">
        <v>70.412000000000006</v>
      </c>
      <c r="G288" s="15">
        <f t="shared" ref="G288" si="884">F288*86400</f>
        <v>6083596.8000000007</v>
      </c>
      <c r="H288" s="21">
        <f t="shared" ref="H288" si="885">G288/1000000</f>
        <v>6.0835968000000005</v>
      </c>
      <c r="I288" s="17">
        <v>110148.944444444</v>
      </c>
      <c r="J288" s="31">
        <v>0.11014894444444399</v>
      </c>
      <c r="K288" s="17">
        <v>98310.666666659003</v>
      </c>
      <c r="L288" s="17">
        <v>9.83106666666589E-2</v>
      </c>
      <c r="M288" s="17">
        <f t="shared" ref="M288" si="886">J288+L288</f>
        <v>0.20845961111110289</v>
      </c>
      <c r="N288" s="26">
        <v>-0.87868800000000002</v>
      </c>
      <c r="O288" s="7">
        <f t="shared" ref="O288" si="887">H288-M288-N288</f>
        <v>6.7538251888888983</v>
      </c>
    </row>
    <row r="289" spans="1:15" x14ac:dyDescent="0.7">
      <c r="A289" s="6"/>
      <c r="B289" s="6"/>
      <c r="C289" s="6">
        <v>14</v>
      </c>
      <c r="D289" s="7">
        <v>47.854999999999997</v>
      </c>
      <c r="E289" s="4">
        <v>0</v>
      </c>
      <c r="F289" s="7">
        <v>47.854999999999997</v>
      </c>
      <c r="G289" s="15">
        <f t="shared" ref="G289" si="888">F289*86400</f>
        <v>4134671.9999999995</v>
      </c>
      <c r="H289" s="21">
        <f t="shared" ref="H289" si="889">G289/1000000</f>
        <v>4.1346719999999992</v>
      </c>
      <c r="I289" s="17">
        <v>110528.394444444</v>
      </c>
      <c r="J289" s="31">
        <v>0.110528394444444</v>
      </c>
      <c r="K289" s="17">
        <v>98681.199999992299</v>
      </c>
      <c r="L289" s="17">
        <v>9.8681199999992197E-2</v>
      </c>
      <c r="M289" s="17">
        <f t="shared" ref="M289" si="890">J289+L289</f>
        <v>0.20920959444443621</v>
      </c>
      <c r="N289" s="26">
        <v>-0.88241760000000002</v>
      </c>
      <c r="O289" s="7">
        <f t="shared" ref="O289" si="891">H289-M289-N289</f>
        <v>4.8078800055555631</v>
      </c>
    </row>
    <row r="290" spans="1:15" x14ac:dyDescent="0.7">
      <c r="A290" s="6"/>
      <c r="B290" s="6"/>
      <c r="C290" s="6">
        <v>15</v>
      </c>
      <c r="D290" s="7">
        <v>39.909999999999997</v>
      </c>
      <c r="E290" s="4">
        <v>0</v>
      </c>
      <c r="F290" s="7">
        <v>39.909999999999997</v>
      </c>
      <c r="G290" s="15">
        <f t="shared" ref="G290" si="892">F290*86400</f>
        <v>3448223.9999999995</v>
      </c>
      <c r="H290" s="21">
        <f t="shared" ref="H290" si="893">G290/1000000</f>
        <v>3.4482239999999997</v>
      </c>
      <c r="I290" s="17">
        <v>110907.844444444</v>
      </c>
      <c r="J290" s="31">
        <v>0.110907844444444</v>
      </c>
      <c r="K290" s="17">
        <v>99051.733333325596</v>
      </c>
      <c r="L290" s="17">
        <v>9.9051733333325495E-2</v>
      </c>
      <c r="M290" s="17">
        <f t="shared" ref="M290" si="894">J290+L290</f>
        <v>0.2099595777777695</v>
      </c>
      <c r="N290" s="26">
        <v>-0.88614720000000002</v>
      </c>
      <c r="O290" s="7">
        <f t="shared" ref="O290" si="895">H290-M290-N290</f>
        <v>4.1244116222222305</v>
      </c>
    </row>
    <row r="291" spans="1:15" x14ac:dyDescent="0.7">
      <c r="A291" s="6"/>
      <c r="B291" s="6"/>
      <c r="C291" s="3">
        <v>16</v>
      </c>
      <c r="D291" s="7">
        <v>33.816000000000003</v>
      </c>
      <c r="E291" s="4">
        <v>0</v>
      </c>
      <c r="F291" s="7">
        <v>33.816000000000003</v>
      </c>
      <c r="G291" s="15">
        <f t="shared" ref="G291" si="896">F291*86400</f>
        <v>2921702.4000000004</v>
      </c>
      <c r="H291" s="21">
        <f t="shared" ref="H291" si="897">G291/1000000</f>
        <v>2.9217024000000005</v>
      </c>
      <c r="I291" s="17">
        <v>111287.29444444401</v>
      </c>
      <c r="J291" s="31">
        <v>0.111287294444444</v>
      </c>
      <c r="K291" s="17">
        <v>99422.266666658907</v>
      </c>
      <c r="L291" s="17">
        <v>9.9422266666658807E-2</v>
      </c>
      <c r="M291" s="17">
        <f t="shared" ref="M291" si="898">J291+L291</f>
        <v>0.21070956111110281</v>
      </c>
      <c r="N291" s="26">
        <v>-0.88987680000000002</v>
      </c>
      <c r="O291" s="7">
        <f t="shared" ref="O291" si="899">H291-M291-N291</f>
        <v>3.6008696388888977</v>
      </c>
    </row>
    <row r="292" spans="1:15" x14ac:dyDescent="0.7">
      <c r="A292" s="6"/>
      <c r="B292" s="6"/>
      <c r="C292" s="6">
        <v>17</v>
      </c>
      <c r="D292" s="7">
        <v>32.658000000000001</v>
      </c>
      <c r="E292" s="4">
        <v>0</v>
      </c>
      <c r="F292" s="7">
        <v>32.658000000000001</v>
      </c>
      <c r="G292" s="15">
        <f t="shared" ref="G292" si="900">F292*86400</f>
        <v>2821651.2</v>
      </c>
      <c r="H292" s="21">
        <f t="shared" ref="H292" si="901">G292/1000000</f>
        <v>2.8216512000000002</v>
      </c>
      <c r="I292" s="17">
        <v>111666.744444444</v>
      </c>
      <c r="J292" s="31">
        <v>0.11166674444444399</v>
      </c>
      <c r="K292" s="17">
        <v>99792.799999992203</v>
      </c>
      <c r="L292" s="17">
        <v>9.9792799999992104E-2</v>
      </c>
      <c r="M292" s="17">
        <f t="shared" ref="M292" si="902">J292+L292</f>
        <v>0.2114595444444361</v>
      </c>
      <c r="N292" s="26">
        <v>-0.89360640000000002</v>
      </c>
      <c r="O292" s="7">
        <f t="shared" ref="O292" si="903">H292-M292-N292</f>
        <v>3.5037980555555639</v>
      </c>
    </row>
    <row r="293" spans="1:15" x14ac:dyDescent="0.7">
      <c r="A293" s="6"/>
      <c r="B293" s="6"/>
      <c r="C293" s="6">
        <v>18</v>
      </c>
      <c r="D293" s="7">
        <v>27.196999999999999</v>
      </c>
      <c r="E293" s="4">
        <v>0</v>
      </c>
      <c r="F293" s="7">
        <v>27.196999999999999</v>
      </c>
      <c r="G293" s="15">
        <f t="shared" ref="G293" si="904">F293*86400</f>
        <v>2349820.7999999998</v>
      </c>
      <c r="H293" s="21">
        <f t="shared" ref="H293" si="905">G293/1000000</f>
        <v>2.3498207999999998</v>
      </c>
      <c r="I293" s="17">
        <v>112046.194444444</v>
      </c>
      <c r="J293" s="31">
        <v>0.112046194444444</v>
      </c>
      <c r="K293" s="17">
        <v>100163.333333325</v>
      </c>
      <c r="L293" s="17">
        <v>0.100163333333325</v>
      </c>
      <c r="M293" s="17">
        <f t="shared" ref="M293" si="906">J293+L293</f>
        <v>0.212209527777769</v>
      </c>
      <c r="N293" s="26">
        <v>-0.89733600000000002</v>
      </c>
      <c r="O293" s="7">
        <f t="shared" ref="O293" si="907">H293-M293-N293</f>
        <v>3.0349472722222308</v>
      </c>
    </row>
    <row r="294" spans="1:15" x14ac:dyDescent="0.7">
      <c r="A294" s="6"/>
      <c r="B294" s="6"/>
      <c r="C294" s="3">
        <v>19</v>
      </c>
      <c r="D294" s="7">
        <v>25.183999999999997</v>
      </c>
      <c r="E294" s="4">
        <v>0</v>
      </c>
      <c r="F294" s="7">
        <v>25.183999999999997</v>
      </c>
      <c r="G294" s="15">
        <f t="shared" ref="G294" si="908">F294*86400</f>
        <v>2175897.5999999996</v>
      </c>
      <c r="H294" s="21">
        <f t="shared" ref="H294" si="909">G294/1000000</f>
        <v>2.1758975999999994</v>
      </c>
      <c r="I294" s="17">
        <v>112425.644444444</v>
      </c>
      <c r="J294" s="31">
        <v>0.112425644444444</v>
      </c>
      <c r="K294" s="17">
        <v>100533.866666659</v>
      </c>
      <c r="L294" s="17">
        <v>0.10053386666665901</v>
      </c>
      <c r="M294" s="17">
        <f t="shared" ref="M294" si="910">J294+L294</f>
        <v>0.21295951111110301</v>
      </c>
      <c r="N294" s="26">
        <v>-0.90106560000000002</v>
      </c>
      <c r="O294" s="7">
        <f t="shared" ref="O294" si="911">H294-M294-N294</f>
        <v>2.8640036888888964</v>
      </c>
    </row>
    <row r="295" spans="1:15" x14ac:dyDescent="0.7">
      <c r="A295" s="6"/>
      <c r="B295" s="6"/>
      <c r="C295" s="6">
        <v>20</v>
      </c>
      <c r="D295" s="7">
        <v>24.209</v>
      </c>
      <c r="E295" s="4">
        <v>0</v>
      </c>
      <c r="F295" s="7">
        <v>24.209</v>
      </c>
      <c r="G295" s="15">
        <f t="shared" ref="G295" si="912">F295*86400</f>
        <v>2091657.5999999999</v>
      </c>
      <c r="H295" s="21">
        <f t="shared" ref="H295" si="913">G295/1000000</f>
        <v>2.0916576</v>
      </c>
      <c r="I295" s="17">
        <v>112805.094444444</v>
      </c>
      <c r="J295" s="31">
        <v>0.112805094444444</v>
      </c>
      <c r="K295" s="17">
        <v>100904.39999999201</v>
      </c>
      <c r="L295" s="17">
        <v>0.100904399999992</v>
      </c>
      <c r="M295" s="17">
        <f t="shared" ref="M295" si="914">J295+L295</f>
        <v>0.21370949444443599</v>
      </c>
      <c r="N295" s="26">
        <v>-0.90479520000000002</v>
      </c>
      <c r="O295" s="7">
        <f t="shared" ref="O295" si="915">H295-M295-N295</f>
        <v>2.7827433055555639</v>
      </c>
    </row>
    <row r="296" spans="1:15" x14ac:dyDescent="0.7">
      <c r="A296" s="6"/>
      <c r="B296" s="6"/>
      <c r="C296" s="6">
        <v>21</v>
      </c>
      <c r="D296" s="7">
        <v>27.207000000000001</v>
      </c>
      <c r="E296" s="4">
        <v>13</v>
      </c>
      <c r="F296" s="7">
        <v>27.207000000000001</v>
      </c>
      <c r="G296" s="15">
        <f t="shared" ref="G296" si="916">F296*86400</f>
        <v>2350684.8000000003</v>
      </c>
      <c r="H296" s="21">
        <f t="shared" ref="H296" si="917">G296/1000000</f>
        <v>2.3506848000000002</v>
      </c>
      <c r="I296" s="17">
        <v>113184.54444444401</v>
      </c>
      <c r="J296" s="31">
        <v>0.11318454444444399</v>
      </c>
      <c r="K296" s="17">
        <v>101274.933333325</v>
      </c>
      <c r="L296" s="17">
        <v>0.101274933333325</v>
      </c>
      <c r="M296" s="17">
        <f t="shared" ref="M296" si="918">J296+L296</f>
        <v>0.214459477777769</v>
      </c>
      <c r="N296" s="26">
        <v>-0.90852480000000002</v>
      </c>
      <c r="O296" s="7">
        <f t="shared" ref="O296" si="919">H296-M296-N296</f>
        <v>3.0447501222222311</v>
      </c>
    </row>
    <row r="297" spans="1:15" x14ac:dyDescent="0.7">
      <c r="A297" s="6"/>
      <c r="B297" s="6"/>
      <c r="C297" s="3">
        <v>22</v>
      </c>
      <c r="D297" s="7">
        <v>40.915999999999997</v>
      </c>
      <c r="E297" s="4">
        <v>29.8</v>
      </c>
      <c r="F297" s="7">
        <v>40.915999999999997</v>
      </c>
      <c r="G297" s="15">
        <f t="shared" ref="G297" si="920">F297*86400</f>
        <v>3535142.4</v>
      </c>
      <c r="H297" s="21">
        <f t="shared" ref="H297" si="921">G297/1000000</f>
        <v>3.5351423999999998</v>
      </c>
      <c r="I297" s="17">
        <v>113563.994444444</v>
      </c>
      <c r="J297" s="31">
        <v>0.113563994444444</v>
      </c>
      <c r="K297" s="17">
        <v>101645.46666665901</v>
      </c>
      <c r="L297" s="17">
        <v>0.101645466666659</v>
      </c>
      <c r="M297" s="17">
        <f t="shared" ref="M297" si="922">J297+L297</f>
        <v>0.21520946111110301</v>
      </c>
      <c r="N297" s="26">
        <v>-0.91225440000000002</v>
      </c>
      <c r="O297" s="7">
        <f t="shared" ref="O297" si="923">H297-M297-N297</f>
        <v>4.2321873388888971</v>
      </c>
    </row>
    <row r="298" spans="1:15" x14ac:dyDescent="0.7">
      <c r="A298" s="6"/>
      <c r="B298" s="6"/>
      <c r="C298" s="6">
        <v>23</v>
      </c>
      <c r="D298" s="7">
        <v>61.857999999999997</v>
      </c>
      <c r="E298" s="4">
        <v>26.5</v>
      </c>
      <c r="F298" s="7">
        <v>61.857999999999997</v>
      </c>
      <c r="G298" s="15">
        <f t="shared" ref="G298" si="924">F298*86400</f>
        <v>5344531.2</v>
      </c>
      <c r="H298" s="21">
        <f t="shared" ref="H298" si="925">G298/1000000</f>
        <v>5.3445312000000005</v>
      </c>
      <c r="I298" s="17">
        <v>113943.444444444</v>
      </c>
      <c r="J298" s="31">
        <v>0.113943444444444</v>
      </c>
      <c r="K298" s="17">
        <v>102015.999999992</v>
      </c>
      <c r="L298" s="17">
        <v>0.102015999999992</v>
      </c>
      <c r="M298" s="17">
        <f t="shared" ref="M298" si="926">J298+L298</f>
        <v>0.21595944444443599</v>
      </c>
      <c r="N298" s="26">
        <v>-0.91598400000000002</v>
      </c>
      <c r="O298" s="7">
        <f t="shared" ref="O298" si="927">H298-M298-N298</f>
        <v>6.0445557555555647</v>
      </c>
    </row>
    <row r="299" spans="1:15" x14ac:dyDescent="0.7">
      <c r="A299" s="6"/>
      <c r="B299" s="6"/>
      <c r="C299" s="6">
        <v>24</v>
      </c>
      <c r="D299" s="7">
        <v>131.99600000000001</v>
      </c>
      <c r="E299" s="4">
        <v>3.3</v>
      </c>
      <c r="F299" s="7">
        <v>131.99600000000001</v>
      </c>
      <c r="G299" s="15">
        <f t="shared" ref="G299" si="928">F299*86400</f>
        <v>11404454.4</v>
      </c>
      <c r="H299" s="21">
        <f t="shared" ref="H299" si="929">G299/1000000</f>
        <v>11.404454400000001</v>
      </c>
      <c r="I299" s="17">
        <v>114322.894444444</v>
      </c>
      <c r="J299" s="31">
        <v>0.114322894444444</v>
      </c>
      <c r="K299" s="17">
        <v>102386.533333325</v>
      </c>
      <c r="L299" s="17">
        <v>0.10238653333332499</v>
      </c>
      <c r="M299" s="17">
        <f t="shared" ref="M299" si="930">J299+L299</f>
        <v>0.216709427777769</v>
      </c>
      <c r="N299" s="26">
        <v>-0.91971360000000002</v>
      </c>
      <c r="O299" s="7">
        <f t="shared" ref="O299" si="931">H299-M299-N299</f>
        <v>12.107458572222232</v>
      </c>
    </row>
    <row r="300" spans="1:15" x14ac:dyDescent="0.7">
      <c r="A300" s="6"/>
      <c r="B300" s="6"/>
      <c r="C300" s="3">
        <v>25</v>
      </c>
      <c r="D300" s="7">
        <v>72.028000000000006</v>
      </c>
      <c r="E300" s="4">
        <v>0</v>
      </c>
      <c r="F300" s="7">
        <v>72.028000000000006</v>
      </c>
      <c r="G300" s="15">
        <f t="shared" ref="G300" si="932">F300*86400</f>
        <v>6223219.2000000002</v>
      </c>
      <c r="H300" s="21">
        <f t="shared" ref="H300" si="933">G300/1000000</f>
        <v>6.2232192</v>
      </c>
      <c r="I300" s="17">
        <v>114702.344444444</v>
      </c>
      <c r="J300" s="31">
        <v>0.11470234444444399</v>
      </c>
      <c r="K300" s="17">
        <v>102757.066666659</v>
      </c>
      <c r="L300" s="17">
        <v>0.102757066666659</v>
      </c>
      <c r="M300" s="17">
        <f t="shared" ref="M300" si="934">J300+L300</f>
        <v>0.21745941111110301</v>
      </c>
      <c r="N300" s="26">
        <v>-0.92344320000000002</v>
      </c>
      <c r="O300" s="7">
        <f t="shared" ref="O300" si="935">H300-M300-N300</f>
        <v>6.9292029888888971</v>
      </c>
    </row>
    <row r="301" spans="1:15" x14ac:dyDescent="0.7">
      <c r="A301" s="6"/>
      <c r="B301" s="6"/>
      <c r="C301" s="6">
        <v>26</v>
      </c>
      <c r="D301" s="7">
        <v>60.248000000000005</v>
      </c>
      <c r="E301" s="4">
        <v>0</v>
      </c>
      <c r="F301" s="7">
        <v>60.248000000000005</v>
      </c>
      <c r="G301" s="15">
        <f t="shared" ref="G301" si="936">F301*86400</f>
        <v>5205427.2</v>
      </c>
      <c r="H301" s="21">
        <f t="shared" ref="H301" si="937">G301/1000000</f>
        <v>5.2054271999999999</v>
      </c>
      <c r="I301" s="17">
        <v>115081.79444444401</v>
      </c>
      <c r="J301" s="31">
        <v>0.115081794444444</v>
      </c>
      <c r="K301" s="17">
        <v>103127.599999992</v>
      </c>
      <c r="L301" s="17">
        <v>0.10312759999999201</v>
      </c>
      <c r="M301" s="17">
        <f t="shared" ref="M301" si="938">J301+L301</f>
        <v>0.21820939444443599</v>
      </c>
      <c r="N301" s="26">
        <v>-0.92717280000000002</v>
      </c>
      <c r="O301" s="7">
        <f t="shared" ref="O301" si="939">H301-M301-N301</f>
        <v>5.914390605555564</v>
      </c>
    </row>
    <row r="302" spans="1:15" x14ac:dyDescent="0.7">
      <c r="A302" s="6"/>
      <c r="B302" s="6"/>
      <c r="C302" s="6">
        <v>27</v>
      </c>
      <c r="D302" s="7">
        <v>49.467999999999996</v>
      </c>
      <c r="E302" s="4">
        <v>0</v>
      </c>
      <c r="F302" s="7">
        <v>49.467999999999996</v>
      </c>
      <c r="G302" s="15">
        <f t="shared" ref="G302" si="940">F302*86400</f>
        <v>4274035.1999999993</v>
      </c>
      <c r="H302" s="21">
        <f t="shared" ref="H302" si="941">G302/1000000</f>
        <v>4.2740351999999993</v>
      </c>
      <c r="I302" s="17">
        <v>115461.244444444</v>
      </c>
      <c r="J302" s="31">
        <v>0.115461244444444</v>
      </c>
      <c r="K302" s="17">
        <v>103498.13333332499</v>
      </c>
      <c r="L302" s="17">
        <v>0.103498133333325</v>
      </c>
      <c r="M302" s="17">
        <f t="shared" ref="M302" si="942">J302+L302</f>
        <v>0.218959377777769</v>
      </c>
      <c r="N302" s="26">
        <v>-0.93090240000000002</v>
      </c>
      <c r="O302" s="7">
        <f t="shared" ref="O302" si="943">H302-M302-N302</f>
        <v>4.9859782222222302</v>
      </c>
    </row>
    <row r="303" spans="1:15" x14ac:dyDescent="0.7">
      <c r="A303" s="6"/>
      <c r="B303" s="6"/>
      <c r="C303" s="3">
        <v>28</v>
      </c>
      <c r="D303" s="7">
        <v>40.884999999999998</v>
      </c>
      <c r="E303" s="4">
        <v>0</v>
      </c>
      <c r="F303" s="7">
        <v>40.884999999999998</v>
      </c>
      <c r="G303" s="15">
        <f t="shared" ref="G303" si="944">F303*86400</f>
        <v>3532464</v>
      </c>
      <c r="H303" s="21">
        <f t="shared" ref="H303" si="945">G303/1000000</f>
        <v>3.532464</v>
      </c>
      <c r="I303" s="17">
        <v>115840.694444444</v>
      </c>
      <c r="J303" s="31">
        <v>0.115840694444444</v>
      </c>
      <c r="K303" s="17">
        <v>103868.666666658</v>
      </c>
      <c r="L303" s="17">
        <v>0.103868666666658</v>
      </c>
      <c r="M303" s="17">
        <f t="shared" ref="M303" si="946">J303+L303</f>
        <v>0.21970936111110201</v>
      </c>
      <c r="N303" s="26">
        <v>-0.93463200000000002</v>
      </c>
      <c r="O303" s="7">
        <f t="shared" ref="O303" si="947">H303-M303-N303</f>
        <v>4.2473866388888979</v>
      </c>
    </row>
    <row r="304" spans="1:15" x14ac:dyDescent="0.7">
      <c r="A304" s="12"/>
      <c r="B304" s="12"/>
      <c r="C304" s="12">
        <v>29</v>
      </c>
      <c r="D304" s="33">
        <v>35.515000000000001</v>
      </c>
      <c r="E304" s="4">
        <v>0</v>
      </c>
      <c r="F304" s="33">
        <v>35.515000000000001</v>
      </c>
      <c r="G304" s="35">
        <f t="shared" ref="G304:G367" si="948">F304*86400</f>
        <v>3068496</v>
      </c>
      <c r="H304" s="36">
        <f t="shared" ref="H304:H367" si="949">G304/1000000</f>
        <v>3.0684960000000001</v>
      </c>
      <c r="I304" s="37">
        <v>116220.144444444</v>
      </c>
      <c r="J304" s="38">
        <v>0.11622014444444401</v>
      </c>
      <c r="K304" s="37">
        <v>104239.19999999199</v>
      </c>
      <c r="L304" s="37">
        <v>0.104239199999992</v>
      </c>
      <c r="M304" s="37">
        <f t="shared" ref="M304:M367" si="950">J304+L304</f>
        <v>0.22045934444443599</v>
      </c>
      <c r="N304" s="39">
        <v>-0.93836160000000002</v>
      </c>
      <c r="O304" s="33">
        <f t="shared" ref="O304:O367" si="951">H304-M304-N304</f>
        <v>3.786398255555564</v>
      </c>
    </row>
    <row r="305" spans="1:15" s="42" customFormat="1" x14ac:dyDescent="0.7">
      <c r="A305" s="6"/>
      <c r="B305" s="6"/>
      <c r="C305" s="6">
        <v>30</v>
      </c>
      <c r="D305" s="7">
        <v>32.94</v>
      </c>
      <c r="E305" s="4">
        <v>0</v>
      </c>
      <c r="F305" s="7">
        <v>32.94</v>
      </c>
      <c r="G305" s="40">
        <f t="shared" si="948"/>
        <v>2846016</v>
      </c>
      <c r="H305" s="20">
        <f t="shared" si="949"/>
        <v>2.8460160000000001</v>
      </c>
      <c r="I305" s="17">
        <v>116599.594444444</v>
      </c>
      <c r="J305" s="31">
        <v>0.116599594444444</v>
      </c>
      <c r="K305" s="17">
        <v>104609.733333325</v>
      </c>
      <c r="L305" s="17">
        <v>0.104609733333325</v>
      </c>
      <c r="M305" s="17">
        <f t="shared" si="950"/>
        <v>0.221209327777769</v>
      </c>
      <c r="N305" s="26">
        <v>-0.94209120000000002</v>
      </c>
      <c r="O305" s="7">
        <f t="shared" si="951"/>
        <v>3.5668978722222313</v>
      </c>
    </row>
    <row r="306" spans="1:15" s="50" customFormat="1" ht="25.2" thickBot="1" x14ac:dyDescent="0.75">
      <c r="A306" s="11"/>
      <c r="B306" s="11" t="s">
        <v>24</v>
      </c>
      <c r="C306" s="11">
        <v>31</v>
      </c>
      <c r="D306" s="19">
        <v>30.442999999999998</v>
      </c>
      <c r="E306" s="19">
        <v>2.8</v>
      </c>
      <c r="F306" s="19">
        <v>30.442999999999998</v>
      </c>
      <c r="G306" s="28">
        <f t="shared" si="948"/>
        <v>2630275.1999999997</v>
      </c>
      <c r="H306" s="29">
        <f t="shared" si="949"/>
        <v>2.6302751999999998</v>
      </c>
      <c r="I306" s="43">
        <v>116979.04444444401</v>
      </c>
      <c r="J306" s="44">
        <v>0.116979044444444</v>
      </c>
      <c r="K306" s="43">
        <v>104980.266666658</v>
      </c>
      <c r="L306" s="43">
        <v>0.104980266666658</v>
      </c>
      <c r="M306" s="43">
        <f t="shared" si="950"/>
        <v>0.22195931111110201</v>
      </c>
      <c r="N306" s="45">
        <v>-0.94582080000000002</v>
      </c>
      <c r="O306" s="19">
        <f t="shared" si="951"/>
        <v>3.3541366888888975</v>
      </c>
    </row>
    <row r="307" spans="1:15" x14ac:dyDescent="0.7">
      <c r="A307" s="23"/>
      <c r="B307" s="23" t="s">
        <v>25</v>
      </c>
      <c r="C307" s="23">
        <v>1</v>
      </c>
      <c r="D307" s="24">
        <v>30.442999999999998</v>
      </c>
      <c r="E307" s="4">
        <v>0</v>
      </c>
      <c r="F307" s="24">
        <v>30.442999999999998</v>
      </c>
      <c r="G307" s="15">
        <f t="shared" si="948"/>
        <v>2630275.1999999997</v>
      </c>
      <c r="H307" s="21">
        <f t="shared" si="949"/>
        <v>2.6302751999999998</v>
      </c>
      <c r="I307" s="16">
        <v>117358.494444444</v>
      </c>
      <c r="J307" s="25">
        <v>0.117358494444444</v>
      </c>
      <c r="K307" s="16">
        <v>105350.799999992</v>
      </c>
      <c r="L307" s="16">
        <v>0.105350799999992</v>
      </c>
      <c r="M307" s="16">
        <f t="shared" si="950"/>
        <v>0.22270929444443599</v>
      </c>
      <c r="N307" s="27">
        <v>-0.94955040000000002</v>
      </c>
      <c r="O307" s="4">
        <f t="shared" si="951"/>
        <v>3.357116305555564</v>
      </c>
    </row>
    <row r="308" spans="1:15" x14ac:dyDescent="0.7">
      <c r="A308" s="6"/>
      <c r="B308" s="6"/>
      <c r="C308" s="6">
        <v>2</v>
      </c>
      <c r="D308" s="7">
        <v>28.024000000000001</v>
      </c>
      <c r="E308" s="4">
        <v>0</v>
      </c>
      <c r="F308" s="7">
        <v>28.024000000000001</v>
      </c>
      <c r="G308" s="15">
        <f t="shared" si="948"/>
        <v>2421273.6000000001</v>
      </c>
      <c r="H308" s="21">
        <f t="shared" si="949"/>
        <v>2.4212736000000001</v>
      </c>
      <c r="I308" s="17">
        <v>117737.944444444</v>
      </c>
      <c r="J308" s="31">
        <v>0.11773794444444401</v>
      </c>
      <c r="K308" s="17">
        <v>105721.333333325</v>
      </c>
      <c r="L308" s="17">
        <v>0.10572133333332499</v>
      </c>
      <c r="M308" s="17">
        <f t="shared" si="950"/>
        <v>0.223459277777769</v>
      </c>
      <c r="N308" s="26">
        <v>-0.95328000000000002</v>
      </c>
      <c r="O308" s="7">
        <f t="shared" si="951"/>
        <v>3.1510943222222312</v>
      </c>
    </row>
    <row r="309" spans="1:15" x14ac:dyDescent="0.7">
      <c r="A309" s="6"/>
      <c r="B309" s="6"/>
      <c r="C309" s="6">
        <v>3</v>
      </c>
      <c r="D309" s="7">
        <v>26.846</v>
      </c>
      <c r="E309" s="4">
        <v>0</v>
      </c>
      <c r="F309" s="7">
        <v>26.846</v>
      </c>
      <c r="G309" s="15">
        <f t="shared" si="948"/>
        <v>2319494.4</v>
      </c>
      <c r="H309" s="21">
        <f t="shared" si="949"/>
        <v>2.3194944</v>
      </c>
      <c r="I309" s="17">
        <v>118117.394444444</v>
      </c>
      <c r="J309" s="31">
        <v>0.118117394444444</v>
      </c>
      <c r="K309" s="17">
        <v>106091.866666658</v>
      </c>
      <c r="L309" s="17">
        <v>0.106091866666658</v>
      </c>
      <c r="M309" s="17">
        <f t="shared" si="950"/>
        <v>0.22420926111110201</v>
      </c>
      <c r="N309" s="26">
        <v>-0.95700960000000002</v>
      </c>
      <c r="O309" s="7">
        <f t="shared" si="951"/>
        <v>3.0522947388888979</v>
      </c>
    </row>
    <row r="310" spans="1:15" x14ac:dyDescent="0.7">
      <c r="A310" s="6"/>
      <c r="B310" s="6"/>
      <c r="C310" s="3">
        <v>4</v>
      </c>
      <c r="D310" s="7">
        <v>26.846</v>
      </c>
      <c r="E310" s="4">
        <v>0</v>
      </c>
      <c r="F310" s="7">
        <v>26.846</v>
      </c>
      <c r="G310" s="15">
        <f t="shared" si="948"/>
        <v>2319494.4</v>
      </c>
      <c r="H310" s="21">
        <f t="shared" si="949"/>
        <v>2.3194944</v>
      </c>
      <c r="I310" s="17">
        <v>118496.844444444</v>
      </c>
      <c r="J310" s="31">
        <v>0.118496844444444</v>
      </c>
      <c r="K310" s="17">
        <v>106462.39999999201</v>
      </c>
      <c r="L310" s="17">
        <v>0.10646239999999201</v>
      </c>
      <c r="M310" s="17">
        <f t="shared" si="950"/>
        <v>0.22495924444443599</v>
      </c>
      <c r="N310" s="26">
        <v>-0.96073920000000002</v>
      </c>
      <c r="O310" s="7">
        <f t="shared" si="951"/>
        <v>3.0552743555555639</v>
      </c>
    </row>
    <row r="311" spans="1:15" x14ac:dyDescent="0.7">
      <c r="A311" s="6"/>
      <c r="B311" s="6"/>
      <c r="C311" s="6">
        <v>5</v>
      </c>
      <c r="D311" s="7">
        <v>25.687999999999999</v>
      </c>
      <c r="E311" s="4">
        <v>0</v>
      </c>
      <c r="F311" s="7">
        <v>25.687999999999999</v>
      </c>
      <c r="G311" s="15">
        <f t="shared" si="948"/>
        <v>2219443.1999999997</v>
      </c>
      <c r="H311" s="21">
        <f t="shared" si="949"/>
        <v>2.2194431999999997</v>
      </c>
      <c r="I311" s="17">
        <v>118876.29444444401</v>
      </c>
      <c r="J311" s="31">
        <v>0.118876294444444</v>
      </c>
      <c r="K311" s="17">
        <v>106832.933333325</v>
      </c>
      <c r="L311" s="17">
        <v>0.106832933333325</v>
      </c>
      <c r="M311" s="17">
        <f t="shared" si="950"/>
        <v>0.225709227777769</v>
      </c>
      <c r="N311" s="26">
        <v>-0.96446880000000001</v>
      </c>
      <c r="O311" s="7">
        <f t="shared" si="951"/>
        <v>2.9582027722222306</v>
      </c>
    </row>
    <row r="312" spans="1:15" x14ac:dyDescent="0.7">
      <c r="A312" s="6"/>
      <c r="B312" s="6"/>
      <c r="C312" s="6">
        <v>6</v>
      </c>
      <c r="D312" s="7">
        <v>21.274000000000001</v>
      </c>
      <c r="E312" s="4">
        <v>0</v>
      </c>
      <c r="F312" s="7">
        <v>21.274000000000001</v>
      </c>
      <c r="G312" s="15">
        <f t="shared" si="948"/>
        <v>1838073.6</v>
      </c>
      <c r="H312" s="21">
        <f t="shared" si="949"/>
        <v>1.8380736000000002</v>
      </c>
      <c r="I312" s="17">
        <v>119255.744444444</v>
      </c>
      <c r="J312" s="31">
        <v>0.11925574444444401</v>
      </c>
      <c r="K312" s="17">
        <v>107203.466666658</v>
      </c>
      <c r="L312" s="17">
        <v>0.107203466666658</v>
      </c>
      <c r="M312" s="17">
        <f t="shared" si="950"/>
        <v>0.22645921111110201</v>
      </c>
      <c r="N312" s="26">
        <v>-0.96819840000000001</v>
      </c>
      <c r="O312" s="7">
        <f t="shared" si="951"/>
        <v>2.5798127888888982</v>
      </c>
    </row>
    <row r="313" spans="1:15" x14ac:dyDescent="0.7">
      <c r="A313" s="6"/>
      <c r="B313" s="6"/>
      <c r="C313" s="3">
        <v>7</v>
      </c>
      <c r="D313" s="7">
        <v>20.227</v>
      </c>
      <c r="E313" s="4">
        <v>0</v>
      </c>
      <c r="F313" s="7">
        <v>20.227</v>
      </c>
      <c r="G313" s="15">
        <f t="shared" si="948"/>
        <v>1747612.8</v>
      </c>
      <c r="H313" s="21">
        <f t="shared" si="949"/>
        <v>1.7476128</v>
      </c>
      <c r="I313" s="17">
        <v>119635.194444444</v>
      </c>
      <c r="J313" s="31">
        <v>0.119635194444444</v>
      </c>
      <c r="K313" s="17">
        <v>107573.999999992</v>
      </c>
      <c r="L313" s="17">
        <v>0.107573999999991</v>
      </c>
      <c r="M313" s="17">
        <f t="shared" si="950"/>
        <v>0.22720919444443499</v>
      </c>
      <c r="N313" s="26">
        <v>-0.97192800000000001</v>
      </c>
      <c r="O313" s="7">
        <f t="shared" si="951"/>
        <v>2.4923316055555649</v>
      </c>
    </row>
    <row r="314" spans="1:15" x14ac:dyDescent="0.7">
      <c r="A314" s="6"/>
      <c r="B314" s="6"/>
      <c r="C314" s="6">
        <v>8</v>
      </c>
      <c r="D314" s="7">
        <v>19.202999999999999</v>
      </c>
      <c r="E314" s="4">
        <v>0</v>
      </c>
      <c r="F314" s="7">
        <v>19.202999999999999</v>
      </c>
      <c r="G314" s="15">
        <f t="shared" si="948"/>
        <v>1659139.2</v>
      </c>
      <c r="H314" s="21">
        <f t="shared" si="949"/>
        <v>1.6591392</v>
      </c>
      <c r="I314" s="17">
        <v>120014.644444444</v>
      </c>
      <c r="J314" s="31">
        <v>0.120014644444444</v>
      </c>
      <c r="K314" s="17">
        <v>107944.533333325</v>
      </c>
      <c r="L314" s="17">
        <v>0.107944533333325</v>
      </c>
      <c r="M314" s="17">
        <f t="shared" si="950"/>
        <v>0.227959177777769</v>
      </c>
      <c r="N314" s="26">
        <v>-0.97565760000000001</v>
      </c>
      <c r="O314" s="7">
        <f t="shared" si="951"/>
        <v>2.406837622222231</v>
      </c>
    </row>
    <row r="315" spans="1:15" x14ac:dyDescent="0.7">
      <c r="A315" s="6"/>
      <c r="B315" s="6"/>
      <c r="C315" s="6">
        <v>9</v>
      </c>
      <c r="D315" s="7">
        <v>19.202999999999999</v>
      </c>
      <c r="E315" s="4">
        <v>0</v>
      </c>
      <c r="F315" s="7">
        <v>19.202999999999999</v>
      </c>
      <c r="G315" s="15">
        <f t="shared" si="948"/>
        <v>1659139.2</v>
      </c>
      <c r="H315" s="21">
        <f t="shared" si="949"/>
        <v>1.6591392</v>
      </c>
      <c r="I315" s="17">
        <v>120394.094444444</v>
      </c>
      <c r="J315" s="31">
        <v>0.120394094444444</v>
      </c>
      <c r="K315" s="17">
        <v>108315.06666665799</v>
      </c>
      <c r="L315" s="17">
        <v>0.10831506666665799</v>
      </c>
      <c r="M315" s="17">
        <f t="shared" si="950"/>
        <v>0.22870916111110201</v>
      </c>
      <c r="N315" s="26">
        <v>-0.97938720000000001</v>
      </c>
      <c r="O315" s="7">
        <f t="shared" si="951"/>
        <v>2.4098172388888979</v>
      </c>
    </row>
    <row r="316" spans="1:15" x14ac:dyDescent="0.7">
      <c r="A316" s="6"/>
      <c r="B316" s="6"/>
      <c r="C316" s="3">
        <v>10</v>
      </c>
      <c r="D316" s="7">
        <v>28.094000000000001</v>
      </c>
      <c r="E316" s="4">
        <v>1</v>
      </c>
      <c r="F316" s="7">
        <v>28.094000000000001</v>
      </c>
      <c r="G316" s="15">
        <f t="shared" si="948"/>
        <v>2427321.6</v>
      </c>
      <c r="H316" s="21">
        <f t="shared" si="949"/>
        <v>2.4273216</v>
      </c>
      <c r="I316" s="17">
        <v>120773.54444444401</v>
      </c>
      <c r="J316" s="31">
        <v>0.12077354444444401</v>
      </c>
      <c r="K316" s="17">
        <v>108685.599999991</v>
      </c>
      <c r="L316" s="17">
        <v>0.108685599999991</v>
      </c>
      <c r="M316" s="17">
        <f t="shared" si="950"/>
        <v>0.22945914444443499</v>
      </c>
      <c r="N316" s="26">
        <v>-0.98311680000000001</v>
      </c>
      <c r="O316" s="7">
        <f t="shared" si="951"/>
        <v>3.1809792555555649</v>
      </c>
    </row>
    <row r="317" spans="1:15" x14ac:dyDescent="0.7">
      <c r="A317" s="6"/>
      <c r="B317" s="6"/>
      <c r="C317" s="6">
        <v>11</v>
      </c>
      <c r="D317" s="7">
        <v>28.091000000000001</v>
      </c>
      <c r="E317" s="4">
        <v>0.5</v>
      </c>
      <c r="F317" s="7">
        <v>28.091000000000001</v>
      </c>
      <c r="G317" s="15">
        <f t="shared" si="948"/>
        <v>2427062.4</v>
      </c>
      <c r="H317" s="21">
        <f t="shared" si="949"/>
        <v>2.4270624000000001</v>
      </c>
      <c r="I317" s="17">
        <v>121152.994444444</v>
      </c>
      <c r="J317" s="31">
        <v>0.121152994444444</v>
      </c>
      <c r="K317" s="17">
        <v>109056.13333332499</v>
      </c>
      <c r="L317" s="17">
        <v>0.10905613333332501</v>
      </c>
      <c r="M317" s="17">
        <f t="shared" si="950"/>
        <v>0.230209127777769</v>
      </c>
      <c r="N317" s="26">
        <v>-0.98684640000000001</v>
      </c>
      <c r="O317" s="7">
        <f t="shared" si="951"/>
        <v>3.183699672222231</v>
      </c>
    </row>
    <row r="318" spans="1:15" x14ac:dyDescent="0.7">
      <c r="A318" s="6"/>
      <c r="B318" s="6"/>
      <c r="C318" s="6">
        <v>12</v>
      </c>
      <c r="D318" s="7">
        <v>34.288000000000004</v>
      </c>
      <c r="E318" s="4">
        <v>1.4</v>
      </c>
      <c r="F318" s="7">
        <v>34.288000000000004</v>
      </c>
      <c r="G318" s="15">
        <f t="shared" si="948"/>
        <v>2962483.2000000002</v>
      </c>
      <c r="H318" s="21">
        <f t="shared" si="949"/>
        <v>2.9624832000000003</v>
      </c>
      <c r="I318" s="17">
        <v>121532.444444444</v>
      </c>
      <c r="J318" s="31">
        <v>0.121532444444444</v>
      </c>
      <c r="K318" s="17">
        <v>109426.666666658</v>
      </c>
      <c r="L318" s="17">
        <v>0.109426666666658</v>
      </c>
      <c r="M318" s="17">
        <f t="shared" si="950"/>
        <v>0.23095911111110201</v>
      </c>
      <c r="N318" s="26">
        <v>-0.99057600000000001</v>
      </c>
      <c r="O318" s="7">
        <f t="shared" si="951"/>
        <v>3.7221000888888982</v>
      </c>
    </row>
    <row r="319" spans="1:15" x14ac:dyDescent="0.7">
      <c r="A319" s="6"/>
      <c r="B319" s="6"/>
      <c r="C319" s="3">
        <v>13</v>
      </c>
      <c r="D319" s="7">
        <v>30.512999999999998</v>
      </c>
      <c r="E319" s="4">
        <v>3.1</v>
      </c>
      <c r="F319" s="7">
        <v>30.512999999999998</v>
      </c>
      <c r="G319" s="15">
        <f t="shared" si="948"/>
        <v>2636323.1999999997</v>
      </c>
      <c r="H319" s="21">
        <f t="shared" si="949"/>
        <v>2.6363231999999996</v>
      </c>
      <c r="I319" s="17">
        <v>121911.894444444</v>
      </c>
      <c r="J319" s="31">
        <v>0.121911894444444</v>
      </c>
      <c r="K319" s="17">
        <v>109797.199999991</v>
      </c>
      <c r="L319" s="17">
        <v>0.109797199999991</v>
      </c>
      <c r="M319" s="17">
        <f t="shared" si="950"/>
        <v>0.23170909444443499</v>
      </c>
      <c r="N319" s="26">
        <v>-0.99430560000000001</v>
      </c>
      <c r="O319" s="7">
        <f t="shared" si="951"/>
        <v>3.3989197055555649</v>
      </c>
    </row>
    <row r="320" spans="1:15" x14ac:dyDescent="0.7">
      <c r="A320" s="6"/>
      <c r="B320" s="6"/>
      <c r="C320" s="6">
        <v>14</v>
      </c>
      <c r="D320" s="7">
        <v>29.292999999999999</v>
      </c>
      <c r="E320" s="4">
        <v>0</v>
      </c>
      <c r="F320" s="7">
        <v>29.292999999999999</v>
      </c>
      <c r="G320" s="15">
        <f t="shared" si="948"/>
        <v>2530915.1999999997</v>
      </c>
      <c r="H320" s="21">
        <f t="shared" si="949"/>
        <v>2.5309151999999999</v>
      </c>
      <c r="I320" s="17">
        <v>122291.344444444</v>
      </c>
      <c r="J320" s="31">
        <v>0.12229134444444401</v>
      </c>
      <c r="K320" s="17">
        <v>110167.733333325</v>
      </c>
      <c r="L320" s="17">
        <v>0.110167733333324</v>
      </c>
      <c r="M320" s="17">
        <f t="shared" si="950"/>
        <v>0.232459077777768</v>
      </c>
      <c r="N320" s="26">
        <v>-0.99803520000000001</v>
      </c>
      <c r="O320" s="7">
        <f t="shared" si="951"/>
        <v>3.2964913222222316</v>
      </c>
    </row>
    <row r="321" spans="1:15" x14ac:dyDescent="0.7">
      <c r="A321" s="6"/>
      <c r="B321" s="6"/>
      <c r="C321" s="6">
        <v>15</v>
      </c>
      <c r="D321" s="7">
        <v>26.916</v>
      </c>
      <c r="E321" s="4">
        <v>0</v>
      </c>
      <c r="F321" s="7">
        <v>26.916</v>
      </c>
      <c r="G321" s="15">
        <f t="shared" si="948"/>
        <v>2325542.4</v>
      </c>
      <c r="H321" s="21">
        <f t="shared" si="949"/>
        <v>2.3255423999999998</v>
      </c>
      <c r="I321" s="17">
        <v>122670.79444444401</v>
      </c>
      <c r="J321" s="31">
        <v>0.122670794444444</v>
      </c>
      <c r="K321" s="17">
        <v>110538.266666658</v>
      </c>
      <c r="L321" s="17">
        <v>0.110538266666658</v>
      </c>
      <c r="M321" s="17">
        <f t="shared" si="950"/>
        <v>0.23320906111110201</v>
      </c>
      <c r="N321" s="26">
        <v>-1.0017647999999999</v>
      </c>
      <c r="O321" s="7">
        <f t="shared" si="951"/>
        <v>3.0940981388888975</v>
      </c>
    </row>
    <row r="322" spans="1:15" x14ac:dyDescent="0.7">
      <c r="A322" s="6"/>
      <c r="B322" s="6"/>
      <c r="C322" s="3">
        <v>16</v>
      </c>
      <c r="D322" s="7">
        <v>24.622</v>
      </c>
      <c r="E322" s="4">
        <v>0</v>
      </c>
      <c r="F322" s="7">
        <v>24.622</v>
      </c>
      <c r="G322" s="15">
        <f t="shared" si="948"/>
        <v>2127340.7999999998</v>
      </c>
      <c r="H322" s="21">
        <f t="shared" si="949"/>
        <v>2.1273407999999998</v>
      </c>
      <c r="I322" s="17">
        <v>123050.244444443</v>
      </c>
      <c r="J322" s="31">
        <v>0.123050244444444</v>
      </c>
      <c r="K322" s="17">
        <v>110908.799999991</v>
      </c>
      <c r="L322" s="17">
        <v>0.110908799999991</v>
      </c>
      <c r="M322" s="17">
        <f t="shared" si="950"/>
        <v>0.23395904444443499</v>
      </c>
      <c r="N322" s="26">
        <v>-1.0054943999999999</v>
      </c>
      <c r="O322" s="7">
        <f t="shared" si="951"/>
        <v>2.8988761555555644</v>
      </c>
    </row>
    <row r="323" spans="1:15" x14ac:dyDescent="0.7">
      <c r="A323" s="6"/>
      <c r="B323" s="6"/>
      <c r="C323" s="6">
        <v>17</v>
      </c>
      <c r="D323" s="7">
        <v>22.413999999999998</v>
      </c>
      <c r="E323" s="4">
        <v>0</v>
      </c>
      <c r="F323" s="7">
        <v>22.413999999999998</v>
      </c>
      <c r="G323" s="15">
        <f t="shared" si="948"/>
        <v>1936569.5999999999</v>
      </c>
      <c r="H323" s="21">
        <f t="shared" si="949"/>
        <v>1.9365695999999999</v>
      </c>
      <c r="I323" s="17">
        <v>123429.694444443</v>
      </c>
      <c r="J323" s="31">
        <v>0.123429694444444</v>
      </c>
      <c r="K323" s="17">
        <v>111279.333333324</v>
      </c>
      <c r="L323" s="17">
        <v>0.111279333333324</v>
      </c>
      <c r="M323" s="17">
        <f t="shared" si="950"/>
        <v>0.234709027777768</v>
      </c>
      <c r="N323" s="26">
        <v>-1.0092239999999999</v>
      </c>
      <c r="O323" s="7">
        <f t="shared" si="951"/>
        <v>2.7110845722222319</v>
      </c>
    </row>
    <row r="324" spans="1:15" x14ac:dyDescent="0.7">
      <c r="A324" s="6"/>
      <c r="B324" s="6"/>
      <c r="C324" s="6">
        <v>18</v>
      </c>
      <c r="D324" s="7">
        <v>21.344000000000001</v>
      </c>
      <c r="E324" s="4">
        <v>0</v>
      </c>
      <c r="F324" s="7">
        <v>21.344000000000001</v>
      </c>
      <c r="G324" s="15">
        <f t="shared" si="948"/>
        <v>1844121.6000000001</v>
      </c>
      <c r="H324" s="21">
        <f t="shared" si="949"/>
        <v>1.8441216</v>
      </c>
      <c r="I324" s="17">
        <v>123809.14444444299</v>
      </c>
      <c r="J324" s="31">
        <v>0.12380914444444401</v>
      </c>
      <c r="K324" s="17">
        <v>111649.866666658</v>
      </c>
      <c r="L324" s="17">
        <v>0.11164986666665799</v>
      </c>
      <c r="M324" s="17">
        <f t="shared" si="950"/>
        <v>0.23545901111110201</v>
      </c>
      <c r="N324" s="26">
        <v>-1.0129535999999999</v>
      </c>
      <c r="O324" s="7">
        <f t="shared" si="951"/>
        <v>2.6216161888888978</v>
      </c>
    </row>
    <row r="325" spans="1:15" x14ac:dyDescent="0.7">
      <c r="A325" s="6"/>
      <c r="B325" s="6"/>
      <c r="C325" s="3">
        <v>19</v>
      </c>
      <c r="D325" s="7">
        <v>20.297000000000001</v>
      </c>
      <c r="E325" s="4">
        <v>0</v>
      </c>
      <c r="F325" s="7">
        <v>20.297000000000001</v>
      </c>
      <c r="G325" s="15">
        <f t="shared" si="948"/>
        <v>1753660.8</v>
      </c>
      <c r="H325" s="21">
        <f t="shared" si="949"/>
        <v>1.7536608</v>
      </c>
      <c r="I325" s="17">
        <v>124188.59444444301</v>
      </c>
      <c r="J325" s="31">
        <v>0.12418859444444399</v>
      </c>
      <c r="K325" s="17">
        <v>112020.399999991</v>
      </c>
      <c r="L325" s="17">
        <v>0.112020399999991</v>
      </c>
      <c r="M325" s="17">
        <f t="shared" si="950"/>
        <v>0.23620899444443499</v>
      </c>
      <c r="N325" s="26">
        <v>-1.0166831999999999</v>
      </c>
      <c r="O325" s="7">
        <f t="shared" si="951"/>
        <v>2.5341350055555649</v>
      </c>
    </row>
    <row r="326" spans="1:15" x14ac:dyDescent="0.7">
      <c r="A326" s="6"/>
      <c r="B326" s="6"/>
      <c r="C326" s="6">
        <v>20</v>
      </c>
      <c r="D326" s="7">
        <v>20.297000000000001</v>
      </c>
      <c r="E326" s="4">
        <v>0</v>
      </c>
      <c r="F326" s="7">
        <v>20.297000000000001</v>
      </c>
      <c r="G326" s="15">
        <f t="shared" si="948"/>
        <v>1753660.8</v>
      </c>
      <c r="H326" s="21">
        <f t="shared" si="949"/>
        <v>1.7536608</v>
      </c>
      <c r="I326" s="17">
        <v>124568.044444443</v>
      </c>
      <c r="J326" s="31">
        <v>0.124568044444444</v>
      </c>
      <c r="K326" s="17">
        <v>112390.93333332401</v>
      </c>
      <c r="L326" s="17">
        <v>0.11239093333332401</v>
      </c>
      <c r="M326" s="17">
        <f t="shared" si="950"/>
        <v>0.236958977777768</v>
      </c>
      <c r="N326" s="26">
        <v>-1.0204127999999999</v>
      </c>
      <c r="O326" s="7">
        <f t="shared" si="951"/>
        <v>2.5371146222222318</v>
      </c>
    </row>
    <row r="327" spans="1:15" x14ac:dyDescent="0.7">
      <c r="A327" s="6"/>
      <c r="B327" s="6"/>
      <c r="C327" s="6">
        <v>21</v>
      </c>
      <c r="D327" s="7">
        <v>19.273</v>
      </c>
      <c r="E327" s="4">
        <v>0</v>
      </c>
      <c r="F327" s="7">
        <v>19.273</v>
      </c>
      <c r="G327" s="15">
        <f t="shared" si="948"/>
        <v>1665187.2</v>
      </c>
      <c r="H327" s="21">
        <f t="shared" si="949"/>
        <v>1.6651871999999999</v>
      </c>
      <c r="I327" s="17">
        <v>124947.494444443</v>
      </c>
      <c r="J327" s="31">
        <v>0.124947494444444</v>
      </c>
      <c r="K327" s="17">
        <v>112761.466666658</v>
      </c>
      <c r="L327" s="17">
        <v>0.112761466666658</v>
      </c>
      <c r="M327" s="17">
        <f t="shared" si="950"/>
        <v>0.23770896111110201</v>
      </c>
      <c r="N327" s="26">
        <v>-1.0241423999999999</v>
      </c>
      <c r="O327" s="7">
        <f t="shared" si="951"/>
        <v>2.4516206388888975</v>
      </c>
    </row>
    <row r="328" spans="1:15" x14ac:dyDescent="0.7">
      <c r="A328" s="6"/>
      <c r="B328" s="6"/>
      <c r="C328" s="3">
        <v>22</v>
      </c>
      <c r="D328" s="7">
        <v>18.274000000000001</v>
      </c>
      <c r="E328" s="4">
        <v>0</v>
      </c>
      <c r="F328" s="7">
        <v>18.274000000000001</v>
      </c>
      <c r="G328" s="15">
        <f t="shared" si="948"/>
        <v>1578873.6</v>
      </c>
      <c r="H328" s="21">
        <f t="shared" si="949"/>
        <v>1.5788736000000001</v>
      </c>
      <c r="I328" s="17">
        <v>125326.944444443</v>
      </c>
      <c r="J328" s="31">
        <v>0.12532694444444401</v>
      </c>
      <c r="K328" s="17">
        <v>113131.99999999101</v>
      </c>
      <c r="L328" s="17">
        <v>0.113131999999991</v>
      </c>
      <c r="M328" s="17">
        <f t="shared" si="950"/>
        <v>0.23845894444443499</v>
      </c>
      <c r="N328" s="26">
        <v>-1.0278719999999999</v>
      </c>
      <c r="O328" s="7">
        <f t="shared" si="951"/>
        <v>2.3682866555555648</v>
      </c>
    </row>
    <row r="329" spans="1:15" x14ac:dyDescent="0.7">
      <c r="A329" s="6"/>
      <c r="B329" s="6"/>
      <c r="C329" s="6">
        <v>23</v>
      </c>
      <c r="D329" s="7">
        <v>18.274000000000001</v>
      </c>
      <c r="E329" s="4">
        <v>0</v>
      </c>
      <c r="F329" s="7">
        <v>18.274000000000001</v>
      </c>
      <c r="G329" s="15">
        <f t="shared" si="948"/>
        <v>1578873.6</v>
      </c>
      <c r="H329" s="21">
        <f t="shared" si="949"/>
        <v>1.5788736000000001</v>
      </c>
      <c r="I329" s="17">
        <v>125706.39444444299</v>
      </c>
      <c r="J329" s="31">
        <v>0.12570639444444401</v>
      </c>
      <c r="K329" s="17">
        <v>113502.533333324</v>
      </c>
      <c r="L329" s="17">
        <v>0.113502533333324</v>
      </c>
      <c r="M329" s="17">
        <f t="shared" si="950"/>
        <v>0.239208927777768</v>
      </c>
      <c r="N329" s="26">
        <v>-1.0316015999999999</v>
      </c>
      <c r="O329" s="7">
        <f t="shared" si="951"/>
        <v>2.3712662722222317</v>
      </c>
    </row>
    <row r="330" spans="1:15" x14ac:dyDescent="0.7">
      <c r="A330" s="6"/>
      <c r="B330" s="6"/>
      <c r="C330" s="6">
        <v>24</v>
      </c>
      <c r="D330" s="7">
        <v>21.655000000000001</v>
      </c>
      <c r="E330" s="4">
        <v>0</v>
      </c>
      <c r="F330" s="7">
        <v>21.655000000000001</v>
      </c>
      <c r="G330" s="15">
        <f t="shared" si="948"/>
        <v>1870992</v>
      </c>
      <c r="H330" s="21">
        <f t="shared" si="949"/>
        <v>1.870992</v>
      </c>
      <c r="I330" s="17">
        <v>126085.84444444301</v>
      </c>
      <c r="J330" s="31">
        <v>0.12608584444444401</v>
      </c>
      <c r="K330" s="17">
        <v>113873.06666665799</v>
      </c>
      <c r="L330" s="17">
        <v>0.113873066666657</v>
      </c>
      <c r="M330" s="17">
        <f t="shared" si="950"/>
        <v>0.23995891111110101</v>
      </c>
      <c r="N330" s="26">
        <v>-1.0353311999999999</v>
      </c>
      <c r="O330" s="7">
        <f t="shared" si="951"/>
        <v>2.6663642888888988</v>
      </c>
    </row>
    <row r="331" spans="1:15" x14ac:dyDescent="0.7">
      <c r="A331" s="6"/>
      <c r="B331" s="6"/>
      <c r="C331" s="3">
        <v>25</v>
      </c>
      <c r="D331" s="7">
        <v>24.007000000000001</v>
      </c>
      <c r="E331" s="4">
        <v>0</v>
      </c>
      <c r="F331" s="7">
        <v>24.007000000000001</v>
      </c>
      <c r="G331" s="15">
        <f t="shared" si="948"/>
        <v>2074204.8</v>
      </c>
      <c r="H331" s="21">
        <f t="shared" si="949"/>
        <v>2.0742048</v>
      </c>
      <c r="I331" s="17">
        <v>126465.294444443</v>
      </c>
      <c r="J331" s="31">
        <v>0.12646529444444399</v>
      </c>
      <c r="K331" s="17">
        <v>114243.599999991</v>
      </c>
      <c r="L331" s="17">
        <v>0.11424359999999099</v>
      </c>
      <c r="M331" s="17">
        <f t="shared" si="950"/>
        <v>0.240708894444435</v>
      </c>
      <c r="N331" s="26">
        <v>-1.0390607999999999</v>
      </c>
      <c r="O331" s="7">
        <f t="shared" si="951"/>
        <v>2.8725567055555645</v>
      </c>
    </row>
    <row r="332" spans="1:15" x14ac:dyDescent="0.7">
      <c r="A332" s="6"/>
      <c r="B332" s="6"/>
      <c r="C332" s="6">
        <v>26</v>
      </c>
      <c r="D332" s="7">
        <v>24.007000000000001</v>
      </c>
      <c r="E332" s="4">
        <v>0</v>
      </c>
      <c r="F332" s="7">
        <v>24.007000000000001</v>
      </c>
      <c r="G332" s="15">
        <f t="shared" si="948"/>
        <v>2074204.8</v>
      </c>
      <c r="H332" s="21">
        <f t="shared" si="949"/>
        <v>2.0742048</v>
      </c>
      <c r="I332" s="17">
        <v>126844.744444443</v>
      </c>
      <c r="J332" s="31">
        <v>0.12684474444444399</v>
      </c>
      <c r="K332" s="17">
        <v>114614.133333324</v>
      </c>
      <c r="L332" s="17">
        <v>0.114614133333324</v>
      </c>
      <c r="M332" s="17">
        <f t="shared" si="950"/>
        <v>0.24145887777776798</v>
      </c>
      <c r="N332" s="26">
        <v>-1.0427903999999999</v>
      </c>
      <c r="O332" s="7">
        <f t="shared" si="951"/>
        <v>2.8755363222222319</v>
      </c>
    </row>
    <row r="333" spans="1:15" x14ac:dyDescent="0.7">
      <c r="A333" s="6"/>
      <c r="B333" s="6"/>
      <c r="C333" s="6">
        <v>27</v>
      </c>
      <c r="D333" s="7">
        <v>24.007000000000001</v>
      </c>
      <c r="E333" s="4">
        <v>0</v>
      </c>
      <c r="F333" s="7">
        <v>24.007000000000001</v>
      </c>
      <c r="G333" s="15">
        <f t="shared" si="948"/>
        <v>2074204.8</v>
      </c>
      <c r="H333" s="21">
        <f t="shared" si="949"/>
        <v>2.0742048</v>
      </c>
      <c r="I333" s="17">
        <v>127224.194444443</v>
      </c>
      <c r="J333" s="31">
        <v>0.12722419444444399</v>
      </c>
      <c r="K333" s="17">
        <v>114984.666666658</v>
      </c>
      <c r="L333" s="17">
        <v>0.11498466666665701</v>
      </c>
      <c r="M333" s="17">
        <f t="shared" si="950"/>
        <v>0.24220886111110101</v>
      </c>
      <c r="N333" s="26">
        <v>-1.0465199999999999</v>
      </c>
      <c r="O333" s="7">
        <f t="shared" si="951"/>
        <v>2.8785159388888988</v>
      </c>
    </row>
    <row r="334" spans="1:15" x14ac:dyDescent="0.7">
      <c r="A334" s="12"/>
      <c r="B334" s="12"/>
      <c r="C334" s="49">
        <v>28</v>
      </c>
      <c r="D334" s="33">
        <v>24.006</v>
      </c>
      <c r="E334" s="4">
        <v>0</v>
      </c>
      <c r="F334" s="33">
        <v>24.006</v>
      </c>
      <c r="G334" s="35">
        <f t="shared" si="948"/>
        <v>2074118.4</v>
      </c>
      <c r="H334" s="36">
        <f t="shared" si="949"/>
        <v>2.0741183999999997</v>
      </c>
      <c r="I334" s="37">
        <v>127603.64444444299</v>
      </c>
      <c r="J334" s="38">
        <v>0.127603644444444</v>
      </c>
      <c r="K334" s="37">
        <v>115355.199999991</v>
      </c>
      <c r="L334" s="37">
        <v>0.115355199999991</v>
      </c>
      <c r="M334" s="37">
        <f t="shared" si="950"/>
        <v>0.242958844444435</v>
      </c>
      <c r="N334" s="39">
        <v>-1.0502495999999999</v>
      </c>
      <c r="O334" s="33">
        <f t="shared" si="951"/>
        <v>2.8814091555555645</v>
      </c>
    </row>
    <row r="335" spans="1:15" s="42" customFormat="1" x14ac:dyDescent="0.7">
      <c r="A335" s="6"/>
      <c r="B335" s="6"/>
      <c r="C335" s="6">
        <v>29</v>
      </c>
      <c r="D335" s="7">
        <v>24.007000000000001</v>
      </c>
      <c r="E335" s="4">
        <v>0</v>
      </c>
      <c r="F335" s="7">
        <v>24.007000000000001</v>
      </c>
      <c r="G335" s="40">
        <f t="shared" si="948"/>
        <v>2074204.8</v>
      </c>
      <c r="H335" s="20">
        <f t="shared" si="949"/>
        <v>2.0742048</v>
      </c>
      <c r="I335" s="17">
        <v>127983.09444444301</v>
      </c>
      <c r="J335" s="31">
        <v>0.127983094444444</v>
      </c>
      <c r="K335" s="17">
        <v>115725.73333332399</v>
      </c>
      <c r="L335" s="17">
        <v>0.115725733333324</v>
      </c>
      <c r="M335" s="17">
        <f t="shared" si="950"/>
        <v>0.24370882777776801</v>
      </c>
      <c r="N335" s="26">
        <v>-1.0539791999999999</v>
      </c>
      <c r="O335" s="7">
        <f t="shared" si="951"/>
        <v>2.8844751722222322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24.007000000000001</v>
      </c>
      <c r="E336" s="19">
        <v>0</v>
      </c>
      <c r="F336" s="19">
        <v>24.007000000000001</v>
      </c>
      <c r="G336" s="28">
        <f t="shared" si="948"/>
        <v>2074204.8</v>
      </c>
      <c r="H336" s="29">
        <f t="shared" si="949"/>
        <v>2.0742048</v>
      </c>
      <c r="I336" s="43">
        <v>128362.544444443</v>
      </c>
      <c r="J336" s="44">
        <v>0.128362544444444</v>
      </c>
      <c r="K336" s="43">
        <v>116096.266666657</v>
      </c>
      <c r="L336" s="43">
        <v>0.116096266666657</v>
      </c>
      <c r="M336" s="43">
        <f t="shared" si="950"/>
        <v>0.24445881111110102</v>
      </c>
      <c r="N336" s="45">
        <v>-1.0577087999999999</v>
      </c>
      <c r="O336" s="19">
        <f t="shared" si="951"/>
        <v>2.8874547888888991</v>
      </c>
    </row>
    <row r="337" spans="1:15" x14ac:dyDescent="0.7">
      <c r="A337" s="5"/>
      <c r="B337" s="3" t="s">
        <v>26</v>
      </c>
      <c r="C337" s="3">
        <v>1</v>
      </c>
      <c r="D337" s="4">
        <v>19.283000000000001</v>
      </c>
      <c r="E337" s="4">
        <v>0</v>
      </c>
      <c r="F337" s="4">
        <v>19.283000000000001</v>
      </c>
      <c r="G337" s="15">
        <f t="shared" si="948"/>
        <v>1666051.2000000002</v>
      </c>
      <c r="H337" s="21">
        <f t="shared" si="949"/>
        <v>1.6660512000000003</v>
      </c>
      <c r="I337" s="16">
        <v>128741.994444443</v>
      </c>
      <c r="J337" s="25">
        <v>0.12874199444444401</v>
      </c>
      <c r="K337" s="16">
        <v>116466.799999991</v>
      </c>
      <c r="L337" s="16">
        <v>0.116466799999991</v>
      </c>
      <c r="M337" s="16">
        <f t="shared" si="950"/>
        <v>0.245208794444435</v>
      </c>
      <c r="N337" s="27">
        <v>-1.0614383999999999</v>
      </c>
      <c r="O337" s="4">
        <f t="shared" si="951"/>
        <v>2.4822808055555652</v>
      </c>
    </row>
    <row r="338" spans="1:15" x14ac:dyDescent="0.7">
      <c r="A338" s="8"/>
      <c r="B338" s="6"/>
      <c r="C338" s="6">
        <v>2</v>
      </c>
      <c r="D338" s="7">
        <v>19.283000000000001</v>
      </c>
      <c r="E338" s="4">
        <v>0</v>
      </c>
      <c r="F338" s="7">
        <v>19.283000000000001</v>
      </c>
      <c r="G338" s="15">
        <f t="shared" si="948"/>
        <v>1666051.2000000002</v>
      </c>
      <c r="H338" s="21">
        <f t="shared" si="949"/>
        <v>1.6660512000000003</v>
      </c>
      <c r="I338" s="17">
        <v>120121.444444443</v>
      </c>
      <c r="J338" s="31">
        <v>0.12912144444444401</v>
      </c>
      <c r="K338" s="17">
        <v>116837.333333324</v>
      </c>
      <c r="L338" s="17">
        <v>0.11683733333332399</v>
      </c>
      <c r="M338" s="17">
        <f t="shared" si="950"/>
        <v>0.24595877777776801</v>
      </c>
      <c r="N338" s="26">
        <v>-1.0651679999999999</v>
      </c>
      <c r="O338" s="7">
        <f t="shared" si="951"/>
        <v>2.4852604222222321</v>
      </c>
    </row>
    <row r="339" spans="1:15" x14ac:dyDescent="0.7">
      <c r="A339" s="8"/>
      <c r="B339" s="6"/>
      <c r="C339" s="6">
        <v>3</v>
      </c>
      <c r="D339" s="7">
        <v>21.445999999999998</v>
      </c>
      <c r="E339" s="4">
        <v>0</v>
      </c>
      <c r="F339" s="7">
        <v>21.445999999999998</v>
      </c>
      <c r="G339" s="15">
        <f t="shared" si="948"/>
        <v>1852934.4</v>
      </c>
      <c r="H339" s="21">
        <f t="shared" si="949"/>
        <v>1.8529343999999999</v>
      </c>
      <c r="I339" s="17">
        <v>129500.89444444299</v>
      </c>
      <c r="J339" s="31">
        <v>0.12950089444444399</v>
      </c>
      <c r="K339" s="17">
        <v>117207.86666665701</v>
      </c>
      <c r="L339" s="17">
        <v>0.117207866666657</v>
      </c>
      <c r="M339" s="17">
        <f t="shared" si="950"/>
        <v>0.24670876111110099</v>
      </c>
      <c r="N339" s="26">
        <v>-1.0688975999999999</v>
      </c>
      <c r="O339" s="7">
        <f t="shared" si="951"/>
        <v>2.675123238888899</v>
      </c>
    </row>
    <row r="340" spans="1:15" x14ac:dyDescent="0.7">
      <c r="A340" s="8"/>
      <c r="B340" s="6"/>
      <c r="C340" s="6">
        <v>4</v>
      </c>
      <c r="D340" s="7">
        <v>14.036</v>
      </c>
      <c r="E340" s="4">
        <v>0</v>
      </c>
      <c r="F340" s="7">
        <v>14.036</v>
      </c>
      <c r="G340" s="15">
        <f t="shared" si="948"/>
        <v>1212710.3999999999</v>
      </c>
      <c r="H340" s="21">
        <f t="shared" si="949"/>
        <v>1.2127104</v>
      </c>
      <c r="I340" s="17">
        <v>129880.34444444301</v>
      </c>
      <c r="J340" s="31">
        <v>0.12988034444444399</v>
      </c>
      <c r="K340" s="17">
        <v>117578.399999991</v>
      </c>
      <c r="L340" s="17">
        <v>0.11757839999998999</v>
      </c>
      <c r="M340" s="17">
        <f t="shared" si="950"/>
        <v>0.247458744444434</v>
      </c>
      <c r="N340" s="26">
        <v>-1.0726271999999999</v>
      </c>
      <c r="O340" s="7">
        <f t="shared" si="951"/>
        <v>2.037878855555566</v>
      </c>
    </row>
    <row r="341" spans="1:15" x14ac:dyDescent="0.7">
      <c r="A341" s="8"/>
      <c r="B341" s="6"/>
      <c r="C341" s="6">
        <v>5</v>
      </c>
      <c r="D341" s="7">
        <v>14.036</v>
      </c>
      <c r="E341" s="4">
        <v>0</v>
      </c>
      <c r="F341" s="7">
        <v>14.036</v>
      </c>
      <c r="G341" s="15">
        <f t="shared" si="948"/>
        <v>1212710.3999999999</v>
      </c>
      <c r="H341" s="21">
        <f t="shared" si="949"/>
        <v>1.2127104</v>
      </c>
      <c r="I341" s="17">
        <v>130259.794444443</v>
      </c>
      <c r="J341" s="31">
        <v>0.13025979444444399</v>
      </c>
      <c r="K341" s="17">
        <v>117948.93333332401</v>
      </c>
      <c r="L341" s="17">
        <v>0.117948933333324</v>
      </c>
      <c r="M341" s="17">
        <f t="shared" si="950"/>
        <v>0.24820872777776798</v>
      </c>
      <c r="N341" s="26">
        <v>-1.0763567999999999</v>
      </c>
      <c r="O341" s="7">
        <f t="shared" si="951"/>
        <v>2.040858472222232</v>
      </c>
    </row>
    <row r="342" spans="1:15" x14ac:dyDescent="0.7">
      <c r="A342" s="8"/>
      <c r="B342" s="6"/>
      <c r="C342" s="6">
        <v>6</v>
      </c>
      <c r="D342" s="7">
        <v>11.706999999999999</v>
      </c>
      <c r="E342" s="4">
        <v>0</v>
      </c>
      <c r="F342" s="7">
        <v>11.706999999999999</v>
      </c>
      <c r="G342" s="15">
        <f t="shared" si="948"/>
        <v>1011484.7999999999</v>
      </c>
      <c r="H342" s="21">
        <f t="shared" si="949"/>
        <v>1.0114847999999999</v>
      </c>
      <c r="I342" s="17">
        <v>130639.244444443</v>
      </c>
      <c r="J342" s="31">
        <v>0.130639244444444</v>
      </c>
      <c r="K342" s="17">
        <v>118319.466666657</v>
      </c>
      <c r="L342" s="17">
        <v>0.11831946666665701</v>
      </c>
      <c r="M342" s="17">
        <f t="shared" si="950"/>
        <v>0.24895871111110102</v>
      </c>
      <c r="N342" s="26">
        <v>-1.0800863999999999</v>
      </c>
      <c r="O342" s="7">
        <f t="shared" si="951"/>
        <v>1.8426124888888986</v>
      </c>
    </row>
    <row r="343" spans="1:15" x14ac:dyDescent="0.7">
      <c r="A343" s="8"/>
      <c r="B343" s="6"/>
      <c r="C343" s="6">
        <v>7</v>
      </c>
      <c r="D343" s="7">
        <v>11.831999999999999</v>
      </c>
      <c r="E343" s="4">
        <v>0</v>
      </c>
      <c r="F343" s="7">
        <v>11.831999999999999</v>
      </c>
      <c r="G343" s="15">
        <f t="shared" si="948"/>
        <v>1022284.7999999999</v>
      </c>
      <c r="H343" s="21">
        <f t="shared" si="949"/>
        <v>1.0222848</v>
      </c>
      <c r="I343" s="17">
        <v>131018.694444443</v>
      </c>
      <c r="J343" s="31">
        <v>0.131018694444444</v>
      </c>
      <c r="K343" s="17">
        <v>118689.99999999101</v>
      </c>
      <c r="L343" s="17">
        <v>0.11868999999999</v>
      </c>
      <c r="M343" s="17">
        <f t="shared" si="950"/>
        <v>0.249708694444434</v>
      </c>
      <c r="N343" s="26">
        <v>-1.0838159999999999</v>
      </c>
      <c r="O343" s="7">
        <f t="shared" si="951"/>
        <v>1.8563921055555659</v>
      </c>
    </row>
    <row r="344" spans="1:15" x14ac:dyDescent="0.7">
      <c r="A344" s="8"/>
      <c r="B344" s="6"/>
      <c r="C344" s="6">
        <v>8</v>
      </c>
      <c r="D344" s="7">
        <v>11.831999999999999</v>
      </c>
      <c r="E344" s="4">
        <v>0</v>
      </c>
      <c r="F344" s="7">
        <v>11.831999999999999</v>
      </c>
      <c r="G344" s="15">
        <f t="shared" si="948"/>
        <v>1022284.7999999999</v>
      </c>
      <c r="H344" s="21">
        <f t="shared" si="949"/>
        <v>1.0222848</v>
      </c>
      <c r="I344" s="17">
        <v>131398.14444444299</v>
      </c>
      <c r="J344" s="31">
        <v>0.131398144444444</v>
      </c>
      <c r="K344" s="17">
        <v>119060.533333324</v>
      </c>
      <c r="L344" s="17">
        <v>0.119060533333324</v>
      </c>
      <c r="M344" s="17">
        <f t="shared" si="950"/>
        <v>0.25045867777776798</v>
      </c>
      <c r="N344" s="26">
        <v>-1.0875455999999999</v>
      </c>
      <c r="O344" s="7">
        <f t="shared" si="951"/>
        <v>1.8593717222222319</v>
      </c>
    </row>
    <row r="345" spans="1:15" x14ac:dyDescent="0.7">
      <c r="A345" s="8"/>
      <c r="B345" s="6"/>
      <c r="C345" s="6">
        <v>9</v>
      </c>
      <c r="D345" s="7">
        <v>11.831999999999999</v>
      </c>
      <c r="E345" s="4">
        <v>0</v>
      </c>
      <c r="F345" s="7">
        <v>11.831999999999999</v>
      </c>
      <c r="G345" s="15">
        <f t="shared" si="948"/>
        <v>1022284.7999999999</v>
      </c>
      <c r="H345" s="21">
        <f t="shared" si="949"/>
        <v>1.0222848</v>
      </c>
      <c r="I345" s="17">
        <v>131777.59444444301</v>
      </c>
      <c r="J345" s="31">
        <v>0.13177759444444401</v>
      </c>
      <c r="K345" s="17">
        <v>119431.066666657</v>
      </c>
      <c r="L345" s="17">
        <v>0.119431066666657</v>
      </c>
      <c r="M345" s="17">
        <f t="shared" si="950"/>
        <v>0.25120866111110102</v>
      </c>
      <c r="N345" s="26">
        <v>-1.0912751999999999</v>
      </c>
      <c r="O345" s="7">
        <f t="shared" si="951"/>
        <v>1.8623513388888988</v>
      </c>
    </row>
    <row r="346" spans="1:15" x14ac:dyDescent="0.7">
      <c r="A346" s="8"/>
      <c r="B346" s="6"/>
      <c r="C346" s="6">
        <v>10</v>
      </c>
      <c r="D346" s="7">
        <v>14.715999999999999</v>
      </c>
      <c r="E346" s="4">
        <v>0</v>
      </c>
      <c r="F346" s="7">
        <v>14.715999999999999</v>
      </c>
      <c r="G346" s="15">
        <f t="shared" si="948"/>
        <v>1271462.3999999999</v>
      </c>
      <c r="H346" s="21">
        <f t="shared" si="949"/>
        <v>1.2714623999999999</v>
      </c>
      <c r="I346" s="17">
        <v>132157.04444444299</v>
      </c>
      <c r="J346" s="31">
        <v>0.13215704444444401</v>
      </c>
      <c r="K346" s="17">
        <v>119801.59999998999</v>
      </c>
      <c r="L346" s="17">
        <v>0.11980159999999</v>
      </c>
      <c r="M346" s="17">
        <f t="shared" si="950"/>
        <v>0.251958644444434</v>
      </c>
      <c r="N346" s="26">
        <v>-1.0950047999999999</v>
      </c>
      <c r="O346" s="7">
        <f t="shared" si="951"/>
        <v>2.1145085555555658</v>
      </c>
    </row>
    <row r="347" spans="1:15" x14ac:dyDescent="0.7">
      <c r="A347" s="8"/>
      <c r="B347" s="6"/>
      <c r="C347" s="6">
        <v>11</v>
      </c>
      <c r="D347" s="7">
        <v>11.238999999999999</v>
      </c>
      <c r="E347" s="4">
        <v>6.4</v>
      </c>
      <c r="F347" s="7">
        <v>11.238999999999999</v>
      </c>
      <c r="G347" s="15">
        <f t="shared" si="948"/>
        <v>971049.59999999986</v>
      </c>
      <c r="H347" s="21">
        <f t="shared" si="949"/>
        <v>0.97104959999999985</v>
      </c>
      <c r="I347" s="17">
        <v>132536.494444443</v>
      </c>
      <c r="J347" s="31">
        <v>0.13253649444444399</v>
      </c>
      <c r="K347" s="17">
        <v>120172.133333324</v>
      </c>
      <c r="L347" s="17">
        <v>0.12017213333332399</v>
      </c>
      <c r="M347" s="17">
        <f t="shared" si="950"/>
        <v>0.25270862777776798</v>
      </c>
      <c r="N347" s="26">
        <v>-1.0987344000000001</v>
      </c>
      <c r="O347" s="7">
        <f t="shared" si="951"/>
        <v>1.8170753722222319</v>
      </c>
    </row>
    <row r="348" spans="1:15" x14ac:dyDescent="0.7">
      <c r="A348" s="8"/>
      <c r="B348" s="6"/>
      <c r="C348" s="6">
        <v>12</v>
      </c>
      <c r="D348" s="7">
        <v>11.238999999999999</v>
      </c>
      <c r="E348" s="4">
        <v>9.5</v>
      </c>
      <c r="F348" s="7">
        <v>11.238999999999999</v>
      </c>
      <c r="G348" s="15">
        <f t="shared" si="948"/>
        <v>971049.59999999986</v>
      </c>
      <c r="H348" s="21">
        <f t="shared" si="949"/>
        <v>0.97104959999999985</v>
      </c>
      <c r="I348" s="17">
        <v>132915.94444444301</v>
      </c>
      <c r="J348" s="31">
        <v>0.13291594444444399</v>
      </c>
      <c r="K348" s="17">
        <v>120542.66666665699</v>
      </c>
      <c r="L348" s="17">
        <v>0.120542666666657</v>
      </c>
      <c r="M348" s="17">
        <f t="shared" si="950"/>
        <v>0.25345861111110102</v>
      </c>
      <c r="N348" s="26">
        <v>-1.1024640000000001</v>
      </c>
      <c r="O348" s="7">
        <f t="shared" si="951"/>
        <v>1.8200549888888991</v>
      </c>
    </row>
    <row r="349" spans="1:15" x14ac:dyDescent="0.7">
      <c r="A349" s="8"/>
      <c r="B349" s="6"/>
      <c r="C349" s="6">
        <v>13</v>
      </c>
      <c r="D349" s="7">
        <v>11.805999999999999</v>
      </c>
      <c r="E349" s="4">
        <v>27.9</v>
      </c>
      <c r="F349" s="7">
        <v>11.805999999999999</v>
      </c>
      <c r="G349" s="15">
        <f t="shared" si="948"/>
        <v>1020038.3999999999</v>
      </c>
      <c r="H349" s="21">
        <f t="shared" si="949"/>
        <v>1.0200384</v>
      </c>
      <c r="I349" s="17">
        <v>133295.39444444299</v>
      </c>
      <c r="J349" s="31">
        <v>0.13329539444444399</v>
      </c>
      <c r="K349" s="17">
        <v>120913.19999999</v>
      </c>
      <c r="L349" s="17">
        <v>0.12091319999999001</v>
      </c>
      <c r="M349" s="17">
        <f t="shared" si="950"/>
        <v>0.254208594444434</v>
      </c>
      <c r="N349" s="26">
        <v>-1.1061936000000001</v>
      </c>
      <c r="O349" s="7">
        <f t="shared" si="951"/>
        <v>1.872023405555566</v>
      </c>
    </row>
    <row r="350" spans="1:15" x14ac:dyDescent="0.7">
      <c r="A350" s="8"/>
      <c r="B350" s="6"/>
      <c r="C350" s="6">
        <v>14</v>
      </c>
      <c r="D350" s="7">
        <v>22.35</v>
      </c>
      <c r="E350" s="4">
        <v>0</v>
      </c>
      <c r="F350" s="7">
        <v>22.35</v>
      </c>
      <c r="G350" s="15">
        <f t="shared" si="948"/>
        <v>1931040.0000000002</v>
      </c>
      <c r="H350" s="21">
        <f t="shared" si="949"/>
        <v>1.9310400000000003</v>
      </c>
      <c r="I350" s="17">
        <v>133674.84444444301</v>
      </c>
      <c r="J350" s="31">
        <v>0.133674844444444</v>
      </c>
      <c r="K350" s="17">
        <v>121283.73333332399</v>
      </c>
      <c r="L350" s="17">
        <v>0.121283733333323</v>
      </c>
      <c r="M350" s="17">
        <f t="shared" si="950"/>
        <v>0.25495857777776698</v>
      </c>
      <c r="N350" s="26">
        <v>-1.1099232000000001</v>
      </c>
      <c r="O350" s="7">
        <f t="shared" si="951"/>
        <v>2.7860046222222334</v>
      </c>
    </row>
    <row r="351" spans="1:15" x14ac:dyDescent="0.7">
      <c r="A351" s="8"/>
      <c r="B351" s="6"/>
      <c r="C351" s="6">
        <v>15</v>
      </c>
      <c r="D351" s="7">
        <v>14.064</v>
      </c>
      <c r="E351" s="4">
        <v>0</v>
      </c>
      <c r="F351" s="7">
        <v>14.064</v>
      </c>
      <c r="G351" s="15">
        <f t="shared" si="948"/>
        <v>1215129.6000000001</v>
      </c>
      <c r="H351" s="21">
        <f t="shared" si="949"/>
        <v>1.2151296</v>
      </c>
      <c r="I351" s="17">
        <v>134054.29444444299</v>
      </c>
      <c r="J351" s="31">
        <v>0.134054294444444</v>
      </c>
      <c r="K351" s="17">
        <v>121654.266666657</v>
      </c>
      <c r="L351" s="17">
        <v>0.121654266666657</v>
      </c>
      <c r="M351" s="17">
        <f t="shared" si="950"/>
        <v>0.25570856111110102</v>
      </c>
      <c r="N351" s="26">
        <v>-1.1136528000000001</v>
      </c>
      <c r="O351" s="7">
        <f t="shared" si="951"/>
        <v>2.0730738388888992</v>
      </c>
    </row>
    <row r="352" spans="1:15" x14ac:dyDescent="0.7">
      <c r="A352" s="8"/>
      <c r="B352" s="6"/>
      <c r="C352" s="6">
        <v>16</v>
      </c>
      <c r="D352" s="7">
        <v>12.253</v>
      </c>
      <c r="E352" s="4">
        <v>0</v>
      </c>
      <c r="F352" s="7">
        <v>12.253</v>
      </c>
      <c r="G352" s="15">
        <f t="shared" si="948"/>
        <v>1058659.2</v>
      </c>
      <c r="H352" s="21">
        <f t="shared" si="949"/>
        <v>1.0586591999999999</v>
      </c>
      <c r="I352" s="17">
        <v>134433.744444443</v>
      </c>
      <c r="J352" s="31">
        <v>0.134433744444444</v>
      </c>
      <c r="K352" s="17">
        <v>122024.79999999001</v>
      </c>
      <c r="L352" s="17">
        <v>0.12202479999999</v>
      </c>
      <c r="M352" s="17">
        <f t="shared" si="950"/>
        <v>0.256458544444434</v>
      </c>
      <c r="N352" s="26">
        <v>-1.1173824000000001</v>
      </c>
      <c r="O352" s="7">
        <f t="shared" si="951"/>
        <v>1.919583055555566</v>
      </c>
    </row>
    <row r="353" spans="1:15" x14ac:dyDescent="0.7">
      <c r="A353" s="8"/>
      <c r="B353" s="6"/>
      <c r="C353" s="6">
        <v>17</v>
      </c>
      <c r="D353" s="7">
        <v>11.86</v>
      </c>
      <c r="E353" s="4">
        <v>0</v>
      </c>
      <c r="F353" s="7">
        <v>11.86</v>
      </c>
      <c r="G353" s="15">
        <f t="shared" si="948"/>
        <v>1024704</v>
      </c>
      <c r="H353" s="21">
        <f t="shared" si="949"/>
        <v>1.0247040000000001</v>
      </c>
      <c r="I353" s="17">
        <v>134813.19444444301</v>
      </c>
      <c r="J353" s="31">
        <v>0.13481319444444401</v>
      </c>
      <c r="K353" s="17">
        <v>122395.333333324</v>
      </c>
      <c r="L353" s="17">
        <v>0.122395333333323</v>
      </c>
      <c r="M353" s="17">
        <f t="shared" si="950"/>
        <v>0.25720852777776704</v>
      </c>
      <c r="N353" s="26">
        <v>-1.1211120000000001</v>
      </c>
      <c r="O353" s="7">
        <f t="shared" si="951"/>
        <v>1.8886074722222332</v>
      </c>
    </row>
    <row r="354" spans="1:15" x14ac:dyDescent="0.7">
      <c r="A354" s="8"/>
      <c r="B354" s="6"/>
      <c r="C354" s="6">
        <v>18</v>
      </c>
      <c r="D354" s="7">
        <v>10.855</v>
      </c>
      <c r="E354" s="4">
        <v>0</v>
      </c>
      <c r="F354" s="7">
        <v>10.855</v>
      </c>
      <c r="G354" s="15">
        <f t="shared" si="948"/>
        <v>937872</v>
      </c>
      <c r="H354" s="21">
        <f t="shared" si="949"/>
        <v>0.93787200000000004</v>
      </c>
      <c r="I354" s="17">
        <v>135192.64444444299</v>
      </c>
      <c r="J354" s="31">
        <v>0.13519264444444401</v>
      </c>
      <c r="K354" s="17">
        <v>122765.86666665701</v>
      </c>
      <c r="L354" s="17">
        <v>0.12276586666665699</v>
      </c>
      <c r="M354" s="17">
        <f t="shared" si="950"/>
        <v>0.25795851111110102</v>
      </c>
      <c r="N354" s="26">
        <v>-1.1248416000000001</v>
      </c>
      <c r="O354" s="7">
        <f t="shared" si="951"/>
        <v>1.804755088888899</v>
      </c>
    </row>
    <row r="355" spans="1:15" x14ac:dyDescent="0.7">
      <c r="A355" s="8"/>
      <c r="B355" s="6"/>
      <c r="C355" s="6">
        <v>19</v>
      </c>
      <c r="D355" s="7">
        <v>10.237</v>
      </c>
      <c r="E355" s="4">
        <v>0</v>
      </c>
      <c r="F355" s="7">
        <v>10.237</v>
      </c>
      <c r="G355" s="15">
        <f t="shared" si="948"/>
        <v>884476.8</v>
      </c>
      <c r="H355" s="21">
        <f t="shared" si="949"/>
        <v>0.88447680000000006</v>
      </c>
      <c r="I355" s="17">
        <v>135572.09444444301</v>
      </c>
      <c r="J355" s="31">
        <v>0.13557209444444401</v>
      </c>
      <c r="K355" s="17">
        <v>123136.39999999</v>
      </c>
      <c r="L355" s="17">
        <v>0.12313639999999</v>
      </c>
      <c r="M355" s="17">
        <f t="shared" si="950"/>
        <v>0.258708494444434</v>
      </c>
      <c r="N355" s="26">
        <v>-1.1285712000000001</v>
      </c>
      <c r="O355" s="7">
        <f t="shared" si="951"/>
        <v>1.7543395055555662</v>
      </c>
    </row>
    <row r="356" spans="1:15" x14ac:dyDescent="0.7">
      <c r="A356" s="8"/>
      <c r="B356" s="6"/>
      <c r="C356" s="6">
        <v>20</v>
      </c>
      <c r="D356" s="7">
        <v>10.237</v>
      </c>
      <c r="E356" s="4">
        <v>0</v>
      </c>
      <c r="F356" s="7">
        <v>10.237</v>
      </c>
      <c r="G356" s="15">
        <f t="shared" si="948"/>
        <v>884476.8</v>
      </c>
      <c r="H356" s="21">
        <f t="shared" si="949"/>
        <v>0.88447680000000006</v>
      </c>
      <c r="I356" s="17">
        <v>135951.54444444299</v>
      </c>
      <c r="J356" s="31">
        <v>0.13595154444444399</v>
      </c>
      <c r="K356" s="17">
        <v>123506.933333323</v>
      </c>
      <c r="L356" s="17">
        <v>0.12350693333332299</v>
      </c>
      <c r="M356" s="17">
        <f t="shared" si="950"/>
        <v>0.25945847777776698</v>
      </c>
      <c r="N356" s="26">
        <v>-1.1323008000000001</v>
      </c>
      <c r="O356" s="7">
        <f t="shared" si="951"/>
        <v>1.7573191222222331</v>
      </c>
    </row>
    <row r="357" spans="1:15" x14ac:dyDescent="0.7">
      <c r="A357" s="8"/>
      <c r="B357" s="6"/>
      <c r="C357" s="6">
        <v>21</v>
      </c>
      <c r="D357" s="7">
        <v>10.827999999999999</v>
      </c>
      <c r="E357" s="4">
        <v>0</v>
      </c>
      <c r="F357" s="7">
        <v>10.827999999999999</v>
      </c>
      <c r="G357" s="15">
        <f t="shared" si="948"/>
        <v>935539.19999999995</v>
      </c>
      <c r="H357" s="21">
        <f t="shared" si="949"/>
        <v>0.9355391999999999</v>
      </c>
      <c r="I357" s="17">
        <v>136330.994444443</v>
      </c>
      <c r="J357" s="31">
        <v>0.13633099444444399</v>
      </c>
      <c r="K357" s="17">
        <v>123877.466666657</v>
      </c>
      <c r="L357" s="17">
        <v>0.123877466666657</v>
      </c>
      <c r="M357" s="17">
        <f t="shared" si="950"/>
        <v>0.26020846111110096</v>
      </c>
      <c r="N357" s="26">
        <v>-1.1360304000000001</v>
      </c>
      <c r="O357" s="7">
        <f t="shared" si="951"/>
        <v>1.811361138888899</v>
      </c>
    </row>
    <row r="358" spans="1:15" x14ac:dyDescent="0.7">
      <c r="A358" s="8"/>
      <c r="B358" s="6"/>
      <c r="C358" s="6">
        <v>22</v>
      </c>
      <c r="D358" s="7">
        <v>10.823</v>
      </c>
      <c r="E358" s="4">
        <v>0</v>
      </c>
      <c r="F358" s="7">
        <v>10.823</v>
      </c>
      <c r="G358" s="15">
        <f t="shared" si="948"/>
        <v>935107.20000000007</v>
      </c>
      <c r="H358" s="21">
        <f t="shared" si="949"/>
        <v>0.93510720000000003</v>
      </c>
      <c r="I358" s="17">
        <v>136710.44444444301</v>
      </c>
      <c r="J358" s="31">
        <v>0.136710444444444</v>
      </c>
      <c r="K358" s="17">
        <v>124247.99999999</v>
      </c>
      <c r="L358" s="17">
        <v>0.12424799999999001</v>
      </c>
      <c r="M358" s="17">
        <f t="shared" si="950"/>
        <v>0.260958444444434</v>
      </c>
      <c r="N358" s="26">
        <v>-1.1397600000000001</v>
      </c>
      <c r="O358" s="7">
        <f t="shared" si="951"/>
        <v>1.8139087555555662</v>
      </c>
    </row>
    <row r="359" spans="1:15" x14ac:dyDescent="0.7">
      <c r="A359" s="8"/>
      <c r="B359" s="6"/>
      <c r="C359" s="6">
        <v>23</v>
      </c>
      <c r="D359" s="7">
        <v>10.86</v>
      </c>
      <c r="E359" s="4">
        <v>0</v>
      </c>
      <c r="F359" s="7">
        <v>10.86</v>
      </c>
      <c r="G359" s="15">
        <f t="shared" si="948"/>
        <v>938304</v>
      </c>
      <c r="H359" s="21">
        <f t="shared" si="949"/>
        <v>0.93830400000000003</v>
      </c>
      <c r="I359" s="17">
        <v>137089.89444444299</v>
      </c>
      <c r="J359" s="31">
        <v>0.137089894444444</v>
      </c>
      <c r="K359" s="17">
        <v>124618.53333332299</v>
      </c>
      <c r="L359" s="17">
        <v>0.124618533333323</v>
      </c>
      <c r="M359" s="17">
        <f t="shared" si="950"/>
        <v>0.26170842777776698</v>
      </c>
      <c r="N359" s="26">
        <v>-1.1434896000000001</v>
      </c>
      <c r="O359" s="7">
        <f t="shared" si="951"/>
        <v>1.8200851722222331</v>
      </c>
    </row>
    <row r="360" spans="1:15" x14ac:dyDescent="0.7">
      <c r="A360" s="8"/>
      <c r="B360" s="6"/>
      <c r="C360" s="6">
        <v>24</v>
      </c>
      <c r="D360" s="7">
        <v>10.843999999999999</v>
      </c>
      <c r="E360" s="4">
        <v>0</v>
      </c>
      <c r="F360" s="7">
        <v>10.843999999999999</v>
      </c>
      <c r="G360" s="15">
        <f t="shared" si="948"/>
        <v>936921.59999999998</v>
      </c>
      <c r="H360" s="21">
        <f t="shared" si="949"/>
        <v>0.93692160000000002</v>
      </c>
      <c r="I360" s="17">
        <v>137469.34444444301</v>
      </c>
      <c r="J360" s="31">
        <v>0.137469344444444</v>
      </c>
      <c r="K360" s="17">
        <v>124989.066666657</v>
      </c>
      <c r="L360" s="17">
        <v>0.124989066666656</v>
      </c>
      <c r="M360" s="17">
        <f t="shared" si="950"/>
        <v>0.26245841111110002</v>
      </c>
      <c r="N360" s="26">
        <v>-1.1472192000000001</v>
      </c>
      <c r="O360" s="7">
        <f t="shared" si="951"/>
        <v>1.8216823888889002</v>
      </c>
    </row>
    <row r="361" spans="1:15" x14ac:dyDescent="0.7">
      <c r="A361" s="8"/>
      <c r="B361" s="6"/>
      <c r="C361" s="6">
        <v>25</v>
      </c>
      <c r="D361" s="7">
        <v>10.845000000000001</v>
      </c>
      <c r="E361" s="4">
        <v>0</v>
      </c>
      <c r="F361" s="7">
        <v>10.845000000000001</v>
      </c>
      <c r="G361" s="15">
        <f t="shared" si="948"/>
        <v>937008</v>
      </c>
      <c r="H361" s="21">
        <f t="shared" si="949"/>
        <v>0.93700799999999995</v>
      </c>
      <c r="I361" s="17">
        <v>137848.79444444299</v>
      </c>
      <c r="J361" s="31">
        <v>0.13784879444444401</v>
      </c>
      <c r="K361" s="17">
        <v>125359.59999998999</v>
      </c>
      <c r="L361" s="17">
        <v>0.12535959999999</v>
      </c>
      <c r="M361" s="17">
        <f t="shared" si="950"/>
        <v>0.263208394444434</v>
      </c>
      <c r="N361" s="26">
        <v>-1.1509488000000001</v>
      </c>
      <c r="O361" s="7">
        <f t="shared" si="951"/>
        <v>1.8247484055555661</v>
      </c>
    </row>
    <row r="362" spans="1:15" x14ac:dyDescent="0.7">
      <c r="A362" s="8"/>
      <c r="B362" s="6"/>
      <c r="C362" s="6">
        <v>26</v>
      </c>
      <c r="D362" s="7">
        <v>10.845000000000001</v>
      </c>
      <c r="E362" s="4">
        <v>0</v>
      </c>
      <c r="F362" s="7">
        <v>10.845000000000001</v>
      </c>
      <c r="G362" s="15">
        <f t="shared" si="948"/>
        <v>937008</v>
      </c>
      <c r="H362" s="21">
        <f t="shared" si="949"/>
        <v>0.93700799999999995</v>
      </c>
      <c r="I362" s="17">
        <v>138228.244444443</v>
      </c>
      <c r="J362" s="31">
        <v>0.13822824444444401</v>
      </c>
      <c r="K362" s="17">
        <v>125730.133333323</v>
      </c>
      <c r="L362" s="17">
        <v>0.125730133333323</v>
      </c>
      <c r="M362" s="17">
        <f t="shared" si="950"/>
        <v>0.26395837777776698</v>
      </c>
      <c r="N362" s="26">
        <v>-1.1546784000000001</v>
      </c>
      <c r="O362" s="7">
        <f t="shared" si="951"/>
        <v>1.827728022222233</v>
      </c>
    </row>
    <row r="363" spans="1:15" x14ac:dyDescent="0.7">
      <c r="A363" s="8"/>
      <c r="B363" s="6"/>
      <c r="C363" s="6">
        <v>27</v>
      </c>
      <c r="D363" s="7">
        <v>10.845000000000001</v>
      </c>
      <c r="E363" s="4">
        <v>0</v>
      </c>
      <c r="F363" s="7">
        <v>10.845000000000001</v>
      </c>
      <c r="G363" s="15">
        <f t="shared" si="948"/>
        <v>937008</v>
      </c>
      <c r="H363" s="21">
        <f t="shared" si="949"/>
        <v>0.93700799999999995</v>
      </c>
      <c r="I363" s="17">
        <v>138607.69444444301</v>
      </c>
      <c r="J363" s="31">
        <v>0.13860769444444401</v>
      </c>
      <c r="K363" s="17">
        <v>126100.66666665699</v>
      </c>
      <c r="L363" s="17">
        <v>0.12610066666665601</v>
      </c>
      <c r="M363" s="17">
        <f t="shared" si="950"/>
        <v>0.26470836111110002</v>
      </c>
      <c r="N363" s="26">
        <v>-1.1584080000000001</v>
      </c>
      <c r="O363" s="7">
        <f t="shared" si="951"/>
        <v>1.8307076388889001</v>
      </c>
    </row>
    <row r="364" spans="1:15" x14ac:dyDescent="0.7">
      <c r="A364" s="8"/>
      <c r="B364" s="6"/>
      <c r="C364" s="6">
        <v>28</v>
      </c>
      <c r="D364" s="7">
        <v>10.845000000000001</v>
      </c>
      <c r="E364" s="4">
        <v>0</v>
      </c>
      <c r="F364" s="7">
        <v>10.845000000000001</v>
      </c>
      <c r="G364" s="15">
        <f t="shared" si="948"/>
        <v>937008</v>
      </c>
      <c r="H364" s="21">
        <f t="shared" si="949"/>
        <v>0.93700799999999995</v>
      </c>
      <c r="I364" s="17">
        <v>138987.14444444299</v>
      </c>
      <c r="J364" s="31">
        <v>0.13898714444444399</v>
      </c>
      <c r="K364" s="17">
        <v>126471.19999999</v>
      </c>
      <c r="L364" s="17">
        <v>0.12647119999999001</v>
      </c>
      <c r="M364" s="17">
        <f t="shared" si="950"/>
        <v>0.265458344444434</v>
      </c>
      <c r="N364" s="26">
        <v>-1.1621376000000001</v>
      </c>
      <c r="O364" s="7">
        <f t="shared" si="951"/>
        <v>1.8336872555555661</v>
      </c>
    </row>
    <row r="365" spans="1:15" x14ac:dyDescent="0.7">
      <c r="A365" s="51"/>
      <c r="B365" s="12"/>
      <c r="C365" s="12">
        <v>29</v>
      </c>
      <c r="D365" s="33">
        <v>10.845000000000001</v>
      </c>
      <c r="E365" s="4">
        <v>0</v>
      </c>
      <c r="F365" s="33">
        <v>10.845000000000001</v>
      </c>
      <c r="G365" s="35">
        <f t="shared" si="948"/>
        <v>937008</v>
      </c>
      <c r="H365" s="36">
        <f t="shared" si="949"/>
        <v>0.93700799999999995</v>
      </c>
      <c r="I365" s="37">
        <v>139366.59444444301</v>
      </c>
      <c r="J365" s="38">
        <v>0.13936659444444399</v>
      </c>
      <c r="K365" s="37">
        <v>126841.73333332301</v>
      </c>
      <c r="L365" s="37">
        <v>0.12684173333332299</v>
      </c>
      <c r="M365" s="37">
        <f t="shared" si="950"/>
        <v>0.26620832777776698</v>
      </c>
      <c r="N365" s="39">
        <v>-1.1658672000000001</v>
      </c>
      <c r="O365" s="33">
        <f t="shared" si="951"/>
        <v>1.836666872222233</v>
      </c>
    </row>
    <row r="366" spans="1:15" s="42" customFormat="1" x14ac:dyDescent="0.7">
      <c r="A366" s="8"/>
      <c r="B366" s="6"/>
      <c r="C366" s="6">
        <v>30</v>
      </c>
      <c r="D366" s="7">
        <v>10.845000000000001</v>
      </c>
      <c r="E366" s="4">
        <v>0</v>
      </c>
      <c r="F366" s="7">
        <v>10.845000000000001</v>
      </c>
      <c r="G366" s="40">
        <f t="shared" si="948"/>
        <v>937008</v>
      </c>
      <c r="H366" s="20">
        <f t="shared" si="949"/>
        <v>0.93700799999999995</v>
      </c>
      <c r="I366" s="17">
        <v>139746.04444444299</v>
      </c>
      <c r="J366" s="31">
        <v>0.139746044444444</v>
      </c>
      <c r="K366" s="17">
        <v>127212.266666656</v>
      </c>
      <c r="L366" s="17">
        <v>0.127212266666656</v>
      </c>
      <c r="M366" s="17">
        <f t="shared" si="950"/>
        <v>0.26695831111110002</v>
      </c>
      <c r="N366" s="26">
        <v>-1.1695968000000001</v>
      </c>
      <c r="O366" s="7">
        <f t="shared" si="951"/>
        <v>1.8396464888889001</v>
      </c>
    </row>
    <row r="367" spans="1:15" s="13" customFormat="1" ht="25.2" thickBot="1" x14ac:dyDescent="0.75">
      <c r="A367" s="52"/>
      <c r="B367" s="11" t="s">
        <v>26</v>
      </c>
      <c r="C367" s="11">
        <v>31</v>
      </c>
      <c r="D367" s="19">
        <v>10.845000000000001</v>
      </c>
      <c r="E367" s="19">
        <v>0</v>
      </c>
      <c r="F367" s="19">
        <v>10.845000000000001</v>
      </c>
      <c r="G367" s="28">
        <f t="shared" si="948"/>
        <v>937008</v>
      </c>
      <c r="H367" s="29">
        <f t="shared" si="949"/>
        <v>0.93700799999999995</v>
      </c>
      <c r="I367" s="43">
        <v>140125.494444443</v>
      </c>
      <c r="J367" s="44">
        <v>0.140125494444444</v>
      </c>
      <c r="K367" s="43">
        <v>127582.79999999001</v>
      </c>
      <c r="L367" s="43">
        <v>0.12758279999999</v>
      </c>
      <c r="M367" s="43">
        <f t="shared" si="950"/>
        <v>0.267708294444434</v>
      </c>
      <c r="N367" s="45">
        <v>-1.1733264000000001</v>
      </c>
      <c r="O367" s="19">
        <f t="shared" si="951"/>
        <v>1.8426261055555662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2026-02-23T18:23:27Z</dcterms:modified>
</cp:coreProperties>
</file>