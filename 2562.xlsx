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C645A396-B5C0-41B8-95E9-3FA10508082E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M167" i="1" s="1"/>
  <c r="O167" i="1" s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M116" i="1" s="1"/>
  <c r="O116" i="1" s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M165" i="1" s="1"/>
  <c r="O165" i="1" s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4" i="1"/>
  <c r="J5" i="1"/>
  <c r="J6" i="1"/>
  <c r="J7" i="1"/>
  <c r="J8" i="1"/>
  <c r="M164" i="1"/>
  <c r="O164" i="1" s="1"/>
  <c r="I284" i="1"/>
  <c r="K284" i="1"/>
  <c r="M118" i="1"/>
  <c r="O118" i="1" s="1"/>
  <c r="M117" i="1"/>
  <c r="O117" i="1" s="1"/>
  <c r="M166" i="1" l="1"/>
  <c r="O166" i="1" s="1"/>
  <c r="M168" i="1"/>
  <c r="O168" i="1" s="1"/>
  <c r="M120" i="1"/>
  <c r="O120" i="1" s="1"/>
  <c r="M119" i="1"/>
  <c r="O119" i="1" s="1"/>
  <c r="M73" i="1" l="1"/>
  <c r="O73" i="1" s="1"/>
  <c r="M72" i="1"/>
  <c r="O72" i="1" s="1"/>
  <c r="M71" i="1"/>
  <c r="O71" i="1" s="1"/>
  <c r="M70" i="1"/>
  <c r="O70" i="1" s="1"/>
  <c r="M69" i="1"/>
  <c r="O69" i="1" s="1"/>
  <c r="M68" i="1"/>
  <c r="O68" i="1" s="1"/>
  <c r="G62" i="1" l="1"/>
  <c r="H62" i="1"/>
  <c r="M62" i="1"/>
  <c r="O62" i="1"/>
  <c r="G63" i="1"/>
  <c r="H63" i="1"/>
  <c r="M63" i="1"/>
  <c r="O63" i="1"/>
  <c r="G64" i="1"/>
  <c r="H64" i="1"/>
  <c r="M64" i="1"/>
  <c r="O64" i="1"/>
  <c r="G65" i="1"/>
  <c r="H65" i="1"/>
  <c r="M65" i="1"/>
  <c r="O65" i="1"/>
  <c r="G66" i="1"/>
  <c r="H66" i="1"/>
  <c r="M66" i="1"/>
  <c r="O66" i="1"/>
  <c r="G67" i="1"/>
  <c r="H67" i="1"/>
  <c r="M67" i="1"/>
  <c r="O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M74" i="1"/>
  <c r="O74" i="1"/>
  <c r="G75" i="1"/>
  <c r="H75" i="1"/>
  <c r="M75" i="1"/>
  <c r="O75" i="1"/>
  <c r="G76" i="1"/>
  <c r="H76" i="1"/>
  <c r="M76" i="1"/>
  <c r="O76" i="1"/>
  <c r="G77" i="1"/>
  <c r="H77" i="1"/>
  <c r="M77" i="1"/>
  <c r="O77" i="1"/>
  <c r="G78" i="1"/>
  <c r="H78" i="1"/>
  <c r="M78" i="1"/>
  <c r="O78" i="1"/>
  <c r="G79" i="1"/>
  <c r="H79" i="1"/>
  <c r="M79" i="1"/>
  <c r="O79" i="1"/>
  <c r="G80" i="1"/>
  <c r="H80" i="1"/>
  <c r="M80" i="1"/>
  <c r="O80" i="1"/>
  <c r="G81" i="1"/>
  <c r="H81" i="1"/>
  <c r="M81" i="1"/>
  <c r="O81" i="1"/>
  <c r="G82" i="1"/>
  <c r="H82" i="1"/>
  <c r="M82" i="1"/>
  <c r="O82" i="1"/>
  <c r="G83" i="1"/>
  <c r="H83" i="1"/>
  <c r="M83" i="1"/>
  <c r="O83" i="1"/>
  <c r="G84" i="1"/>
  <c r="H84" i="1"/>
  <c r="M84" i="1"/>
  <c r="O84" i="1"/>
  <c r="G85" i="1"/>
  <c r="H85" i="1"/>
  <c r="M85" i="1"/>
  <c r="O85" i="1"/>
  <c r="G86" i="1"/>
  <c r="H86" i="1"/>
  <c r="M86" i="1"/>
  <c r="O86" i="1"/>
  <c r="G87" i="1"/>
  <c r="H87" i="1"/>
  <c r="M87" i="1"/>
  <c r="O87" i="1"/>
  <c r="G88" i="1"/>
  <c r="H88" i="1"/>
  <c r="M88" i="1"/>
  <c r="O88" i="1"/>
  <c r="G89" i="1"/>
  <c r="H89" i="1"/>
  <c r="M89" i="1"/>
  <c r="O89" i="1"/>
  <c r="G90" i="1"/>
  <c r="H90" i="1"/>
  <c r="M90" i="1"/>
  <c r="O90" i="1"/>
  <c r="G91" i="1"/>
  <c r="H91" i="1"/>
  <c r="M91" i="1"/>
  <c r="O91" i="1"/>
  <c r="G92" i="1"/>
  <c r="H92" i="1"/>
  <c r="M92" i="1"/>
  <c r="O92" i="1"/>
  <c r="G93" i="1"/>
  <c r="H93" i="1"/>
  <c r="M93" i="1"/>
  <c r="O93" i="1"/>
  <c r="G94" i="1"/>
  <c r="H94" i="1"/>
  <c r="M94" i="1"/>
  <c r="O94" i="1"/>
  <c r="G95" i="1"/>
  <c r="H95" i="1"/>
  <c r="M95" i="1"/>
  <c r="O95" i="1"/>
  <c r="G96" i="1"/>
  <c r="H96" i="1"/>
  <c r="M96" i="1"/>
  <c r="O96" i="1"/>
  <c r="G97" i="1"/>
  <c r="H97" i="1"/>
  <c r="M97" i="1"/>
  <c r="O97" i="1"/>
  <c r="G98" i="1"/>
  <c r="H98" i="1"/>
  <c r="M98" i="1"/>
  <c r="O98" i="1"/>
  <c r="G99" i="1"/>
  <c r="H99" i="1"/>
  <c r="M99" i="1"/>
  <c r="O99" i="1"/>
  <c r="G100" i="1"/>
  <c r="H100" i="1"/>
  <c r="M100" i="1"/>
  <c r="O100" i="1"/>
  <c r="G101" i="1"/>
  <c r="H101" i="1"/>
  <c r="M101" i="1"/>
  <c r="O101" i="1"/>
  <c r="G102" i="1"/>
  <c r="H102" i="1"/>
  <c r="M102" i="1"/>
  <c r="O102" i="1"/>
  <c r="G103" i="1"/>
  <c r="H103" i="1"/>
  <c r="M103" i="1"/>
  <c r="O103" i="1"/>
  <c r="G104" i="1"/>
  <c r="H104" i="1"/>
  <c r="M104" i="1"/>
  <c r="O104" i="1"/>
  <c r="G105" i="1"/>
  <c r="H105" i="1"/>
  <c r="G106" i="1"/>
  <c r="H106" i="1"/>
  <c r="M106" i="1"/>
  <c r="O106" i="1"/>
  <c r="G107" i="1"/>
  <c r="H107" i="1"/>
  <c r="M107" i="1"/>
  <c r="O107" i="1" s="1"/>
  <c r="G108" i="1"/>
  <c r="H108" i="1"/>
  <c r="M108" i="1"/>
  <c r="O108" i="1"/>
  <c r="G109" i="1"/>
  <c r="H109" i="1"/>
  <c r="M109" i="1"/>
  <c r="O109" i="1" s="1"/>
  <c r="G110" i="1"/>
  <c r="H110" i="1"/>
  <c r="M110" i="1"/>
  <c r="O110" i="1"/>
  <c r="G111" i="1"/>
  <c r="H111" i="1"/>
  <c r="M111" i="1"/>
  <c r="O111" i="1" s="1"/>
  <c r="G112" i="1"/>
  <c r="H112" i="1"/>
  <c r="M112" i="1"/>
  <c r="O112" i="1"/>
  <c r="G113" i="1"/>
  <c r="H113" i="1"/>
  <c r="M113" i="1"/>
  <c r="O113" i="1" s="1"/>
  <c r="G114" i="1"/>
  <c r="H114" i="1"/>
  <c r="M114" i="1"/>
  <c r="O114" i="1"/>
  <c r="G115" i="1"/>
  <c r="H115" i="1"/>
  <c r="M115" i="1"/>
  <c r="O115" i="1" s="1"/>
  <c r="G116" i="1"/>
  <c r="H116" i="1"/>
  <c r="G117" i="1"/>
  <c r="H117" i="1"/>
  <c r="G118" i="1"/>
  <c r="H118" i="1"/>
  <c r="G119" i="1"/>
  <c r="H119" i="1"/>
  <c r="G120" i="1"/>
  <c r="H120" i="1"/>
  <c r="G121" i="1"/>
  <c r="H121" i="1"/>
  <c r="M121" i="1"/>
  <c r="O121" i="1"/>
  <c r="G122" i="1"/>
  <c r="H122" i="1"/>
  <c r="M122" i="1"/>
  <c r="O122" i="1"/>
  <c r="G123" i="1"/>
  <c r="H123" i="1"/>
  <c r="M123" i="1"/>
  <c r="O123" i="1"/>
  <c r="G124" i="1"/>
  <c r="H124" i="1"/>
  <c r="M124" i="1"/>
  <c r="O124" i="1"/>
  <c r="G125" i="1"/>
  <c r="H125" i="1"/>
  <c r="M125" i="1"/>
  <c r="O125" i="1"/>
  <c r="G126" i="1"/>
  <c r="H126" i="1"/>
  <c r="M126" i="1"/>
  <c r="O126" i="1"/>
  <c r="G127" i="1"/>
  <c r="H127" i="1"/>
  <c r="M127" i="1"/>
  <c r="O127" i="1"/>
  <c r="G128" i="1"/>
  <c r="H128" i="1"/>
  <c r="M128" i="1"/>
  <c r="O128" i="1"/>
  <c r="G129" i="1"/>
  <c r="H129" i="1"/>
  <c r="M129" i="1"/>
  <c r="O129" i="1"/>
  <c r="G130" i="1"/>
  <c r="H130" i="1"/>
  <c r="M130" i="1"/>
  <c r="O130" i="1"/>
  <c r="G131" i="1"/>
  <c r="H131" i="1"/>
  <c r="M131" i="1"/>
  <c r="O131" i="1"/>
  <c r="G132" i="1"/>
  <c r="H132" i="1"/>
  <c r="M132" i="1"/>
  <c r="O132" i="1"/>
  <c r="G133" i="1"/>
  <c r="H133" i="1"/>
  <c r="M133" i="1"/>
  <c r="O133" i="1"/>
  <c r="G134" i="1"/>
  <c r="H134" i="1"/>
  <c r="M134" i="1"/>
  <c r="O134" i="1"/>
  <c r="G135" i="1"/>
  <c r="H135" i="1"/>
  <c r="M135" i="1"/>
  <c r="O135" i="1"/>
  <c r="G136" i="1"/>
  <c r="H136" i="1"/>
  <c r="M136" i="1"/>
  <c r="O136" i="1"/>
  <c r="G137" i="1"/>
  <c r="H137" i="1"/>
  <c r="M137" i="1"/>
  <c r="O137" i="1"/>
  <c r="G138" i="1"/>
  <c r="H138" i="1"/>
  <c r="M138" i="1"/>
  <c r="O138" i="1"/>
  <c r="G139" i="1"/>
  <c r="H139" i="1"/>
  <c r="M139" i="1"/>
  <c r="O139" i="1"/>
  <c r="G140" i="1"/>
  <c r="H140" i="1"/>
  <c r="M140" i="1"/>
  <c r="O140" i="1"/>
  <c r="G141" i="1"/>
  <c r="H141" i="1"/>
  <c r="M141" i="1"/>
  <c r="O141" i="1"/>
  <c r="G142" i="1"/>
  <c r="H142" i="1"/>
  <c r="M142" i="1"/>
  <c r="O142" i="1"/>
  <c r="G143" i="1"/>
  <c r="H143" i="1"/>
  <c r="M143" i="1"/>
  <c r="O143" i="1"/>
  <c r="G144" i="1"/>
  <c r="H144" i="1"/>
  <c r="M144" i="1"/>
  <c r="O144" i="1"/>
  <c r="G145" i="1"/>
  <c r="H145" i="1"/>
  <c r="M145" i="1"/>
  <c r="O145" i="1"/>
  <c r="G146" i="1"/>
  <c r="H146" i="1"/>
  <c r="M146" i="1"/>
  <c r="O146" i="1"/>
  <c r="G147" i="1"/>
  <c r="H147" i="1"/>
  <c r="M147" i="1"/>
  <c r="O147" i="1"/>
  <c r="G148" i="1"/>
  <c r="H148" i="1"/>
  <c r="M148" i="1"/>
  <c r="O148" i="1"/>
  <c r="G149" i="1"/>
  <c r="H149" i="1"/>
  <c r="M149" i="1"/>
  <c r="O149" i="1"/>
  <c r="G150" i="1"/>
  <c r="H150" i="1"/>
  <c r="M150" i="1"/>
  <c r="O150" i="1"/>
  <c r="G151" i="1"/>
  <c r="H151" i="1"/>
  <c r="M151" i="1"/>
  <c r="O151" i="1"/>
  <c r="G152" i="1"/>
  <c r="H152" i="1"/>
  <c r="M152" i="1"/>
  <c r="O152" i="1"/>
  <c r="G153" i="1"/>
  <c r="H153" i="1"/>
  <c r="M153" i="1"/>
  <c r="O153" i="1"/>
  <c r="G154" i="1"/>
  <c r="H154" i="1"/>
  <c r="M154" i="1"/>
  <c r="O154" i="1"/>
  <c r="G155" i="1"/>
  <c r="H155" i="1"/>
  <c r="M155" i="1"/>
  <c r="O155" i="1"/>
  <c r="G156" i="1"/>
  <c r="H156" i="1"/>
  <c r="M156" i="1"/>
  <c r="O156" i="1"/>
  <c r="G157" i="1"/>
  <c r="H157" i="1"/>
  <c r="M157" i="1"/>
  <c r="O157" i="1"/>
  <c r="G158" i="1"/>
  <c r="H158" i="1"/>
  <c r="M158" i="1"/>
  <c r="O158" i="1"/>
  <c r="G159" i="1"/>
  <c r="H159" i="1"/>
  <c r="M159" i="1"/>
  <c r="O159" i="1"/>
  <c r="G160" i="1"/>
  <c r="H160" i="1"/>
  <c r="M160" i="1"/>
  <c r="O160" i="1"/>
  <c r="G161" i="1"/>
  <c r="H161" i="1"/>
  <c r="M161" i="1"/>
  <c r="O161" i="1"/>
  <c r="G162" i="1"/>
  <c r="H162" i="1"/>
  <c r="M162" i="1"/>
  <c r="O162" i="1"/>
  <c r="G163" i="1"/>
  <c r="H163" i="1"/>
  <c r="M163" i="1"/>
  <c r="O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M169" i="1"/>
  <c r="O169" i="1"/>
  <c r="G170" i="1"/>
  <c r="H170" i="1"/>
  <c r="M170" i="1"/>
  <c r="O170" i="1" s="1"/>
  <c r="G171" i="1"/>
  <c r="H171" i="1"/>
  <c r="M171" i="1"/>
  <c r="O171" i="1"/>
  <c r="G172" i="1"/>
  <c r="H172" i="1"/>
  <c r="M172" i="1"/>
  <c r="O172" i="1" s="1"/>
  <c r="G173" i="1"/>
  <c r="H173" i="1"/>
  <c r="M173" i="1"/>
  <c r="O173" i="1"/>
  <c r="G174" i="1"/>
  <c r="H174" i="1"/>
  <c r="M174" i="1"/>
  <c r="O174" i="1" s="1"/>
  <c r="G175" i="1"/>
  <c r="H175" i="1"/>
  <c r="M175" i="1"/>
  <c r="O175" i="1"/>
  <c r="G176" i="1"/>
  <c r="H176" i="1"/>
  <c r="M176" i="1"/>
  <c r="O176" i="1" s="1"/>
  <c r="G177" i="1"/>
  <c r="H177" i="1"/>
  <c r="M177" i="1"/>
  <c r="O177" i="1"/>
  <c r="G178" i="1"/>
  <c r="H178" i="1"/>
  <c r="M178" i="1"/>
  <c r="O178" i="1" s="1"/>
  <c r="G179" i="1"/>
  <c r="H179" i="1"/>
  <c r="M179" i="1"/>
  <c r="O179" i="1"/>
  <c r="G180" i="1"/>
  <c r="H180" i="1"/>
  <c r="M180" i="1"/>
  <c r="O180" i="1" s="1"/>
  <c r="G181" i="1"/>
  <c r="H181" i="1"/>
  <c r="M181" i="1"/>
  <c r="O181" i="1"/>
  <c r="G182" i="1"/>
  <c r="H182" i="1"/>
  <c r="M182" i="1"/>
  <c r="O182" i="1" s="1"/>
  <c r="G183" i="1"/>
  <c r="H183" i="1"/>
  <c r="M183" i="1"/>
  <c r="O183" i="1"/>
  <c r="G184" i="1"/>
  <c r="H184" i="1"/>
  <c r="M184" i="1"/>
  <c r="O184" i="1" s="1"/>
  <c r="G185" i="1"/>
  <c r="H185" i="1"/>
  <c r="M185" i="1"/>
  <c r="O185" i="1"/>
  <c r="G186" i="1"/>
  <c r="H186" i="1"/>
  <c r="M186" i="1"/>
  <c r="O186" i="1" s="1"/>
  <c r="G187" i="1"/>
  <c r="H187" i="1"/>
  <c r="M187" i="1"/>
  <c r="O187" i="1"/>
  <c r="G188" i="1"/>
  <c r="H188" i="1"/>
  <c r="M188" i="1"/>
  <c r="O188" i="1" s="1"/>
  <c r="G189" i="1"/>
  <c r="H189" i="1"/>
  <c r="M189" i="1"/>
  <c r="O189" i="1"/>
  <c r="G190" i="1"/>
  <c r="H190" i="1"/>
  <c r="M190" i="1"/>
  <c r="O190" i="1" s="1"/>
  <c r="G191" i="1"/>
  <c r="H191" i="1"/>
  <c r="M191" i="1"/>
  <c r="O191" i="1"/>
  <c r="G192" i="1"/>
  <c r="H192" i="1"/>
  <c r="M192" i="1"/>
  <c r="O192" i="1" s="1"/>
  <c r="G193" i="1"/>
  <c r="H193" i="1"/>
  <c r="M193" i="1"/>
  <c r="O193" i="1"/>
  <c r="G194" i="1"/>
  <c r="H194" i="1"/>
  <c r="M194" i="1"/>
  <c r="O194" i="1" s="1"/>
  <c r="G195" i="1"/>
  <c r="H195" i="1"/>
  <c r="M195" i="1"/>
  <c r="O195" i="1"/>
  <c r="G196" i="1"/>
  <c r="H196" i="1"/>
  <c r="M196" i="1"/>
  <c r="O196" i="1" s="1"/>
  <c r="G197" i="1"/>
  <c r="H197" i="1"/>
  <c r="M197" i="1"/>
  <c r="O197" i="1"/>
  <c r="G198" i="1"/>
  <c r="H198" i="1"/>
  <c r="M198" i="1"/>
  <c r="O198" i="1" s="1"/>
  <c r="G199" i="1"/>
  <c r="H199" i="1"/>
  <c r="M199" i="1"/>
  <c r="O199" i="1"/>
  <c r="G200" i="1"/>
  <c r="H200" i="1"/>
  <c r="M200" i="1"/>
  <c r="O200" i="1" s="1"/>
  <c r="G201" i="1"/>
  <c r="H201" i="1"/>
  <c r="M201" i="1"/>
  <c r="O201" i="1"/>
  <c r="G202" i="1"/>
  <c r="H202" i="1"/>
  <c r="M202" i="1"/>
  <c r="O202" i="1" s="1"/>
  <c r="G203" i="1"/>
  <c r="H203" i="1"/>
  <c r="M203" i="1"/>
  <c r="O203" i="1"/>
  <c r="G204" i="1"/>
  <c r="H204" i="1"/>
  <c r="M204" i="1"/>
  <c r="O204" i="1" s="1"/>
  <c r="G205" i="1"/>
  <c r="H205" i="1"/>
  <c r="M205" i="1"/>
  <c r="O205" i="1"/>
  <c r="G206" i="1"/>
  <c r="H206" i="1"/>
  <c r="M206" i="1"/>
  <c r="O206" i="1" s="1"/>
  <c r="G207" i="1"/>
  <c r="H207" i="1"/>
  <c r="M207" i="1"/>
  <c r="O207" i="1"/>
  <c r="G208" i="1"/>
  <c r="H208" i="1"/>
  <c r="M208" i="1"/>
  <c r="O208" i="1" s="1"/>
  <c r="G209" i="1"/>
  <c r="H209" i="1"/>
  <c r="M209" i="1"/>
  <c r="O209" i="1"/>
  <c r="G210" i="1"/>
  <c r="H210" i="1"/>
  <c r="M210" i="1"/>
  <c r="O210" i="1" s="1"/>
  <c r="G211" i="1"/>
  <c r="H211" i="1"/>
  <c r="M211" i="1"/>
  <c r="O211" i="1"/>
  <c r="G212" i="1"/>
  <c r="H212" i="1"/>
  <c r="M212" i="1"/>
  <c r="O212" i="1" s="1"/>
  <c r="G213" i="1"/>
  <c r="H213" i="1"/>
  <c r="M213" i="1"/>
  <c r="O213" i="1"/>
  <c r="G214" i="1"/>
  <c r="H214" i="1"/>
  <c r="M214" i="1"/>
  <c r="O214" i="1" s="1"/>
  <c r="G215" i="1"/>
  <c r="H215" i="1"/>
  <c r="M215" i="1"/>
  <c r="O215" i="1"/>
  <c r="G216" i="1"/>
  <c r="H216" i="1"/>
  <c r="M216" i="1"/>
  <c r="O216" i="1" s="1"/>
  <c r="G217" i="1"/>
  <c r="H217" i="1"/>
  <c r="M217" i="1"/>
  <c r="O217" i="1"/>
  <c r="G218" i="1"/>
  <c r="H218" i="1"/>
  <c r="M218" i="1"/>
  <c r="O218" i="1" s="1"/>
  <c r="G219" i="1"/>
  <c r="H219" i="1"/>
  <c r="M219" i="1"/>
  <c r="O219" i="1"/>
  <c r="G220" i="1"/>
  <c r="H220" i="1"/>
  <c r="M220" i="1"/>
  <c r="O220" i="1" s="1"/>
  <c r="G221" i="1"/>
  <c r="H221" i="1"/>
  <c r="M221" i="1"/>
  <c r="O221" i="1"/>
  <c r="G222" i="1"/>
  <c r="H222" i="1"/>
  <c r="M222" i="1"/>
  <c r="O222" i="1" s="1"/>
  <c r="G223" i="1"/>
  <c r="H223" i="1"/>
  <c r="M223" i="1"/>
  <c r="O223" i="1"/>
  <c r="G224" i="1"/>
  <c r="H224" i="1"/>
  <c r="M224" i="1"/>
  <c r="O224" i="1" s="1"/>
  <c r="G225" i="1"/>
  <c r="H225" i="1"/>
  <c r="M225" i="1"/>
  <c r="O225" i="1"/>
  <c r="G226" i="1"/>
  <c r="H226" i="1"/>
  <c r="M226" i="1"/>
  <c r="O226" i="1" s="1"/>
  <c r="G227" i="1"/>
  <c r="H227" i="1"/>
  <c r="M227" i="1"/>
  <c r="O227" i="1"/>
  <c r="G228" i="1"/>
  <c r="H228" i="1"/>
  <c r="M228" i="1"/>
  <c r="O228" i="1" s="1"/>
  <c r="G229" i="1"/>
  <c r="H229" i="1"/>
  <c r="M229" i="1"/>
  <c r="O229" i="1"/>
  <c r="G230" i="1"/>
  <c r="H230" i="1"/>
  <c r="M230" i="1"/>
  <c r="O230" i="1" s="1"/>
  <c r="G231" i="1"/>
  <c r="H231" i="1"/>
  <c r="M231" i="1"/>
  <c r="O231" i="1"/>
  <c r="G232" i="1"/>
  <c r="H232" i="1"/>
  <c r="M232" i="1"/>
  <c r="O232" i="1" s="1"/>
  <c r="G233" i="1"/>
  <c r="H233" i="1"/>
  <c r="M233" i="1"/>
  <c r="O233" i="1"/>
  <c r="G234" i="1"/>
  <c r="H234" i="1"/>
  <c r="M234" i="1"/>
  <c r="O234" i="1" s="1"/>
  <c r="G235" i="1"/>
  <c r="H235" i="1"/>
  <c r="M235" i="1"/>
  <c r="O235" i="1"/>
  <c r="G236" i="1"/>
  <c r="H236" i="1"/>
  <c r="M236" i="1"/>
  <c r="O236" i="1" s="1"/>
  <c r="G237" i="1"/>
  <c r="H237" i="1"/>
  <c r="M237" i="1"/>
  <c r="O237" i="1"/>
  <c r="G238" i="1"/>
  <c r="H238" i="1"/>
  <c r="M238" i="1"/>
  <c r="O238" i="1" s="1"/>
  <c r="G239" i="1"/>
  <c r="H239" i="1"/>
  <c r="M239" i="1"/>
  <c r="O239" i="1" s="1"/>
  <c r="G240" i="1"/>
  <c r="H240" i="1"/>
  <c r="M240" i="1"/>
  <c r="O240" i="1" s="1"/>
  <c r="G241" i="1"/>
  <c r="H241" i="1"/>
  <c r="M241" i="1"/>
  <c r="O241" i="1" s="1"/>
  <c r="G242" i="1"/>
  <c r="H242" i="1"/>
  <c r="M242" i="1"/>
  <c r="O242" i="1" s="1"/>
  <c r="G243" i="1"/>
  <c r="H243" i="1"/>
  <c r="M243" i="1"/>
  <c r="O243" i="1"/>
  <c r="G244" i="1"/>
  <c r="H244" i="1"/>
  <c r="M244" i="1"/>
  <c r="O244" i="1" s="1"/>
  <c r="G245" i="1"/>
  <c r="H245" i="1"/>
  <c r="M245" i="1"/>
  <c r="O245" i="1"/>
  <c r="G246" i="1"/>
  <c r="H246" i="1"/>
  <c r="M246" i="1"/>
  <c r="O246" i="1" s="1"/>
  <c r="G247" i="1"/>
  <c r="H247" i="1"/>
  <c r="M247" i="1"/>
  <c r="O247" i="1"/>
  <c r="G248" i="1"/>
  <c r="H248" i="1"/>
  <c r="M248" i="1"/>
  <c r="O248" i="1" s="1"/>
  <c r="G249" i="1"/>
  <c r="H249" i="1"/>
  <c r="M249" i="1"/>
  <c r="O249" i="1"/>
  <c r="G250" i="1"/>
  <c r="H250" i="1"/>
  <c r="M250" i="1"/>
  <c r="O250" i="1" s="1"/>
  <c r="G251" i="1"/>
  <c r="H251" i="1"/>
  <c r="M251" i="1"/>
  <c r="O251" i="1"/>
  <c r="G252" i="1"/>
  <c r="H252" i="1"/>
  <c r="M252" i="1"/>
  <c r="O252" i="1" s="1"/>
  <c r="G253" i="1"/>
  <c r="H253" i="1"/>
  <c r="M253" i="1"/>
  <c r="O253" i="1"/>
  <c r="G254" i="1"/>
  <c r="H254" i="1"/>
  <c r="M254" i="1"/>
  <c r="O254" i="1" s="1"/>
  <c r="G255" i="1"/>
  <c r="H255" i="1"/>
  <c r="M255" i="1"/>
  <c r="O255" i="1" s="1"/>
  <c r="G256" i="1"/>
  <c r="H256" i="1"/>
  <c r="M256" i="1"/>
  <c r="O256" i="1" s="1"/>
  <c r="G257" i="1"/>
  <c r="H257" i="1"/>
  <c r="M257" i="1"/>
  <c r="O257" i="1" s="1"/>
  <c r="G258" i="1"/>
  <c r="H258" i="1"/>
  <c r="M258" i="1"/>
  <c r="O258" i="1" s="1"/>
  <c r="G259" i="1"/>
  <c r="H259" i="1"/>
  <c r="M259" i="1"/>
  <c r="O259" i="1"/>
  <c r="G260" i="1"/>
  <c r="H260" i="1"/>
  <c r="M260" i="1"/>
  <c r="O260" i="1" s="1"/>
  <c r="G261" i="1"/>
  <c r="H261" i="1"/>
  <c r="M261" i="1"/>
  <c r="O261" i="1"/>
  <c r="G262" i="1"/>
  <c r="H262" i="1"/>
  <c r="M262" i="1"/>
  <c r="O262" i="1" s="1"/>
  <c r="G263" i="1"/>
  <c r="H263" i="1"/>
  <c r="M263" i="1"/>
  <c r="O263" i="1"/>
  <c r="G264" i="1"/>
  <c r="H264" i="1"/>
  <c r="M264" i="1"/>
  <c r="O264" i="1" s="1"/>
  <c r="G265" i="1"/>
  <c r="H265" i="1"/>
  <c r="M265" i="1"/>
  <c r="O265" i="1"/>
  <c r="G266" i="1"/>
  <c r="H266" i="1"/>
  <c r="M266" i="1"/>
  <c r="O266" i="1" s="1"/>
  <c r="G267" i="1"/>
  <c r="H267" i="1"/>
  <c r="M267" i="1"/>
  <c r="O267" i="1"/>
  <c r="G268" i="1"/>
  <c r="H268" i="1"/>
  <c r="M268" i="1"/>
  <c r="O268" i="1" s="1"/>
  <c r="G269" i="1"/>
  <c r="H269" i="1"/>
  <c r="M269" i="1"/>
  <c r="O269" i="1"/>
  <c r="G270" i="1"/>
  <c r="H270" i="1"/>
  <c r="M270" i="1"/>
  <c r="O270" i="1" s="1"/>
  <c r="G271" i="1"/>
  <c r="H271" i="1"/>
  <c r="M271" i="1"/>
  <c r="O271" i="1" s="1"/>
  <c r="G272" i="1"/>
  <c r="H272" i="1"/>
  <c r="M272" i="1"/>
  <c r="O272" i="1" s="1"/>
  <c r="G273" i="1"/>
  <c r="H273" i="1"/>
  <c r="M273" i="1"/>
  <c r="O273" i="1" s="1"/>
  <c r="G274" i="1"/>
  <c r="H274" i="1"/>
  <c r="M274" i="1"/>
  <c r="O274" i="1" s="1"/>
  <c r="G275" i="1"/>
  <c r="H275" i="1"/>
  <c r="M275" i="1"/>
  <c r="O275" i="1"/>
  <c r="G276" i="1"/>
  <c r="H276" i="1"/>
  <c r="M276" i="1"/>
  <c r="O276" i="1" s="1"/>
  <c r="G277" i="1"/>
  <c r="H277" i="1"/>
  <c r="M277" i="1"/>
  <c r="O277" i="1"/>
  <c r="G278" i="1"/>
  <c r="H278" i="1"/>
  <c r="M278" i="1"/>
  <c r="O278" i="1" s="1"/>
  <c r="G279" i="1"/>
  <c r="H279" i="1"/>
  <c r="M279" i="1"/>
  <c r="O279" i="1"/>
  <c r="G280" i="1"/>
  <c r="H280" i="1"/>
  <c r="M280" i="1"/>
  <c r="O280" i="1" s="1"/>
  <c r="G281" i="1"/>
  <c r="H281" i="1"/>
  <c r="M281" i="1"/>
  <c r="O281" i="1"/>
  <c r="G282" i="1"/>
  <c r="H282" i="1"/>
  <c r="M282" i="1"/>
  <c r="O282" i="1" s="1"/>
  <c r="G283" i="1"/>
  <c r="H283" i="1"/>
  <c r="M283" i="1"/>
  <c r="O283" i="1"/>
  <c r="G284" i="1"/>
  <c r="H284" i="1"/>
  <c r="M284" i="1"/>
  <c r="O284" i="1" s="1"/>
  <c r="G285" i="1"/>
  <c r="H285" i="1"/>
  <c r="M285" i="1"/>
  <c r="O285" i="1"/>
  <c r="G286" i="1"/>
  <c r="H286" i="1"/>
  <c r="M286" i="1"/>
  <c r="O286" i="1" s="1"/>
  <c r="G287" i="1"/>
  <c r="H287" i="1"/>
  <c r="M287" i="1"/>
  <c r="O287" i="1" s="1"/>
  <c r="G288" i="1"/>
  <c r="H288" i="1"/>
  <c r="M288" i="1"/>
  <c r="O288" i="1" s="1"/>
  <c r="G289" i="1"/>
  <c r="H289" i="1"/>
  <c r="M289" i="1"/>
  <c r="O289" i="1" s="1"/>
  <c r="G290" i="1"/>
  <c r="H290" i="1"/>
  <c r="M290" i="1"/>
  <c r="O290" i="1" s="1"/>
  <c r="G291" i="1"/>
  <c r="H291" i="1"/>
  <c r="M291" i="1"/>
  <c r="O291" i="1"/>
  <c r="G292" i="1"/>
  <c r="H292" i="1"/>
  <c r="M292" i="1"/>
  <c r="O292" i="1" s="1"/>
  <c r="G293" i="1"/>
  <c r="H293" i="1"/>
  <c r="M293" i="1"/>
  <c r="O293" i="1"/>
  <c r="G294" i="1"/>
  <c r="H294" i="1"/>
  <c r="M294" i="1"/>
  <c r="O294" i="1" s="1"/>
  <c r="G295" i="1"/>
  <c r="H295" i="1"/>
  <c r="M295" i="1"/>
  <c r="O295" i="1"/>
  <c r="G296" i="1"/>
  <c r="H296" i="1"/>
  <c r="M296" i="1"/>
  <c r="O296" i="1" s="1"/>
  <c r="G297" i="1"/>
  <c r="H297" i="1"/>
  <c r="M297" i="1"/>
  <c r="O297" i="1"/>
  <c r="G298" i="1"/>
  <c r="H298" i="1"/>
  <c r="M298" i="1"/>
  <c r="O298" i="1" s="1"/>
  <c r="G299" i="1"/>
  <c r="H299" i="1"/>
  <c r="M299" i="1"/>
  <c r="O299" i="1"/>
  <c r="G300" i="1"/>
  <c r="H300" i="1"/>
  <c r="M300" i="1"/>
  <c r="O300" i="1" s="1"/>
  <c r="G301" i="1"/>
  <c r="H301" i="1"/>
  <c r="M301" i="1"/>
  <c r="O301" i="1"/>
  <c r="G302" i="1"/>
  <c r="H302" i="1"/>
  <c r="M302" i="1"/>
  <c r="O302" i="1" s="1"/>
  <c r="G303" i="1"/>
  <c r="H303" i="1"/>
  <c r="M303" i="1"/>
  <c r="O303" i="1" s="1"/>
  <c r="G304" i="1"/>
  <c r="H304" i="1"/>
  <c r="M304" i="1"/>
  <c r="O304" i="1" s="1"/>
  <c r="G305" i="1"/>
  <c r="H305" i="1"/>
  <c r="M305" i="1"/>
  <c r="O305" i="1" s="1"/>
  <c r="G306" i="1"/>
  <c r="H306" i="1"/>
  <c r="M306" i="1"/>
  <c r="O306" i="1" s="1"/>
  <c r="G307" i="1"/>
  <c r="H307" i="1"/>
  <c r="M307" i="1"/>
  <c r="O307" i="1"/>
  <c r="G308" i="1"/>
  <c r="H308" i="1"/>
  <c r="M308" i="1"/>
  <c r="O308" i="1" s="1"/>
  <c r="G309" i="1"/>
  <c r="H309" i="1"/>
  <c r="M309" i="1"/>
  <c r="O309" i="1"/>
  <c r="G310" i="1"/>
  <c r="H310" i="1"/>
  <c r="M310" i="1"/>
  <c r="O310" i="1" s="1"/>
  <c r="G311" i="1"/>
  <c r="H311" i="1"/>
  <c r="M311" i="1"/>
  <c r="O311" i="1"/>
  <c r="G312" i="1"/>
  <c r="H312" i="1"/>
  <c r="M312" i="1"/>
  <c r="O312" i="1" s="1"/>
  <c r="G313" i="1"/>
  <c r="H313" i="1"/>
  <c r="M313" i="1"/>
  <c r="O313" i="1"/>
  <c r="G314" i="1"/>
  <c r="H314" i="1"/>
  <c r="M314" i="1"/>
  <c r="O314" i="1" s="1"/>
  <c r="G315" i="1"/>
  <c r="H315" i="1"/>
  <c r="M315" i="1"/>
  <c r="O315" i="1"/>
  <c r="G316" i="1"/>
  <c r="H316" i="1"/>
  <c r="M316" i="1"/>
  <c r="O316" i="1" s="1"/>
  <c r="G317" i="1"/>
  <c r="H317" i="1"/>
  <c r="M317" i="1"/>
  <c r="O317" i="1"/>
  <c r="G318" i="1"/>
  <c r="H318" i="1"/>
  <c r="M318" i="1"/>
  <c r="O318" i="1" s="1"/>
  <c r="G319" i="1"/>
  <c r="H319" i="1"/>
  <c r="M319" i="1"/>
  <c r="O319" i="1" s="1"/>
  <c r="G320" i="1"/>
  <c r="H320" i="1"/>
  <c r="M320" i="1"/>
  <c r="O320" i="1" s="1"/>
  <c r="G321" i="1"/>
  <c r="H321" i="1"/>
  <c r="M321" i="1"/>
  <c r="O321" i="1" s="1"/>
  <c r="G322" i="1"/>
  <c r="H322" i="1"/>
  <c r="M322" i="1"/>
  <c r="O322" i="1" s="1"/>
  <c r="G323" i="1"/>
  <c r="H323" i="1"/>
  <c r="M323" i="1"/>
  <c r="O323" i="1"/>
  <c r="G324" i="1"/>
  <c r="H324" i="1"/>
  <c r="M324" i="1"/>
  <c r="O324" i="1" s="1"/>
  <c r="G325" i="1"/>
  <c r="H325" i="1"/>
  <c r="M325" i="1"/>
  <c r="O325" i="1"/>
  <c r="G326" i="1"/>
  <c r="H326" i="1"/>
  <c r="M326" i="1"/>
  <c r="O326" i="1" s="1"/>
  <c r="G327" i="1"/>
  <c r="H327" i="1"/>
  <c r="M327" i="1"/>
  <c r="O327" i="1"/>
  <c r="G328" i="1"/>
  <c r="H328" i="1"/>
  <c r="M328" i="1"/>
  <c r="O328" i="1" s="1"/>
  <c r="G329" i="1"/>
  <c r="H329" i="1"/>
  <c r="M329" i="1"/>
  <c r="O329" i="1"/>
  <c r="G330" i="1"/>
  <c r="H330" i="1"/>
  <c r="M330" i="1"/>
  <c r="O330" i="1" s="1"/>
  <c r="G331" i="1"/>
  <c r="H331" i="1"/>
  <c r="M331" i="1"/>
  <c r="O331" i="1"/>
  <c r="G332" i="1"/>
  <c r="H332" i="1"/>
  <c r="M332" i="1"/>
  <c r="O332" i="1" s="1"/>
  <c r="G333" i="1"/>
  <c r="H333" i="1"/>
  <c r="M333" i="1"/>
  <c r="O333" i="1"/>
  <c r="G334" i="1"/>
  <c r="H334" i="1"/>
  <c r="M334" i="1"/>
  <c r="O334" i="1" s="1"/>
  <c r="G335" i="1"/>
  <c r="H335" i="1"/>
  <c r="M335" i="1"/>
  <c r="O335" i="1" s="1"/>
  <c r="G336" i="1"/>
  <c r="H336" i="1"/>
  <c r="M336" i="1"/>
  <c r="O336" i="1" s="1"/>
  <c r="G337" i="1"/>
  <c r="H337" i="1"/>
  <c r="M337" i="1"/>
  <c r="O337" i="1" s="1"/>
  <c r="G338" i="1"/>
  <c r="H338" i="1"/>
  <c r="M338" i="1"/>
  <c r="O338" i="1" s="1"/>
  <c r="G339" i="1"/>
  <c r="H339" i="1"/>
  <c r="M339" i="1"/>
  <c r="O339" i="1"/>
  <c r="G340" i="1"/>
  <c r="H340" i="1"/>
  <c r="M340" i="1"/>
  <c r="O340" i="1" s="1"/>
  <c r="G341" i="1"/>
  <c r="H341" i="1"/>
  <c r="M341" i="1"/>
  <c r="O341" i="1"/>
  <c r="G342" i="1"/>
  <c r="H342" i="1"/>
  <c r="M342" i="1"/>
  <c r="O342" i="1" s="1"/>
  <c r="G343" i="1"/>
  <c r="H343" i="1"/>
  <c r="M343" i="1"/>
  <c r="O343" i="1"/>
  <c r="G344" i="1"/>
  <c r="H344" i="1"/>
  <c r="M344" i="1"/>
  <c r="O344" i="1" s="1"/>
  <c r="G345" i="1"/>
  <c r="H345" i="1"/>
  <c r="M345" i="1"/>
  <c r="O345" i="1"/>
  <c r="G346" i="1"/>
  <c r="H346" i="1"/>
  <c r="M346" i="1"/>
  <c r="O346" i="1" s="1"/>
  <c r="G347" i="1"/>
  <c r="H347" i="1"/>
  <c r="M347" i="1"/>
  <c r="O347" i="1"/>
  <c r="G348" i="1"/>
  <c r="H348" i="1"/>
  <c r="M348" i="1"/>
  <c r="O348" i="1" s="1"/>
  <c r="G349" i="1"/>
  <c r="H349" i="1"/>
  <c r="M349" i="1"/>
  <c r="O349" i="1"/>
  <c r="G350" i="1"/>
  <c r="H350" i="1"/>
  <c r="M350" i="1"/>
  <c r="O350" i="1" s="1"/>
  <c r="G351" i="1"/>
  <c r="H351" i="1"/>
  <c r="M351" i="1"/>
  <c r="O351" i="1" s="1"/>
  <c r="G352" i="1"/>
  <c r="H352" i="1"/>
  <c r="M352" i="1"/>
  <c r="O352" i="1" s="1"/>
  <c r="G353" i="1"/>
  <c r="H353" i="1"/>
  <c r="M353" i="1"/>
  <c r="O353" i="1" s="1"/>
  <c r="G354" i="1"/>
  <c r="H354" i="1"/>
  <c r="M354" i="1"/>
  <c r="O354" i="1" s="1"/>
  <c r="G355" i="1"/>
  <c r="H355" i="1"/>
  <c r="M355" i="1"/>
  <c r="O355" i="1"/>
  <c r="G356" i="1"/>
  <c r="H356" i="1"/>
  <c r="M356" i="1"/>
  <c r="O356" i="1" s="1"/>
  <c r="G357" i="1"/>
  <c r="H357" i="1"/>
  <c r="M357" i="1"/>
  <c r="O357" i="1"/>
  <c r="G358" i="1"/>
  <c r="H358" i="1"/>
  <c r="M358" i="1"/>
  <c r="O358" i="1" s="1"/>
  <c r="G359" i="1"/>
  <c r="H359" i="1"/>
  <c r="M359" i="1"/>
  <c r="O359" i="1"/>
  <c r="G360" i="1"/>
  <c r="H360" i="1"/>
  <c r="M360" i="1"/>
  <c r="O360" i="1" s="1"/>
  <c r="G361" i="1"/>
  <c r="H361" i="1"/>
  <c r="M361" i="1"/>
  <c r="O361" i="1"/>
  <c r="G362" i="1"/>
  <c r="H362" i="1"/>
  <c r="M362" i="1"/>
  <c r="O362" i="1" s="1"/>
  <c r="G363" i="1"/>
  <c r="H363" i="1"/>
  <c r="M363" i="1"/>
  <c r="O363" i="1"/>
  <c r="G364" i="1"/>
  <c r="H364" i="1"/>
  <c r="M364" i="1"/>
  <c r="O364" i="1" s="1"/>
  <c r="G365" i="1"/>
  <c r="H365" i="1"/>
  <c r="M365" i="1"/>
  <c r="O365" i="1"/>
  <c r="G366" i="1"/>
  <c r="H366" i="1"/>
  <c r="M366" i="1"/>
  <c r="O366" i="1" s="1"/>
  <c r="G367" i="1"/>
  <c r="H367" i="1"/>
  <c r="M367" i="1"/>
  <c r="O367" i="1" s="1"/>
  <c r="G61" i="1"/>
  <c r="H61" i="1"/>
  <c r="M61" i="1"/>
  <c r="O61" i="1" s="1"/>
  <c r="M50" i="1" l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M24" i="1" l="1"/>
  <c r="M25" i="1"/>
  <c r="M26" i="1"/>
  <c r="M27" i="1"/>
  <c r="M28" i="1"/>
  <c r="M29" i="1"/>
  <c r="M30" i="1"/>
  <c r="M31" i="1"/>
  <c r="M32" i="1"/>
  <c r="M33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3" i="1"/>
  <c r="J3" i="1"/>
  <c r="M3" i="1" s="1"/>
  <c r="H4" i="1"/>
  <c r="H5" i="1"/>
  <c r="H12" i="1"/>
  <c r="H13" i="1"/>
  <c r="H20" i="1"/>
  <c r="H21" i="1"/>
  <c r="H28" i="1"/>
  <c r="H29" i="1"/>
  <c r="H36" i="1"/>
  <c r="O36" i="1" s="1"/>
  <c r="H37" i="1"/>
  <c r="O37" i="1" s="1"/>
  <c r="H44" i="1"/>
  <c r="O44" i="1" s="1"/>
  <c r="H45" i="1"/>
  <c r="O45" i="1" s="1"/>
  <c r="H52" i="1"/>
  <c r="O52" i="1" s="1"/>
  <c r="H53" i="1"/>
  <c r="O53" i="1" s="1"/>
  <c r="H60" i="1"/>
  <c r="O60" i="1" s="1"/>
  <c r="H3" i="1"/>
  <c r="G4" i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G21" i="1"/>
  <c r="G22" i="1"/>
  <c r="H22" i="1" s="1"/>
  <c r="G23" i="1"/>
  <c r="H23" i="1" s="1"/>
  <c r="G24" i="1"/>
  <c r="H24" i="1" s="1"/>
  <c r="O24" i="1" s="1"/>
  <c r="G25" i="1"/>
  <c r="H25" i="1" s="1"/>
  <c r="O25" i="1" s="1"/>
  <c r="G26" i="1"/>
  <c r="H26" i="1" s="1"/>
  <c r="O26" i="1" s="1"/>
  <c r="G27" i="1"/>
  <c r="H27" i="1" s="1"/>
  <c r="G28" i="1"/>
  <c r="G29" i="1"/>
  <c r="G30" i="1"/>
  <c r="H30" i="1" s="1"/>
  <c r="G31" i="1"/>
  <c r="H31" i="1" s="1"/>
  <c r="G32" i="1"/>
  <c r="H32" i="1" s="1"/>
  <c r="O32" i="1" s="1"/>
  <c r="G33" i="1"/>
  <c r="H33" i="1" s="1"/>
  <c r="O33" i="1" s="1"/>
  <c r="G34" i="1"/>
  <c r="H34" i="1" s="1"/>
  <c r="O34" i="1" s="1"/>
  <c r="G35" i="1"/>
  <c r="H35" i="1" s="1"/>
  <c r="O35" i="1" s="1"/>
  <c r="G36" i="1"/>
  <c r="G37" i="1"/>
  <c r="G38" i="1"/>
  <c r="H38" i="1" s="1"/>
  <c r="O38" i="1" s="1"/>
  <c r="G39" i="1"/>
  <c r="H39" i="1" s="1"/>
  <c r="O39" i="1" s="1"/>
  <c r="G40" i="1"/>
  <c r="H40" i="1" s="1"/>
  <c r="O40" i="1" s="1"/>
  <c r="G41" i="1"/>
  <c r="H41" i="1" s="1"/>
  <c r="O41" i="1" s="1"/>
  <c r="G42" i="1"/>
  <c r="H42" i="1" s="1"/>
  <c r="O42" i="1" s="1"/>
  <c r="G43" i="1"/>
  <c r="H43" i="1" s="1"/>
  <c r="O43" i="1" s="1"/>
  <c r="G44" i="1"/>
  <c r="G45" i="1"/>
  <c r="G46" i="1"/>
  <c r="H46" i="1" s="1"/>
  <c r="O46" i="1" s="1"/>
  <c r="G47" i="1"/>
  <c r="H47" i="1" s="1"/>
  <c r="O47" i="1" s="1"/>
  <c r="G48" i="1"/>
  <c r="H48" i="1" s="1"/>
  <c r="O48" i="1" s="1"/>
  <c r="G49" i="1"/>
  <c r="H49" i="1" s="1"/>
  <c r="O49" i="1" s="1"/>
  <c r="G50" i="1"/>
  <c r="H50" i="1" s="1"/>
  <c r="O50" i="1" s="1"/>
  <c r="G51" i="1"/>
  <c r="H51" i="1" s="1"/>
  <c r="O51" i="1" s="1"/>
  <c r="G52" i="1"/>
  <c r="G53" i="1"/>
  <c r="G54" i="1"/>
  <c r="H54" i="1" s="1"/>
  <c r="O54" i="1" s="1"/>
  <c r="G55" i="1"/>
  <c r="H55" i="1" s="1"/>
  <c r="O55" i="1" s="1"/>
  <c r="G56" i="1"/>
  <c r="H56" i="1" s="1"/>
  <c r="O56" i="1" s="1"/>
  <c r="G57" i="1"/>
  <c r="H57" i="1" s="1"/>
  <c r="O57" i="1" s="1"/>
  <c r="G58" i="1"/>
  <c r="H58" i="1" s="1"/>
  <c r="O58" i="1" s="1"/>
  <c r="G59" i="1"/>
  <c r="H59" i="1" s="1"/>
  <c r="O59" i="1" s="1"/>
  <c r="G60" i="1"/>
  <c r="G3" i="1"/>
  <c r="O30" i="1" l="1"/>
  <c r="O28" i="1"/>
  <c r="O14" i="1"/>
  <c r="O3" i="1"/>
  <c r="O22" i="1"/>
  <c r="O27" i="1"/>
  <c r="O4" i="1"/>
  <c r="O8" i="1"/>
  <c r="O12" i="1"/>
  <c r="O17" i="1"/>
  <c r="O29" i="1"/>
  <c r="O7" i="1"/>
  <c r="O16" i="1"/>
  <c r="O13" i="1"/>
  <c r="O18" i="1"/>
  <c r="O23" i="1"/>
  <c r="O31" i="1"/>
  <c r="O11" i="1"/>
  <c r="O5" i="1"/>
  <c r="O9" i="1"/>
  <c r="O19" i="1"/>
  <c r="O6" i="1"/>
  <c r="O10" i="1"/>
  <c r="O15" i="1"/>
  <c r="O21" i="1"/>
  <c r="O20" i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<sst xmlns="http://schemas.openxmlformats.org/spreadsheetml/2006/main" count="39" uniqueCount="27">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</sst>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0" fontId="2" fillId="10" borderId="0" xfId="0" applyFont="1" applyFill="1"/>
    <xf numFmtId="187" fontId="4" fillId="10" borderId="1" xfId="1" applyNumberFormat="1" applyFont="1" applyFill="1" applyBorder="1"/>
    <xf numFmtId="187" fontId="4" fillId="10" borderId="7" xfId="1" applyNumberFormat="1" applyFont="1" applyFill="1" applyBorder="1"/>
    <xf numFmtId="187" fontId="2" fillId="0" borderId="6" xfId="1" applyNumberFormat="1" applyFont="1" applyBorder="1"/>
    <xf numFmtId="187" fontId="4" fillId="0" borderId="6" xfId="1" applyNumberFormat="1" applyFont="1" applyBorder="1"/>
    <xf numFmtId="187" fontId="4" fillId="10" borderId="4" xfId="1" applyNumberFormat="1" applyFont="1" applyFill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187" fontId="4" fillId="0" borderId="7" xfId="1" applyNumberFormat="1" applyFont="1" applyBorder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60" zoomScaleNormal="130" workbookViewId="0">
      <selection activeCell="C37" sqref="C37"/>
    </sheetView>
  </sheetViews>
  <sheetFormatPr defaultColWidth="8.8984375" defaultRowHeight="24.6" x14ac:dyDescent="0.7"/>
  <cols>
    <col min="1" max="1" width="11.59765625" style="1" customWidth="1"/>
    <col min="2" max="2" width="17.59765625" style="15" customWidth="1"/>
    <col min="3" max="3" width="8.8984375" style="15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1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6" t="s">
        <v>0</v>
      </c>
      <c r="B1" s="46" t="s">
        <v>1</v>
      </c>
      <c r="C1" s="46" t="s">
        <v>2</v>
      </c>
      <c r="D1" s="48" t="s">
        <v>3</v>
      </c>
      <c r="E1" s="50" t="s">
        <v>4</v>
      </c>
      <c r="F1" s="44" t="s">
        <v>5</v>
      </c>
      <c r="G1" s="38" t="s">
        <v>6</v>
      </c>
      <c r="H1" s="38" t="s">
        <v>7</v>
      </c>
      <c r="I1" s="40" t="s">
        <v>8</v>
      </c>
      <c r="J1" s="42" t="s">
        <v>9</v>
      </c>
      <c r="K1" s="42" t="s">
        <v>10</v>
      </c>
      <c r="L1" s="42" t="s">
        <v>11</v>
      </c>
      <c r="M1" s="32" t="s">
        <v>12</v>
      </c>
      <c r="N1" s="34" t="s">
        <v>13</v>
      </c>
      <c r="O1" s="36" t="s">
        <v>14</v>
      </c>
    </row>
    <row r="2" spans="1:15" s="14" customFormat="1" ht="34.799999999999997" customHeight="1" thickBot="1" x14ac:dyDescent="0.75">
      <c r="A2" s="47"/>
      <c r="B2" s="47"/>
      <c r="C2" s="47"/>
      <c r="D2" s="49"/>
      <c r="E2" s="51"/>
      <c r="F2" s="45"/>
      <c r="G2" s="39"/>
      <c r="H2" s="39"/>
      <c r="I2" s="41"/>
      <c r="J2" s="43"/>
      <c r="K2" s="43"/>
      <c r="L2" s="43"/>
      <c r="M2" s="33"/>
      <c r="N2" s="35"/>
      <c r="O2" s="37"/>
    </row>
    <row r="3" spans="1:15" x14ac:dyDescent="0.7">
      <c r="A3" s="2">
        <v>2562</v>
      </c>
      <c r="B3" s="3" t="s">
        <v>15</v>
      </c>
      <c r="C3" s="3">
        <v>1</v>
      </c>
      <c r="D3" s="4">
        <v>10.845000000000001</v>
      </c>
      <c r="E3" s="4">
        <v>0</v>
      </c>
      <c r="F3" s="4">
        <v>10.845000000000001</v>
      </c>
      <c r="G3" s="16">
        <f>F3*86400</f>
        <v>937008</v>
      </c>
      <c r="H3" s="22">
        <f>G3/1000000</f>
        <v>0.93700799999999995</v>
      </c>
      <c r="I3" s="21">
        <v>31104</v>
      </c>
      <c r="J3" s="52">
        <f t="shared" ref="J3:J66" si="0">I3/1000000</f>
        <v>3.1104E-2</v>
      </c>
      <c r="K3" s="21">
        <v>3756</v>
      </c>
      <c r="L3" s="21">
        <f t="shared" ref="L3:L66" si="1">K3/1000000</f>
        <v>3.7559999999999998E-3</v>
      </c>
      <c r="M3" s="21">
        <f t="shared" ref="M3:M23" si="2">J3+L3</f>
        <v>3.4860000000000002E-2</v>
      </c>
      <c r="N3" s="21">
        <v>3.10608E-2</v>
      </c>
      <c r="O3" s="21">
        <f t="shared" ref="O3:O23" si="3">H3-M3-N3</f>
        <v>0.87108719999999995</v>
      </c>
    </row>
    <row r="4" spans="1:15" x14ac:dyDescent="0.7">
      <c r="A4" s="6"/>
      <c r="B4" s="6"/>
      <c r="C4" s="6">
        <v>2</v>
      </c>
      <c r="D4" s="7">
        <v>10.845000000000001</v>
      </c>
      <c r="E4" s="4">
        <v>0</v>
      </c>
      <c r="F4" s="7">
        <v>10.845000000000001</v>
      </c>
      <c r="G4" s="16">
        <f t="shared" ref="G4:G67" si="4">F4*86400</f>
        <v>937008</v>
      </c>
      <c r="H4" s="22">
        <f t="shared" ref="H4:H67" si="5">G4/1000000</f>
        <v>0.93700799999999995</v>
      </c>
      <c r="I4" s="21">
        <v>28837</v>
      </c>
      <c r="J4" s="52">
        <f t="shared" si="0"/>
        <v>2.8837000000000002E-2</v>
      </c>
      <c r="K4" s="21">
        <v>336</v>
      </c>
      <c r="L4" s="21">
        <f t="shared" si="1"/>
        <v>3.3599999999999998E-4</v>
      </c>
      <c r="M4" s="21">
        <f t="shared" si="2"/>
        <v>2.9173000000000001E-2</v>
      </c>
      <c r="N4" s="21">
        <v>2.5919999999999999E-2</v>
      </c>
      <c r="O4" s="21">
        <f t="shared" si="3"/>
        <v>0.881915</v>
      </c>
    </row>
    <row r="5" spans="1:15" x14ac:dyDescent="0.7">
      <c r="A5" s="6"/>
      <c r="B5" s="6"/>
      <c r="C5" s="6">
        <v>3</v>
      </c>
      <c r="D5" s="7">
        <v>10.845000000000001</v>
      </c>
      <c r="E5" s="4">
        <v>0</v>
      </c>
      <c r="F5" s="7">
        <v>10.845000000000001</v>
      </c>
      <c r="G5" s="16">
        <f t="shared" si="4"/>
        <v>937008</v>
      </c>
      <c r="H5" s="22">
        <f t="shared" si="5"/>
        <v>0.93700799999999995</v>
      </c>
      <c r="I5" s="21">
        <v>28176</v>
      </c>
      <c r="J5" s="52">
        <f t="shared" si="0"/>
        <v>2.8176E-2</v>
      </c>
      <c r="K5" s="21">
        <v>7</v>
      </c>
      <c r="L5" s="21">
        <f t="shared" si="1"/>
        <v>6.9999999999999999E-6</v>
      </c>
      <c r="M5" s="21">
        <f t="shared" si="2"/>
        <v>2.8183E-2</v>
      </c>
      <c r="N5" s="21">
        <v>2.5919999999999999E-2</v>
      </c>
      <c r="O5" s="21">
        <f t="shared" si="3"/>
        <v>0.88290500000000005</v>
      </c>
    </row>
    <row r="6" spans="1:15" x14ac:dyDescent="0.7">
      <c r="A6" s="6"/>
      <c r="B6" s="6"/>
      <c r="C6" s="6">
        <v>4</v>
      </c>
      <c r="D6" s="7">
        <v>10.845000000000001</v>
      </c>
      <c r="E6" s="4">
        <v>0</v>
      </c>
      <c r="F6" s="7">
        <v>10.845000000000001</v>
      </c>
      <c r="G6" s="16">
        <f t="shared" si="4"/>
        <v>937008</v>
      </c>
      <c r="H6" s="22">
        <f t="shared" si="5"/>
        <v>0.93700799999999995</v>
      </c>
      <c r="I6" s="21">
        <v>27550</v>
      </c>
      <c r="J6" s="52">
        <f t="shared" si="0"/>
        <v>2.7550000000000002E-2</v>
      </c>
      <c r="K6" s="21">
        <v>3588</v>
      </c>
      <c r="L6" s="21">
        <f t="shared" si="1"/>
        <v>3.588E-3</v>
      </c>
      <c r="M6" s="21">
        <f t="shared" si="2"/>
        <v>3.1138000000000002E-2</v>
      </c>
      <c r="N6" s="21">
        <v>2.5919999999999999E-2</v>
      </c>
      <c r="O6" s="21">
        <f t="shared" si="3"/>
        <v>0.87995000000000001</v>
      </c>
    </row>
    <row r="7" spans="1:15" x14ac:dyDescent="0.7">
      <c r="A7" s="6"/>
      <c r="B7" s="6"/>
      <c r="C7" s="6">
        <v>5</v>
      </c>
      <c r="D7" s="7">
        <v>10.845000000000001</v>
      </c>
      <c r="E7" s="4">
        <v>0</v>
      </c>
      <c r="F7" s="7">
        <v>10.845000000000001</v>
      </c>
      <c r="G7" s="16">
        <f t="shared" si="4"/>
        <v>937008</v>
      </c>
      <c r="H7" s="22">
        <f t="shared" si="5"/>
        <v>0.93700799999999995</v>
      </c>
      <c r="I7" s="21">
        <v>26645</v>
      </c>
      <c r="J7" s="52">
        <f t="shared" si="0"/>
        <v>2.6644999999999999E-2</v>
      </c>
      <c r="K7" s="21">
        <v>4197</v>
      </c>
      <c r="L7" s="21">
        <f t="shared" si="1"/>
        <v>4.1970000000000002E-3</v>
      </c>
      <c r="M7" s="21">
        <f t="shared" si="2"/>
        <v>3.0841999999999998E-2</v>
      </c>
      <c r="N7" s="21">
        <v>0</v>
      </c>
      <c r="O7" s="21">
        <f t="shared" si="3"/>
        <v>0.90616599999999992</v>
      </c>
    </row>
    <row r="8" spans="1:15" x14ac:dyDescent="0.7">
      <c r="A8" s="6"/>
      <c r="B8" s="6"/>
      <c r="C8" s="6">
        <v>6</v>
      </c>
      <c r="D8" s="7">
        <v>10.845000000000001</v>
      </c>
      <c r="E8" s="4">
        <v>0</v>
      </c>
      <c r="F8" s="7">
        <v>10.845000000000001</v>
      </c>
      <c r="G8" s="16">
        <f t="shared" si="4"/>
        <v>937008</v>
      </c>
      <c r="H8" s="22">
        <f t="shared" si="5"/>
        <v>0.93700799999999995</v>
      </c>
      <c r="I8" s="21">
        <v>27243</v>
      </c>
      <c r="J8" s="52">
        <f t="shared" si="0"/>
        <v>2.7243E-2</v>
      </c>
      <c r="K8" s="21">
        <v>1347</v>
      </c>
      <c r="L8" s="21">
        <f t="shared" si="1"/>
        <v>1.3470000000000001E-3</v>
      </c>
      <c r="M8" s="21">
        <f t="shared" si="2"/>
        <v>2.8590000000000001E-2</v>
      </c>
      <c r="N8" s="21">
        <v>0</v>
      </c>
      <c r="O8" s="21">
        <f t="shared" si="3"/>
        <v>0.90841799999999995</v>
      </c>
    </row>
    <row r="9" spans="1:15" x14ac:dyDescent="0.7">
      <c r="A9" s="6"/>
      <c r="B9" s="6"/>
      <c r="C9" s="6">
        <v>7</v>
      </c>
      <c r="D9" s="7">
        <v>10.845000000000001</v>
      </c>
      <c r="E9" s="4">
        <v>5.7</v>
      </c>
      <c r="F9" s="7">
        <v>10.845000000000001</v>
      </c>
      <c r="G9" s="16">
        <f t="shared" si="4"/>
        <v>937008</v>
      </c>
      <c r="H9" s="22">
        <f t="shared" si="5"/>
        <v>0.93700799999999995</v>
      </c>
      <c r="I9" s="21">
        <v>21862</v>
      </c>
      <c r="J9" s="52">
        <f t="shared" si="0"/>
        <v>2.1861999999999999E-2</v>
      </c>
      <c r="K9" s="21">
        <v>3412</v>
      </c>
      <c r="L9" s="21">
        <f t="shared" si="1"/>
        <v>3.4120000000000001E-3</v>
      </c>
      <c r="M9" s="21">
        <f t="shared" si="2"/>
        <v>2.5273999999999998E-2</v>
      </c>
      <c r="N9" s="21">
        <v>0</v>
      </c>
      <c r="O9" s="21">
        <f t="shared" si="3"/>
        <v>0.91173399999999993</v>
      </c>
    </row>
    <row r="10" spans="1:15" x14ac:dyDescent="0.7">
      <c r="A10" s="6"/>
      <c r="B10" s="6"/>
      <c r="C10" s="6">
        <v>8</v>
      </c>
      <c r="D10" s="7">
        <v>10.845000000000001</v>
      </c>
      <c r="E10" s="4">
        <v>65.400000000000006</v>
      </c>
      <c r="F10" s="7">
        <v>10.845000000000001</v>
      </c>
      <c r="G10" s="16">
        <f t="shared" si="4"/>
        <v>937008</v>
      </c>
      <c r="H10" s="22">
        <f t="shared" si="5"/>
        <v>0.93700799999999995</v>
      </c>
      <c r="I10" s="21">
        <v>41225</v>
      </c>
      <c r="J10" s="52">
        <f t="shared" si="0"/>
        <v>4.1224999999999998E-2</v>
      </c>
      <c r="K10" s="21">
        <v>3788</v>
      </c>
      <c r="L10" s="21">
        <f t="shared" si="1"/>
        <v>3.7880000000000001E-3</v>
      </c>
      <c r="M10" s="21">
        <f t="shared" si="2"/>
        <v>4.5012999999999997E-2</v>
      </c>
      <c r="N10" s="21">
        <v>0</v>
      </c>
      <c r="O10" s="21">
        <f t="shared" si="3"/>
        <v>0.89199499999999998</v>
      </c>
    </row>
    <row r="11" spans="1:15" x14ac:dyDescent="0.7">
      <c r="A11" s="6"/>
      <c r="B11" s="6"/>
      <c r="C11" s="6">
        <v>9</v>
      </c>
      <c r="D11" s="7">
        <v>39.998999999999995</v>
      </c>
      <c r="E11" s="4">
        <v>0</v>
      </c>
      <c r="F11" s="7">
        <v>39.998999999999995</v>
      </c>
      <c r="G11" s="16">
        <f t="shared" si="4"/>
        <v>3455913.5999999996</v>
      </c>
      <c r="H11" s="22">
        <f t="shared" si="5"/>
        <v>3.4559135999999997</v>
      </c>
      <c r="I11" s="21">
        <v>78794</v>
      </c>
      <c r="J11" s="52">
        <f t="shared" si="0"/>
        <v>7.8794000000000003E-2</v>
      </c>
      <c r="K11" s="21">
        <v>1866</v>
      </c>
      <c r="L11" s="21">
        <f t="shared" si="1"/>
        <v>1.866E-3</v>
      </c>
      <c r="M11" s="21">
        <f t="shared" si="2"/>
        <v>8.0660000000000009E-2</v>
      </c>
      <c r="N11" s="21">
        <v>2.5919999999999999E-2</v>
      </c>
      <c r="O11" s="21">
        <f t="shared" si="3"/>
        <v>3.3493335999999996</v>
      </c>
    </row>
    <row r="12" spans="1:15" x14ac:dyDescent="0.7">
      <c r="A12" s="6"/>
      <c r="B12" s="6"/>
      <c r="C12" s="6">
        <v>10</v>
      </c>
      <c r="D12" s="7">
        <v>12.974</v>
      </c>
      <c r="E12" s="4">
        <v>0</v>
      </c>
      <c r="F12" s="7">
        <v>12.974</v>
      </c>
      <c r="G12" s="16">
        <f t="shared" si="4"/>
        <v>1120953.6000000001</v>
      </c>
      <c r="H12" s="22">
        <f t="shared" si="5"/>
        <v>1.1209536</v>
      </c>
      <c r="I12" s="21">
        <v>17442</v>
      </c>
      <c r="J12" s="52">
        <f t="shared" si="0"/>
        <v>1.7441999999999999E-2</v>
      </c>
      <c r="K12" s="21">
        <v>0</v>
      </c>
      <c r="L12" s="21">
        <f t="shared" si="1"/>
        <v>0</v>
      </c>
      <c r="M12" s="21">
        <f t="shared" si="2"/>
        <v>1.7441999999999999E-2</v>
      </c>
      <c r="N12" s="21">
        <v>0</v>
      </c>
      <c r="O12" s="21">
        <f t="shared" si="3"/>
        <v>1.1035116</v>
      </c>
    </row>
    <row r="13" spans="1:15" x14ac:dyDescent="0.7">
      <c r="A13" s="6"/>
      <c r="B13" s="6"/>
      <c r="C13" s="6">
        <v>11</v>
      </c>
      <c r="D13" s="7">
        <v>11.234999999999999</v>
      </c>
      <c r="E13" s="4">
        <v>0</v>
      </c>
      <c r="F13" s="7">
        <v>11.234999999999999</v>
      </c>
      <c r="G13" s="16">
        <f t="shared" si="4"/>
        <v>970704</v>
      </c>
      <c r="H13" s="22">
        <f t="shared" si="5"/>
        <v>0.97070400000000001</v>
      </c>
      <c r="I13" s="21">
        <v>12748</v>
      </c>
      <c r="J13" s="52">
        <f t="shared" si="0"/>
        <v>1.2748000000000001E-2</v>
      </c>
      <c r="K13" s="21">
        <v>0</v>
      </c>
      <c r="L13" s="21">
        <f t="shared" si="1"/>
        <v>0</v>
      </c>
      <c r="M13" s="21">
        <f t="shared" si="2"/>
        <v>1.2748000000000001E-2</v>
      </c>
      <c r="N13" s="21">
        <v>0</v>
      </c>
      <c r="O13" s="21">
        <f t="shared" si="3"/>
        <v>0.95795600000000003</v>
      </c>
    </row>
    <row r="14" spans="1:15" x14ac:dyDescent="0.7">
      <c r="A14" s="6"/>
      <c r="B14" s="6"/>
      <c r="C14" s="6">
        <v>12</v>
      </c>
      <c r="D14" s="7">
        <v>10.818</v>
      </c>
      <c r="E14" s="4">
        <v>0</v>
      </c>
      <c r="F14" s="7">
        <v>10.818</v>
      </c>
      <c r="G14" s="16">
        <f t="shared" si="4"/>
        <v>934675.2</v>
      </c>
      <c r="H14" s="22">
        <f t="shared" si="5"/>
        <v>0.93467519999999993</v>
      </c>
      <c r="I14" s="21">
        <v>21202</v>
      </c>
      <c r="J14" s="52">
        <f t="shared" si="0"/>
        <v>2.1201999999999999E-2</v>
      </c>
      <c r="K14" s="21">
        <v>0</v>
      </c>
      <c r="L14" s="21">
        <f t="shared" si="1"/>
        <v>0</v>
      </c>
      <c r="M14" s="21">
        <f t="shared" si="2"/>
        <v>2.1201999999999999E-2</v>
      </c>
      <c r="N14" s="21">
        <v>0</v>
      </c>
      <c r="O14" s="21">
        <f t="shared" si="3"/>
        <v>0.91347319999999987</v>
      </c>
    </row>
    <row r="15" spans="1:15" x14ac:dyDescent="0.7">
      <c r="A15" s="6"/>
      <c r="B15" s="6"/>
      <c r="C15" s="6">
        <v>13</v>
      </c>
      <c r="D15" s="7">
        <v>10.818</v>
      </c>
      <c r="E15" s="4">
        <v>0</v>
      </c>
      <c r="F15" s="7">
        <v>10.818</v>
      </c>
      <c r="G15" s="16">
        <f t="shared" si="4"/>
        <v>934675.2</v>
      </c>
      <c r="H15" s="22">
        <f t="shared" si="5"/>
        <v>0.93467519999999993</v>
      </c>
      <c r="I15" s="21">
        <v>16599</v>
      </c>
      <c r="J15" s="52">
        <f t="shared" si="0"/>
        <v>1.6598999999999999E-2</v>
      </c>
      <c r="K15" s="21">
        <v>0</v>
      </c>
      <c r="L15" s="21">
        <f t="shared" si="1"/>
        <v>0</v>
      </c>
      <c r="M15" s="21">
        <f t="shared" si="2"/>
        <v>1.6598999999999999E-2</v>
      </c>
      <c r="N15" s="21">
        <v>3.456E-2</v>
      </c>
      <c r="O15" s="21">
        <f t="shared" si="3"/>
        <v>0.88351619999999986</v>
      </c>
    </row>
    <row r="16" spans="1:15" x14ac:dyDescent="0.7">
      <c r="A16" s="6"/>
      <c r="B16" s="6"/>
      <c r="C16" s="6">
        <v>14</v>
      </c>
      <c r="D16" s="7">
        <v>10.818</v>
      </c>
      <c r="E16" s="4">
        <v>0</v>
      </c>
      <c r="F16" s="7">
        <v>10.818</v>
      </c>
      <c r="G16" s="16">
        <f t="shared" si="4"/>
        <v>934675.2</v>
      </c>
      <c r="H16" s="22">
        <f t="shared" si="5"/>
        <v>0.93467519999999993</v>
      </c>
      <c r="I16" s="21">
        <v>19351</v>
      </c>
      <c r="J16" s="52">
        <f t="shared" si="0"/>
        <v>1.9351E-2</v>
      </c>
      <c r="K16" s="21">
        <v>0</v>
      </c>
      <c r="L16" s="21">
        <f t="shared" si="1"/>
        <v>0</v>
      </c>
      <c r="M16" s="21">
        <f t="shared" si="2"/>
        <v>1.9351E-2</v>
      </c>
      <c r="N16" s="21">
        <v>8.6400000000000005E-2</v>
      </c>
      <c r="O16" s="21">
        <f t="shared" si="3"/>
        <v>0.82892419999999989</v>
      </c>
    </row>
    <row r="17" spans="1:15" x14ac:dyDescent="0.7">
      <c r="A17" s="6"/>
      <c r="B17" s="6"/>
      <c r="C17" s="6">
        <v>15</v>
      </c>
      <c r="D17" s="7">
        <v>10.275</v>
      </c>
      <c r="E17" s="4">
        <v>0</v>
      </c>
      <c r="F17" s="7">
        <v>10.275</v>
      </c>
      <c r="G17" s="16">
        <f t="shared" si="4"/>
        <v>887760</v>
      </c>
      <c r="H17" s="22">
        <f t="shared" si="5"/>
        <v>0.88775999999999999</v>
      </c>
      <c r="I17" s="21">
        <v>20404</v>
      </c>
      <c r="J17" s="52">
        <f t="shared" si="0"/>
        <v>2.0403999999999999E-2</v>
      </c>
      <c r="K17" s="21">
        <v>0</v>
      </c>
      <c r="L17" s="21">
        <f t="shared" si="1"/>
        <v>0</v>
      </c>
      <c r="M17" s="21">
        <f t="shared" si="2"/>
        <v>2.0403999999999999E-2</v>
      </c>
      <c r="N17" s="21">
        <v>8.6400000000000005E-2</v>
      </c>
      <c r="O17" s="21">
        <f t="shared" si="3"/>
        <v>0.78095599999999998</v>
      </c>
    </row>
    <row r="18" spans="1:15" x14ac:dyDescent="0.7">
      <c r="A18" s="6"/>
      <c r="B18" s="6"/>
      <c r="C18" s="6">
        <v>16</v>
      </c>
      <c r="D18" s="7">
        <v>9.9350000000000005</v>
      </c>
      <c r="E18" s="4">
        <v>0</v>
      </c>
      <c r="F18" s="7">
        <v>9.9350000000000005</v>
      </c>
      <c r="G18" s="16">
        <f t="shared" si="4"/>
        <v>858384</v>
      </c>
      <c r="H18" s="22">
        <f t="shared" si="5"/>
        <v>0.85838400000000004</v>
      </c>
      <c r="I18" s="21">
        <v>20682</v>
      </c>
      <c r="J18" s="52">
        <f t="shared" si="0"/>
        <v>2.0681999999999999E-2</v>
      </c>
      <c r="K18" s="21">
        <v>0</v>
      </c>
      <c r="L18" s="21">
        <f t="shared" si="1"/>
        <v>0</v>
      </c>
      <c r="M18" s="21">
        <f t="shared" si="2"/>
        <v>2.0681999999999999E-2</v>
      </c>
      <c r="N18" s="21">
        <v>8.6400000000000005E-2</v>
      </c>
      <c r="O18" s="21">
        <f t="shared" si="3"/>
        <v>0.75130200000000003</v>
      </c>
    </row>
    <row r="19" spans="1:15" x14ac:dyDescent="0.7">
      <c r="A19" s="6"/>
      <c r="B19" s="6"/>
      <c r="C19" s="6">
        <v>17</v>
      </c>
      <c r="D19" s="7">
        <v>9.7140000000000004</v>
      </c>
      <c r="E19" s="4">
        <v>0</v>
      </c>
      <c r="F19" s="7">
        <v>9.7140000000000004</v>
      </c>
      <c r="G19" s="16">
        <f t="shared" si="4"/>
        <v>839289.60000000009</v>
      </c>
      <c r="H19" s="22">
        <f t="shared" si="5"/>
        <v>0.83928960000000008</v>
      </c>
      <c r="I19" s="21">
        <v>20344</v>
      </c>
      <c r="J19" s="52">
        <f t="shared" si="0"/>
        <v>2.0344000000000001E-2</v>
      </c>
      <c r="K19" s="21">
        <v>0</v>
      </c>
      <c r="L19" s="21">
        <f t="shared" si="1"/>
        <v>0</v>
      </c>
      <c r="M19" s="21">
        <f t="shared" si="2"/>
        <v>2.0344000000000001E-2</v>
      </c>
      <c r="N19" s="21">
        <v>2.5919999999999999E-2</v>
      </c>
      <c r="O19" s="21">
        <f t="shared" si="3"/>
        <v>0.7930256</v>
      </c>
    </row>
    <row r="20" spans="1:15" x14ac:dyDescent="0.7">
      <c r="A20" s="6"/>
      <c r="B20" s="6"/>
      <c r="C20" s="6">
        <v>18</v>
      </c>
      <c r="D20" s="7">
        <v>9.4909999999999997</v>
      </c>
      <c r="E20" s="4">
        <v>0</v>
      </c>
      <c r="F20" s="7">
        <v>9.4909999999999997</v>
      </c>
      <c r="G20" s="16">
        <f t="shared" si="4"/>
        <v>820022.4</v>
      </c>
      <c r="H20" s="22">
        <f t="shared" si="5"/>
        <v>0.82002240000000004</v>
      </c>
      <c r="I20" s="21">
        <v>26684</v>
      </c>
      <c r="J20" s="52">
        <f t="shared" si="0"/>
        <v>2.6683999999999999E-2</v>
      </c>
      <c r="K20" s="21">
        <v>2602</v>
      </c>
      <c r="L20" s="21">
        <f t="shared" si="1"/>
        <v>2.6020000000000001E-3</v>
      </c>
      <c r="M20" s="21">
        <f t="shared" si="2"/>
        <v>2.9286E-2</v>
      </c>
      <c r="N20" s="21">
        <v>3.10608E-2</v>
      </c>
      <c r="O20" s="21">
        <f t="shared" si="3"/>
        <v>0.75967560000000001</v>
      </c>
    </row>
    <row r="21" spans="1:15" x14ac:dyDescent="0.7">
      <c r="A21" s="6"/>
      <c r="B21" s="6"/>
      <c r="C21" s="6">
        <v>19</v>
      </c>
      <c r="D21" s="7">
        <v>9.4909999999999997</v>
      </c>
      <c r="E21" s="4">
        <v>0</v>
      </c>
      <c r="F21" s="7">
        <v>9.4909999999999997</v>
      </c>
      <c r="G21" s="16">
        <f t="shared" si="4"/>
        <v>820022.4</v>
      </c>
      <c r="H21" s="22">
        <f t="shared" si="5"/>
        <v>0.82002240000000004</v>
      </c>
      <c r="I21" s="21">
        <v>34225</v>
      </c>
      <c r="J21" s="52">
        <f t="shared" si="0"/>
        <v>3.4224999999999998E-2</v>
      </c>
      <c r="K21" s="21">
        <v>4702</v>
      </c>
      <c r="L21" s="21">
        <f t="shared" si="1"/>
        <v>4.7019999999999996E-3</v>
      </c>
      <c r="M21" s="21">
        <f t="shared" si="2"/>
        <v>3.8926999999999996E-2</v>
      </c>
      <c r="N21" s="21">
        <v>3.10608E-2</v>
      </c>
      <c r="O21" s="21">
        <f t="shared" si="3"/>
        <v>0.7500346</v>
      </c>
    </row>
    <row r="22" spans="1:15" x14ac:dyDescent="0.7">
      <c r="A22" s="6"/>
      <c r="B22" s="6"/>
      <c r="C22" s="6">
        <v>20</v>
      </c>
      <c r="D22" s="7">
        <v>9.1020000000000003</v>
      </c>
      <c r="E22" s="4">
        <v>0</v>
      </c>
      <c r="F22" s="7">
        <v>9.1020000000000003</v>
      </c>
      <c r="G22" s="16">
        <f t="shared" si="4"/>
        <v>786412.8</v>
      </c>
      <c r="H22" s="22">
        <f t="shared" si="5"/>
        <v>0.78641280000000002</v>
      </c>
      <c r="I22" s="21">
        <v>22570</v>
      </c>
      <c r="J22" s="52">
        <f t="shared" si="0"/>
        <v>2.257E-2</v>
      </c>
      <c r="K22" s="21">
        <v>1687</v>
      </c>
      <c r="L22" s="21">
        <f t="shared" si="1"/>
        <v>1.6869999999999999E-3</v>
      </c>
      <c r="M22" s="21">
        <f t="shared" si="2"/>
        <v>2.4257000000000001E-2</v>
      </c>
      <c r="N22" s="21">
        <v>3.62016E-2</v>
      </c>
      <c r="O22" s="21">
        <f t="shared" si="3"/>
        <v>0.7259542000000001</v>
      </c>
    </row>
    <row r="23" spans="1:15" x14ac:dyDescent="0.7">
      <c r="A23" s="6"/>
      <c r="B23" s="6"/>
      <c r="C23" s="6">
        <v>21</v>
      </c>
      <c r="D23" s="7">
        <v>9.1020000000000003</v>
      </c>
      <c r="E23" s="4">
        <v>0</v>
      </c>
      <c r="F23" s="7">
        <v>9.1020000000000003</v>
      </c>
      <c r="G23" s="16">
        <f t="shared" si="4"/>
        <v>786412.8</v>
      </c>
      <c r="H23" s="22">
        <f t="shared" si="5"/>
        <v>0.78641280000000002</v>
      </c>
      <c r="I23" s="21">
        <v>27933</v>
      </c>
      <c r="J23" s="52">
        <f t="shared" si="0"/>
        <v>2.7932999999999999E-2</v>
      </c>
      <c r="K23" s="21">
        <v>1922</v>
      </c>
      <c r="L23" s="21">
        <f t="shared" si="1"/>
        <v>1.9220000000000001E-3</v>
      </c>
      <c r="M23" s="21">
        <f t="shared" si="2"/>
        <v>2.9855E-2</v>
      </c>
      <c r="N23" s="21">
        <v>3.5999999999999997E-2</v>
      </c>
      <c r="O23" s="21">
        <f t="shared" si="3"/>
        <v>0.72055780000000003</v>
      </c>
    </row>
    <row r="24" spans="1:15" x14ac:dyDescent="0.7">
      <c r="A24" s="6"/>
      <c r="B24" s="6"/>
      <c r="C24" s="6">
        <v>22</v>
      </c>
      <c r="D24" s="7">
        <v>9.1449999999999996</v>
      </c>
      <c r="E24" s="4">
        <v>0</v>
      </c>
      <c r="F24" s="7">
        <v>9.1449999999999996</v>
      </c>
      <c r="G24" s="16">
        <f t="shared" si="4"/>
        <v>790128</v>
      </c>
      <c r="H24" s="22">
        <f t="shared" si="5"/>
        <v>0.79012800000000005</v>
      </c>
      <c r="I24" s="21">
        <v>30440.857142857101</v>
      </c>
      <c r="J24" s="52">
        <f t="shared" si="0"/>
        <v>3.0440857142857103E-2</v>
      </c>
      <c r="K24" s="21">
        <v>3536.4285714285702</v>
      </c>
      <c r="L24" s="21">
        <f t="shared" si="1"/>
        <v>3.5364285714285701E-3</v>
      </c>
      <c r="M24" s="21">
        <f t="shared" ref="M24:M42" si="6">J24+L24</f>
        <v>3.3977285714285675E-2</v>
      </c>
      <c r="N24" s="21">
        <v>1.23696E-2</v>
      </c>
      <c r="O24" s="21">
        <f t="shared" ref="O24:O42" si="7">H24-M24-N24</f>
        <v>0.74378111428571436</v>
      </c>
    </row>
    <row r="25" spans="1:15" x14ac:dyDescent="0.7">
      <c r="A25" s="6"/>
      <c r="B25" s="6"/>
      <c r="C25" s="6">
        <v>23</v>
      </c>
      <c r="D25" s="7">
        <v>8.6470000000000002</v>
      </c>
      <c r="E25" s="4">
        <v>0</v>
      </c>
      <c r="F25" s="7">
        <v>8.6470000000000002</v>
      </c>
      <c r="G25" s="16">
        <f t="shared" si="4"/>
        <v>747100.8</v>
      </c>
      <c r="H25" s="22">
        <f t="shared" si="5"/>
        <v>0.74710080000000001</v>
      </c>
      <c r="I25" s="21">
        <v>31878.1428571428</v>
      </c>
      <c r="J25" s="52">
        <f t="shared" si="0"/>
        <v>3.1878142857142799E-2</v>
      </c>
      <c r="K25" s="21">
        <v>4030.7857142857101</v>
      </c>
      <c r="L25" s="21">
        <f t="shared" si="1"/>
        <v>4.0307857142857098E-3</v>
      </c>
      <c r="M25" s="21">
        <f t="shared" si="6"/>
        <v>3.5908928571428508E-2</v>
      </c>
      <c r="N25" s="21">
        <v>3.5675999999999798E-3</v>
      </c>
      <c r="O25" s="21">
        <f t="shared" si="7"/>
        <v>0.70762427142857154</v>
      </c>
    </row>
    <row r="26" spans="1:15" x14ac:dyDescent="0.7">
      <c r="A26" s="6"/>
      <c r="B26" s="6"/>
      <c r="C26" s="6">
        <v>24</v>
      </c>
      <c r="D26" s="7">
        <v>8.6470000000000002</v>
      </c>
      <c r="E26" s="4">
        <v>0</v>
      </c>
      <c r="F26" s="7">
        <v>8.6470000000000002</v>
      </c>
      <c r="G26" s="16">
        <f t="shared" si="4"/>
        <v>747100.8</v>
      </c>
      <c r="H26" s="22">
        <f t="shared" si="5"/>
        <v>0.74710080000000001</v>
      </c>
      <c r="I26" s="21">
        <v>33315.4285714285</v>
      </c>
      <c r="J26" s="52">
        <f t="shared" si="0"/>
        <v>3.3315428571428503E-2</v>
      </c>
      <c r="K26" s="21">
        <v>4525.1428571428596</v>
      </c>
      <c r="L26" s="21">
        <f t="shared" si="1"/>
        <v>4.5251428571428595E-3</v>
      </c>
      <c r="M26" s="21">
        <f t="shared" si="6"/>
        <v>3.7840571428571362E-2</v>
      </c>
      <c r="N26" s="21">
        <v>-5.2344000000000097E-3</v>
      </c>
      <c r="O26" s="21">
        <f t="shared" si="7"/>
        <v>0.71449462857142865</v>
      </c>
    </row>
    <row r="27" spans="1:15" x14ac:dyDescent="0.7">
      <c r="A27" s="6"/>
      <c r="B27" s="6"/>
      <c r="C27" s="6">
        <v>25</v>
      </c>
      <c r="D27" s="7">
        <v>8.5020000000000007</v>
      </c>
      <c r="E27" s="4">
        <v>0</v>
      </c>
      <c r="F27" s="7">
        <v>8.5020000000000007</v>
      </c>
      <c r="G27" s="16">
        <f t="shared" si="4"/>
        <v>734572.8</v>
      </c>
      <c r="H27" s="22">
        <f t="shared" si="5"/>
        <v>0.73457280000000003</v>
      </c>
      <c r="I27" s="21">
        <v>34752.714285714203</v>
      </c>
      <c r="J27" s="52">
        <f t="shared" si="0"/>
        <v>3.4752714285714199E-2</v>
      </c>
      <c r="K27" s="21">
        <v>5019.5</v>
      </c>
      <c r="L27" s="21">
        <f t="shared" si="1"/>
        <v>5.0194999999999997E-3</v>
      </c>
      <c r="M27" s="21">
        <f t="shared" si="6"/>
        <v>3.9772214285714202E-2</v>
      </c>
      <c r="N27" s="21">
        <v>-1.4036399999999999E-2</v>
      </c>
      <c r="O27" s="21">
        <f t="shared" si="7"/>
        <v>0.70883698571428577</v>
      </c>
    </row>
    <row r="28" spans="1:15" x14ac:dyDescent="0.7">
      <c r="A28" s="6"/>
      <c r="B28" s="6"/>
      <c r="C28" s="6">
        <v>26</v>
      </c>
      <c r="D28" s="7">
        <v>8.3539999999999992</v>
      </c>
      <c r="E28" s="4">
        <v>0</v>
      </c>
      <c r="F28" s="7">
        <v>8.3539999999999992</v>
      </c>
      <c r="G28" s="16">
        <f t="shared" si="4"/>
        <v>721785.6</v>
      </c>
      <c r="H28" s="22">
        <f t="shared" si="5"/>
        <v>0.72178560000000003</v>
      </c>
      <c r="I28" s="21">
        <v>36190</v>
      </c>
      <c r="J28" s="52">
        <f t="shared" si="0"/>
        <v>3.619E-2</v>
      </c>
      <c r="K28" s="21">
        <v>5513.8571428571404</v>
      </c>
      <c r="L28" s="21">
        <f t="shared" si="1"/>
        <v>5.5138571428571407E-3</v>
      </c>
      <c r="M28" s="21">
        <f t="shared" si="6"/>
        <v>4.170385714285714E-2</v>
      </c>
      <c r="N28" s="21">
        <v>-2.2838399999999998E-2</v>
      </c>
      <c r="O28" s="21">
        <f t="shared" si="7"/>
        <v>0.70292014285714288</v>
      </c>
    </row>
    <row r="29" spans="1:15" x14ac:dyDescent="0.7">
      <c r="A29" s="6"/>
      <c r="B29" s="6"/>
      <c r="C29" s="6">
        <v>27</v>
      </c>
      <c r="D29" s="7">
        <v>8.3539999999999992</v>
      </c>
      <c r="E29" s="4">
        <v>0</v>
      </c>
      <c r="F29" s="7">
        <v>8.3539999999999992</v>
      </c>
      <c r="G29" s="16">
        <f t="shared" si="4"/>
        <v>721785.6</v>
      </c>
      <c r="H29" s="22">
        <f t="shared" si="5"/>
        <v>0.72178560000000003</v>
      </c>
      <c r="I29" s="21">
        <v>37627.285714285703</v>
      </c>
      <c r="J29" s="52">
        <f t="shared" si="0"/>
        <v>3.7627285714285703E-2</v>
      </c>
      <c r="K29" s="21">
        <v>6008.2142857142799</v>
      </c>
      <c r="L29" s="21">
        <f t="shared" si="1"/>
        <v>6.0082142857142799E-3</v>
      </c>
      <c r="M29" s="21">
        <f t="shared" si="6"/>
        <v>4.363549999999998E-2</v>
      </c>
      <c r="N29" s="21">
        <v>-3.1640399999999999E-2</v>
      </c>
      <c r="O29" s="21">
        <f t="shared" si="7"/>
        <v>0.7097905000000001</v>
      </c>
    </row>
    <row r="30" spans="1:15" x14ac:dyDescent="0.7">
      <c r="A30" s="6"/>
      <c r="B30" s="6"/>
      <c r="C30" s="6">
        <v>28</v>
      </c>
      <c r="D30" s="7">
        <v>8.4870000000000001</v>
      </c>
      <c r="E30" s="4">
        <v>0</v>
      </c>
      <c r="F30" s="7">
        <v>8.4870000000000001</v>
      </c>
      <c r="G30" s="16">
        <f t="shared" si="4"/>
        <v>733276.8</v>
      </c>
      <c r="H30" s="22">
        <f t="shared" si="5"/>
        <v>0.73327680000000006</v>
      </c>
      <c r="I30" s="21">
        <v>39064.571428571398</v>
      </c>
      <c r="J30" s="52">
        <f t="shared" si="0"/>
        <v>3.90645714285714E-2</v>
      </c>
      <c r="K30" s="21">
        <v>6502.5714285714303</v>
      </c>
      <c r="L30" s="21">
        <f t="shared" si="1"/>
        <v>6.5025714285714305E-3</v>
      </c>
      <c r="M30" s="21">
        <f t="shared" si="6"/>
        <v>4.5567142857142834E-2</v>
      </c>
      <c r="N30" s="21">
        <v>-4.0442400000000003E-2</v>
      </c>
      <c r="O30" s="21">
        <f t="shared" si="7"/>
        <v>0.72815205714285725</v>
      </c>
    </row>
    <row r="31" spans="1:15" x14ac:dyDescent="0.7">
      <c r="A31" s="6"/>
      <c r="B31" s="6"/>
      <c r="C31" s="6">
        <v>29</v>
      </c>
      <c r="D31" s="7">
        <v>8.5239999999999991</v>
      </c>
      <c r="E31" s="4">
        <v>0</v>
      </c>
      <c r="F31" s="7">
        <v>8.5239999999999991</v>
      </c>
      <c r="G31" s="16">
        <f t="shared" si="4"/>
        <v>736473.59999999998</v>
      </c>
      <c r="H31" s="22">
        <f t="shared" si="5"/>
        <v>0.73647359999999995</v>
      </c>
      <c r="I31" s="21">
        <v>40501.857142857101</v>
      </c>
      <c r="J31" s="52">
        <f t="shared" si="0"/>
        <v>4.0501857142857103E-2</v>
      </c>
      <c r="K31" s="21">
        <v>6996.9285714285697</v>
      </c>
      <c r="L31" s="21">
        <f t="shared" si="1"/>
        <v>6.9969285714285697E-3</v>
      </c>
      <c r="M31" s="21">
        <f t="shared" si="6"/>
        <v>4.7498785714285674E-2</v>
      </c>
      <c r="N31" s="21">
        <v>-4.9244400000000001E-2</v>
      </c>
      <c r="O31" s="21">
        <f t="shared" si="7"/>
        <v>0.73821921428571424</v>
      </c>
    </row>
    <row r="32" spans="1:15" x14ac:dyDescent="0.7">
      <c r="A32" s="6"/>
      <c r="B32" s="6"/>
      <c r="C32" s="6">
        <v>30</v>
      </c>
      <c r="D32" s="7">
        <v>8.6940000000000008</v>
      </c>
      <c r="E32" s="4">
        <v>0</v>
      </c>
      <c r="F32" s="7">
        <v>8.6940000000000008</v>
      </c>
      <c r="G32" s="16">
        <f t="shared" si="4"/>
        <v>751161.60000000009</v>
      </c>
      <c r="H32" s="22">
        <f t="shared" si="5"/>
        <v>0.7511616000000001</v>
      </c>
      <c r="I32" s="21">
        <v>41939.142857142797</v>
      </c>
      <c r="J32" s="52">
        <f t="shared" si="0"/>
        <v>4.19391428571428E-2</v>
      </c>
      <c r="K32" s="21">
        <v>7491.2857142857101</v>
      </c>
      <c r="L32" s="21">
        <f t="shared" si="1"/>
        <v>7.4912857142857099E-3</v>
      </c>
      <c r="M32" s="21">
        <f t="shared" si="6"/>
        <v>4.9430428571428507E-2</v>
      </c>
      <c r="N32" s="21">
        <v>-5.8046399999999998E-2</v>
      </c>
      <c r="O32" s="21">
        <f t="shared" si="7"/>
        <v>0.7597775714285715</v>
      </c>
    </row>
    <row r="33" spans="1:15" s="14" customFormat="1" ht="25.2" thickBot="1" x14ac:dyDescent="0.75">
      <c r="A33" s="9"/>
      <c r="B33" s="9" t="s">
        <v>15</v>
      </c>
      <c r="C33" s="9">
        <v>31</v>
      </c>
      <c r="D33" s="10">
        <v>8.6940000000000008</v>
      </c>
      <c r="E33" s="20">
        <v>0</v>
      </c>
      <c r="F33" s="10">
        <v>8.6940000000000008</v>
      </c>
      <c r="G33" s="29">
        <f t="shared" si="4"/>
        <v>751161.60000000009</v>
      </c>
      <c r="H33" s="30">
        <f t="shared" si="5"/>
        <v>0.7511616000000001</v>
      </c>
      <c r="I33" s="23">
        <v>43376.4285714285</v>
      </c>
      <c r="J33" s="53">
        <f t="shared" si="0"/>
        <v>4.3376428571428496E-2</v>
      </c>
      <c r="K33" s="23">
        <v>7985.6428571428596</v>
      </c>
      <c r="L33" s="23">
        <f t="shared" si="1"/>
        <v>7.9856428571428596E-3</v>
      </c>
      <c r="M33" s="23">
        <f t="shared" si="6"/>
        <v>5.1362071428571354E-2</v>
      </c>
      <c r="N33" s="23">
        <v>-6.6848400000000002E-2</v>
      </c>
      <c r="O33" s="23">
        <f t="shared" si="7"/>
        <v>0.76664792857142872</v>
      </c>
    </row>
    <row r="34" spans="1:15" x14ac:dyDescent="0.7">
      <c r="A34" s="3"/>
      <c r="B34" s="3" t="s">
        <v>16</v>
      </c>
      <c r="C34" s="3">
        <v>1</v>
      </c>
      <c r="D34" s="4">
        <v>8.1620000000000008</v>
      </c>
      <c r="E34" s="4">
        <v>0</v>
      </c>
      <c r="F34" s="4">
        <v>8.1620000000000008</v>
      </c>
      <c r="G34" s="16">
        <f t="shared" si="4"/>
        <v>705196.8</v>
      </c>
      <c r="H34" s="22">
        <f t="shared" si="5"/>
        <v>0.70519680000000007</v>
      </c>
      <c r="I34" s="17">
        <v>0</v>
      </c>
      <c r="J34" s="54">
        <f t="shared" si="0"/>
        <v>0</v>
      </c>
      <c r="K34" s="17">
        <v>0</v>
      </c>
      <c r="L34" s="22">
        <f t="shared" si="1"/>
        <v>0</v>
      </c>
      <c r="M34" s="17">
        <f t="shared" si="6"/>
        <v>0</v>
      </c>
      <c r="N34" s="28">
        <v>6.2121599999999999E-2</v>
      </c>
      <c r="O34" s="4">
        <f t="shared" si="7"/>
        <v>0.64307520000000007</v>
      </c>
    </row>
    <row r="35" spans="1:15" x14ac:dyDescent="0.7">
      <c r="A35" s="6"/>
      <c r="B35" s="6"/>
      <c r="C35" s="6">
        <v>2</v>
      </c>
      <c r="D35" s="7">
        <v>8.3010000000000002</v>
      </c>
      <c r="E35" s="4">
        <v>0</v>
      </c>
      <c r="F35" s="7">
        <v>8.3010000000000002</v>
      </c>
      <c r="G35" s="16">
        <f t="shared" si="4"/>
        <v>717206.4</v>
      </c>
      <c r="H35" s="22">
        <f t="shared" si="5"/>
        <v>0.71720640000000002</v>
      </c>
      <c r="I35" s="18">
        <v>13718</v>
      </c>
      <c r="J35" s="52">
        <f t="shared" si="0"/>
        <v>1.3717999999999999E-2</v>
      </c>
      <c r="K35" s="18">
        <v>8539</v>
      </c>
      <c r="L35" s="21">
        <f t="shared" si="1"/>
        <v>8.5389999999999997E-3</v>
      </c>
      <c r="M35" s="18">
        <f t="shared" si="6"/>
        <v>2.2256999999999999E-2</v>
      </c>
      <c r="N35" s="27">
        <v>6.2121599999999999E-2</v>
      </c>
      <c r="O35" s="7">
        <f t="shared" si="7"/>
        <v>0.63282780000000005</v>
      </c>
    </row>
    <row r="36" spans="1:15" x14ac:dyDescent="0.7">
      <c r="A36" s="6"/>
      <c r="B36" s="6"/>
      <c r="C36" s="6">
        <v>3</v>
      </c>
      <c r="D36" s="7">
        <v>8.3010000000000002</v>
      </c>
      <c r="E36" s="4">
        <v>0</v>
      </c>
      <c r="F36" s="7">
        <v>8.3010000000000002</v>
      </c>
      <c r="G36" s="16">
        <f t="shared" si="4"/>
        <v>717206.4</v>
      </c>
      <c r="H36" s="22">
        <f t="shared" si="5"/>
        <v>0.71720640000000002</v>
      </c>
      <c r="I36" s="18">
        <v>13702</v>
      </c>
      <c r="J36" s="52">
        <f t="shared" si="0"/>
        <v>1.3702000000000001E-2</v>
      </c>
      <c r="K36" s="18">
        <v>5096</v>
      </c>
      <c r="L36" s="21">
        <f t="shared" si="1"/>
        <v>5.0959999999999998E-3</v>
      </c>
      <c r="M36" s="18">
        <f t="shared" si="6"/>
        <v>1.8798000000000002E-2</v>
      </c>
      <c r="N36" s="27">
        <v>6.2121599999999999E-2</v>
      </c>
      <c r="O36" s="7">
        <f t="shared" si="7"/>
        <v>0.63628680000000004</v>
      </c>
    </row>
    <row r="37" spans="1:15" x14ac:dyDescent="0.7">
      <c r="A37" s="6"/>
      <c r="B37" s="6"/>
      <c r="C37" s="6">
        <v>4</v>
      </c>
      <c r="D37" s="7">
        <v>8.3010000000000002</v>
      </c>
      <c r="E37" s="4">
        <v>0</v>
      </c>
      <c r="F37" s="7">
        <v>8.3010000000000002</v>
      </c>
      <c r="G37" s="16">
        <f t="shared" si="4"/>
        <v>717206.4</v>
      </c>
      <c r="H37" s="22">
        <f t="shared" si="5"/>
        <v>0.71720640000000002</v>
      </c>
      <c r="I37" s="18">
        <v>15210</v>
      </c>
      <c r="J37" s="52">
        <f t="shared" si="0"/>
        <v>1.521E-2</v>
      </c>
      <c r="K37" s="18">
        <v>6073</v>
      </c>
      <c r="L37" s="21">
        <f t="shared" si="1"/>
        <v>6.0730000000000003E-3</v>
      </c>
      <c r="M37" s="18">
        <f t="shared" si="6"/>
        <v>2.1283E-2</v>
      </c>
      <c r="N37" s="27">
        <v>6.2121599999999999E-2</v>
      </c>
      <c r="O37" s="7">
        <f t="shared" si="7"/>
        <v>0.63380179999999997</v>
      </c>
    </row>
    <row r="38" spans="1:15" x14ac:dyDescent="0.7">
      <c r="A38" s="6"/>
      <c r="B38" s="6"/>
      <c r="C38" s="6">
        <v>5</v>
      </c>
      <c r="D38" s="7">
        <v>8.3010000000000002</v>
      </c>
      <c r="E38" s="4">
        <v>0</v>
      </c>
      <c r="F38" s="7">
        <v>8.3010000000000002</v>
      </c>
      <c r="G38" s="16">
        <f t="shared" si="4"/>
        <v>717206.4</v>
      </c>
      <c r="H38" s="22">
        <f t="shared" si="5"/>
        <v>0.71720640000000002</v>
      </c>
      <c r="I38" s="18">
        <v>15396</v>
      </c>
      <c r="J38" s="52">
        <f t="shared" si="0"/>
        <v>1.5396E-2</v>
      </c>
      <c r="K38" s="18">
        <v>6299</v>
      </c>
      <c r="L38" s="21">
        <f t="shared" si="1"/>
        <v>6.2989999999999999E-3</v>
      </c>
      <c r="M38" s="18">
        <f t="shared" si="6"/>
        <v>2.1694999999999999E-2</v>
      </c>
      <c r="N38" s="27">
        <v>6.2121599999999999E-2</v>
      </c>
      <c r="O38" s="7">
        <f t="shared" si="7"/>
        <v>0.6333898</v>
      </c>
    </row>
    <row r="39" spans="1:15" x14ac:dyDescent="0.7">
      <c r="A39" s="6"/>
      <c r="B39" s="6"/>
      <c r="C39" s="6">
        <v>6</v>
      </c>
      <c r="D39" s="7">
        <v>8.23</v>
      </c>
      <c r="E39" s="4">
        <v>0</v>
      </c>
      <c r="F39" s="7">
        <v>8.23</v>
      </c>
      <c r="G39" s="16">
        <f t="shared" si="4"/>
        <v>711072</v>
      </c>
      <c r="H39" s="22">
        <f t="shared" si="5"/>
        <v>0.71107200000000004</v>
      </c>
      <c r="I39" s="18">
        <v>17770</v>
      </c>
      <c r="J39" s="52">
        <f t="shared" si="0"/>
        <v>1.7770000000000001E-2</v>
      </c>
      <c r="K39" s="18">
        <v>5947</v>
      </c>
      <c r="L39" s="21">
        <f t="shared" si="1"/>
        <v>5.947E-3</v>
      </c>
      <c r="M39" s="18">
        <f t="shared" si="6"/>
        <v>2.3717000000000002E-2</v>
      </c>
      <c r="N39" s="27">
        <v>5.1839999999999997E-2</v>
      </c>
      <c r="O39" s="7">
        <f t="shared" si="7"/>
        <v>0.63551500000000005</v>
      </c>
    </row>
    <row r="40" spans="1:15" x14ac:dyDescent="0.7">
      <c r="A40" s="6"/>
      <c r="B40" s="6"/>
      <c r="C40" s="6">
        <v>7</v>
      </c>
      <c r="D40" s="7">
        <v>8.0289999999999999</v>
      </c>
      <c r="E40" s="4">
        <v>0</v>
      </c>
      <c r="F40" s="7">
        <v>8.0289999999999999</v>
      </c>
      <c r="G40" s="16">
        <f t="shared" si="4"/>
        <v>693705.6</v>
      </c>
      <c r="H40" s="22">
        <f t="shared" si="5"/>
        <v>0.69370559999999992</v>
      </c>
      <c r="I40" s="18">
        <v>18159</v>
      </c>
      <c r="J40" s="52">
        <f t="shared" si="0"/>
        <v>1.8159000000000002E-2</v>
      </c>
      <c r="K40" s="18">
        <v>6069</v>
      </c>
      <c r="L40" s="21">
        <f t="shared" si="1"/>
        <v>6.0689999999999997E-3</v>
      </c>
      <c r="M40" s="18">
        <f t="shared" si="6"/>
        <v>2.4228E-2</v>
      </c>
      <c r="N40" s="27">
        <v>5.1839999999999997E-2</v>
      </c>
      <c r="O40" s="7">
        <f t="shared" si="7"/>
        <v>0.6176375999999999</v>
      </c>
    </row>
    <row r="41" spans="1:15" x14ac:dyDescent="0.7">
      <c r="A41" s="6"/>
      <c r="B41" s="6"/>
      <c r="C41" s="6">
        <v>8</v>
      </c>
      <c r="D41" s="7">
        <v>7.6029999999999998</v>
      </c>
      <c r="E41" s="4">
        <v>0</v>
      </c>
      <c r="F41" s="7">
        <v>7.6029999999999998</v>
      </c>
      <c r="G41" s="16">
        <f t="shared" si="4"/>
        <v>656899.19999999995</v>
      </c>
      <c r="H41" s="22">
        <f t="shared" si="5"/>
        <v>0.65689919999999991</v>
      </c>
      <c r="I41" s="18">
        <v>15637</v>
      </c>
      <c r="J41" s="52">
        <f t="shared" si="0"/>
        <v>1.5637000000000002E-2</v>
      </c>
      <c r="K41" s="18">
        <v>6263</v>
      </c>
      <c r="L41" s="21">
        <f t="shared" si="1"/>
        <v>6.2630000000000003E-3</v>
      </c>
      <c r="M41" s="18">
        <f t="shared" si="6"/>
        <v>2.1900000000000003E-2</v>
      </c>
      <c r="N41" s="27">
        <v>3.456E-2</v>
      </c>
      <c r="O41" s="7">
        <f t="shared" si="7"/>
        <v>0.60043919999999984</v>
      </c>
    </row>
    <row r="42" spans="1:15" x14ac:dyDescent="0.7">
      <c r="A42" s="6"/>
      <c r="B42" s="6"/>
      <c r="C42" s="6">
        <v>9</v>
      </c>
      <c r="D42" s="7">
        <v>7.6029999999999998</v>
      </c>
      <c r="E42" s="4">
        <v>0</v>
      </c>
      <c r="F42" s="7">
        <v>7.6029999999999998</v>
      </c>
      <c r="G42" s="16">
        <f t="shared" si="4"/>
        <v>656899.19999999995</v>
      </c>
      <c r="H42" s="22">
        <f t="shared" si="5"/>
        <v>0.65689919999999991</v>
      </c>
      <c r="I42" s="18">
        <v>14685</v>
      </c>
      <c r="J42" s="52">
        <f t="shared" si="0"/>
        <v>1.4685E-2</v>
      </c>
      <c r="K42" s="18">
        <v>6810</v>
      </c>
      <c r="L42" s="21">
        <f t="shared" si="1"/>
        <v>6.8100000000000001E-3</v>
      </c>
      <c r="M42" s="18">
        <f t="shared" si="6"/>
        <v>2.1495E-2</v>
      </c>
      <c r="N42" s="27">
        <v>3.456E-2</v>
      </c>
      <c r="O42" s="7">
        <f t="shared" si="7"/>
        <v>0.60084419999999983</v>
      </c>
    </row>
    <row r="43" spans="1:15" x14ac:dyDescent="0.7">
      <c r="A43" s="6"/>
      <c r="B43" s="6"/>
      <c r="C43" s="6">
        <v>10</v>
      </c>
      <c r="D43" s="7">
        <v>7.7149999999999999</v>
      </c>
      <c r="E43" s="4">
        <v>0</v>
      </c>
      <c r="F43" s="7">
        <v>7.7149999999999999</v>
      </c>
      <c r="G43" s="16">
        <f t="shared" si="4"/>
        <v>666576</v>
      </c>
      <c r="H43" s="22">
        <f t="shared" si="5"/>
        <v>0.66657599999999995</v>
      </c>
      <c r="I43" s="18">
        <v>17183.694444444402</v>
      </c>
      <c r="J43" s="52">
        <f t="shared" si="0"/>
        <v>1.7183694444444401E-2</v>
      </c>
      <c r="K43" s="18">
        <v>7530</v>
      </c>
      <c r="L43" s="21">
        <f t="shared" si="1"/>
        <v>7.5300000000000002E-3</v>
      </c>
      <c r="M43" s="18">
        <f t="shared" ref="M43:M58" si="8">J43+L43</f>
        <v>2.4713694444444399E-2</v>
      </c>
      <c r="N43" s="27">
        <v>3.5063999999999998E-2</v>
      </c>
      <c r="O43" s="7">
        <f t="shared" ref="O43:O58" si="9">H43-M43-N43</f>
        <v>0.60679830555555558</v>
      </c>
    </row>
    <row r="44" spans="1:15" x14ac:dyDescent="0.7">
      <c r="A44" s="6"/>
      <c r="B44" s="6"/>
      <c r="C44" s="6">
        <v>11</v>
      </c>
      <c r="D44" s="7">
        <v>7.1619999999999999</v>
      </c>
      <c r="E44" s="4">
        <v>0</v>
      </c>
      <c r="F44" s="7">
        <v>7.1619999999999999</v>
      </c>
      <c r="G44" s="16">
        <f t="shared" si="4"/>
        <v>618796.80000000005</v>
      </c>
      <c r="H44" s="22">
        <f t="shared" si="5"/>
        <v>0.61879680000000004</v>
      </c>
      <c r="I44" s="18">
        <v>17563.144444444399</v>
      </c>
      <c r="J44" s="52">
        <f t="shared" si="0"/>
        <v>1.7563144444444397E-2</v>
      </c>
      <c r="K44" s="18">
        <v>7900.5333333333301</v>
      </c>
      <c r="L44" s="21">
        <f t="shared" si="1"/>
        <v>7.9005333333333309E-3</v>
      </c>
      <c r="M44" s="18">
        <f t="shared" si="8"/>
        <v>2.5463677777777728E-2</v>
      </c>
      <c r="N44" s="27">
        <v>3.1334399999999998E-2</v>
      </c>
      <c r="O44" s="7">
        <f t="shared" si="9"/>
        <v>0.56199872222222236</v>
      </c>
    </row>
    <row r="45" spans="1:15" x14ac:dyDescent="0.7">
      <c r="A45" s="6"/>
      <c r="B45" s="6"/>
      <c r="C45" s="6">
        <v>12</v>
      </c>
      <c r="D45" s="7">
        <v>7.0110000000000001</v>
      </c>
      <c r="E45" s="4">
        <v>0</v>
      </c>
      <c r="F45" s="7">
        <v>7.0110000000000001</v>
      </c>
      <c r="G45" s="16">
        <f t="shared" si="4"/>
        <v>605750.4</v>
      </c>
      <c r="H45" s="22">
        <f t="shared" si="5"/>
        <v>0.60575040000000002</v>
      </c>
      <c r="I45" s="18">
        <v>17942.594444444399</v>
      </c>
      <c r="J45" s="52">
        <f t="shared" si="0"/>
        <v>1.7942594444444401E-2</v>
      </c>
      <c r="K45" s="18">
        <v>8271.0666666666602</v>
      </c>
      <c r="L45" s="21">
        <f t="shared" si="1"/>
        <v>8.2710666666666599E-3</v>
      </c>
      <c r="M45" s="18">
        <f t="shared" si="8"/>
        <v>2.6213661111111061E-2</v>
      </c>
      <c r="N45" s="27">
        <v>2.7604799999999999E-2</v>
      </c>
      <c r="O45" s="7">
        <f t="shared" si="9"/>
        <v>0.55193193888888903</v>
      </c>
    </row>
    <row r="46" spans="1:15" x14ac:dyDescent="0.7">
      <c r="A46" s="6"/>
      <c r="B46" s="6"/>
      <c r="C46" s="6">
        <v>13</v>
      </c>
      <c r="D46" s="7">
        <v>8.5269999999999992</v>
      </c>
      <c r="E46" s="4">
        <v>0</v>
      </c>
      <c r="F46" s="7">
        <v>8.5269999999999992</v>
      </c>
      <c r="G46" s="16">
        <f t="shared" si="4"/>
        <v>736732.79999999993</v>
      </c>
      <c r="H46" s="22">
        <f t="shared" si="5"/>
        <v>0.73673279999999997</v>
      </c>
      <c r="I46" s="18">
        <v>18322.0444444444</v>
      </c>
      <c r="J46" s="52">
        <f t="shared" si="0"/>
        <v>1.8322044444444401E-2</v>
      </c>
      <c r="K46" s="18">
        <v>8641.6</v>
      </c>
      <c r="L46" s="21">
        <f t="shared" si="1"/>
        <v>8.641600000000001E-3</v>
      </c>
      <c r="M46" s="18">
        <f t="shared" si="8"/>
        <v>2.69636444444444E-2</v>
      </c>
      <c r="N46" s="27">
        <v>2.3875199999999999E-2</v>
      </c>
      <c r="O46" s="7">
        <f t="shared" si="9"/>
        <v>0.68589395555555555</v>
      </c>
    </row>
    <row r="47" spans="1:15" x14ac:dyDescent="0.7">
      <c r="A47" s="6"/>
      <c r="B47" s="6"/>
      <c r="C47" s="6">
        <v>14</v>
      </c>
      <c r="D47" s="7">
        <v>8.923</v>
      </c>
      <c r="E47" s="4">
        <v>0</v>
      </c>
      <c r="F47" s="7">
        <v>8.923</v>
      </c>
      <c r="G47" s="16">
        <f t="shared" si="4"/>
        <v>770947.2</v>
      </c>
      <c r="H47" s="22">
        <f t="shared" si="5"/>
        <v>0.77094719999999994</v>
      </c>
      <c r="I47" s="18">
        <v>18701.494444444401</v>
      </c>
      <c r="J47" s="52">
        <f t="shared" si="0"/>
        <v>1.87014944444444E-2</v>
      </c>
      <c r="K47" s="18">
        <v>9012.1333333333296</v>
      </c>
      <c r="L47" s="21">
        <f t="shared" si="1"/>
        <v>9.01213333333333E-3</v>
      </c>
      <c r="M47" s="18">
        <f t="shared" si="8"/>
        <v>2.7713627777777729E-2</v>
      </c>
      <c r="N47" s="27">
        <v>2.01456E-2</v>
      </c>
      <c r="O47" s="7">
        <f t="shared" si="9"/>
        <v>0.72308797222222221</v>
      </c>
    </row>
    <row r="48" spans="1:15" x14ac:dyDescent="0.7">
      <c r="A48" s="6"/>
      <c r="B48" s="6"/>
      <c r="C48" s="6">
        <v>15</v>
      </c>
      <c r="D48" s="7">
        <v>8.7270000000000003</v>
      </c>
      <c r="E48" s="4">
        <v>0</v>
      </c>
      <c r="F48" s="7">
        <v>8.7270000000000003</v>
      </c>
      <c r="G48" s="16">
        <f t="shared" si="4"/>
        <v>754012.8</v>
      </c>
      <c r="H48" s="22">
        <f t="shared" si="5"/>
        <v>0.75401280000000004</v>
      </c>
      <c r="I48" s="18">
        <v>19080.944444444402</v>
      </c>
      <c r="J48" s="52">
        <f t="shared" si="0"/>
        <v>1.90809444444444E-2</v>
      </c>
      <c r="K48" s="18">
        <v>9382.6666666666606</v>
      </c>
      <c r="L48" s="21">
        <f t="shared" si="1"/>
        <v>9.3826666666666607E-3</v>
      </c>
      <c r="M48" s="18">
        <f t="shared" si="8"/>
        <v>2.8463611111111061E-2</v>
      </c>
      <c r="N48" s="27">
        <v>1.6416E-2</v>
      </c>
      <c r="O48" s="7">
        <f t="shared" si="9"/>
        <v>0.70913318888888899</v>
      </c>
    </row>
    <row r="49" spans="1:15" x14ac:dyDescent="0.7">
      <c r="A49" s="6"/>
      <c r="B49" s="6"/>
      <c r="C49" s="6">
        <v>16</v>
      </c>
      <c r="D49" s="7">
        <v>8.7270000000000003</v>
      </c>
      <c r="E49" s="4">
        <v>0</v>
      </c>
      <c r="F49" s="7">
        <v>8.7270000000000003</v>
      </c>
      <c r="G49" s="16">
        <f t="shared" si="4"/>
        <v>754012.8</v>
      </c>
      <c r="H49" s="22">
        <f t="shared" si="5"/>
        <v>0.75401280000000004</v>
      </c>
      <c r="I49" s="18">
        <v>19460.394444444399</v>
      </c>
      <c r="J49" s="52">
        <f t="shared" si="0"/>
        <v>1.94603944444444E-2</v>
      </c>
      <c r="K49" s="18">
        <v>9753.2000000000007</v>
      </c>
      <c r="L49" s="21">
        <f t="shared" si="1"/>
        <v>9.7532000000000001E-3</v>
      </c>
      <c r="M49" s="18">
        <f t="shared" si="8"/>
        <v>2.92135944444444E-2</v>
      </c>
      <c r="N49" s="27">
        <v>1.26864E-2</v>
      </c>
      <c r="O49" s="7">
        <f t="shared" si="9"/>
        <v>0.71211280555555567</v>
      </c>
    </row>
    <row r="50" spans="1:15" x14ac:dyDescent="0.7">
      <c r="A50" s="6"/>
      <c r="B50" s="6"/>
      <c r="C50" s="6">
        <v>17</v>
      </c>
      <c r="D50" s="7">
        <v>2.7810000000000001</v>
      </c>
      <c r="E50" s="4">
        <v>0</v>
      </c>
      <c r="F50" s="7">
        <v>2.7810000000000001</v>
      </c>
      <c r="G50" s="16">
        <f t="shared" si="4"/>
        <v>240278.40000000002</v>
      </c>
      <c r="H50" s="22">
        <f t="shared" si="5"/>
        <v>0.24027840000000003</v>
      </c>
      <c r="I50" s="18">
        <v>19839.844444444399</v>
      </c>
      <c r="J50" s="52">
        <f t="shared" si="0"/>
        <v>1.98398444444444E-2</v>
      </c>
      <c r="K50" s="18">
        <v>10123.733333333301</v>
      </c>
      <c r="L50" s="21">
        <f t="shared" si="1"/>
        <v>1.0123733333333301E-2</v>
      </c>
      <c r="M50" s="18">
        <f t="shared" si="8"/>
        <v>2.9963577777777702E-2</v>
      </c>
      <c r="N50" s="27">
        <v>8.9567999999999905E-3</v>
      </c>
      <c r="O50" s="7">
        <f t="shared" si="9"/>
        <v>0.20135802222222235</v>
      </c>
    </row>
    <row r="51" spans="1:15" x14ac:dyDescent="0.7">
      <c r="A51" s="6"/>
      <c r="B51" s="6"/>
      <c r="C51" s="6">
        <v>18</v>
      </c>
      <c r="D51" s="7">
        <v>3.0390000000000001</v>
      </c>
      <c r="E51" s="4">
        <v>0</v>
      </c>
      <c r="F51" s="7">
        <v>3.0390000000000001</v>
      </c>
      <c r="G51" s="16">
        <f t="shared" si="4"/>
        <v>262569.60000000003</v>
      </c>
      <c r="H51" s="22">
        <f t="shared" si="5"/>
        <v>0.26256960000000001</v>
      </c>
      <c r="I51" s="18">
        <v>20219.2944444444</v>
      </c>
      <c r="J51" s="52">
        <f t="shared" si="0"/>
        <v>2.02192944444444E-2</v>
      </c>
      <c r="K51" s="18">
        <v>10494.266666666699</v>
      </c>
      <c r="L51" s="21">
        <f t="shared" si="1"/>
        <v>1.04942666666667E-2</v>
      </c>
      <c r="M51" s="18">
        <f t="shared" si="8"/>
        <v>3.07135611111111E-2</v>
      </c>
      <c r="N51" s="27">
        <v>5.22719999999999E-3</v>
      </c>
      <c r="O51" s="7">
        <f t="shared" si="9"/>
        <v>0.22662883888888893</v>
      </c>
    </row>
    <row r="52" spans="1:15" x14ac:dyDescent="0.7">
      <c r="A52" s="6"/>
      <c r="B52" s="6"/>
      <c r="C52" s="6">
        <v>19</v>
      </c>
      <c r="D52" s="7">
        <v>1.5960000000000001</v>
      </c>
      <c r="E52" s="4">
        <v>0</v>
      </c>
      <c r="F52" s="7">
        <v>1.5960000000000001</v>
      </c>
      <c r="G52" s="16">
        <f t="shared" si="4"/>
        <v>137894.39999999999</v>
      </c>
      <c r="H52" s="22">
        <f t="shared" si="5"/>
        <v>0.1378944</v>
      </c>
      <c r="I52" s="18">
        <v>20598.744444444401</v>
      </c>
      <c r="J52" s="52">
        <f t="shared" si="0"/>
        <v>2.05987444444444E-2</v>
      </c>
      <c r="K52" s="18">
        <v>10864.8</v>
      </c>
      <c r="L52" s="21">
        <f t="shared" si="1"/>
        <v>1.0864799999999999E-2</v>
      </c>
      <c r="M52" s="18">
        <f t="shared" si="8"/>
        <v>3.1463544444444401E-2</v>
      </c>
      <c r="N52" s="27">
        <v>1.49759999999999E-3</v>
      </c>
      <c r="O52" s="7">
        <f t="shared" si="9"/>
        <v>0.1049332555555556</v>
      </c>
    </row>
    <row r="53" spans="1:15" x14ac:dyDescent="0.7">
      <c r="A53" s="6"/>
      <c r="B53" s="6"/>
      <c r="C53" s="6">
        <v>20</v>
      </c>
      <c r="D53" s="7">
        <v>1.583</v>
      </c>
      <c r="E53" s="4">
        <v>0</v>
      </c>
      <c r="F53" s="7">
        <v>1.583</v>
      </c>
      <c r="G53" s="16">
        <f t="shared" si="4"/>
        <v>136771.19999999998</v>
      </c>
      <c r="H53" s="22">
        <f t="shared" si="5"/>
        <v>0.13677119999999998</v>
      </c>
      <c r="I53" s="18">
        <v>20978.194444444402</v>
      </c>
      <c r="J53" s="52">
        <f t="shared" si="0"/>
        <v>2.09781944444444E-2</v>
      </c>
      <c r="K53" s="18">
        <v>11235.333333333299</v>
      </c>
      <c r="L53" s="21">
        <f t="shared" si="1"/>
        <v>1.1235333333333299E-2</v>
      </c>
      <c r="M53" s="18">
        <f t="shared" si="8"/>
        <v>3.2213527777777695E-2</v>
      </c>
      <c r="N53" s="27">
        <v>-2.23200000000001E-3</v>
      </c>
      <c r="O53" s="7">
        <f t="shared" si="9"/>
        <v>0.1067896722222223</v>
      </c>
    </row>
    <row r="54" spans="1:15" x14ac:dyDescent="0.7">
      <c r="A54" s="6"/>
      <c r="B54" s="6"/>
      <c r="C54" s="6">
        <v>21</v>
      </c>
      <c r="D54" s="7">
        <v>4.9800000000000004</v>
      </c>
      <c r="E54" s="4">
        <v>0</v>
      </c>
      <c r="F54" s="7">
        <v>4.9800000000000004</v>
      </c>
      <c r="G54" s="16">
        <f t="shared" si="4"/>
        <v>430272.00000000006</v>
      </c>
      <c r="H54" s="22">
        <f t="shared" si="5"/>
        <v>0.43027200000000004</v>
      </c>
      <c r="I54" s="18">
        <v>21357.644444444399</v>
      </c>
      <c r="J54" s="52">
        <f t="shared" si="0"/>
        <v>2.13576444444444E-2</v>
      </c>
      <c r="K54" s="18">
        <v>11605.8666666667</v>
      </c>
      <c r="L54" s="21">
        <f t="shared" si="1"/>
        <v>1.1605866666666699E-2</v>
      </c>
      <c r="M54" s="18">
        <f t="shared" si="8"/>
        <v>3.29635111111111E-2</v>
      </c>
      <c r="N54" s="27">
        <v>-5.9616000000000096E-3</v>
      </c>
      <c r="O54" s="7">
        <f t="shared" si="9"/>
        <v>0.40327008888888893</v>
      </c>
    </row>
    <row r="55" spans="1:15" x14ac:dyDescent="0.7">
      <c r="A55" s="6"/>
      <c r="B55" s="6"/>
      <c r="C55" s="6">
        <v>22</v>
      </c>
      <c r="D55" s="7">
        <v>4.9800000000000004</v>
      </c>
      <c r="E55" s="4">
        <v>0</v>
      </c>
      <c r="F55" s="7">
        <v>4.9800000000000004</v>
      </c>
      <c r="G55" s="16">
        <f t="shared" si="4"/>
        <v>430272.00000000006</v>
      </c>
      <c r="H55" s="22">
        <f t="shared" si="5"/>
        <v>0.43027200000000004</v>
      </c>
      <c r="I55" s="18">
        <v>21737.094444444399</v>
      </c>
      <c r="J55" s="52">
        <f t="shared" si="0"/>
        <v>2.17370944444444E-2</v>
      </c>
      <c r="K55" s="18">
        <v>11976.4</v>
      </c>
      <c r="L55" s="21">
        <f t="shared" si="1"/>
        <v>1.19764E-2</v>
      </c>
      <c r="M55" s="18">
        <f t="shared" si="8"/>
        <v>3.3713494444444402E-2</v>
      </c>
      <c r="N55" s="27">
        <v>-9.6912000000000092E-3</v>
      </c>
      <c r="O55" s="7">
        <f t="shared" si="9"/>
        <v>0.40624970555555567</v>
      </c>
    </row>
    <row r="56" spans="1:15" x14ac:dyDescent="0.7">
      <c r="A56" s="6"/>
      <c r="B56" s="6"/>
      <c r="C56" s="6">
        <v>23</v>
      </c>
      <c r="D56" s="7">
        <v>4.343</v>
      </c>
      <c r="E56" s="4">
        <v>0</v>
      </c>
      <c r="F56" s="7">
        <v>4.343</v>
      </c>
      <c r="G56" s="16">
        <f t="shared" si="4"/>
        <v>375235.2</v>
      </c>
      <c r="H56" s="22">
        <f t="shared" si="5"/>
        <v>0.37523519999999999</v>
      </c>
      <c r="I56" s="18">
        <v>22116.5444444444</v>
      </c>
      <c r="J56" s="52">
        <f t="shared" si="0"/>
        <v>2.21165444444444E-2</v>
      </c>
      <c r="K56" s="18">
        <v>12346.9333333333</v>
      </c>
      <c r="L56" s="21">
        <f t="shared" si="1"/>
        <v>1.2346933333333299E-2</v>
      </c>
      <c r="M56" s="18">
        <f t="shared" si="8"/>
        <v>3.4463477777777696E-2</v>
      </c>
      <c r="N56" s="27">
        <v>-1.34208E-2</v>
      </c>
      <c r="O56" s="7">
        <f t="shared" si="9"/>
        <v>0.35419252222222231</v>
      </c>
    </row>
    <row r="57" spans="1:15" x14ac:dyDescent="0.7">
      <c r="A57" s="6"/>
      <c r="B57" s="6"/>
      <c r="C57" s="6">
        <v>24</v>
      </c>
      <c r="D57" s="7">
        <v>4.3460000000000001</v>
      </c>
      <c r="E57" s="4">
        <v>0</v>
      </c>
      <c r="F57" s="7">
        <v>4.3460000000000001</v>
      </c>
      <c r="G57" s="16">
        <f t="shared" si="4"/>
        <v>375494.40000000002</v>
      </c>
      <c r="H57" s="22">
        <f t="shared" si="5"/>
        <v>0.37549440000000001</v>
      </c>
      <c r="I57" s="18">
        <v>22495.994444444401</v>
      </c>
      <c r="J57" s="52">
        <f t="shared" si="0"/>
        <v>2.24959944444444E-2</v>
      </c>
      <c r="K57" s="18">
        <v>12717.4666666667</v>
      </c>
      <c r="L57" s="21">
        <f t="shared" si="1"/>
        <v>1.2717466666666699E-2</v>
      </c>
      <c r="M57" s="18">
        <f t="shared" si="8"/>
        <v>3.5213461111111101E-2</v>
      </c>
      <c r="N57" s="27">
        <v>-1.71504E-2</v>
      </c>
      <c r="O57" s="7">
        <f t="shared" si="9"/>
        <v>0.35743133888888889</v>
      </c>
    </row>
    <row r="58" spans="1:15" x14ac:dyDescent="0.7">
      <c r="A58" s="6"/>
      <c r="B58" s="6"/>
      <c r="C58" s="6">
        <v>25</v>
      </c>
      <c r="D58" s="7">
        <v>7.0949999999999998</v>
      </c>
      <c r="E58" s="4">
        <v>0</v>
      </c>
      <c r="F58" s="7">
        <v>7.0949999999999998</v>
      </c>
      <c r="G58" s="16">
        <f t="shared" si="4"/>
        <v>613008</v>
      </c>
      <c r="H58" s="22">
        <f t="shared" si="5"/>
        <v>0.613008</v>
      </c>
      <c r="I58" s="18">
        <v>22875.444444444402</v>
      </c>
      <c r="J58" s="52">
        <f t="shared" si="0"/>
        <v>2.2875444444444403E-2</v>
      </c>
      <c r="K58" s="18">
        <v>13088</v>
      </c>
      <c r="L58" s="21">
        <f t="shared" si="1"/>
        <v>1.3088000000000001E-2</v>
      </c>
      <c r="M58" s="18">
        <f t="shared" si="8"/>
        <v>3.5963444444444402E-2</v>
      </c>
      <c r="N58" s="27">
        <v>-2.0879999999999999E-2</v>
      </c>
      <c r="O58" s="7">
        <f t="shared" si="9"/>
        <v>0.59792455555555557</v>
      </c>
    </row>
    <row r="59" spans="1:15" x14ac:dyDescent="0.7">
      <c r="A59" s="6"/>
      <c r="B59" s="6"/>
      <c r="C59" s="6">
        <v>26</v>
      </c>
      <c r="D59" s="7">
        <v>6.4829999999999997</v>
      </c>
      <c r="E59" s="4">
        <v>0</v>
      </c>
      <c r="F59" s="7">
        <v>6.4829999999999997</v>
      </c>
      <c r="G59" s="16">
        <f t="shared" si="4"/>
        <v>560131.19999999995</v>
      </c>
      <c r="H59" s="22">
        <f t="shared" si="5"/>
        <v>0.56013119999999994</v>
      </c>
      <c r="I59" s="18">
        <v>23254.894444444399</v>
      </c>
      <c r="J59" s="52">
        <f t="shared" si="0"/>
        <v>2.32548944444444E-2</v>
      </c>
      <c r="K59" s="18">
        <v>13458.5333333333</v>
      </c>
      <c r="L59" s="21">
        <f t="shared" si="1"/>
        <v>1.34585333333333E-2</v>
      </c>
      <c r="M59" s="18">
        <f t="shared" ref="M59:M62" si="10">J59+L59</f>
        <v>3.6713427777777696E-2</v>
      </c>
      <c r="N59" s="27">
        <v>-2.4609599999999999E-2</v>
      </c>
      <c r="O59" s="7">
        <f t="shared" ref="O59:O62" si="11">H59-M59-N59</f>
        <v>0.5480273722222222</v>
      </c>
    </row>
    <row r="60" spans="1:15" x14ac:dyDescent="0.7">
      <c r="A60" s="6"/>
      <c r="B60" s="6"/>
      <c r="C60" s="6">
        <v>27</v>
      </c>
      <c r="D60" s="7">
        <v>6.3339999999999996</v>
      </c>
      <c r="E60" s="4">
        <v>0</v>
      </c>
      <c r="F60" s="7">
        <v>6.3339999999999996</v>
      </c>
      <c r="G60" s="16">
        <f t="shared" si="4"/>
        <v>547257.59999999998</v>
      </c>
      <c r="H60" s="22">
        <f t="shared" si="5"/>
        <v>0.54725760000000001</v>
      </c>
      <c r="I60" s="18">
        <v>23634.344444444301</v>
      </c>
      <c r="J60" s="52">
        <f t="shared" si="0"/>
        <v>2.3634344444444302E-2</v>
      </c>
      <c r="K60" s="18">
        <v>13829.0666666667</v>
      </c>
      <c r="L60" s="21">
        <f t="shared" si="1"/>
        <v>1.38290666666667E-2</v>
      </c>
      <c r="M60" s="18">
        <f t="shared" si="10"/>
        <v>3.7463411111111004E-2</v>
      </c>
      <c r="N60" s="27">
        <v>-2.8339199999999998E-2</v>
      </c>
      <c r="O60" s="7">
        <f t="shared" si="11"/>
        <v>0.53813338888888906</v>
      </c>
    </row>
    <row r="61" spans="1:15" s="14" customFormat="1" ht="25.2" thickBot="1" x14ac:dyDescent="0.75">
      <c r="A61" s="9"/>
      <c r="B61" s="9" t="s">
        <v>16</v>
      </c>
      <c r="C61" s="9">
        <v>28</v>
      </c>
      <c r="D61" s="10">
        <v>7.9180000000000001</v>
      </c>
      <c r="E61" s="20">
        <v>0</v>
      </c>
      <c r="F61" s="10">
        <v>7.9180000000000001</v>
      </c>
      <c r="G61" s="29">
        <f t="shared" si="4"/>
        <v>684115.20000000007</v>
      </c>
      <c r="H61" s="30">
        <f t="shared" si="5"/>
        <v>0.68411520000000003</v>
      </c>
      <c r="I61" s="19">
        <v>24013.7944444444</v>
      </c>
      <c r="J61" s="53">
        <f t="shared" si="0"/>
        <v>2.4013794444444399E-2</v>
      </c>
      <c r="K61" s="19">
        <v>14199.6</v>
      </c>
      <c r="L61" s="23">
        <f t="shared" si="1"/>
        <v>1.41996E-2</v>
      </c>
      <c r="M61" s="19">
        <f t="shared" si="10"/>
        <v>3.8213394444444396E-2</v>
      </c>
      <c r="N61" s="31">
        <v>-3.2068800000000001E-2</v>
      </c>
      <c r="O61" s="10">
        <f t="shared" si="11"/>
        <v>0.67797060555555566</v>
      </c>
    </row>
    <row r="62" spans="1:15" x14ac:dyDescent="0.7">
      <c r="A62" s="3"/>
      <c r="B62" s="3" t="s">
        <v>17</v>
      </c>
      <c r="C62" s="3">
        <v>1</v>
      </c>
      <c r="D62" s="4">
        <v>7.5709999999999997</v>
      </c>
      <c r="E62" s="4">
        <v>0</v>
      </c>
      <c r="F62" s="4">
        <v>7.5709999999999997</v>
      </c>
      <c r="G62" s="16">
        <f t="shared" si="4"/>
        <v>654134.4</v>
      </c>
      <c r="H62" s="22">
        <f t="shared" si="5"/>
        <v>0.6541344</v>
      </c>
      <c r="I62" s="17">
        <v>24393.244444444401</v>
      </c>
      <c r="J62" s="54">
        <f t="shared" si="0"/>
        <v>2.4393244444444399E-2</v>
      </c>
      <c r="K62" s="17">
        <v>14570.1333333332</v>
      </c>
      <c r="L62" s="22">
        <f t="shared" si="1"/>
        <v>1.45701333333332E-2</v>
      </c>
      <c r="M62" s="17">
        <f t="shared" si="10"/>
        <v>3.89633777777776E-2</v>
      </c>
      <c r="N62" s="28">
        <v>-3.5798400000000001E-2</v>
      </c>
      <c r="O62" s="4">
        <f t="shared" si="11"/>
        <v>0.65096942222222243</v>
      </c>
    </row>
    <row r="63" spans="1:15" x14ac:dyDescent="0.7">
      <c r="A63" s="6"/>
      <c r="B63" s="6"/>
      <c r="C63" s="6">
        <v>2</v>
      </c>
      <c r="D63" s="7">
        <v>5.4119999999999999</v>
      </c>
      <c r="E63" s="4">
        <v>0</v>
      </c>
      <c r="F63" s="7">
        <v>5.4119999999999999</v>
      </c>
      <c r="G63" s="16">
        <f t="shared" si="4"/>
        <v>467596.79999999999</v>
      </c>
      <c r="H63" s="22">
        <f t="shared" si="5"/>
        <v>0.46759679999999998</v>
      </c>
      <c r="I63" s="18">
        <v>24772.694444444402</v>
      </c>
      <c r="J63" s="52">
        <f t="shared" si="0"/>
        <v>2.4772694444444403E-2</v>
      </c>
      <c r="K63" s="18">
        <v>14940.666666666501</v>
      </c>
      <c r="L63" s="21">
        <f t="shared" si="1"/>
        <v>1.49406666666665E-2</v>
      </c>
      <c r="M63" s="18">
        <f t="shared" ref="M63:M126" si="12">J63+L63</f>
        <v>3.9713361111110901E-2</v>
      </c>
      <c r="N63" s="27">
        <v>-3.9528000000000001E-2</v>
      </c>
      <c r="O63" s="7">
        <f t="shared" ref="O63:O126" si="13">H63-M63-N63</f>
        <v>0.46741143888888909</v>
      </c>
    </row>
    <row r="64" spans="1:15" x14ac:dyDescent="0.7">
      <c r="A64" s="6"/>
      <c r="B64" s="6"/>
      <c r="C64" s="6">
        <v>3</v>
      </c>
      <c r="D64" s="7">
        <v>5.4119999999999999</v>
      </c>
      <c r="E64" s="4">
        <v>0</v>
      </c>
      <c r="F64" s="7">
        <v>5.4119999999999999</v>
      </c>
      <c r="G64" s="16">
        <f t="shared" si="4"/>
        <v>467596.79999999999</v>
      </c>
      <c r="H64" s="22">
        <f t="shared" si="5"/>
        <v>0.46759679999999998</v>
      </c>
      <c r="I64" s="18">
        <v>25152.144444444399</v>
      </c>
      <c r="J64" s="52">
        <f t="shared" si="0"/>
        <v>2.5152144444444399E-2</v>
      </c>
      <c r="K64" s="18">
        <v>15311.199999999801</v>
      </c>
      <c r="L64" s="21">
        <f t="shared" si="1"/>
        <v>1.5311199999999801E-2</v>
      </c>
      <c r="M64" s="18">
        <f t="shared" si="12"/>
        <v>4.0463344444444202E-2</v>
      </c>
      <c r="N64" s="27">
        <v>-4.32576E-2</v>
      </c>
      <c r="O64" s="7">
        <f t="shared" si="13"/>
        <v>0.47039105555555577</v>
      </c>
    </row>
    <row r="65" spans="1:15" x14ac:dyDescent="0.7">
      <c r="A65" s="6"/>
      <c r="B65" s="6"/>
      <c r="C65" s="6">
        <v>4</v>
      </c>
      <c r="D65" s="7">
        <v>5.4119999999999999</v>
      </c>
      <c r="E65" s="4">
        <v>0</v>
      </c>
      <c r="F65" s="7">
        <v>5.4119999999999999</v>
      </c>
      <c r="G65" s="16">
        <f t="shared" si="4"/>
        <v>467596.79999999999</v>
      </c>
      <c r="H65" s="22">
        <f t="shared" si="5"/>
        <v>0.46759679999999998</v>
      </c>
      <c r="I65" s="18">
        <v>25531.594444444399</v>
      </c>
      <c r="J65" s="52">
        <f t="shared" si="0"/>
        <v>2.5531594444444399E-2</v>
      </c>
      <c r="K65" s="18">
        <v>15681.733333333101</v>
      </c>
      <c r="L65" s="21">
        <f t="shared" si="1"/>
        <v>1.56817333333331E-2</v>
      </c>
      <c r="M65" s="18">
        <f t="shared" si="12"/>
        <v>4.1213327777777503E-2</v>
      </c>
      <c r="N65" s="27">
        <v>-4.69872E-2</v>
      </c>
      <c r="O65" s="7">
        <f t="shared" si="13"/>
        <v>0.47337067222222251</v>
      </c>
    </row>
    <row r="66" spans="1:15" x14ac:dyDescent="0.7">
      <c r="A66" s="6"/>
      <c r="B66" s="6"/>
      <c r="C66" s="6">
        <v>5</v>
      </c>
      <c r="D66" s="7">
        <v>5.3920000000000003</v>
      </c>
      <c r="E66" s="4">
        <v>0</v>
      </c>
      <c r="F66" s="7">
        <v>5.3920000000000003</v>
      </c>
      <c r="G66" s="16">
        <f t="shared" si="4"/>
        <v>465868.80000000005</v>
      </c>
      <c r="H66" s="22">
        <f t="shared" si="5"/>
        <v>0.46586880000000003</v>
      </c>
      <c r="I66" s="18">
        <v>25911.0444444444</v>
      </c>
      <c r="J66" s="52">
        <f t="shared" si="0"/>
        <v>2.5911044444444399E-2</v>
      </c>
      <c r="K66" s="18">
        <v>16052.266666666401</v>
      </c>
      <c r="L66" s="21">
        <f t="shared" si="1"/>
        <v>1.6052266666666402E-2</v>
      </c>
      <c r="M66" s="18">
        <f t="shared" si="12"/>
        <v>4.1963311111110804E-2</v>
      </c>
      <c r="N66" s="27">
        <v>-5.0716799999999999E-2</v>
      </c>
      <c r="O66" s="7">
        <f t="shared" si="13"/>
        <v>0.47462228888888924</v>
      </c>
    </row>
    <row r="67" spans="1:15" x14ac:dyDescent="0.7">
      <c r="A67" s="6"/>
      <c r="B67" s="6"/>
      <c r="C67" s="6">
        <v>6</v>
      </c>
      <c r="D67" s="7">
        <v>5.3920000000000003</v>
      </c>
      <c r="E67" s="4">
        <v>0</v>
      </c>
      <c r="F67" s="7">
        <v>5.3920000000000003</v>
      </c>
      <c r="G67" s="16">
        <f t="shared" si="4"/>
        <v>465868.80000000005</v>
      </c>
      <c r="H67" s="22">
        <f t="shared" si="5"/>
        <v>0.46586880000000003</v>
      </c>
      <c r="I67" s="18">
        <v>26290.494444444401</v>
      </c>
      <c r="J67" s="52">
        <f t="shared" ref="J67:J130" si="14">I67/1000000</f>
        <v>2.6290494444444402E-2</v>
      </c>
      <c r="K67" s="18">
        <v>16422.799999999701</v>
      </c>
      <c r="L67" s="21">
        <f t="shared" ref="L67:L130" si="15">K67/1000000</f>
        <v>1.6422799999999699E-2</v>
      </c>
      <c r="M67" s="18">
        <f t="shared" si="12"/>
        <v>4.2713294444444105E-2</v>
      </c>
      <c r="N67" s="27">
        <v>-5.4446399999999999E-2</v>
      </c>
      <c r="O67" s="7">
        <f t="shared" si="13"/>
        <v>0.47760190555555593</v>
      </c>
    </row>
    <row r="68" spans="1:15" x14ac:dyDescent="0.7">
      <c r="A68" s="6"/>
      <c r="B68" s="6"/>
      <c r="C68" s="6">
        <v>7</v>
      </c>
      <c r="D68" s="7">
        <v>5.2610000000000001</v>
      </c>
      <c r="E68" s="4">
        <v>0</v>
      </c>
      <c r="F68" s="7">
        <v>5.2610000000000001</v>
      </c>
      <c r="G68" s="16">
        <f t="shared" ref="G68:G131" si="16">F68*86400</f>
        <v>454550.4</v>
      </c>
      <c r="H68" s="22">
        <f t="shared" ref="H68:H131" si="17">G68/1000000</f>
        <v>0.45455040000000002</v>
      </c>
      <c r="I68" s="18">
        <v>26669.944444444402</v>
      </c>
      <c r="J68" s="52">
        <f t="shared" si="14"/>
        <v>2.6669944444444402E-2</v>
      </c>
      <c r="K68" s="21">
        <v>0</v>
      </c>
      <c r="L68" s="21">
        <f t="shared" si="15"/>
        <v>0</v>
      </c>
      <c r="M68" s="21">
        <f t="shared" si="12"/>
        <v>2.6669944444444402E-2</v>
      </c>
      <c r="N68" s="21">
        <v>0.1001808</v>
      </c>
      <c r="O68" s="21">
        <f t="shared" si="13"/>
        <v>0.32769965555555558</v>
      </c>
    </row>
    <row r="69" spans="1:15" x14ac:dyDescent="0.7">
      <c r="A69" s="6"/>
      <c r="B69" s="6"/>
      <c r="C69" s="6">
        <v>8</v>
      </c>
      <c r="D69" s="7">
        <v>5.2610000000000001</v>
      </c>
      <c r="E69" s="4">
        <v>0</v>
      </c>
      <c r="F69" s="7">
        <v>5.2610000000000001</v>
      </c>
      <c r="G69" s="16">
        <f t="shared" si="16"/>
        <v>454550.4</v>
      </c>
      <c r="H69" s="22">
        <f t="shared" si="17"/>
        <v>0.45455040000000002</v>
      </c>
      <c r="I69" s="18">
        <v>27049.394444444399</v>
      </c>
      <c r="J69" s="52">
        <f t="shared" si="14"/>
        <v>2.7049394444444399E-2</v>
      </c>
      <c r="K69" s="21">
        <v>0</v>
      </c>
      <c r="L69" s="21">
        <f t="shared" si="15"/>
        <v>0</v>
      </c>
      <c r="M69" s="21">
        <f t="shared" si="12"/>
        <v>2.7049394444444399E-2</v>
      </c>
      <c r="N69" s="21">
        <v>0.1001808</v>
      </c>
      <c r="O69" s="21">
        <f t="shared" si="13"/>
        <v>0.32732020555555563</v>
      </c>
    </row>
    <row r="70" spans="1:15" x14ac:dyDescent="0.7">
      <c r="A70" s="6"/>
      <c r="B70" s="6"/>
      <c r="C70" s="6">
        <v>9</v>
      </c>
      <c r="D70" s="7">
        <v>5.2610000000000001</v>
      </c>
      <c r="E70" s="4">
        <v>0</v>
      </c>
      <c r="F70" s="7">
        <v>5.2610000000000001</v>
      </c>
      <c r="G70" s="16">
        <f t="shared" si="16"/>
        <v>454550.4</v>
      </c>
      <c r="H70" s="22">
        <f t="shared" si="17"/>
        <v>0.45455040000000002</v>
      </c>
      <c r="I70" s="18">
        <v>27428.844444444399</v>
      </c>
      <c r="J70" s="52">
        <f t="shared" si="14"/>
        <v>2.7428844444444399E-2</v>
      </c>
      <c r="K70" s="21">
        <v>0</v>
      </c>
      <c r="L70" s="21">
        <f t="shared" si="15"/>
        <v>0</v>
      </c>
      <c r="M70" s="21">
        <f t="shared" si="12"/>
        <v>2.7428844444444399E-2</v>
      </c>
      <c r="N70" s="21">
        <v>0.1001808</v>
      </c>
      <c r="O70" s="21">
        <f t="shared" si="13"/>
        <v>0.32694075555555563</v>
      </c>
    </row>
    <row r="71" spans="1:15" x14ac:dyDescent="0.7">
      <c r="A71" s="6"/>
      <c r="B71" s="6"/>
      <c r="C71" s="6">
        <v>10</v>
      </c>
      <c r="D71" s="7">
        <v>5.2610000000000001</v>
      </c>
      <c r="E71" s="4">
        <v>0</v>
      </c>
      <c r="F71" s="7">
        <v>5.2610000000000001</v>
      </c>
      <c r="G71" s="16">
        <f t="shared" si="16"/>
        <v>454550.4</v>
      </c>
      <c r="H71" s="22">
        <f t="shared" si="17"/>
        <v>0.45455040000000002</v>
      </c>
      <c r="I71" s="18">
        <v>27808.2944444444</v>
      </c>
      <c r="J71" s="52">
        <f t="shared" si="14"/>
        <v>2.7808294444444399E-2</v>
      </c>
      <c r="K71" s="21">
        <v>0</v>
      </c>
      <c r="L71" s="21">
        <f t="shared" si="15"/>
        <v>0</v>
      </c>
      <c r="M71" s="21">
        <f t="shared" si="12"/>
        <v>2.7808294444444399E-2</v>
      </c>
      <c r="N71" s="21">
        <v>8.2900799999999997E-2</v>
      </c>
      <c r="O71" s="21">
        <f t="shared" si="13"/>
        <v>0.34384130555555564</v>
      </c>
    </row>
    <row r="72" spans="1:15" x14ac:dyDescent="0.7">
      <c r="A72" s="6"/>
      <c r="B72" s="6"/>
      <c r="C72" s="6">
        <v>11</v>
      </c>
      <c r="D72" s="7">
        <v>5.0419999999999998</v>
      </c>
      <c r="E72" s="4">
        <v>0</v>
      </c>
      <c r="F72" s="7">
        <v>5.0419999999999998</v>
      </c>
      <c r="G72" s="16">
        <f t="shared" si="16"/>
        <v>435628.79999999999</v>
      </c>
      <c r="H72" s="22">
        <f t="shared" si="17"/>
        <v>0.43562879999999998</v>
      </c>
      <c r="I72" s="18">
        <v>28187.744444444401</v>
      </c>
      <c r="J72" s="52">
        <f t="shared" si="14"/>
        <v>2.8187744444444402E-2</v>
      </c>
      <c r="K72" s="21">
        <v>0</v>
      </c>
      <c r="L72" s="21">
        <f t="shared" si="15"/>
        <v>0</v>
      </c>
      <c r="M72" s="21">
        <f t="shared" si="12"/>
        <v>2.8187744444444402E-2</v>
      </c>
      <c r="N72" s="21">
        <v>8.2900799999999997E-2</v>
      </c>
      <c r="O72" s="21">
        <f t="shared" si="13"/>
        <v>0.3245402555555556</v>
      </c>
    </row>
    <row r="73" spans="1:15" x14ac:dyDescent="0.7">
      <c r="A73" s="6"/>
      <c r="B73" s="6"/>
      <c r="C73" s="6">
        <v>12</v>
      </c>
      <c r="D73" s="7">
        <v>4.8899999999999997</v>
      </c>
      <c r="E73" s="4">
        <v>0</v>
      </c>
      <c r="F73" s="7">
        <v>4.8899999999999997</v>
      </c>
      <c r="G73" s="16">
        <f t="shared" si="16"/>
        <v>422496</v>
      </c>
      <c r="H73" s="22">
        <f t="shared" si="17"/>
        <v>0.42249599999999998</v>
      </c>
      <c r="I73" s="18">
        <v>28567.194444444402</v>
      </c>
      <c r="J73" s="52">
        <f t="shared" si="14"/>
        <v>2.8567194444444402E-2</v>
      </c>
      <c r="K73" s="21">
        <v>0</v>
      </c>
      <c r="L73" s="21">
        <f t="shared" si="15"/>
        <v>0</v>
      </c>
      <c r="M73" s="21">
        <f t="shared" si="12"/>
        <v>2.8567194444444402E-2</v>
      </c>
      <c r="N73" s="21">
        <v>8.2900799999999997E-2</v>
      </c>
      <c r="O73" s="21">
        <f t="shared" si="13"/>
        <v>0.3110280055555556</v>
      </c>
    </row>
    <row r="74" spans="1:15" x14ac:dyDescent="0.7">
      <c r="A74" s="6"/>
      <c r="B74" s="6"/>
      <c r="C74" s="6">
        <v>13</v>
      </c>
      <c r="D74" s="7">
        <v>4.9829999999999997</v>
      </c>
      <c r="E74" s="4">
        <v>0</v>
      </c>
      <c r="F74" s="7">
        <v>4.9829999999999997</v>
      </c>
      <c r="G74" s="16">
        <f t="shared" si="16"/>
        <v>430531.19999999995</v>
      </c>
      <c r="H74" s="22">
        <f t="shared" si="17"/>
        <v>0.43053119999999995</v>
      </c>
      <c r="I74" s="18">
        <v>28946.644444444399</v>
      </c>
      <c r="J74" s="52">
        <f t="shared" si="14"/>
        <v>2.8946644444444398E-2</v>
      </c>
      <c r="K74" s="18">
        <v>19016.533333332802</v>
      </c>
      <c r="L74" s="21">
        <f t="shared" si="15"/>
        <v>1.9016533333332801E-2</v>
      </c>
      <c r="M74" s="18">
        <f t="shared" si="12"/>
        <v>4.7963177777777199E-2</v>
      </c>
      <c r="N74" s="27">
        <v>-8.0553600000000003E-2</v>
      </c>
      <c r="O74" s="7">
        <f t="shared" si="13"/>
        <v>0.46312162222222275</v>
      </c>
    </row>
    <row r="75" spans="1:15" x14ac:dyDescent="0.7">
      <c r="A75" s="6"/>
      <c r="B75" s="6"/>
      <c r="C75" s="6">
        <v>14</v>
      </c>
      <c r="D75" s="7">
        <v>4.7889999999999997</v>
      </c>
      <c r="E75" s="4">
        <v>0</v>
      </c>
      <c r="F75" s="7">
        <v>4.7889999999999997</v>
      </c>
      <c r="G75" s="16">
        <f t="shared" si="16"/>
        <v>413769.6</v>
      </c>
      <c r="H75" s="22">
        <f t="shared" si="17"/>
        <v>0.41376959999999996</v>
      </c>
      <c r="I75" s="18">
        <v>29326.094444444399</v>
      </c>
      <c r="J75" s="52">
        <f t="shared" si="14"/>
        <v>2.9326094444444398E-2</v>
      </c>
      <c r="K75" s="18">
        <v>19387.066666666102</v>
      </c>
      <c r="L75" s="21">
        <f t="shared" si="15"/>
        <v>1.9387066666666102E-2</v>
      </c>
      <c r="M75" s="18">
        <f t="shared" si="12"/>
        <v>4.8713161111110501E-2</v>
      </c>
      <c r="N75" s="27">
        <v>-8.4283200000000003E-2</v>
      </c>
      <c r="O75" s="7">
        <f t="shared" si="13"/>
        <v>0.44933963888888945</v>
      </c>
    </row>
    <row r="76" spans="1:15" x14ac:dyDescent="0.7">
      <c r="A76" s="6"/>
      <c r="B76" s="6"/>
      <c r="C76" s="6">
        <v>15</v>
      </c>
      <c r="D76" s="7">
        <v>4.7889999999999997</v>
      </c>
      <c r="E76" s="4">
        <v>0</v>
      </c>
      <c r="F76" s="7">
        <v>4.7889999999999997</v>
      </c>
      <c r="G76" s="16">
        <f t="shared" si="16"/>
        <v>413769.6</v>
      </c>
      <c r="H76" s="22">
        <f t="shared" si="17"/>
        <v>0.41376959999999996</v>
      </c>
      <c r="I76" s="18">
        <v>29705.5444444444</v>
      </c>
      <c r="J76" s="52">
        <f t="shared" si="14"/>
        <v>2.9705544444444402E-2</v>
      </c>
      <c r="K76" s="18">
        <v>19757.599999999398</v>
      </c>
      <c r="L76" s="21">
        <f t="shared" si="15"/>
        <v>1.97575999999994E-2</v>
      </c>
      <c r="M76" s="18">
        <f t="shared" si="12"/>
        <v>4.9463144444443802E-2</v>
      </c>
      <c r="N76" s="27">
        <v>-8.8012800000000002E-2</v>
      </c>
      <c r="O76" s="7">
        <f t="shared" si="13"/>
        <v>0.45231925555555619</v>
      </c>
    </row>
    <row r="77" spans="1:15" x14ac:dyDescent="0.7">
      <c r="A77" s="6"/>
      <c r="B77" s="6"/>
      <c r="C77" s="6">
        <v>16</v>
      </c>
      <c r="D77" s="7">
        <v>4.9610000000000003</v>
      </c>
      <c r="E77" s="4">
        <v>0</v>
      </c>
      <c r="F77" s="7">
        <v>4.9610000000000003</v>
      </c>
      <c r="G77" s="16">
        <f t="shared" si="16"/>
        <v>428630.4</v>
      </c>
      <c r="H77" s="22">
        <f t="shared" si="17"/>
        <v>0.42863040000000002</v>
      </c>
      <c r="I77" s="18">
        <v>30084.994444444299</v>
      </c>
      <c r="J77" s="52">
        <f t="shared" si="14"/>
        <v>3.0084994444444298E-2</v>
      </c>
      <c r="K77" s="18">
        <v>20128.133333332698</v>
      </c>
      <c r="L77" s="21">
        <f t="shared" si="15"/>
        <v>2.0128133333332698E-2</v>
      </c>
      <c r="M77" s="18">
        <f t="shared" si="12"/>
        <v>5.0213127777776992E-2</v>
      </c>
      <c r="N77" s="27">
        <v>-9.1742400000000002E-2</v>
      </c>
      <c r="O77" s="7">
        <f t="shared" si="13"/>
        <v>0.47015967222222305</v>
      </c>
    </row>
    <row r="78" spans="1:15" x14ac:dyDescent="0.7">
      <c r="A78" s="6"/>
      <c r="B78" s="6"/>
      <c r="C78" s="6">
        <v>17</v>
      </c>
      <c r="D78" s="7">
        <v>4.9610000000000003</v>
      </c>
      <c r="E78" s="4">
        <v>0</v>
      </c>
      <c r="F78" s="7">
        <v>4.9610000000000003</v>
      </c>
      <c r="G78" s="16">
        <f t="shared" si="16"/>
        <v>428630.4</v>
      </c>
      <c r="H78" s="22">
        <f t="shared" si="17"/>
        <v>0.42863040000000002</v>
      </c>
      <c r="I78" s="18">
        <v>30464.4444444443</v>
      </c>
      <c r="J78" s="52">
        <f t="shared" si="14"/>
        <v>3.0464444444444301E-2</v>
      </c>
      <c r="K78" s="18">
        <v>20498.666666665998</v>
      </c>
      <c r="L78" s="21">
        <f t="shared" si="15"/>
        <v>2.0498666666665999E-2</v>
      </c>
      <c r="M78" s="18">
        <f t="shared" si="12"/>
        <v>5.09631111111103E-2</v>
      </c>
      <c r="N78" s="27">
        <v>-9.5472000000000001E-2</v>
      </c>
      <c r="O78" s="7">
        <f t="shared" si="13"/>
        <v>0.47313928888888973</v>
      </c>
    </row>
    <row r="79" spans="1:15" x14ac:dyDescent="0.7">
      <c r="A79" s="6"/>
      <c r="B79" s="6"/>
      <c r="C79" s="6">
        <v>18</v>
      </c>
      <c r="D79" s="7">
        <v>4.8220000000000001</v>
      </c>
      <c r="E79" s="4">
        <v>0</v>
      </c>
      <c r="F79" s="7">
        <v>4.8220000000000001</v>
      </c>
      <c r="G79" s="16">
        <f t="shared" si="16"/>
        <v>416620.79999999999</v>
      </c>
      <c r="H79" s="22">
        <f t="shared" si="17"/>
        <v>0.41662080000000001</v>
      </c>
      <c r="I79" s="18">
        <v>30843.8944444443</v>
      </c>
      <c r="J79" s="52">
        <f t="shared" si="14"/>
        <v>3.0843894444444301E-2</v>
      </c>
      <c r="K79" s="18">
        <v>20869.199999999299</v>
      </c>
      <c r="L79" s="21">
        <f t="shared" si="15"/>
        <v>2.08691999999993E-2</v>
      </c>
      <c r="M79" s="18">
        <f t="shared" si="12"/>
        <v>5.1713094444443601E-2</v>
      </c>
      <c r="N79" s="27">
        <v>-9.9201600000000001E-2</v>
      </c>
      <c r="O79" s="7">
        <f t="shared" si="13"/>
        <v>0.46410930555555641</v>
      </c>
    </row>
    <row r="80" spans="1:15" x14ac:dyDescent="0.7">
      <c r="A80" s="6"/>
      <c r="B80" s="6"/>
      <c r="C80" s="6">
        <v>19</v>
      </c>
      <c r="D80" s="7">
        <v>4.6790000000000003</v>
      </c>
      <c r="E80" s="4">
        <v>0</v>
      </c>
      <c r="F80" s="7">
        <v>4.6790000000000003</v>
      </c>
      <c r="G80" s="16">
        <f t="shared" si="16"/>
        <v>404265.60000000003</v>
      </c>
      <c r="H80" s="22">
        <f t="shared" si="17"/>
        <v>0.40426560000000006</v>
      </c>
      <c r="I80" s="18">
        <v>31223.344444444301</v>
      </c>
      <c r="J80" s="52">
        <f t="shared" si="14"/>
        <v>3.1223344444444301E-2</v>
      </c>
      <c r="K80" s="18">
        <v>21239.733333332599</v>
      </c>
      <c r="L80" s="21">
        <f t="shared" si="15"/>
        <v>2.1239733333332598E-2</v>
      </c>
      <c r="M80" s="18">
        <f t="shared" si="12"/>
        <v>5.2463077777776895E-2</v>
      </c>
      <c r="N80" s="27">
        <v>-0.1029312</v>
      </c>
      <c r="O80" s="7">
        <f t="shared" si="13"/>
        <v>0.45473372222222319</v>
      </c>
    </row>
    <row r="81" spans="1:15" x14ac:dyDescent="0.7">
      <c r="A81" s="6"/>
      <c r="B81" s="6"/>
      <c r="C81" s="6">
        <v>20</v>
      </c>
      <c r="D81" s="7">
        <v>4.8220000000000001</v>
      </c>
      <c r="E81" s="4">
        <v>0</v>
      </c>
      <c r="F81" s="7">
        <v>4.8220000000000001</v>
      </c>
      <c r="G81" s="16">
        <f t="shared" si="16"/>
        <v>416620.79999999999</v>
      </c>
      <c r="H81" s="22">
        <f t="shared" si="17"/>
        <v>0.41662080000000001</v>
      </c>
      <c r="I81" s="18">
        <v>31602.794444444298</v>
      </c>
      <c r="J81" s="52">
        <f t="shared" si="14"/>
        <v>3.1602794444444297E-2</v>
      </c>
      <c r="K81" s="18">
        <v>21610.266666665899</v>
      </c>
      <c r="L81" s="21">
        <f t="shared" si="15"/>
        <v>2.1610266666665899E-2</v>
      </c>
      <c r="M81" s="18">
        <f t="shared" si="12"/>
        <v>5.3213061111110196E-2</v>
      </c>
      <c r="N81" s="27">
        <v>-0.1066608</v>
      </c>
      <c r="O81" s="7">
        <f t="shared" si="13"/>
        <v>0.47006853888888983</v>
      </c>
    </row>
    <row r="82" spans="1:15" x14ac:dyDescent="0.7">
      <c r="A82" s="6"/>
      <c r="B82" s="6"/>
      <c r="C82" s="6">
        <v>21</v>
      </c>
      <c r="D82" s="7">
        <v>4.8220000000000001</v>
      </c>
      <c r="E82" s="4">
        <v>0</v>
      </c>
      <c r="F82" s="7">
        <v>4.8220000000000001</v>
      </c>
      <c r="G82" s="16">
        <f t="shared" si="16"/>
        <v>416620.79999999999</v>
      </c>
      <c r="H82" s="22">
        <f t="shared" si="17"/>
        <v>0.41662080000000001</v>
      </c>
      <c r="I82" s="18">
        <v>31982.244444444299</v>
      </c>
      <c r="J82" s="52">
        <f t="shared" si="14"/>
        <v>3.1982244444444301E-2</v>
      </c>
      <c r="K82" s="18">
        <v>21980.799999999199</v>
      </c>
      <c r="L82" s="21">
        <f t="shared" si="15"/>
        <v>2.19807999999992E-2</v>
      </c>
      <c r="M82" s="18">
        <f t="shared" si="12"/>
        <v>5.3963044444443498E-2</v>
      </c>
      <c r="N82" s="27">
        <v>-0.1103904</v>
      </c>
      <c r="O82" s="7">
        <f t="shared" si="13"/>
        <v>0.47304815555555652</v>
      </c>
    </row>
    <row r="83" spans="1:15" x14ac:dyDescent="0.7">
      <c r="A83" s="6"/>
      <c r="B83" s="6"/>
      <c r="C83" s="6">
        <v>22</v>
      </c>
      <c r="D83" s="7">
        <v>3.5939999999999999</v>
      </c>
      <c r="E83" s="4">
        <v>0</v>
      </c>
      <c r="F83" s="7">
        <v>3.5939999999999999</v>
      </c>
      <c r="G83" s="16">
        <f t="shared" si="16"/>
        <v>310521.59999999998</v>
      </c>
      <c r="H83" s="22">
        <f t="shared" si="17"/>
        <v>0.31052159999999995</v>
      </c>
      <c r="I83" s="18">
        <v>32361.6944444443</v>
      </c>
      <c r="J83" s="52">
        <f t="shared" si="14"/>
        <v>3.2361694444444297E-2</v>
      </c>
      <c r="K83" s="18">
        <v>22351.333333332499</v>
      </c>
      <c r="L83" s="21">
        <f t="shared" si="15"/>
        <v>2.2351333333332498E-2</v>
      </c>
      <c r="M83" s="18">
        <f t="shared" si="12"/>
        <v>5.4713027777776799E-2</v>
      </c>
      <c r="N83" s="27">
        <v>-0.11412</v>
      </c>
      <c r="O83" s="7">
        <f t="shared" si="13"/>
        <v>0.36992857222222314</v>
      </c>
    </row>
    <row r="84" spans="1:15" x14ac:dyDescent="0.7">
      <c r="A84" s="6"/>
      <c r="B84" s="6"/>
      <c r="C84" s="6">
        <v>23</v>
      </c>
      <c r="D84" s="7">
        <v>3.5939999999999999</v>
      </c>
      <c r="E84" s="4">
        <v>0</v>
      </c>
      <c r="F84" s="7">
        <v>3.5939999999999999</v>
      </c>
      <c r="G84" s="16">
        <f t="shared" si="16"/>
        <v>310521.59999999998</v>
      </c>
      <c r="H84" s="22">
        <f t="shared" si="17"/>
        <v>0.31052159999999995</v>
      </c>
      <c r="I84" s="18">
        <v>32741.1444444443</v>
      </c>
      <c r="J84" s="52">
        <f t="shared" si="14"/>
        <v>3.2741144444444301E-2</v>
      </c>
      <c r="K84" s="18">
        <v>22721.866666665799</v>
      </c>
      <c r="L84" s="21">
        <f t="shared" si="15"/>
        <v>2.2721866666665799E-2</v>
      </c>
      <c r="M84" s="18">
        <f t="shared" si="12"/>
        <v>5.54630111111101E-2</v>
      </c>
      <c r="N84" s="27">
        <v>-0.1178496</v>
      </c>
      <c r="O84" s="7">
        <f t="shared" si="13"/>
        <v>0.37290818888888988</v>
      </c>
    </row>
    <row r="85" spans="1:15" x14ac:dyDescent="0.7">
      <c r="A85" s="6"/>
      <c r="B85" s="6"/>
      <c r="C85" s="6">
        <v>24</v>
      </c>
      <c r="D85" s="7">
        <v>3.5939999999999999</v>
      </c>
      <c r="E85" s="4">
        <v>0</v>
      </c>
      <c r="F85" s="7">
        <v>3.5939999999999999</v>
      </c>
      <c r="G85" s="16">
        <f t="shared" si="16"/>
        <v>310521.59999999998</v>
      </c>
      <c r="H85" s="22">
        <f t="shared" si="17"/>
        <v>0.31052159999999995</v>
      </c>
      <c r="I85" s="18">
        <v>33120.594444444301</v>
      </c>
      <c r="J85" s="52">
        <f t="shared" si="14"/>
        <v>3.3120594444444304E-2</v>
      </c>
      <c r="K85" s="18">
        <v>23092.399999999099</v>
      </c>
      <c r="L85" s="21">
        <f t="shared" si="15"/>
        <v>2.30923999999991E-2</v>
      </c>
      <c r="M85" s="18">
        <f t="shared" si="12"/>
        <v>5.6212994444443401E-2</v>
      </c>
      <c r="N85" s="27">
        <v>-0.1215792</v>
      </c>
      <c r="O85" s="7">
        <f t="shared" si="13"/>
        <v>0.37588780555555656</v>
      </c>
    </row>
    <row r="86" spans="1:15" x14ac:dyDescent="0.7">
      <c r="A86" s="6"/>
      <c r="B86" s="6"/>
      <c r="C86" s="6">
        <v>25</v>
      </c>
      <c r="D86" s="7">
        <v>3.5939999999999999</v>
      </c>
      <c r="E86" s="4">
        <v>0</v>
      </c>
      <c r="F86" s="7">
        <v>3.5939999999999999</v>
      </c>
      <c r="G86" s="16">
        <f t="shared" si="16"/>
        <v>310521.59999999998</v>
      </c>
      <c r="H86" s="22">
        <f t="shared" si="17"/>
        <v>0.31052159999999995</v>
      </c>
      <c r="I86" s="18">
        <v>33500.044444444298</v>
      </c>
      <c r="J86" s="52">
        <f t="shared" si="14"/>
        <v>3.35000444444443E-2</v>
      </c>
      <c r="K86" s="18">
        <v>23462.933333332399</v>
      </c>
      <c r="L86" s="21">
        <f t="shared" si="15"/>
        <v>2.3462933333332398E-2</v>
      </c>
      <c r="M86" s="18">
        <f t="shared" si="12"/>
        <v>5.6962977777776702E-2</v>
      </c>
      <c r="N86" s="27">
        <v>-0.1253088</v>
      </c>
      <c r="O86" s="7">
        <f t="shared" si="13"/>
        <v>0.37886742222222325</v>
      </c>
    </row>
    <row r="87" spans="1:15" x14ac:dyDescent="0.7">
      <c r="A87" s="6"/>
      <c r="B87" s="6"/>
      <c r="C87" s="6">
        <v>26</v>
      </c>
      <c r="D87" s="7">
        <v>3.74</v>
      </c>
      <c r="E87" s="4">
        <v>0</v>
      </c>
      <c r="F87" s="7">
        <v>3.74</v>
      </c>
      <c r="G87" s="16">
        <f t="shared" si="16"/>
        <v>323136</v>
      </c>
      <c r="H87" s="22">
        <f t="shared" si="17"/>
        <v>0.32313599999999998</v>
      </c>
      <c r="I87" s="18">
        <v>33879.494444444303</v>
      </c>
      <c r="J87" s="52">
        <f t="shared" si="14"/>
        <v>3.3879494444444304E-2</v>
      </c>
      <c r="K87" s="18">
        <v>23833.466666665699</v>
      </c>
      <c r="L87" s="21">
        <f t="shared" si="15"/>
        <v>2.3833466666665699E-2</v>
      </c>
      <c r="M87" s="18">
        <f t="shared" si="12"/>
        <v>5.7712961111110003E-2</v>
      </c>
      <c r="N87" s="27">
        <v>-0.1290384</v>
      </c>
      <c r="O87" s="7">
        <f t="shared" si="13"/>
        <v>0.39446143888888996</v>
      </c>
    </row>
    <row r="88" spans="1:15" x14ac:dyDescent="0.7">
      <c r="A88" s="6"/>
      <c r="B88" s="6"/>
      <c r="C88" s="6">
        <v>27</v>
      </c>
      <c r="D88" s="7">
        <v>3.74</v>
      </c>
      <c r="E88" s="4">
        <v>0</v>
      </c>
      <c r="F88" s="7">
        <v>3.74</v>
      </c>
      <c r="G88" s="16">
        <f t="shared" si="16"/>
        <v>323136</v>
      </c>
      <c r="H88" s="22">
        <f t="shared" si="17"/>
        <v>0.32313599999999998</v>
      </c>
      <c r="I88" s="18">
        <v>34258.9444444443</v>
      </c>
      <c r="J88" s="52">
        <f t="shared" si="14"/>
        <v>3.42589444444443E-2</v>
      </c>
      <c r="K88" s="18">
        <v>24203.999999999</v>
      </c>
      <c r="L88" s="21">
        <f t="shared" si="15"/>
        <v>2.4203999999999001E-2</v>
      </c>
      <c r="M88" s="18">
        <f t="shared" si="12"/>
        <v>5.8462944444443304E-2</v>
      </c>
      <c r="N88" s="27">
        <v>-0.132768</v>
      </c>
      <c r="O88" s="7">
        <f t="shared" si="13"/>
        <v>0.39744105555555664</v>
      </c>
    </row>
    <row r="89" spans="1:15" x14ac:dyDescent="0.7">
      <c r="A89" s="6"/>
      <c r="B89" s="6"/>
      <c r="C89" s="6">
        <v>28</v>
      </c>
      <c r="D89" s="7">
        <v>3.74</v>
      </c>
      <c r="E89" s="4">
        <v>0</v>
      </c>
      <c r="F89" s="7">
        <v>3.74</v>
      </c>
      <c r="G89" s="16">
        <f t="shared" si="16"/>
        <v>323136</v>
      </c>
      <c r="H89" s="22">
        <f t="shared" si="17"/>
        <v>0.32313599999999998</v>
      </c>
      <c r="I89" s="18">
        <v>34638.394444444297</v>
      </c>
      <c r="J89" s="52">
        <f t="shared" si="14"/>
        <v>3.4638394444444297E-2</v>
      </c>
      <c r="K89" s="18">
        <v>24574.5333333323</v>
      </c>
      <c r="L89" s="21">
        <f t="shared" si="15"/>
        <v>2.4574533333332298E-2</v>
      </c>
      <c r="M89" s="18">
        <f t="shared" si="12"/>
        <v>5.9212927777776592E-2</v>
      </c>
      <c r="N89" s="27">
        <v>-0.1364976</v>
      </c>
      <c r="O89" s="7">
        <f t="shared" si="13"/>
        <v>0.40042067222222338</v>
      </c>
    </row>
    <row r="90" spans="1:15" x14ac:dyDescent="0.7">
      <c r="A90" s="6"/>
      <c r="B90" s="6"/>
      <c r="C90" s="6">
        <v>29</v>
      </c>
      <c r="D90" s="7">
        <v>3.5230000000000001</v>
      </c>
      <c r="E90" s="4">
        <v>0</v>
      </c>
      <c r="F90" s="7">
        <v>3.5230000000000001</v>
      </c>
      <c r="G90" s="16">
        <f t="shared" si="16"/>
        <v>304387.20000000001</v>
      </c>
      <c r="H90" s="22">
        <f t="shared" si="17"/>
        <v>0.30438720000000002</v>
      </c>
      <c r="I90" s="18">
        <v>35017.844444444301</v>
      </c>
      <c r="J90" s="52">
        <f t="shared" si="14"/>
        <v>3.50178444444443E-2</v>
      </c>
      <c r="K90" s="18">
        <v>24945.0666666656</v>
      </c>
      <c r="L90" s="21">
        <f t="shared" si="15"/>
        <v>2.49450666666656E-2</v>
      </c>
      <c r="M90" s="18">
        <f t="shared" si="12"/>
        <v>5.99629111111099E-2</v>
      </c>
      <c r="N90" s="27">
        <v>-0.1402272</v>
      </c>
      <c r="O90" s="7">
        <f t="shared" si="13"/>
        <v>0.38465148888889011</v>
      </c>
    </row>
    <row r="91" spans="1:15" x14ac:dyDescent="0.7">
      <c r="A91" s="6"/>
      <c r="B91" s="6"/>
      <c r="C91" s="6">
        <v>30</v>
      </c>
      <c r="D91" s="7">
        <v>3.5230000000000001</v>
      </c>
      <c r="E91" s="4">
        <v>0</v>
      </c>
      <c r="F91" s="7">
        <v>3.5230000000000001</v>
      </c>
      <c r="G91" s="16">
        <f t="shared" si="16"/>
        <v>304387.20000000001</v>
      </c>
      <c r="H91" s="22">
        <f t="shared" si="17"/>
        <v>0.30438720000000002</v>
      </c>
      <c r="I91" s="18">
        <v>35397.294444444298</v>
      </c>
      <c r="J91" s="52">
        <f t="shared" si="14"/>
        <v>3.5397294444444297E-2</v>
      </c>
      <c r="K91" s="18">
        <v>25315.5999999989</v>
      </c>
      <c r="L91" s="21">
        <f t="shared" si="15"/>
        <v>2.5315599999998901E-2</v>
      </c>
      <c r="M91" s="18">
        <f t="shared" si="12"/>
        <v>6.0712894444443194E-2</v>
      </c>
      <c r="N91" s="27">
        <v>-0.1439568</v>
      </c>
      <c r="O91" s="7">
        <f t="shared" si="13"/>
        <v>0.3876311055555568</v>
      </c>
    </row>
    <row r="92" spans="1:15" s="14" customFormat="1" ht="25.2" thickBot="1" x14ac:dyDescent="0.75">
      <c r="A92" s="9"/>
      <c r="B92" s="9" t="s">
        <v>17</v>
      </c>
      <c r="C92" s="9">
        <v>31</v>
      </c>
      <c r="D92" s="10">
        <v>3.4809999999999999</v>
      </c>
      <c r="E92" s="20">
        <v>0</v>
      </c>
      <c r="F92" s="10">
        <v>3.4809999999999999</v>
      </c>
      <c r="G92" s="29">
        <f t="shared" si="16"/>
        <v>300758.39999999997</v>
      </c>
      <c r="H92" s="30">
        <f t="shared" si="17"/>
        <v>0.30075839999999998</v>
      </c>
      <c r="I92" s="19">
        <v>35776.744444444303</v>
      </c>
      <c r="J92" s="53">
        <f t="shared" si="14"/>
        <v>3.57767444444443E-2</v>
      </c>
      <c r="K92" s="19">
        <v>25686.1333333322</v>
      </c>
      <c r="L92" s="23">
        <f t="shared" si="15"/>
        <v>2.5686133333332199E-2</v>
      </c>
      <c r="M92" s="19">
        <f t="shared" si="12"/>
        <v>6.1462877777776495E-2</v>
      </c>
      <c r="N92" s="31">
        <v>-0.1476864</v>
      </c>
      <c r="O92" s="10">
        <f t="shared" si="13"/>
        <v>0.3869819222222235</v>
      </c>
    </row>
    <row r="93" spans="1:15" x14ac:dyDescent="0.7">
      <c r="A93" s="3"/>
      <c r="B93" s="3" t="s">
        <v>18</v>
      </c>
      <c r="C93" s="3">
        <v>1</v>
      </c>
      <c r="D93" s="4">
        <v>4.165</v>
      </c>
      <c r="E93" s="4">
        <v>0</v>
      </c>
      <c r="F93" s="4">
        <v>4.165</v>
      </c>
      <c r="G93" s="16">
        <f t="shared" si="16"/>
        <v>359856</v>
      </c>
      <c r="H93" s="22">
        <f t="shared" si="17"/>
        <v>0.35985600000000001</v>
      </c>
      <c r="I93" s="17">
        <v>36156.1944444443</v>
      </c>
      <c r="J93" s="54">
        <f t="shared" si="14"/>
        <v>3.6156194444444296E-2</v>
      </c>
      <c r="K93" s="17">
        <v>26056.6666666655</v>
      </c>
      <c r="L93" s="22">
        <f t="shared" si="15"/>
        <v>2.60566666666655E-2</v>
      </c>
      <c r="M93" s="17">
        <f t="shared" si="12"/>
        <v>6.2212861111109796E-2</v>
      </c>
      <c r="N93" s="28">
        <v>-0.151416</v>
      </c>
      <c r="O93" s="4">
        <f t="shared" si="13"/>
        <v>0.44905913888889021</v>
      </c>
    </row>
    <row r="94" spans="1:15" x14ac:dyDescent="0.7">
      <c r="A94" s="6"/>
      <c r="B94" s="6"/>
      <c r="C94" s="6">
        <v>2</v>
      </c>
      <c r="D94" s="7">
        <v>4.165</v>
      </c>
      <c r="E94" s="4">
        <v>0</v>
      </c>
      <c r="F94" s="7">
        <v>4.165</v>
      </c>
      <c r="G94" s="16">
        <f t="shared" si="16"/>
        <v>359856</v>
      </c>
      <c r="H94" s="22">
        <f t="shared" si="17"/>
        <v>0.35985600000000001</v>
      </c>
      <c r="I94" s="18">
        <v>36535.644444444297</v>
      </c>
      <c r="J94" s="52">
        <f t="shared" si="14"/>
        <v>3.65356444444443E-2</v>
      </c>
      <c r="K94" s="18">
        <v>26427.1999999988</v>
      </c>
      <c r="L94" s="21">
        <f t="shared" si="15"/>
        <v>2.6427199999998801E-2</v>
      </c>
      <c r="M94" s="18">
        <f t="shared" si="12"/>
        <v>6.2962844444443097E-2</v>
      </c>
      <c r="N94" s="27">
        <v>-0.15514559999999999</v>
      </c>
      <c r="O94" s="7">
        <f t="shared" si="13"/>
        <v>0.45203875555555689</v>
      </c>
    </row>
    <row r="95" spans="1:15" x14ac:dyDescent="0.7">
      <c r="A95" s="6"/>
      <c r="B95" s="6"/>
      <c r="C95" s="6">
        <v>3</v>
      </c>
      <c r="D95" s="7">
        <v>4.0359999999999996</v>
      </c>
      <c r="E95" s="4">
        <v>0</v>
      </c>
      <c r="F95" s="7">
        <v>4.0359999999999996</v>
      </c>
      <c r="G95" s="16">
        <f t="shared" si="16"/>
        <v>348710.39999999997</v>
      </c>
      <c r="H95" s="22">
        <f t="shared" si="17"/>
        <v>0.34871039999999998</v>
      </c>
      <c r="I95" s="18">
        <v>36915.094444444301</v>
      </c>
      <c r="J95" s="52">
        <f t="shared" si="14"/>
        <v>3.6915094444444303E-2</v>
      </c>
      <c r="K95" s="18">
        <v>26797.7333333321</v>
      </c>
      <c r="L95" s="21">
        <f t="shared" si="15"/>
        <v>2.6797733333332099E-2</v>
      </c>
      <c r="M95" s="18">
        <f t="shared" si="12"/>
        <v>6.3712827777776398E-2</v>
      </c>
      <c r="N95" s="27">
        <v>-0.15887519999999999</v>
      </c>
      <c r="O95" s="7">
        <f t="shared" si="13"/>
        <v>0.44387277222222354</v>
      </c>
    </row>
    <row r="96" spans="1:15" x14ac:dyDescent="0.7">
      <c r="A96" s="6"/>
      <c r="B96" s="6"/>
      <c r="C96" s="6">
        <v>4</v>
      </c>
      <c r="D96" s="7">
        <v>3.3519999999999999</v>
      </c>
      <c r="E96" s="4">
        <v>0</v>
      </c>
      <c r="F96" s="7">
        <v>3.3519999999999999</v>
      </c>
      <c r="G96" s="16">
        <f t="shared" si="16"/>
        <v>289612.79999999999</v>
      </c>
      <c r="H96" s="22">
        <f t="shared" si="17"/>
        <v>0.2896128</v>
      </c>
      <c r="I96" s="18">
        <v>37294.544444444298</v>
      </c>
      <c r="J96" s="52">
        <f t="shared" si="14"/>
        <v>3.72945444444443E-2</v>
      </c>
      <c r="K96" s="18">
        <v>27168.2666666654</v>
      </c>
      <c r="L96" s="21">
        <f t="shared" si="15"/>
        <v>2.71682666666654E-2</v>
      </c>
      <c r="M96" s="18">
        <f t="shared" si="12"/>
        <v>6.44628111111097E-2</v>
      </c>
      <c r="N96" s="27">
        <v>-0.16260479999999999</v>
      </c>
      <c r="O96" s="7">
        <f t="shared" si="13"/>
        <v>0.38775478888889031</v>
      </c>
    </row>
    <row r="97" spans="1:15" x14ac:dyDescent="0.7">
      <c r="A97" s="6"/>
      <c r="B97" s="6"/>
      <c r="C97" s="6">
        <v>5</v>
      </c>
      <c r="D97" s="7">
        <v>3.1389999999999998</v>
      </c>
      <c r="E97" s="4">
        <v>0</v>
      </c>
      <c r="F97" s="7">
        <v>3.1389999999999998</v>
      </c>
      <c r="G97" s="16">
        <f t="shared" si="16"/>
        <v>271209.59999999998</v>
      </c>
      <c r="H97" s="22">
        <f t="shared" si="17"/>
        <v>0.2712096</v>
      </c>
      <c r="I97" s="18">
        <v>37673.994444444303</v>
      </c>
      <c r="J97" s="52">
        <f t="shared" si="14"/>
        <v>3.7673994444444303E-2</v>
      </c>
      <c r="K97" s="18">
        <v>27538.799999998701</v>
      </c>
      <c r="L97" s="21">
        <f t="shared" si="15"/>
        <v>2.7538799999998701E-2</v>
      </c>
      <c r="M97" s="18">
        <f t="shared" si="12"/>
        <v>6.5212794444443001E-2</v>
      </c>
      <c r="N97" s="27">
        <v>-0.16633439999999999</v>
      </c>
      <c r="O97" s="7">
        <f t="shared" si="13"/>
        <v>0.37233120555555699</v>
      </c>
    </row>
    <row r="98" spans="1:15" x14ac:dyDescent="0.7">
      <c r="A98" s="6"/>
      <c r="B98" s="6"/>
      <c r="C98" s="6">
        <v>6</v>
      </c>
      <c r="D98" s="7">
        <v>3.3519999999999999</v>
      </c>
      <c r="E98" s="4">
        <v>0</v>
      </c>
      <c r="F98" s="7">
        <v>3.3519999999999999</v>
      </c>
      <c r="G98" s="16">
        <f t="shared" si="16"/>
        <v>289612.79999999999</v>
      </c>
      <c r="H98" s="22">
        <f t="shared" si="17"/>
        <v>0.2896128</v>
      </c>
      <c r="I98" s="18">
        <v>38053.4444444443</v>
      </c>
      <c r="J98" s="52">
        <f t="shared" si="14"/>
        <v>3.80534444444443E-2</v>
      </c>
      <c r="K98" s="18">
        <v>27909.333333332001</v>
      </c>
      <c r="L98" s="21">
        <f t="shared" si="15"/>
        <v>2.7909333333332002E-2</v>
      </c>
      <c r="M98" s="18">
        <f t="shared" si="12"/>
        <v>6.5962777777776302E-2</v>
      </c>
      <c r="N98" s="27">
        <v>-0.17006399999999999</v>
      </c>
      <c r="O98" s="7">
        <f t="shared" si="13"/>
        <v>0.39371402222222368</v>
      </c>
    </row>
    <row r="99" spans="1:15" x14ac:dyDescent="0.7">
      <c r="A99" s="6"/>
      <c r="B99" s="6"/>
      <c r="C99" s="6">
        <v>7</v>
      </c>
      <c r="D99" s="7">
        <v>3.31</v>
      </c>
      <c r="E99" s="4">
        <v>0</v>
      </c>
      <c r="F99" s="7">
        <v>3.31</v>
      </c>
      <c r="G99" s="16">
        <f t="shared" si="16"/>
        <v>285984</v>
      </c>
      <c r="H99" s="22">
        <f t="shared" si="17"/>
        <v>0.28598400000000002</v>
      </c>
      <c r="I99" s="18">
        <v>38432.894444444297</v>
      </c>
      <c r="J99" s="52">
        <f t="shared" si="14"/>
        <v>3.8432894444444296E-2</v>
      </c>
      <c r="K99" s="18">
        <v>28279.866666665301</v>
      </c>
      <c r="L99" s="21">
        <f t="shared" si="15"/>
        <v>2.82798666666653E-2</v>
      </c>
      <c r="M99" s="18">
        <f t="shared" si="12"/>
        <v>6.6712761111109603E-2</v>
      </c>
      <c r="N99" s="27">
        <v>-0.17379359999999999</v>
      </c>
      <c r="O99" s="7">
        <f t="shared" si="13"/>
        <v>0.39306483888889043</v>
      </c>
    </row>
    <row r="100" spans="1:15" x14ac:dyDescent="0.7">
      <c r="A100" s="6"/>
      <c r="B100" s="6"/>
      <c r="C100" s="6">
        <v>8</v>
      </c>
      <c r="D100" s="7">
        <v>3.31</v>
      </c>
      <c r="E100" s="4">
        <v>0</v>
      </c>
      <c r="F100" s="7">
        <v>3.31</v>
      </c>
      <c r="G100" s="16">
        <f t="shared" si="16"/>
        <v>285984</v>
      </c>
      <c r="H100" s="22">
        <f t="shared" si="17"/>
        <v>0.28598400000000002</v>
      </c>
      <c r="I100" s="18">
        <v>38812.344444444301</v>
      </c>
      <c r="J100" s="52">
        <f t="shared" si="14"/>
        <v>3.8812344444444299E-2</v>
      </c>
      <c r="K100" s="18">
        <v>28650.399999998601</v>
      </c>
      <c r="L100" s="21">
        <f t="shared" si="15"/>
        <v>2.8650399999998601E-2</v>
      </c>
      <c r="M100" s="18">
        <f t="shared" si="12"/>
        <v>6.7462744444442904E-2</v>
      </c>
      <c r="N100" s="27">
        <v>-0.17752319999999999</v>
      </c>
      <c r="O100" s="7">
        <f t="shared" si="13"/>
        <v>0.39604445555555712</v>
      </c>
    </row>
    <row r="101" spans="1:15" x14ac:dyDescent="0.7">
      <c r="A101" s="6"/>
      <c r="B101" s="6"/>
      <c r="C101" s="6">
        <v>9</v>
      </c>
      <c r="D101" s="7">
        <v>3.31</v>
      </c>
      <c r="E101" s="4">
        <v>0</v>
      </c>
      <c r="F101" s="7">
        <v>3.31</v>
      </c>
      <c r="G101" s="16">
        <f t="shared" si="16"/>
        <v>285984</v>
      </c>
      <c r="H101" s="22">
        <f t="shared" si="17"/>
        <v>0.28598400000000002</v>
      </c>
      <c r="I101" s="18">
        <v>39191.794444444298</v>
      </c>
      <c r="J101" s="52">
        <f t="shared" si="14"/>
        <v>3.9191794444444296E-2</v>
      </c>
      <c r="K101" s="18">
        <v>29020.933333331901</v>
      </c>
      <c r="L101" s="21">
        <f t="shared" si="15"/>
        <v>2.9020933333331903E-2</v>
      </c>
      <c r="M101" s="18">
        <f t="shared" si="12"/>
        <v>6.8212727777776205E-2</v>
      </c>
      <c r="N101" s="27">
        <v>-0.18125279999999999</v>
      </c>
      <c r="O101" s="7">
        <f t="shared" si="13"/>
        <v>0.3990240722222238</v>
      </c>
    </row>
    <row r="102" spans="1:15" x14ac:dyDescent="0.7">
      <c r="A102" s="6"/>
      <c r="B102" s="6"/>
      <c r="C102" s="6">
        <v>10</v>
      </c>
      <c r="D102" s="7">
        <v>3.1389999999999998</v>
      </c>
      <c r="E102" s="4">
        <v>0</v>
      </c>
      <c r="F102" s="7">
        <v>3.1389999999999998</v>
      </c>
      <c r="G102" s="16">
        <f t="shared" si="16"/>
        <v>271209.59999999998</v>
      </c>
      <c r="H102" s="22">
        <f t="shared" si="17"/>
        <v>0.2712096</v>
      </c>
      <c r="I102" s="18">
        <v>39571.244444444303</v>
      </c>
      <c r="J102" s="52">
        <f t="shared" si="14"/>
        <v>3.9571244444444299E-2</v>
      </c>
      <c r="K102" s="18">
        <v>29391.466666665201</v>
      </c>
      <c r="L102" s="21">
        <f t="shared" si="15"/>
        <v>2.93914666666652E-2</v>
      </c>
      <c r="M102" s="18">
        <f t="shared" si="12"/>
        <v>6.8962711111109493E-2</v>
      </c>
      <c r="N102" s="27">
        <v>-0.18498239999999999</v>
      </c>
      <c r="O102" s="7">
        <f t="shared" si="13"/>
        <v>0.38722928888889052</v>
      </c>
    </row>
    <row r="103" spans="1:15" x14ac:dyDescent="0.7">
      <c r="A103" s="6"/>
      <c r="B103" s="6"/>
      <c r="C103" s="6">
        <v>11</v>
      </c>
      <c r="D103" s="7">
        <v>3.1819999999999999</v>
      </c>
      <c r="E103" s="4">
        <v>0</v>
      </c>
      <c r="F103" s="7">
        <v>3.1819999999999999</v>
      </c>
      <c r="G103" s="16">
        <f t="shared" si="16"/>
        <v>274924.79999999999</v>
      </c>
      <c r="H103" s="22">
        <f t="shared" si="17"/>
        <v>0.27492479999999997</v>
      </c>
      <c r="I103" s="18">
        <v>39950.6944444443</v>
      </c>
      <c r="J103" s="52">
        <f t="shared" si="14"/>
        <v>3.9950694444444303E-2</v>
      </c>
      <c r="K103" s="18">
        <v>29761.999999998501</v>
      </c>
      <c r="L103" s="21">
        <f t="shared" si="15"/>
        <v>2.9761999999998501E-2</v>
      </c>
      <c r="M103" s="18">
        <f t="shared" si="12"/>
        <v>6.9712694444442808E-2</v>
      </c>
      <c r="N103" s="27">
        <v>-0.18871199999999999</v>
      </c>
      <c r="O103" s="7">
        <f t="shared" si="13"/>
        <v>0.39392410555555712</v>
      </c>
    </row>
    <row r="104" spans="1:15" x14ac:dyDescent="0.7">
      <c r="A104" s="6"/>
      <c r="B104" s="6"/>
      <c r="C104" s="6">
        <v>12</v>
      </c>
      <c r="D104" s="7">
        <v>3.0960000000000001</v>
      </c>
      <c r="E104" s="4">
        <v>0</v>
      </c>
      <c r="F104" s="7">
        <v>3.0960000000000001</v>
      </c>
      <c r="G104" s="16">
        <f t="shared" si="16"/>
        <v>267494.40000000002</v>
      </c>
      <c r="H104" s="22">
        <f t="shared" si="17"/>
        <v>0.26749440000000002</v>
      </c>
      <c r="I104" s="18">
        <v>40330.144444444297</v>
      </c>
      <c r="J104" s="52">
        <f t="shared" si="14"/>
        <v>4.0330144444444299E-2</v>
      </c>
      <c r="K104" s="18">
        <v>30132.533333331801</v>
      </c>
      <c r="L104" s="21">
        <f t="shared" si="15"/>
        <v>3.0132533333331803E-2</v>
      </c>
      <c r="M104" s="18">
        <f t="shared" si="12"/>
        <v>7.0462677777776095E-2</v>
      </c>
      <c r="N104" s="27">
        <v>-0.19244159999999999</v>
      </c>
      <c r="O104" s="7">
        <f t="shared" si="13"/>
        <v>0.38947332222222392</v>
      </c>
    </row>
    <row r="105" spans="1:15" x14ac:dyDescent="0.7">
      <c r="A105" s="6"/>
      <c r="B105" s="6"/>
      <c r="C105" s="6">
        <v>13</v>
      </c>
      <c r="D105" s="7">
        <v>3.0960000000000001</v>
      </c>
      <c r="E105" s="4">
        <v>0</v>
      </c>
      <c r="F105" s="7">
        <v>3.0960000000000001</v>
      </c>
      <c r="G105" s="16">
        <f t="shared" si="16"/>
        <v>267494.40000000002</v>
      </c>
      <c r="H105" s="22">
        <f t="shared" si="17"/>
        <v>0.26749440000000002</v>
      </c>
      <c r="I105" s="18">
        <v>44287</v>
      </c>
      <c r="J105" s="52">
        <f t="shared" si="14"/>
        <v>4.4287E-2</v>
      </c>
      <c r="K105" s="18">
        <v>0</v>
      </c>
      <c r="L105" s="21">
        <f t="shared" si="15"/>
        <v>0</v>
      </c>
      <c r="M105" s="18">
        <v>4.3999999999999997E-2</v>
      </c>
      <c r="N105" s="27">
        <v>0.03</v>
      </c>
      <c r="O105" s="7">
        <v>1.6180000000000001</v>
      </c>
    </row>
    <row r="106" spans="1:15" x14ac:dyDescent="0.7">
      <c r="A106" s="6"/>
      <c r="B106" s="6"/>
      <c r="C106" s="6">
        <v>14</v>
      </c>
      <c r="D106" s="7">
        <v>3.0960000000000001</v>
      </c>
      <c r="E106" s="4">
        <v>0</v>
      </c>
      <c r="F106" s="7">
        <v>3.0960000000000001</v>
      </c>
      <c r="G106" s="16">
        <f t="shared" si="16"/>
        <v>267494.40000000002</v>
      </c>
      <c r="H106" s="22">
        <f t="shared" si="17"/>
        <v>0.26749440000000002</v>
      </c>
      <c r="I106" s="18">
        <v>41089.044444444298</v>
      </c>
      <c r="J106" s="52">
        <f t="shared" si="14"/>
        <v>4.1089044444444299E-2</v>
      </c>
      <c r="K106" s="18">
        <v>30873.599999998401</v>
      </c>
      <c r="L106" s="21">
        <f t="shared" si="15"/>
        <v>3.0873599999998402E-2</v>
      </c>
      <c r="M106" s="18">
        <f t="shared" si="12"/>
        <v>7.1962644444442697E-2</v>
      </c>
      <c r="N106" s="27">
        <v>-0.19990079999999999</v>
      </c>
      <c r="O106" s="7">
        <f t="shared" si="13"/>
        <v>0.39543255555555734</v>
      </c>
    </row>
    <row r="107" spans="1:15" x14ac:dyDescent="0.7">
      <c r="A107" s="6"/>
      <c r="B107" s="6"/>
      <c r="C107" s="6">
        <v>15</v>
      </c>
      <c r="D107" s="7">
        <v>3.0960000000000001</v>
      </c>
      <c r="E107" s="4">
        <v>0</v>
      </c>
      <c r="F107" s="7">
        <v>3.0960000000000001</v>
      </c>
      <c r="G107" s="16">
        <f t="shared" si="16"/>
        <v>267494.40000000002</v>
      </c>
      <c r="H107" s="22">
        <f t="shared" si="17"/>
        <v>0.26749440000000002</v>
      </c>
      <c r="I107" s="18">
        <v>41468.494444444303</v>
      </c>
      <c r="J107" s="52">
        <f t="shared" si="14"/>
        <v>4.1468494444444302E-2</v>
      </c>
      <c r="K107" s="18">
        <v>31244.133333331702</v>
      </c>
      <c r="L107" s="21">
        <f t="shared" si="15"/>
        <v>3.1244133333331703E-2</v>
      </c>
      <c r="M107" s="18">
        <f t="shared" si="12"/>
        <v>7.2712627777776012E-2</v>
      </c>
      <c r="N107" s="27">
        <v>-0.20363039999999999</v>
      </c>
      <c r="O107" s="7">
        <f t="shared" si="13"/>
        <v>0.39841217222222403</v>
      </c>
    </row>
    <row r="108" spans="1:15" x14ac:dyDescent="0.7">
      <c r="A108" s="6"/>
      <c r="B108" s="6"/>
      <c r="C108" s="6">
        <v>16</v>
      </c>
      <c r="D108" s="7">
        <v>3.0960000000000001</v>
      </c>
      <c r="E108" s="4">
        <v>0</v>
      </c>
      <c r="F108" s="7">
        <v>3.0960000000000001</v>
      </c>
      <c r="G108" s="16">
        <f t="shared" si="16"/>
        <v>267494.40000000002</v>
      </c>
      <c r="H108" s="22">
        <f t="shared" si="17"/>
        <v>0.26749440000000002</v>
      </c>
      <c r="I108" s="18">
        <v>41847.9444444443</v>
      </c>
      <c r="J108" s="52">
        <f t="shared" si="14"/>
        <v>4.1847944444444299E-2</v>
      </c>
      <c r="K108" s="18">
        <v>31614.666666665002</v>
      </c>
      <c r="L108" s="21">
        <f t="shared" si="15"/>
        <v>3.1614666666665001E-2</v>
      </c>
      <c r="M108" s="18">
        <f t="shared" si="12"/>
        <v>7.3462611111109299E-2</v>
      </c>
      <c r="N108" s="27">
        <v>-0.20735999999999999</v>
      </c>
      <c r="O108" s="7">
        <f t="shared" si="13"/>
        <v>0.40139178888889071</v>
      </c>
    </row>
    <row r="109" spans="1:15" x14ac:dyDescent="0.7">
      <c r="A109" s="6"/>
      <c r="B109" s="6"/>
      <c r="C109" s="6">
        <v>17</v>
      </c>
      <c r="D109" s="7">
        <v>3.0539999999999998</v>
      </c>
      <c r="E109" s="4">
        <v>1.9</v>
      </c>
      <c r="F109" s="7">
        <v>3.0539999999999998</v>
      </c>
      <c r="G109" s="16">
        <f t="shared" si="16"/>
        <v>263865.59999999998</v>
      </c>
      <c r="H109" s="22">
        <f t="shared" si="17"/>
        <v>0.26386559999999998</v>
      </c>
      <c r="I109" s="18">
        <v>42227.394444444297</v>
      </c>
      <c r="J109" s="52">
        <f t="shared" si="14"/>
        <v>4.2227394444444295E-2</v>
      </c>
      <c r="K109" s="18">
        <v>31985.199999998302</v>
      </c>
      <c r="L109" s="21">
        <f t="shared" si="15"/>
        <v>3.1985199999998298E-2</v>
      </c>
      <c r="M109" s="18">
        <f t="shared" si="12"/>
        <v>7.4212594444442587E-2</v>
      </c>
      <c r="N109" s="27">
        <v>-0.21108959999999999</v>
      </c>
      <c r="O109" s="7">
        <f t="shared" si="13"/>
        <v>0.40074260555555741</v>
      </c>
    </row>
    <row r="110" spans="1:15" x14ac:dyDescent="0.7">
      <c r="A110" s="6"/>
      <c r="B110" s="6"/>
      <c r="C110" s="6">
        <v>18</v>
      </c>
      <c r="D110" s="7">
        <v>3.0960000000000001</v>
      </c>
      <c r="E110" s="4">
        <v>0</v>
      </c>
      <c r="F110" s="7">
        <v>3.0960000000000001</v>
      </c>
      <c r="G110" s="16">
        <f t="shared" si="16"/>
        <v>267494.40000000002</v>
      </c>
      <c r="H110" s="22">
        <f t="shared" si="17"/>
        <v>0.26749440000000002</v>
      </c>
      <c r="I110" s="18">
        <v>42606.844444444199</v>
      </c>
      <c r="J110" s="52">
        <f t="shared" si="14"/>
        <v>4.2606844444444202E-2</v>
      </c>
      <c r="K110" s="18">
        <v>32355.733333331598</v>
      </c>
      <c r="L110" s="21">
        <f t="shared" si="15"/>
        <v>3.2355733333331596E-2</v>
      </c>
      <c r="M110" s="18">
        <f t="shared" si="12"/>
        <v>7.4962577777775791E-2</v>
      </c>
      <c r="N110" s="27">
        <v>-0.21481919999999999</v>
      </c>
      <c r="O110" s="7">
        <f t="shared" si="13"/>
        <v>0.40735102222222419</v>
      </c>
    </row>
    <row r="111" spans="1:15" x14ac:dyDescent="0.7">
      <c r="A111" s="6"/>
      <c r="B111" s="6"/>
      <c r="C111" s="6">
        <v>19</v>
      </c>
      <c r="D111" s="7">
        <v>3.524</v>
      </c>
      <c r="E111" s="4">
        <v>0</v>
      </c>
      <c r="F111" s="7">
        <v>3.524</v>
      </c>
      <c r="G111" s="16">
        <f t="shared" si="16"/>
        <v>304473.59999999998</v>
      </c>
      <c r="H111" s="22">
        <f t="shared" si="17"/>
        <v>0.30447359999999996</v>
      </c>
      <c r="I111" s="18">
        <v>42986.294444444196</v>
      </c>
      <c r="J111" s="52">
        <f t="shared" si="14"/>
        <v>4.2986294444444198E-2</v>
      </c>
      <c r="K111" s="18">
        <v>32726.266666664898</v>
      </c>
      <c r="L111" s="21">
        <f t="shared" si="15"/>
        <v>3.2726266666664901E-2</v>
      </c>
      <c r="M111" s="18">
        <f t="shared" si="12"/>
        <v>7.5712561111109106E-2</v>
      </c>
      <c r="N111" s="27">
        <v>-0.21854879999999999</v>
      </c>
      <c r="O111" s="7">
        <f t="shared" si="13"/>
        <v>0.44730983888889086</v>
      </c>
    </row>
    <row r="112" spans="1:15" x14ac:dyDescent="0.7">
      <c r="A112" s="6"/>
      <c r="B112" s="6"/>
      <c r="C112" s="6">
        <v>20</v>
      </c>
      <c r="D112" s="7">
        <v>3.2669999999999999</v>
      </c>
      <c r="E112" s="4">
        <v>0</v>
      </c>
      <c r="F112" s="7">
        <v>3.2669999999999999</v>
      </c>
      <c r="G112" s="16">
        <f t="shared" si="16"/>
        <v>282268.79999999999</v>
      </c>
      <c r="H112" s="22">
        <f t="shared" si="17"/>
        <v>0.28226879999999999</v>
      </c>
      <c r="I112" s="18">
        <v>43365.744444444201</v>
      </c>
      <c r="J112" s="52">
        <f t="shared" si="14"/>
        <v>4.3365744444444201E-2</v>
      </c>
      <c r="K112" s="18">
        <v>33096.799999998198</v>
      </c>
      <c r="L112" s="21">
        <f t="shared" si="15"/>
        <v>3.3096799999998198E-2</v>
      </c>
      <c r="M112" s="18">
        <f t="shared" si="12"/>
        <v>7.6462544444442393E-2</v>
      </c>
      <c r="N112" s="27">
        <v>-0.22227839999999999</v>
      </c>
      <c r="O112" s="7">
        <f t="shared" si="13"/>
        <v>0.42808465555555758</v>
      </c>
    </row>
    <row r="113" spans="1:15" x14ac:dyDescent="0.7">
      <c r="A113" s="6"/>
      <c r="B113" s="6"/>
      <c r="C113" s="6">
        <v>21</v>
      </c>
      <c r="D113" s="7">
        <v>3.78</v>
      </c>
      <c r="E113" s="4">
        <v>8.5</v>
      </c>
      <c r="F113" s="7">
        <v>3.78</v>
      </c>
      <c r="G113" s="16">
        <f t="shared" si="16"/>
        <v>326592</v>
      </c>
      <c r="H113" s="22">
        <f t="shared" si="17"/>
        <v>0.32659199999999999</v>
      </c>
      <c r="I113" s="18">
        <v>43745.194444444198</v>
      </c>
      <c r="J113" s="52">
        <f t="shared" si="14"/>
        <v>4.3745194444444198E-2</v>
      </c>
      <c r="K113" s="18">
        <v>33467.333333331502</v>
      </c>
      <c r="L113" s="21">
        <f t="shared" si="15"/>
        <v>3.3467333333331503E-2</v>
      </c>
      <c r="M113" s="18">
        <f t="shared" si="12"/>
        <v>7.7212527777775708E-2</v>
      </c>
      <c r="N113" s="27">
        <v>-0.22600799999999999</v>
      </c>
      <c r="O113" s="7">
        <f t="shared" si="13"/>
        <v>0.47538747222222427</v>
      </c>
    </row>
    <row r="114" spans="1:15" x14ac:dyDescent="0.7">
      <c r="A114" s="6"/>
      <c r="B114" s="6"/>
      <c r="C114" s="6">
        <v>22</v>
      </c>
      <c r="D114" s="7">
        <v>3.1819999999999999</v>
      </c>
      <c r="E114" s="4">
        <v>0</v>
      </c>
      <c r="F114" s="7">
        <v>3.1819999999999999</v>
      </c>
      <c r="G114" s="16">
        <f t="shared" si="16"/>
        <v>274924.79999999999</v>
      </c>
      <c r="H114" s="22">
        <f t="shared" si="17"/>
        <v>0.27492479999999997</v>
      </c>
      <c r="I114" s="18">
        <v>44124.644444444202</v>
      </c>
      <c r="J114" s="52">
        <f t="shared" si="14"/>
        <v>4.4124644444444201E-2</v>
      </c>
      <c r="K114" s="18">
        <v>33837.866666664799</v>
      </c>
      <c r="L114" s="21">
        <f t="shared" si="15"/>
        <v>3.3837866666664801E-2</v>
      </c>
      <c r="M114" s="18">
        <f t="shared" si="12"/>
        <v>7.7962511111108995E-2</v>
      </c>
      <c r="N114" s="27">
        <v>-0.22973759999999999</v>
      </c>
      <c r="O114" s="7">
        <f t="shared" si="13"/>
        <v>0.42669988888889099</v>
      </c>
    </row>
    <row r="115" spans="1:15" x14ac:dyDescent="0.7">
      <c r="A115" s="6"/>
      <c r="B115" s="6"/>
      <c r="C115" s="6">
        <v>23</v>
      </c>
      <c r="D115" s="7">
        <v>2.67</v>
      </c>
      <c r="E115" s="4">
        <v>16.5</v>
      </c>
      <c r="F115" s="7">
        <v>2.67</v>
      </c>
      <c r="G115" s="16">
        <f t="shared" si="16"/>
        <v>230688</v>
      </c>
      <c r="H115" s="22">
        <f t="shared" si="17"/>
        <v>0.230688</v>
      </c>
      <c r="I115" s="18">
        <v>44504.094444444199</v>
      </c>
      <c r="J115" s="52">
        <f t="shared" si="14"/>
        <v>4.4504094444444198E-2</v>
      </c>
      <c r="K115" s="18">
        <v>34208.399999998102</v>
      </c>
      <c r="L115" s="21">
        <f t="shared" si="15"/>
        <v>3.4208399999998106E-2</v>
      </c>
      <c r="M115" s="18">
        <f t="shared" si="12"/>
        <v>7.871249444444231E-2</v>
      </c>
      <c r="N115" s="27">
        <v>-0.23346720000000001</v>
      </c>
      <c r="O115" s="7">
        <f t="shared" si="13"/>
        <v>0.38544270555555771</v>
      </c>
    </row>
    <row r="116" spans="1:15" x14ac:dyDescent="0.7">
      <c r="A116" s="6"/>
      <c r="B116" s="6"/>
      <c r="C116" s="6">
        <v>24</v>
      </c>
      <c r="D116" s="7">
        <v>2.9260000000000002</v>
      </c>
      <c r="E116" s="4">
        <v>0</v>
      </c>
      <c r="F116" s="7">
        <v>2.9260000000000002</v>
      </c>
      <c r="G116" s="16">
        <f t="shared" si="16"/>
        <v>252806.40000000002</v>
      </c>
      <c r="H116" s="22">
        <f t="shared" si="17"/>
        <v>0.25280640000000004</v>
      </c>
      <c r="I116" s="27">
        <v>32779</v>
      </c>
      <c r="J116" s="52">
        <f t="shared" si="14"/>
        <v>3.2779000000000003E-2</v>
      </c>
      <c r="K116" s="21">
        <v>0</v>
      </c>
      <c r="L116" s="21">
        <f t="shared" si="15"/>
        <v>0</v>
      </c>
      <c r="M116" s="21">
        <f t="shared" si="12"/>
        <v>3.2779000000000003E-2</v>
      </c>
      <c r="N116" s="21">
        <v>7.9315200000000009E-3</v>
      </c>
      <c r="O116" s="7">
        <f t="shared" si="13"/>
        <v>0.21209588000000004</v>
      </c>
    </row>
    <row r="117" spans="1:15" x14ac:dyDescent="0.7">
      <c r="A117" s="6"/>
      <c r="B117" s="6"/>
      <c r="C117" s="6">
        <v>25</v>
      </c>
      <c r="D117" s="7">
        <v>2.883</v>
      </c>
      <c r="E117" s="4">
        <v>0</v>
      </c>
      <c r="F117" s="7">
        <v>2.883</v>
      </c>
      <c r="G117" s="16">
        <f t="shared" si="16"/>
        <v>249091.20000000001</v>
      </c>
      <c r="H117" s="22">
        <f t="shared" si="17"/>
        <v>0.24909120000000001</v>
      </c>
      <c r="I117" s="27">
        <v>25692</v>
      </c>
      <c r="J117" s="52">
        <f t="shared" si="14"/>
        <v>2.5692E-2</v>
      </c>
      <c r="K117" s="21">
        <v>0</v>
      </c>
      <c r="L117" s="21">
        <f t="shared" si="15"/>
        <v>0</v>
      </c>
      <c r="M117" s="21">
        <f t="shared" si="12"/>
        <v>2.5692E-2</v>
      </c>
      <c r="N117" s="21">
        <v>7.9315200000000009E-3</v>
      </c>
      <c r="O117" s="7">
        <f t="shared" si="13"/>
        <v>0.21546768000000002</v>
      </c>
    </row>
    <row r="118" spans="1:15" x14ac:dyDescent="0.7">
      <c r="A118" s="6"/>
      <c r="B118" s="6"/>
      <c r="C118" s="6">
        <v>26</v>
      </c>
      <c r="D118" s="7">
        <v>2.883</v>
      </c>
      <c r="E118" s="4">
        <v>0</v>
      </c>
      <c r="F118" s="7">
        <v>2.883</v>
      </c>
      <c r="G118" s="16">
        <f t="shared" si="16"/>
        <v>249091.20000000001</v>
      </c>
      <c r="H118" s="22">
        <f t="shared" si="17"/>
        <v>0.24909120000000001</v>
      </c>
      <c r="I118" s="27">
        <v>29314</v>
      </c>
      <c r="J118" s="52">
        <f t="shared" si="14"/>
        <v>2.9314E-2</v>
      </c>
      <c r="K118" s="21">
        <v>0</v>
      </c>
      <c r="L118" s="21">
        <f t="shared" si="15"/>
        <v>0</v>
      </c>
      <c r="M118" s="21">
        <f t="shared" si="12"/>
        <v>2.9314E-2</v>
      </c>
      <c r="N118" s="21">
        <v>7.9315200000000009E-3</v>
      </c>
      <c r="O118" s="7">
        <f t="shared" si="13"/>
        <v>0.21184568000000001</v>
      </c>
    </row>
    <row r="119" spans="1:15" x14ac:dyDescent="0.7">
      <c r="A119" s="6"/>
      <c r="B119" s="6"/>
      <c r="C119" s="6">
        <v>27</v>
      </c>
      <c r="D119" s="7">
        <v>2.7549999999999999</v>
      </c>
      <c r="E119" s="4">
        <v>0</v>
      </c>
      <c r="F119" s="7">
        <v>2.7549999999999999</v>
      </c>
      <c r="G119" s="16">
        <f t="shared" si="16"/>
        <v>238032</v>
      </c>
      <c r="H119" s="22">
        <f t="shared" si="17"/>
        <v>0.23803199999999999</v>
      </c>
      <c r="I119" s="27">
        <v>36146</v>
      </c>
      <c r="J119" s="52">
        <f t="shared" si="14"/>
        <v>3.6145999999999998E-2</v>
      </c>
      <c r="K119" s="21">
        <v>0</v>
      </c>
      <c r="L119" s="21">
        <f t="shared" si="15"/>
        <v>0</v>
      </c>
      <c r="M119" s="21">
        <f t="shared" si="12"/>
        <v>3.6145999999999998E-2</v>
      </c>
      <c r="N119" s="21">
        <v>0</v>
      </c>
      <c r="O119" s="7">
        <f t="shared" si="13"/>
        <v>0.20188600000000001</v>
      </c>
    </row>
    <row r="120" spans="1:15" x14ac:dyDescent="0.7">
      <c r="A120" s="6"/>
      <c r="B120" s="6"/>
      <c r="C120" s="6">
        <v>28</v>
      </c>
      <c r="D120" s="7">
        <v>2.7549999999999999</v>
      </c>
      <c r="E120" s="4">
        <v>0</v>
      </c>
      <c r="F120" s="7">
        <v>2.7549999999999999</v>
      </c>
      <c r="G120" s="16">
        <f t="shared" si="16"/>
        <v>238032</v>
      </c>
      <c r="H120" s="22">
        <f t="shared" si="17"/>
        <v>0.23803199999999999</v>
      </c>
      <c r="I120" s="27">
        <v>33831</v>
      </c>
      <c r="J120" s="52">
        <f t="shared" si="14"/>
        <v>3.3831E-2</v>
      </c>
      <c r="K120" s="21">
        <v>2558</v>
      </c>
      <c r="L120" s="21">
        <f t="shared" si="15"/>
        <v>2.5579999999999999E-3</v>
      </c>
      <c r="M120" s="21">
        <f t="shared" si="12"/>
        <v>3.6388999999999998E-2</v>
      </c>
      <c r="N120" s="21">
        <v>0</v>
      </c>
      <c r="O120" s="7">
        <f t="shared" si="13"/>
        <v>0.20164299999999999</v>
      </c>
    </row>
    <row r="121" spans="1:15" x14ac:dyDescent="0.7">
      <c r="A121" s="6"/>
      <c r="B121" s="6"/>
      <c r="C121" s="6">
        <v>29</v>
      </c>
      <c r="D121" s="7">
        <v>2.67</v>
      </c>
      <c r="E121" s="4">
        <v>0</v>
      </c>
      <c r="F121" s="7">
        <v>2.67</v>
      </c>
      <c r="G121" s="16">
        <f t="shared" si="16"/>
        <v>230688</v>
      </c>
      <c r="H121" s="22">
        <f t="shared" si="17"/>
        <v>0.230688</v>
      </c>
      <c r="I121" s="18">
        <v>46780.794444444196</v>
      </c>
      <c r="J121" s="52">
        <f t="shared" si="14"/>
        <v>4.6780794444444197E-2</v>
      </c>
      <c r="K121" s="18">
        <v>36431.599999997903</v>
      </c>
      <c r="L121" s="21">
        <f t="shared" si="15"/>
        <v>3.6431599999997906E-2</v>
      </c>
      <c r="M121" s="18">
        <f t="shared" si="12"/>
        <v>8.3212394444442103E-2</v>
      </c>
      <c r="N121" s="27">
        <v>-0.25584479999999998</v>
      </c>
      <c r="O121" s="7">
        <f t="shared" si="13"/>
        <v>0.40332040555555787</v>
      </c>
    </row>
    <row r="122" spans="1:15" s="14" customFormat="1" ht="25.2" thickBot="1" x14ac:dyDescent="0.75">
      <c r="A122" s="9"/>
      <c r="B122" s="9" t="s">
        <v>18</v>
      </c>
      <c r="C122" s="9">
        <v>30</v>
      </c>
      <c r="D122" s="10">
        <v>2.67</v>
      </c>
      <c r="E122" s="20">
        <v>0</v>
      </c>
      <c r="F122" s="10">
        <v>2.67</v>
      </c>
      <c r="G122" s="29">
        <f t="shared" si="16"/>
        <v>230688</v>
      </c>
      <c r="H122" s="30">
        <f t="shared" si="17"/>
        <v>0.230688</v>
      </c>
      <c r="I122" s="19">
        <v>47160.244444444201</v>
      </c>
      <c r="J122" s="53">
        <f t="shared" si="14"/>
        <v>4.7160244444444201E-2</v>
      </c>
      <c r="K122" s="19">
        <v>36802.1333333312</v>
      </c>
      <c r="L122" s="23">
        <f t="shared" si="15"/>
        <v>3.6802133333331197E-2</v>
      </c>
      <c r="M122" s="19">
        <f t="shared" si="12"/>
        <v>8.3962377777775404E-2</v>
      </c>
      <c r="N122" s="31">
        <v>-0.25957439999999998</v>
      </c>
      <c r="O122" s="10">
        <f t="shared" si="13"/>
        <v>0.40630002222222461</v>
      </c>
    </row>
    <row r="123" spans="1:15" x14ac:dyDescent="0.7">
      <c r="A123" s="3"/>
      <c r="B123" s="3" t="s">
        <v>19</v>
      </c>
      <c r="C123" s="3">
        <v>1</v>
      </c>
      <c r="D123" s="4">
        <v>2.6269999999999998</v>
      </c>
      <c r="E123" s="4">
        <v>0</v>
      </c>
      <c r="F123" s="4">
        <v>2.6269999999999998</v>
      </c>
      <c r="G123" s="16">
        <f t="shared" si="16"/>
        <v>226972.79999999999</v>
      </c>
      <c r="H123" s="22">
        <f t="shared" si="17"/>
        <v>0.22697279999999997</v>
      </c>
      <c r="I123" s="17">
        <v>47539.694444444198</v>
      </c>
      <c r="J123" s="54">
        <f t="shared" si="14"/>
        <v>4.7539694444444197E-2</v>
      </c>
      <c r="K123" s="17">
        <v>37172.666666664503</v>
      </c>
      <c r="L123" s="22">
        <f t="shared" si="15"/>
        <v>3.7172666666664501E-2</v>
      </c>
      <c r="M123" s="17">
        <f t="shared" si="12"/>
        <v>8.4712361111108692E-2</v>
      </c>
      <c r="N123" s="28">
        <v>-0.26330399999999998</v>
      </c>
      <c r="O123" s="4">
        <f t="shared" si="13"/>
        <v>0.40556443888889127</v>
      </c>
    </row>
    <row r="124" spans="1:15" x14ac:dyDescent="0.7">
      <c r="A124" s="6"/>
      <c r="B124" s="3"/>
      <c r="C124" s="6">
        <v>2</v>
      </c>
      <c r="D124" s="7">
        <v>2.67</v>
      </c>
      <c r="E124" s="4">
        <v>0</v>
      </c>
      <c r="F124" s="7">
        <v>2.67</v>
      </c>
      <c r="G124" s="16">
        <f t="shared" si="16"/>
        <v>230688</v>
      </c>
      <c r="H124" s="22">
        <f t="shared" si="17"/>
        <v>0.230688</v>
      </c>
      <c r="I124" s="18">
        <v>47919.144444444202</v>
      </c>
      <c r="J124" s="52">
        <f t="shared" si="14"/>
        <v>4.7919144444444201E-2</v>
      </c>
      <c r="K124" s="18">
        <v>37543.1999999978</v>
      </c>
      <c r="L124" s="21">
        <f t="shared" si="15"/>
        <v>3.7543199999997799E-2</v>
      </c>
      <c r="M124" s="18">
        <f t="shared" si="12"/>
        <v>8.5462344444442007E-2</v>
      </c>
      <c r="N124" s="27">
        <v>-0.26703359999999998</v>
      </c>
      <c r="O124" s="7">
        <f t="shared" si="13"/>
        <v>0.41225925555555798</v>
      </c>
    </row>
    <row r="125" spans="1:15" x14ac:dyDescent="0.7">
      <c r="A125" s="6"/>
      <c r="B125" s="6"/>
      <c r="C125" s="6">
        <v>3</v>
      </c>
      <c r="D125" s="7">
        <v>2.67</v>
      </c>
      <c r="E125" s="4">
        <v>0</v>
      </c>
      <c r="F125" s="7">
        <v>2.67</v>
      </c>
      <c r="G125" s="16">
        <f t="shared" si="16"/>
        <v>230688</v>
      </c>
      <c r="H125" s="22">
        <f t="shared" si="17"/>
        <v>0.230688</v>
      </c>
      <c r="I125" s="18">
        <v>48298.594444444199</v>
      </c>
      <c r="J125" s="52">
        <f t="shared" si="14"/>
        <v>4.8298594444444197E-2</v>
      </c>
      <c r="K125" s="18">
        <v>37913.733333331103</v>
      </c>
      <c r="L125" s="21">
        <f t="shared" si="15"/>
        <v>3.7913733333331104E-2</v>
      </c>
      <c r="M125" s="18">
        <f t="shared" si="12"/>
        <v>8.6212327777775294E-2</v>
      </c>
      <c r="N125" s="27">
        <v>-0.27076319999999998</v>
      </c>
      <c r="O125" s="7">
        <f t="shared" si="13"/>
        <v>0.41523887222222466</v>
      </c>
    </row>
    <row r="126" spans="1:15" x14ac:dyDescent="0.7">
      <c r="A126" s="6"/>
      <c r="B126" s="6"/>
      <c r="C126" s="6">
        <v>4</v>
      </c>
      <c r="D126" s="7">
        <v>2.76</v>
      </c>
      <c r="E126" s="4">
        <v>0</v>
      </c>
      <c r="F126" s="7">
        <v>2.76</v>
      </c>
      <c r="G126" s="16">
        <f t="shared" si="16"/>
        <v>238463.99999999997</v>
      </c>
      <c r="H126" s="22">
        <f t="shared" si="17"/>
        <v>0.23846399999999998</v>
      </c>
      <c r="I126" s="18">
        <v>48678.044444444196</v>
      </c>
      <c r="J126" s="52">
        <f t="shared" si="14"/>
        <v>4.8678044444444193E-2</v>
      </c>
      <c r="K126" s="18">
        <v>38284.2666666644</v>
      </c>
      <c r="L126" s="21">
        <f t="shared" si="15"/>
        <v>3.8284266666664402E-2</v>
      </c>
      <c r="M126" s="18">
        <f t="shared" si="12"/>
        <v>8.6962311111108595E-2</v>
      </c>
      <c r="N126" s="27">
        <v>-0.27449279999999998</v>
      </c>
      <c r="O126" s="7">
        <f t="shared" si="13"/>
        <v>0.42599448888889135</v>
      </c>
    </row>
    <row r="127" spans="1:15" x14ac:dyDescent="0.7">
      <c r="A127" s="6"/>
      <c r="B127" s="6"/>
      <c r="C127" s="6">
        <v>5</v>
      </c>
      <c r="D127" s="7">
        <v>2.67</v>
      </c>
      <c r="E127" s="4">
        <v>0</v>
      </c>
      <c r="F127" s="7">
        <v>2.67</v>
      </c>
      <c r="G127" s="16">
        <f t="shared" si="16"/>
        <v>230688</v>
      </c>
      <c r="H127" s="22">
        <f t="shared" si="17"/>
        <v>0.230688</v>
      </c>
      <c r="I127" s="18">
        <v>49057.494444444201</v>
      </c>
      <c r="J127" s="52">
        <f t="shared" si="14"/>
        <v>4.9057494444444204E-2</v>
      </c>
      <c r="K127" s="18">
        <v>38654.799999997696</v>
      </c>
      <c r="L127" s="21">
        <f t="shared" si="15"/>
        <v>3.8654799999997699E-2</v>
      </c>
      <c r="M127" s="18">
        <f t="shared" ref="M127:M190" si="18">J127+L127</f>
        <v>8.7712294444441896E-2</v>
      </c>
      <c r="N127" s="27">
        <v>-0.27822239999999998</v>
      </c>
      <c r="O127" s="7">
        <f t="shared" ref="O127:O190" si="19">H127-M127-N127</f>
        <v>0.42119810555555809</v>
      </c>
    </row>
    <row r="128" spans="1:15" x14ac:dyDescent="0.7">
      <c r="A128" s="6"/>
      <c r="B128" s="6"/>
      <c r="C128" s="6">
        <v>6</v>
      </c>
      <c r="D128" s="7">
        <v>2.585</v>
      </c>
      <c r="E128" s="4">
        <v>0</v>
      </c>
      <c r="F128" s="7">
        <v>2.585</v>
      </c>
      <c r="G128" s="16">
        <f t="shared" si="16"/>
        <v>223344</v>
      </c>
      <c r="H128" s="22">
        <f t="shared" si="17"/>
        <v>0.22334399999999999</v>
      </c>
      <c r="I128" s="18">
        <v>49436.944444444198</v>
      </c>
      <c r="J128" s="52">
        <f t="shared" si="14"/>
        <v>4.94369444444442E-2</v>
      </c>
      <c r="K128" s="18">
        <v>39025.333333331</v>
      </c>
      <c r="L128" s="21">
        <f t="shared" si="15"/>
        <v>3.9025333333330997E-2</v>
      </c>
      <c r="M128" s="18">
        <f t="shared" si="18"/>
        <v>8.8462277777775197E-2</v>
      </c>
      <c r="N128" s="27">
        <v>-0.28195199999999998</v>
      </c>
      <c r="O128" s="7">
        <f t="shared" si="19"/>
        <v>0.41683372222222476</v>
      </c>
    </row>
    <row r="129" spans="1:15" x14ac:dyDescent="0.7">
      <c r="A129" s="6"/>
      <c r="B129" s="6"/>
      <c r="C129" s="6">
        <v>7</v>
      </c>
      <c r="D129" s="7">
        <v>2.585</v>
      </c>
      <c r="E129" s="4">
        <v>0.2</v>
      </c>
      <c r="F129" s="7">
        <v>2.585</v>
      </c>
      <c r="G129" s="16">
        <f t="shared" si="16"/>
        <v>223344</v>
      </c>
      <c r="H129" s="22">
        <f t="shared" si="17"/>
        <v>0.22334399999999999</v>
      </c>
      <c r="I129" s="18">
        <v>49816.394444444202</v>
      </c>
      <c r="J129" s="52">
        <f t="shared" si="14"/>
        <v>4.9816394444444204E-2</v>
      </c>
      <c r="K129" s="18">
        <v>39395.866666664297</v>
      </c>
      <c r="L129" s="21">
        <f t="shared" si="15"/>
        <v>3.9395866666664295E-2</v>
      </c>
      <c r="M129" s="18">
        <f t="shared" si="18"/>
        <v>8.9212261111108498E-2</v>
      </c>
      <c r="N129" s="27">
        <v>-0.28568159999999998</v>
      </c>
      <c r="O129" s="7">
        <f t="shared" si="19"/>
        <v>0.4198133388888915</v>
      </c>
    </row>
    <row r="130" spans="1:15" x14ac:dyDescent="0.7">
      <c r="A130" s="6"/>
      <c r="B130" s="6"/>
      <c r="C130" s="6">
        <v>8</v>
      </c>
      <c r="D130" s="7">
        <v>2.585</v>
      </c>
      <c r="E130" s="4">
        <v>0</v>
      </c>
      <c r="F130" s="7">
        <v>2.585</v>
      </c>
      <c r="G130" s="16">
        <f t="shared" si="16"/>
        <v>223344</v>
      </c>
      <c r="H130" s="22">
        <f t="shared" si="17"/>
        <v>0.22334399999999999</v>
      </c>
      <c r="I130" s="18">
        <v>50195.844444444199</v>
      </c>
      <c r="J130" s="52">
        <f t="shared" si="14"/>
        <v>5.01958444444442E-2</v>
      </c>
      <c r="K130" s="18">
        <v>39766.3999999976</v>
      </c>
      <c r="L130" s="21">
        <f t="shared" si="15"/>
        <v>3.97663999999976E-2</v>
      </c>
      <c r="M130" s="18">
        <f t="shared" si="18"/>
        <v>8.99622444444418E-2</v>
      </c>
      <c r="N130" s="27">
        <v>-0.28941119999999998</v>
      </c>
      <c r="O130" s="7">
        <f t="shared" si="19"/>
        <v>0.42279295555555818</v>
      </c>
    </row>
    <row r="131" spans="1:15" x14ac:dyDescent="0.7">
      <c r="A131" s="6"/>
      <c r="B131" s="6"/>
      <c r="C131" s="6">
        <v>9</v>
      </c>
      <c r="D131" s="7">
        <v>4.55</v>
      </c>
      <c r="E131" s="4">
        <v>0</v>
      </c>
      <c r="F131" s="7">
        <v>4.55</v>
      </c>
      <c r="G131" s="16">
        <f t="shared" si="16"/>
        <v>393120</v>
      </c>
      <c r="H131" s="22">
        <f t="shared" si="17"/>
        <v>0.39312000000000002</v>
      </c>
      <c r="I131" s="18">
        <v>50575.294444444196</v>
      </c>
      <c r="J131" s="52">
        <f t="shared" ref="J131:J194" si="20">I131/1000000</f>
        <v>5.0575294444444197E-2</v>
      </c>
      <c r="K131" s="18">
        <v>40136.933333330897</v>
      </c>
      <c r="L131" s="21">
        <f t="shared" ref="L131:L194" si="21">K131/1000000</f>
        <v>4.0136933333330897E-2</v>
      </c>
      <c r="M131" s="18">
        <f t="shared" si="18"/>
        <v>9.0712227777775101E-2</v>
      </c>
      <c r="N131" s="27">
        <v>-0.29314079999999998</v>
      </c>
      <c r="O131" s="7">
        <f t="shared" si="19"/>
        <v>0.5955485722222249</v>
      </c>
    </row>
    <row r="132" spans="1:15" x14ac:dyDescent="0.7">
      <c r="A132" s="6"/>
      <c r="B132" s="6"/>
      <c r="C132" s="6">
        <v>10</v>
      </c>
      <c r="D132" s="7">
        <v>4.55</v>
      </c>
      <c r="E132" s="4">
        <v>0</v>
      </c>
      <c r="F132" s="7">
        <v>4.55</v>
      </c>
      <c r="G132" s="16">
        <f t="shared" ref="G132:G195" si="22">F132*86400</f>
        <v>393120</v>
      </c>
      <c r="H132" s="22">
        <f t="shared" ref="H132:H195" si="23">G132/1000000</f>
        <v>0.39312000000000002</v>
      </c>
      <c r="I132" s="18">
        <v>50954.744444444201</v>
      </c>
      <c r="J132" s="52">
        <f t="shared" si="20"/>
        <v>5.09547444444442E-2</v>
      </c>
      <c r="K132" s="18">
        <v>40507.466666664201</v>
      </c>
      <c r="L132" s="21">
        <f t="shared" si="21"/>
        <v>4.0507466666664202E-2</v>
      </c>
      <c r="M132" s="18">
        <f t="shared" si="18"/>
        <v>9.1462211111108402E-2</v>
      </c>
      <c r="N132" s="27">
        <v>-0.29687039999999998</v>
      </c>
      <c r="O132" s="7">
        <f t="shared" si="19"/>
        <v>0.59852818888889159</v>
      </c>
    </row>
    <row r="133" spans="1:15" x14ac:dyDescent="0.7">
      <c r="A133" s="6"/>
      <c r="B133" s="6"/>
      <c r="C133" s="6">
        <v>11</v>
      </c>
      <c r="D133" s="7">
        <v>2.3719999999999999</v>
      </c>
      <c r="E133" s="4">
        <v>31</v>
      </c>
      <c r="F133" s="7">
        <v>2.3719999999999999</v>
      </c>
      <c r="G133" s="16">
        <f t="shared" si="22"/>
        <v>204940.79999999999</v>
      </c>
      <c r="H133" s="22">
        <f t="shared" si="23"/>
        <v>0.20494079999999998</v>
      </c>
      <c r="I133" s="18">
        <v>51334.194444444198</v>
      </c>
      <c r="J133" s="52">
        <f t="shared" si="20"/>
        <v>5.1334194444444196E-2</v>
      </c>
      <c r="K133" s="18">
        <v>40877.999999997497</v>
      </c>
      <c r="L133" s="21">
        <f t="shared" si="21"/>
        <v>4.08779999999975E-2</v>
      </c>
      <c r="M133" s="18">
        <f t="shared" si="18"/>
        <v>9.2212194444441703E-2</v>
      </c>
      <c r="N133" s="27">
        <v>-0.30059999999999998</v>
      </c>
      <c r="O133" s="7">
        <f t="shared" si="19"/>
        <v>0.41332860555555828</v>
      </c>
    </row>
    <row r="134" spans="1:15" x14ac:dyDescent="0.7">
      <c r="A134" s="6"/>
      <c r="B134" s="6"/>
      <c r="C134" s="6">
        <v>12</v>
      </c>
      <c r="D134" s="7">
        <v>3.4340000000000002</v>
      </c>
      <c r="E134" s="4">
        <v>9.4</v>
      </c>
      <c r="F134" s="7">
        <v>3.4340000000000002</v>
      </c>
      <c r="G134" s="16">
        <f t="shared" si="22"/>
        <v>296697.60000000003</v>
      </c>
      <c r="H134" s="22">
        <f t="shared" si="23"/>
        <v>0.29669760000000006</v>
      </c>
      <c r="I134" s="18">
        <v>51713.644444444202</v>
      </c>
      <c r="J134" s="52">
        <f t="shared" si="20"/>
        <v>5.17136444444442E-2</v>
      </c>
      <c r="K134" s="18">
        <v>41248.533333330801</v>
      </c>
      <c r="L134" s="21">
        <f t="shared" si="21"/>
        <v>4.1248533333330797E-2</v>
      </c>
      <c r="M134" s="18">
        <f t="shared" si="18"/>
        <v>9.296217777777499E-2</v>
      </c>
      <c r="N134" s="27">
        <v>-0.30432959999999998</v>
      </c>
      <c r="O134" s="7">
        <f t="shared" si="19"/>
        <v>0.50806502222222505</v>
      </c>
    </row>
    <row r="135" spans="1:15" x14ac:dyDescent="0.7">
      <c r="A135" s="6"/>
      <c r="B135" s="6"/>
      <c r="C135" s="6">
        <v>13</v>
      </c>
      <c r="D135" s="7">
        <v>3.0960000000000001</v>
      </c>
      <c r="E135" s="4">
        <v>36</v>
      </c>
      <c r="F135" s="7">
        <v>3.0960000000000001</v>
      </c>
      <c r="G135" s="16">
        <f t="shared" si="22"/>
        <v>267494.40000000002</v>
      </c>
      <c r="H135" s="22">
        <f t="shared" si="23"/>
        <v>0.26749440000000002</v>
      </c>
      <c r="I135" s="18">
        <v>52093.094444444199</v>
      </c>
      <c r="J135" s="52">
        <f t="shared" si="20"/>
        <v>5.2093094444444196E-2</v>
      </c>
      <c r="K135" s="18">
        <v>41619.066666664097</v>
      </c>
      <c r="L135" s="21">
        <f t="shared" si="21"/>
        <v>4.1619066666664095E-2</v>
      </c>
      <c r="M135" s="18">
        <f t="shared" si="18"/>
        <v>9.3712161111108291E-2</v>
      </c>
      <c r="N135" s="27">
        <v>-0.30805919999999998</v>
      </c>
      <c r="O135" s="7">
        <f t="shared" si="19"/>
        <v>0.48184143888889169</v>
      </c>
    </row>
    <row r="136" spans="1:15" x14ac:dyDescent="0.7">
      <c r="A136" s="6"/>
      <c r="B136" s="6"/>
      <c r="C136" s="6">
        <v>14</v>
      </c>
      <c r="D136" s="7">
        <v>4.9820000000000002</v>
      </c>
      <c r="E136" s="4">
        <v>30</v>
      </c>
      <c r="F136" s="7">
        <v>4.9820000000000002</v>
      </c>
      <c r="G136" s="16">
        <f t="shared" si="22"/>
        <v>430444.80000000005</v>
      </c>
      <c r="H136" s="22">
        <f t="shared" si="23"/>
        <v>0.43044480000000007</v>
      </c>
      <c r="I136" s="18">
        <v>52472.544444444196</v>
      </c>
      <c r="J136" s="52">
        <f t="shared" si="20"/>
        <v>5.24725444444442E-2</v>
      </c>
      <c r="K136" s="18">
        <v>41989.599999997401</v>
      </c>
      <c r="L136" s="21">
        <f t="shared" si="21"/>
        <v>4.19895999999974E-2</v>
      </c>
      <c r="M136" s="18">
        <f t="shared" si="18"/>
        <v>9.4462144444441593E-2</v>
      </c>
      <c r="N136" s="27">
        <v>-0.31178879999999998</v>
      </c>
      <c r="O136" s="7">
        <f t="shared" si="19"/>
        <v>0.64777145555555848</v>
      </c>
    </row>
    <row r="137" spans="1:15" x14ac:dyDescent="0.7">
      <c r="A137" s="6"/>
      <c r="B137" s="6"/>
      <c r="C137" s="6">
        <v>15</v>
      </c>
      <c r="D137" s="7">
        <v>5.181</v>
      </c>
      <c r="E137" s="4">
        <v>0</v>
      </c>
      <c r="F137" s="7">
        <v>5.181</v>
      </c>
      <c r="G137" s="16">
        <f t="shared" si="22"/>
        <v>447638.4</v>
      </c>
      <c r="H137" s="22">
        <f t="shared" si="23"/>
        <v>0.44763840000000005</v>
      </c>
      <c r="I137" s="18">
        <v>52851.994444444201</v>
      </c>
      <c r="J137" s="52">
        <f t="shared" si="20"/>
        <v>5.2851994444444203E-2</v>
      </c>
      <c r="K137" s="18">
        <v>42360.133333330697</v>
      </c>
      <c r="L137" s="21">
        <f t="shared" si="21"/>
        <v>4.2360133333330698E-2</v>
      </c>
      <c r="M137" s="18">
        <f t="shared" si="18"/>
        <v>9.5212127777774908E-2</v>
      </c>
      <c r="N137" s="27">
        <v>-0.31551839999999998</v>
      </c>
      <c r="O137" s="7">
        <f t="shared" si="19"/>
        <v>0.66794467222222509</v>
      </c>
    </row>
    <row r="138" spans="1:15" x14ac:dyDescent="0.7">
      <c r="A138" s="6"/>
      <c r="B138" s="6"/>
      <c r="C138" s="6">
        <v>16</v>
      </c>
      <c r="D138" s="7">
        <v>7.9350000000000005</v>
      </c>
      <c r="E138" s="4">
        <v>0</v>
      </c>
      <c r="F138" s="7">
        <v>7.9350000000000005</v>
      </c>
      <c r="G138" s="16">
        <f t="shared" si="22"/>
        <v>685584</v>
      </c>
      <c r="H138" s="22">
        <f t="shared" si="23"/>
        <v>0.68558399999999997</v>
      </c>
      <c r="I138" s="18">
        <v>53231.444444444198</v>
      </c>
      <c r="J138" s="52">
        <f t="shared" si="20"/>
        <v>5.3231444444444199E-2</v>
      </c>
      <c r="K138" s="18">
        <v>42730.666666664001</v>
      </c>
      <c r="L138" s="21">
        <f t="shared" si="21"/>
        <v>4.2730666666664002E-2</v>
      </c>
      <c r="M138" s="18">
        <f t="shared" si="18"/>
        <v>9.5962111111108195E-2</v>
      </c>
      <c r="N138" s="27">
        <v>-0.31924799999999998</v>
      </c>
      <c r="O138" s="7">
        <f t="shared" si="19"/>
        <v>0.90886988888889175</v>
      </c>
    </row>
    <row r="139" spans="1:15" x14ac:dyDescent="0.7">
      <c r="A139" s="6"/>
      <c r="B139" s="6"/>
      <c r="C139" s="6">
        <v>17</v>
      </c>
      <c r="D139" s="7">
        <v>5.774</v>
      </c>
      <c r="E139" s="4">
        <v>0</v>
      </c>
      <c r="F139" s="7">
        <v>5.774</v>
      </c>
      <c r="G139" s="16">
        <f t="shared" si="22"/>
        <v>498873.59999999998</v>
      </c>
      <c r="H139" s="22">
        <f t="shared" si="23"/>
        <v>0.49887359999999997</v>
      </c>
      <c r="I139" s="18">
        <v>53610.894444444202</v>
      </c>
      <c r="J139" s="52">
        <f t="shared" si="20"/>
        <v>5.3610894444444203E-2</v>
      </c>
      <c r="K139" s="18">
        <v>43101.199999997298</v>
      </c>
      <c r="L139" s="21">
        <f t="shared" si="21"/>
        <v>4.31011999999973E-2</v>
      </c>
      <c r="M139" s="18">
        <f t="shared" si="18"/>
        <v>9.671209444444151E-2</v>
      </c>
      <c r="N139" s="27">
        <v>-0.32297759999999998</v>
      </c>
      <c r="O139" s="7">
        <f t="shared" si="19"/>
        <v>0.72513910555555849</v>
      </c>
    </row>
    <row r="140" spans="1:15" x14ac:dyDescent="0.7">
      <c r="A140" s="6"/>
      <c r="B140" s="6"/>
      <c r="C140" s="6">
        <v>18</v>
      </c>
      <c r="D140" s="7">
        <v>4.6029999999999998</v>
      </c>
      <c r="E140" s="4">
        <v>0</v>
      </c>
      <c r="F140" s="7">
        <v>4.6029999999999998</v>
      </c>
      <c r="G140" s="16">
        <f t="shared" si="22"/>
        <v>397699.19999999995</v>
      </c>
      <c r="H140" s="22">
        <f t="shared" si="23"/>
        <v>0.39769919999999997</v>
      </c>
      <c r="I140" s="18">
        <v>53990.344444444199</v>
      </c>
      <c r="J140" s="52">
        <f t="shared" si="20"/>
        <v>5.3990344444444199E-2</v>
      </c>
      <c r="K140" s="18">
        <v>43471.733333330601</v>
      </c>
      <c r="L140" s="21">
        <f t="shared" si="21"/>
        <v>4.3471733333330605E-2</v>
      </c>
      <c r="M140" s="18">
        <f t="shared" si="18"/>
        <v>9.7462077777774797E-2</v>
      </c>
      <c r="N140" s="27">
        <v>-0.32670719999999998</v>
      </c>
      <c r="O140" s="7">
        <f t="shared" si="19"/>
        <v>0.62694432222222518</v>
      </c>
    </row>
    <row r="141" spans="1:15" x14ac:dyDescent="0.7">
      <c r="A141" s="6"/>
      <c r="B141" s="6"/>
      <c r="C141" s="6">
        <v>19</v>
      </c>
      <c r="D141" s="7">
        <v>4.234</v>
      </c>
      <c r="E141" s="4">
        <v>0</v>
      </c>
      <c r="F141" s="7">
        <v>4.234</v>
      </c>
      <c r="G141" s="16">
        <f t="shared" si="22"/>
        <v>365817.59999999998</v>
      </c>
      <c r="H141" s="22">
        <f t="shared" si="23"/>
        <v>0.36581759999999997</v>
      </c>
      <c r="I141" s="18">
        <v>54369.794444444196</v>
      </c>
      <c r="J141" s="52">
        <f t="shared" si="20"/>
        <v>5.4369794444444196E-2</v>
      </c>
      <c r="K141" s="18">
        <v>43842.266666663898</v>
      </c>
      <c r="L141" s="21">
        <f t="shared" si="21"/>
        <v>4.3842266666663895E-2</v>
      </c>
      <c r="M141" s="18">
        <f t="shared" si="18"/>
        <v>9.8212061111108084E-2</v>
      </c>
      <c r="N141" s="27">
        <v>-0.33043679999999997</v>
      </c>
      <c r="O141" s="7">
        <f t="shared" si="19"/>
        <v>0.5980423388888918</v>
      </c>
    </row>
    <row r="142" spans="1:15" x14ac:dyDescent="0.7">
      <c r="A142" s="6"/>
      <c r="B142" s="6"/>
      <c r="C142" s="6">
        <v>20</v>
      </c>
      <c r="D142" s="7">
        <v>3.9420000000000002</v>
      </c>
      <c r="E142" s="4">
        <v>0</v>
      </c>
      <c r="F142" s="7">
        <v>3.9420000000000002</v>
      </c>
      <c r="G142" s="16">
        <f t="shared" si="22"/>
        <v>340588.79999999999</v>
      </c>
      <c r="H142" s="22">
        <f t="shared" si="23"/>
        <v>0.34058879999999997</v>
      </c>
      <c r="I142" s="18">
        <v>54749.244444444201</v>
      </c>
      <c r="J142" s="52">
        <f t="shared" si="20"/>
        <v>5.4749244444444199E-2</v>
      </c>
      <c r="K142" s="18">
        <v>44212.799999997202</v>
      </c>
      <c r="L142" s="21">
        <f t="shared" si="21"/>
        <v>4.42127999999972E-2</v>
      </c>
      <c r="M142" s="18">
        <f t="shared" si="18"/>
        <v>9.8962044444441399E-2</v>
      </c>
      <c r="N142" s="27">
        <v>-0.33416639999999997</v>
      </c>
      <c r="O142" s="7">
        <f t="shared" si="19"/>
        <v>0.57579315555555854</v>
      </c>
    </row>
    <row r="143" spans="1:15" x14ac:dyDescent="0.7">
      <c r="A143" s="6"/>
      <c r="B143" s="6"/>
      <c r="C143" s="6">
        <v>21</v>
      </c>
      <c r="D143" s="7">
        <v>3.5659999999999998</v>
      </c>
      <c r="E143" s="4">
        <v>4.8</v>
      </c>
      <c r="F143" s="7">
        <v>3.5659999999999998</v>
      </c>
      <c r="G143" s="16">
        <f t="shared" si="22"/>
        <v>308102.39999999997</v>
      </c>
      <c r="H143" s="22">
        <f t="shared" si="23"/>
        <v>0.30810239999999994</v>
      </c>
      <c r="I143" s="18">
        <v>55128.694444444198</v>
      </c>
      <c r="J143" s="52">
        <f t="shared" si="20"/>
        <v>5.5128694444444196E-2</v>
      </c>
      <c r="K143" s="18">
        <v>44583.333333330498</v>
      </c>
      <c r="L143" s="21">
        <f t="shared" si="21"/>
        <v>4.4583333333330498E-2</v>
      </c>
      <c r="M143" s="18">
        <f t="shared" si="18"/>
        <v>9.9712027777774687E-2</v>
      </c>
      <c r="N143" s="27">
        <v>-0.33789599999999997</v>
      </c>
      <c r="O143" s="7">
        <f t="shared" si="19"/>
        <v>0.5462863722222252</v>
      </c>
    </row>
    <row r="144" spans="1:15" x14ac:dyDescent="0.7">
      <c r="A144" s="6"/>
      <c r="B144" s="6"/>
      <c r="C144" s="6">
        <v>22</v>
      </c>
      <c r="D144" s="7">
        <v>4.2190000000000003</v>
      </c>
      <c r="E144" s="4">
        <v>0.5</v>
      </c>
      <c r="F144" s="7">
        <v>4.2190000000000003</v>
      </c>
      <c r="G144" s="16">
        <f t="shared" si="22"/>
        <v>364521.60000000003</v>
      </c>
      <c r="H144" s="22">
        <f t="shared" si="23"/>
        <v>0.36452160000000006</v>
      </c>
      <c r="I144" s="18">
        <v>55508.1444444441</v>
      </c>
      <c r="J144" s="52">
        <f t="shared" si="20"/>
        <v>5.5508144444444102E-2</v>
      </c>
      <c r="K144" s="18">
        <v>44953.866666663802</v>
      </c>
      <c r="L144" s="21">
        <f t="shared" si="21"/>
        <v>4.4953866666663803E-2</v>
      </c>
      <c r="M144" s="18">
        <f t="shared" si="18"/>
        <v>0.1004620111111079</v>
      </c>
      <c r="N144" s="27">
        <v>-0.34162559999999997</v>
      </c>
      <c r="O144" s="7">
        <f t="shared" si="19"/>
        <v>0.60568518888889211</v>
      </c>
    </row>
    <row r="145" spans="1:15" x14ac:dyDescent="0.7">
      <c r="A145" s="6"/>
      <c r="B145" s="6"/>
      <c r="C145" s="6">
        <v>23</v>
      </c>
      <c r="D145" s="7">
        <v>5.2359999999999998</v>
      </c>
      <c r="E145" s="4">
        <v>0</v>
      </c>
      <c r="F145" s="7">
        <v>5.2359999999999998</v>
      </c>
      <c r="G145" s="16">
        <f t="shared" si="22"/>
        <v>452390.39999999997</v>
      </c>
      <c r="H145" s="22">
        <f t="shared" si="23"/>
        <v>0.45239039999999997</v>
      </c>
      <c r="I145" s="18">
        <v>55887.594444444097</v>
      </c>
      <c r="J145" s="52">
        <f t="shared" si="20"/>
        <v>5.5887594444444098E-2</v>
      </c>
      <c r="K145" s="18">
        <v>45324.399999997098</v>
      </c>
      <c r="L145" s="21">
        <f t="shared" si="21"/>
        <v>4.53243999999971E-2</v>
      </c>
      <c r="M145" s="18">
        <f t="shared" si="18"/>
        <v>0.10121199444444121</v>
      </c>
      <c r="N145" s="27">
        <v>-0.34535519999999997</v>
      </c>
      <c r="O145" s="7">
        <f t="shared" si="19"/>
        <v>0.69653360555555877</v>
      </c>
    </row>
    <row r="146" spans="1:15" x14ac:dyDescent="0.7">
      <c r="A146" s="6"/>
      <c r="B146" s="6"/>
      <c r="C146" s="6">
        <v>24</v>
      </c>
      <c r="D146" s="7">
        <v>6.016</v>
      </c>
      <c r="E146" s="4">
        <v>0</v>
      </c>
      <c r="F146" s="7">
        <v>6.016</v>
      </c>
      <c r="G146" s="16">
        <f t="shared" si="22"/>
        <v>519782.40000000002</v>
      </c>
      <c r="H146" s="22">
        <f t="shared" si="23"/>
        <v>0.51978239999999998</v>
      </c>
      <c r="I146" s="18">
        <v>56267.044444444102</v>
      </c>
      <c r="J146" s="52">
        <f t="shared" si="20"/>
        <v>5.6267044444444102E-2</v>
      </c>
      <c r="K146" s="18">
        <v>45694.933333330402</v>
      </c>
      <c r="L146" s="21">
        <f t="shared" si="21"/>
        <v>4.5694933333330405E-2</v>
      </c>
      <c r="M146" s="18">
        <f t="shared" si="18"/>
        <v>0.10196197777777451</v>
      </c>
      <c r="N146" s="27">
        <v>-0.34908479999999997</v>
      </c>
      <c r="O146" s="7">
        <f t="shared" si="19"/>
        <v>0.76690522222222546</v>
      </c>
    </row>
    <row r="147" spans="1:15" x14ac:dyDescent="0.7">
      <c r="A147" s="6"/>
      <c r="B147" s="6"/>
      <c r="C147" s="6">
        <v>25</v>
      </c>
      <c r="D147" s="7">
        <v>5.7</v>
      </c>
      <c r="E147" s="4">
        <v>0</v>
      </c>
      <c r="F147" s="7">
        <v>5.7</v>
      </c>
      <c r="G147" s="16">
        <f t="shared" si="22"/>
        <v>492480</v>
      </c>
      <c r="H147" s="22">
        <f t="shared" si="23"/>
        <v>0.49247999999999997</v>
      </c>
      <c r="I147" s="18">
        <v>56646.494444444099</v>
      </c>
      <c r="J147" s="52">
        <f t="shared" si="20"/>
        <v>5.6646494444444098E-2</v>
      </c>
      <c r="K147" s="18">
        <v>46065.466666663699</v>
      </c>
      <c r="L147" s="21">
        <f t="shared" si="21"/>
        <v>4.6065466666663696E-2</v>
      </c>
      <c r="M147" s="18">
        <f t="shared" si="18"/>
        <v>0.10271196111110779</v>
      </c>
      <c r="N147" s="27">
        <v>-0.35281439999999997</v>
      </c>
      <c r="O147" s="7">
        <f t="shared" si="19"/>
        <v>0.74258243888889219</v>
      </c>
    </row>
    <row r="148" spans="1:15" x14ac:dyDescent="0.7">
      <c r="A148" s="6"/>
      <c r="B148" s="6"/>
      <c r="C148" s="6">
        <v>26</v>
      </c>
      <c r="D148" s="7">
        <v>5.0389999999999997</v>
      </c>
      <c r="E148" s="4">
        <v>0</v>
      </c>
      <c r="F148" s="7">
        <v>5.0389999999999997</v>
      </c>
      <c r="G148" s="16">
        <f t="shared" si="22"/>
        <v>435369.6</v>
      </c>
      <c r="H148" s="22">
        <f t="shared" si="23"/>
        <v>0.43536959999999997</v>
      </c>
      <c r="I148" s="18">
        <v>57025.944444444103</v>
      </c>
      <c r="J148" s="52">
        <f t="shared" si="20"/>
        <v>5.7025944444444102E-2</v>
      </c>
      <c r="K148" s="18">
        <v>46435.999999997002</v>
      </c>
      <c r="L148" s="21">
        <f t="shared" si="21"/>
        <v>4.6435999999997001E-2</v>
      </c>
      <c r="M148" s="18">
        <f t="shared" si="18"/>
        <v>0.1034619444444411</v>
      </c>
      <c r="N148" s="27">
        <v>-0.35654400000000003</v>
      </c>
      <c r="O148" s="7">
        <f t="shared" si="19"/>
        <v>0.68845165555555887</v>
      </c>
    </row>
    <row r="149" spans="1:15" x14ac:dyDescent="0.7">
      <c r="A149" s="6"/>
      <c r="B149" s="6"/>
      <c r="C149" s="6">
        <v>27</v>
      </c>
      <c r="D149" s="7">
        <v>2.0760000000000001</v>
      </c>
      <c r="E149" s="4">
        <v>32.799999999999997</v>
      </c>
      <c r="F149" s="7">
        <v>2.0760000000000001</v>
      </c>
      <c r="G149" s="16">
        <f t="shared" si="22"/>
        <v>179366.39999999999</v>
      </c>
      <c r="H149" s="22">
        <f t="shared" si="23"/>
        <v>0.17936639999999998</v>
      </c>
      <c r="I149" s="18">
        <v>57405.3944444441</v>
      </c>
      <c r="J149" s="52">
        <f t="shared" si="20"/>
        <v>5.7405394444444098E-2</v>
      </c>
      <c r="K149" s="18">
        <v>46806.533333330299</v>
      </c>
      <c r="L149" s="21">
        <f t="shared" si="21"/>
        <v>4.6806533333330298E-2</v>
      </c>
      <c r="M149" s="18">
        <f t="shared" si="18"/>
        <v>0.1042119277777744</v>
      </c>
      <c r="N149" s="27">
        <v>-0.36027360000000003</v>
      </c>
      <c r="O149" s="7">
        <f t="shared" si="19"/>
        <v>0.43542807222222563</v>
      </c>
    </row>
    <row r="150" spans="1:15" x14ac:dyDescent="0.7">
      <c r="A150" s="6"/>
      <c r="B150" s="6"/>
      <c r="C150" s="6">
        <v>28</v>
      </c>
      <c r="D150" s="7">
        <v>2.4769999999999999</v>
      </c>
      <c r="E150" s="4">
        <v>0</v>
      </c>
      <c r="F150" s="7">
        <v>2.4769999999999999</v>
      </c>
      <c r="G150" s="16">
        <f t="shared" si="22"/>
        <v>214012.79999999999</v>
      </c>
      <c r="H150" s="22">
        <f t="shared" si="23"/>
        <v>0.21401279999999998</v>
      </c>
      <c r="I150" s="18">
        <v>57784.844444444097</v>
      </c>
      <c r="J150" s="52">
        <f t="shared" si="20"/>
        <v>5.7784844444444095E-2</v>
      </c>
      <c r="K150" s="18">
        <v>47177.066666663603</v>
      </c>
      <c r="L150" s="21">
        <f t="shared" si="21"/>
        <v>4.7177066666663603E-2</v>
      </c>
      <c r="M150" s="18">
        <f t="shared" si="18"/>
        <v>0.1049619111111077</v>
      </c>
      <c r="N150" s="27">
        <v>-0.36400320000000003</v>
      </c>
      <c r="O150" s="7">
        <f t="shared" si="19"/>
        <v>0.47305408888889233</v>
      </c>
    </row>
    <row r="151" spans="1:15" x14ac:dyDescent="0.7">
      <c r="A151" s="6"/>
      <c r="B151" s="6"/>
      <c r="C151" s="6">
        <v>29</v>
      </c>
      <c r="D151" s="7">
        <v>2.0430000000000001</v>
      </c>
      <c r="E151" s="4">
        <v>73</v>
      </c>
      <c r="F151" s="7">
        <v>2.0430000000000001</v>
      </c>
      <c r="G151" s="16">
        <f t="shared" si="22"/>
        <v>176515.20000000001</v>
      </c>
      <c r="H151" s="22">
        <f t="shared" si="23"/>
        <v>0.17651520000000001</v>
      </c>
      <c r="I151" s="18">
        <v>58164.294444444102</v>
      </c>
      <c r="J151" s="52">
        <f t="shared" si="20"/>
        <v>5.8164294444444105E-2</v>
      </c>
      <c r="K151" s="18">
        <v>47547.599999996899</v>
      </c>
      <c r="L151" s="21">
        <f t="shared" si="21"/>
        <v>4.7547599999996901E-2</v>
      </c>
      <c r="M151" s="18">
        <f t="shared" si="18"/>
        <v>0.10571189444444101</v>
      </c>
      <c r="N151" s="27">
        <v>-0.36773280000000003</v>
      </c>
      <c r="O151" s="7">
        <f t="shared" si="19"/>
        <v>0.438536105555559</v>
      </c>
    </row>
    <row r="152" spans="1:15" x14ac:dyDescent="0.7">
      <c r="A152" s="6"/>
      <c r="B152" s="6"/>
      <c r="C152" s="6">
        <v>30</v>
      </c>
      <c r="D152" s="7">
        <v>6.0660000000000007</v>
      </c>
      <c r="E152" s="4">
        <v>18.2</v>
      </c>
      <c r="F152" s="7">
        <v>6.0660000000000007</v>
      </c>
      <c r="G152" s="16">
        <f t="shared" si="22"/>
        <v>524102.40000000008</v>
      </c>
      <c r="H152" s="22">
        <f t="shared" si="23"/>
        <v>0.52410240000000008</v>
      </c>
      <c r="I152" s="18">
        <v>58543.744444444099</v>
      </c>
      <c r="J152" s="52">
        <f t="shared" si="20"/>
        <v>5.8543744444444101E-2</v>
      </c>
      <c r="K152" s="18">
        <v>47918.133333330203</v>
      </c>
      <c r="L152" s="21">
        <f t="shared" si="21"/>
        <v>4.7918133333330205E-2</v>
      </c>
      <c r="M152" s="18">
        <f t="shared" si="18"/>
        <v>0.1064618777777743</v>
      </c>
      <c r="N152" s="27">
        <v>-0.37146240000000003</v>
      </c>
      <c r="O152" s="7">
        <f t="shared" si="19"/>
        <v>0.78910292222222589</v>
      </c>
    </row>
    <row r="153" spans="1:15" s="14" customFormat="1" ht="25.2" thickBot="1" x14ac:dyDescent="0.75">
      <c r="A153" s="9"/>
      <c r="B153" s="9" t="s">
        <v>19</v>
      </c>
      <c r="C153" s="9">
        <v>31</v>
      </c>
      <c r="D153" s="10">
        <v>10.053000000000001</v>
      </c>
      <c r="E153" s="20">
        <v>22.2</v>
      </c>
      <c r="F153" s="10">
        <v>10.053000000000001</v>
      </c>
      <c r="G153" s="29">
        <f t="shared" si="22"/>
        <v>868579.20000000007</v>
      </c>
      <c r="H153" s="30">
        <f t="shared" si="23"/>
        <v>0.86857920000000011</v>
      </c>
      <c r="I153" s="19">
        <v>58923.194444444103</v>
      </c>
      <c r="J153" s="53">
        <f t="shared" si="20"/>
        <v>5.8923194444444105E-2</v>
      </c>
      <c r="K153" s="19">
        <v>48288.666666663499</v>
      </c>
      <c r="L153" s="23">
        <f t="shared" si="21"/>
        <v>4.8288666666663496E-2</v>
      </c>
      <c r="M153" s="19">
        <f t="shared" si="18"/>
        <v>0.1072118611111076</v>
      </c>
      <c r="N153" s="31">
        <v>-0.37519200000000003</v>
      </c>
      <c r="O153" s="10">
        <f t="shared" si="19"/>
        <v>1.1365593388888926</v>
      </c>
    </row>
    <row r="154" spans="1:15" x14ac:dyDescent="0.7">
      <c r="A154" s="3"/>
      <c r="B154" s="3" t="s">
        <v>20</v>
      </c>
      <c r="C154" s="3">
        <v>1</v>
      </c>
      <c r="D154" s="4">
        <v>15.053000000000001</v>
      </c>
      <c r="E154" s="4">
        <v>3.5</v>
      </c>
      <c r="F154" s="4">
        <v>15.053000000000001</v>
      </c>
      <c r="G154" s="16">
        <f t="shared" si="22"/>
        <v>1300579.2000000002</v>
      </c>
      <c r="H154" s="22">
        <f t="shared" si="23"/>
        <v>1.3005792000000003</v>
      </c>
      <c r="I154" s="17">
        <v>59302.6444444441</v>
      </c>
      <c r="J154" s="54">
        <f t="shared" si="20"/>
        <v>5.9302644444444101E-2</v>
      </c>
      <c r="K154" s="17">
        <v>48659.199999996803</v>
      </c>
      <c r="L154" s="22">
        <f t="shared" si="21"/>
        <v>4.8659199999996801E-2</v>
      </c>
      <c r="M154" s="17">
        <f t="shared" si="18"/>
        <v>0.1079618444444409</v>
      </c>
      <c r="N154" s="28">
        <v>-0.37892160000000003</v>
      </c>
      <c r="O154" s="4">
        <f t="shared" si="19"/>
        <v>1.5715389555555594</v>
      </c>
    </row>
    <row r="155" spans="1:15" x14ac:dyDescent="0.7">
      <c r="A155" s="6"/>
      <c r="B155" s="6"/>
      <c r="C155" s="6">
        <v>2</v>
      </c>
      <c r="D155" s="7">
        <v>19.933999999999997</v>
      </c>
      <c r="E155" s="4">
        <v>0</v>
      </c>
      <c r="F155" s="7">
        <v>19.933999999999997</v>
      </c>
      <c r="G155" s="16">
        <f t="shared" si="22"/>
        <v>1722297.5999999999</v>
      </c>
      <c r="H155" s="22">
        <f t="shared" si="23"/>
        <v>1.7222975999999999</v>
      </c>
      <c r="I155" s="18">
        <v>59682.094444444097</v>
      </c>
      <c r="J155" s="52">
        <f t="shared" si="20"/>
        <v>5.9682094444444098E-2</v>
      </c>
      <c r="K155" s="18">
        <v>49029.733333330099</v>
      </c>
      <c r="L155" s="21">
        <f t="shared" si="21"/>
        <v>4.9029733333330099E-2</v>
      </c>
      <c r="M155" s="18">
        <f t="shared" si="18"/>
        <v>0.10871182777777419</v>
      </c>
      <c r="N155" s="27">
        <v>-0.38265120000000002</v>
      </c>
      <c r="O155" s="7">
        <f t="shared" si="19"/>
        <v>1.9962369722222257</v>
      </c>
    </row>
    <row r="156" spans="1:15" x14ac:dyDescent="0.7">
      <c r="A156" s="6"/>
      <c r="B156" s="6"/>
      <c r="C156" s="6">
        <v>3</v>
      </c>
      <c r="D156" s="7">
        <v>7.6080000000000005</v>
      </c>
      <c r="E156" s="4">
        <v>0</v>
      </c>
      <c r="F156" s="7">
        <v>7.6080000000000005</v>
      </c>
      <c r="G156" s="16">
        <f t="shared" si="22"/>
        <v>657331.20000000007</v>
      </c>
      <c r="H156" s="22">
        <f t="shared" si="23"/>
        <v>0.65733120000000012</v>
      </c>
      <c r="I156" s="18">
        <v>60061.544444444102</v>
      </c>
      <c r="J156" s="52">
        <f t="shared" si="20"/>
        <v>6.0061544444444101E-2</v>
      </c>
      <c r="K156" s="18">
        <v>49400.266666663403</v>
      </c>
      <c r="L156" s="21">
        <f t="shared" si="21"/>
        <v>4.9400266666663403E-2</v>
      </c>
      <c r="M156" s="18">
        <f t="shared" si="18"/>
        <v>0.1094618111111075</v>
      </c>
      <c r="N156" s="27">
        <v>-0.38638080000000002</v>
      </c>
      <c r="O156" s="7">
        <f t="shared" si="19"/>
        <v>0.93425018888889255</v>
      </c>
    </row>
    <row r="157" spans="1:15" x14ac:dyDescent="0.7">
      <c r="A157" s="6"/>
      <c r="B157" s="6"/>
      <c r="C157" s="3">
        <v>4</v>
      </c>
      <c r="D157" s="7">
        <v>4.8130000000000006</v>
      </c>
      <c r="E157" s="4">
        <v>0</v>
      </c>
      <c r="F157" s="7">
        <v>4.8130000000000006</v>
      </c>
      <c r="G157" s="16">
        <f t="shared" si="22"/>
        <v>415843.20000000007</v>
      </c>
      <c r="H157" s="22">
        <f t="shared" si="23"/>
        <v>0.41584320000000008</v>
      </c>
      <c r="I157" s="18">
        <v>60440.994444444099</v>
      </c>
      <c r="J157" s="52">
        <f t="shared" si="20"/>
        <v>6.0440994444444097E-2</v>
      </c>
      <c r="K157" s="18">
        <v>49770.7999999967</v>
      </c>
      <c r="L157" s="21">
        <f t="shared" si="21"/>
        <v>4.9770799999996701E-2</v>
      </c>
      <c r="M157" s="18">
        <f t="shared" si="18"/>
        <v>0.11021179444444079</v>
      </c>
      <c r="N157" s="27">
        <v>-0.39011040000000002</v>
      </c>
      <c r="O157" s="7">
        <f t="shared" si="19"/>
        <v>0.69574180555555931</v>
      </c>
    </row>
    <row r="158" spans="1:15" x14ac:dyDescent="0.7">
      <c r="A158" s="6"/>
      <c r="B158" s="6"/>
      <c r="C158" s="6">
        <v>5</v>
      </c>
      <c r="D158" s="7">
        <v>4.8040000000000003</v>
      </c>
      <c r="E158" s="4">
        <v>15.6</v>
      </c>
      <c r="F158" s="7">
        <v>4.8040000000000003</v>
      </c>
      <c r="G158" s="16">
        <f t="shared" si="22"/>
        <v>415065.60000000003</v>
      </c>
      <c r="H158" s="22">
        <f t="shared" si="23"/>
        <v>0.41506560000000003</v>
      </c>
      <c r="I158" s="18">
        <v>60820.444444444103</v>
      </c>
      <c r="J158" s="52">
        <f t="shared" si="20"/>
        <v>6.0820444444444101E-2</v>
      </c>
      <c r="K158" s="18">
        <v>50141.333333330003</v>
      </c>
      <c r="L158" s="21">
        <f t="shared" si="21"/>
        <v>5.0141333333330006E-2</v>
      </c>
      <c r="M158" s="18">
        <f t="shared" si="18"/>
        <v>0.11096177777777411</v>
      </c>
      <c r="N158" s="27">
        <v>-0.39384000000000002</v>
      </c>
      <c r="O158" s="7">
        <f t="shared" si="19"/>
        <v>0.69794382222222595</v>
      </c>
    </row>
    <row r="159" spans="1:15" x14ac:dyDescent="0.7">
      <c r="A159" s="6"/>
      <c r="B159" s="6"/>
      <c r="C159" s="6">
        <v>6</v>
      </c>
      <c r="D159" s="7">
        <v>3.6339999999999999</v>
      </c>
      <c r="E159" s="4">
        <v>2.8</v>
      </c>
      <c r="F159" s="7">
        <v>3.6339999999999999</v>
      </c>
      <c r="G159" s="16">
        <f t="shared" si="22"/>
        <v>313977.59999999998</v>
      </c>
      <c r="H159" s="22">
        <f t="shared" si="23"/>
        <v>0.31397759999999997</v>
      </c>
      <c r="I159" s="18">
        <v>61199.8944444441</v>
      </c>
      <c r="J159" s="52">
        <f t="shared" si="20"/>
        <v>6.1199894444444097E-2</v>
      </c>
      <c r="K159" s="18">
        <v>50511.8666666633</v>
      </c>
      <c r="L159" s="21">
        <f t="shared" si="21"/>
        <v>5.0511866666663296E-2</v>
      </c>
      <c r="M159" s="18">
        <f t="shared" si="18"/>
        <v>0.11171176111110739</v>
      </c>
      <c r="N159" s="27">
        <v>-0.39756960000000002</v>
      </c>
      <c r="O159" s="7">
        <f t="shared" si="19"/>
        <v>0.59983543888889257</v>
      </c>
    </row>
    <row r="160" spans="1:15" x14ac:dyDescent="0.7">
      <c r="A160" s="6"/>
      <c r="B160" s="6"/>
      <c r="C160" s="3">
        <v>7</v>
      </c>
      <c r="D160" s="7">
        <v>4.2039999999999997</v>
      </c>
      <c r="E160" s="4">
        <v>5.4</v>
      </c>
      <c r="F160" s="7">
        <v>4.2039999999999997</v>
      </c>
      <c r="G160" s="16">
        <f t="shared" si="22"/>
        <v>363225.59999999998</v>
      </c>
      <c r="H160" s="22">
        <f t="shared" si="23"/>
        <v>0.36322559999999998</v>
      </c>
      <c r="I160" s="18">
        <v>61579.344444444097</v>
      </c>
      <c r="J160" s="52">
        <f t="shared" si="20"/>
        <v>6.1579344444444101E-2</v>
      </c>
      <c r="K160" s="18">
        <v>50882.399999996604</v>
      </c>
      <c r="L160" s="21">
        <f t="shared" si="21"/>
        <v>5.0882399999996601E-2</v>
      </c>
      <c r="M160" s="18">
        <f t="shared" si="18"/>
        <v>0.11246174444444071</v>
      </c>
      <c r="N160" s="27">
        <v>-0.40129920000000002</v>
      </c>
      <c r="O160" s="7">
        <f t="shared" si="19"/>
        <v>0.65206305555555932</v>
      </c>
    </row>
    <row r="161" spans="1:15" x14ac:dyDescent="0.7">
      <c r="A161" s="6"/>
      <c r="B161" s="6"/>
      <c r="C161" s="6">
        <v>8</v>
      </c>
      <c r="D161" s="7">
        <v>5.6710000000000003</v>
      </c>
      <c r="E161" s="4">
        <v>0</v>
      </c>
      <c r="F161" s="7">
        <v>5.6710000000000003</v>
      </c>
      <c r="G161" s="16">
        <f t="shared" si="22"/>
        <v>489974.4</v>
      </c>
      <c r="H161" s="22">
        <f t="shared" si="23"/>
        <v>0.48997440000000003</v>
      </c>
      <c r="I161" s="18">
        <v>61958.794444444102</v>
      </c>
      <c r="J161" s="52">
        <f t="shared" si="20"/>
        <v>6.1958794444444104E-2</v>
      </c>
      <c r="K161" s="18">
        <v>51252.9333333299</v>
      </c>
      <c r="L161" s="21">
        <f t="shared" si="21"/>
        <v>5.1252933333329899E-2</v>
      </c>
      <c r="M161" s="18">
        <f t="shared" si="18"/>
        <v>0.113211727777774</v>
      </c>
      <c r="N161" s="27">
        <v>-0.40502880000000002</v>
      </c>
      <c r="O161" s="7">
        <f t="shared" si="19"/>
        <v>0.78179147222222611</v>
      </c>
    </row>
    <row r="162" spans="1:15" x14ac:dyDescent="0.7">
      <c r="A162" s="6"/>
      <c r="B162" s="6"/>
      <c r="C162" s="6">
        <v>9</v>
      </c>
      <c r="D162" s="7">
        <v>4.633</v>
      </c>
      <c r="E162" s="4">
        <v>0</v>
      </c>
      <c r="F162" s="7">
        <v>4.633</v>
      </c>
      <c r="G162" s="16">
        <f t="shared" si="22"/>
        <v>400291.2</v>
      </c>
      <c r="H162" s="22">
        <f t="shared" si="23"/>
        <v>0.40029120000000001</v>
      </c>
      <c r="I162" s="18">
        <v>62338.244444444099</v>
      </c>
      <c r="J162" s="52">
        <f t="shared" si="20"/>
        <v>6.2338244444444101E-2</v>
      </c>
      <c r="K162" s="18">
        <v>51623.466666663197</v>
      </c>
      <c r="L162" s="21">
        <f t="shared" si="21"/>
        <v>5.1623466666663197E-2</v>
      </c>
      <c r="M162" s="18">
        <f t="shared" si="18"/>
        <v>0.1139617111111073</v>
      </c>
      <c r="N162" s="27">
        <v>-0.40875840000000002</v>
      </c>
      <c r="O162" s="7">
        <f t="shared" si="19"/>
        <v>0.69508788888889272</v>
      </c>
    </row>
    <row r="163" spans="1:15" x14ac:dyDescent="0.7">
      <c r="A163" s="6"/>
      <c r="B163" s="6"/>
      <c r="C163" s="3">
        <v>10</v>
      </c>
      <c r="D163" s="7">
        <v>4.125</v>
      </c>
      <c r="E163" s="4">
        <v>0</v>
      </c>
      <c r="F163" s="7">
        <v>4.125</v>
      </c>
      <c r="G163" s="16">
        <f t="shared" si="22"/>
        <v>356400</v>
      </c>
      <c r="H163" s="22">
        <f t="shared" si="23"/>
        <v>0.35639999999999999</v>
      </c>
      <c r="I163" s="18">
        <v>62717.694444444103</v>
      </c>
      <c r="J163" s="52">
        <f t="shared" si="20"/>
        <v>6.2717694444444097E-2</v>
      </c>
      <c r="K163" s="18">
        <v>51993.9999999965</v>
      </c>
      <c r="L163" s="21">
        <f t="shared" si="21"/>
        <v>5.1993999999996501E-2</v>
      </c>
      <c r="M163" s="18">
        <f t="shared" si="18"/>
        <v>0.1147116944444406</v>
      </c>
      <c r="N163" s="27">
        <v>-0.41248800000000002</v>
      </c>
      <c r="O163" s="7">
        <f t="shared" si="19"/>
        <v>0.65417630555555939</v>
      </c>
    </row>
    <row r="164" spans="1:15" x14ac:dyDescent="0.7">
      <c r="A164" s="6"/>
      <c r="B164" s="6"/>
      <c r="C164" s="6">
        <v>11</v>
      </c>
      <c r="D164" s="7">
        <v>3.93</v>
      </c>
      <c r="E164" s="4">
        <v>0</v>
      </c>
      <c r="F164" s="7">
        <v>3.93</v>
      </c>
      <c r="G164" s="16">
        <f t="shared" si="22"/>
        <v>339552</v>
      </c>
      <c r="H164" s="22">
        <f t="shared" si="23"/>
        <v>0.33955200000000002</v>
      </c>
      <c r="I164" s="21">
        <v>17884</v>
      </c>
      <c r="J164" s="52">
        <f t="shared" si="20"/>
        <v>1.7884000000000001E-2</v>
      </c>
      <c r="K164" s="21">
        <v>1330</v>
      </c>
      <c r="L164" s="21">
        <f t="shared" si="21"/>
        <v>1.33E-3</v>
      </c>
      <c r="M164" s="21">
        <f t="shared" si="18"/>
        <v>1.9214000000000002E-2</v>
      </c>
      <c r="N164" s="21">
        <v>4.2647040000000004E-2</v>
      </c>
      <c r="O164" s="7">
        <f t="shared" si="19"/>
        <v>0.27769095999999999</v>
      </c>
    </row>
    <row r="165" spans="1:15" x14ac:dyDescent="0.7">
      <c r="A165" s="6"/>
      <c r="B165" s="6"/>
      <c r="C165" s="6">
        <v>12</v>
      </c>
      <c r="D165" s="7">
        <v>4.8540000000000001</v>
      </c>
      <c r="E165" s="4">
        <v>0.4</v>
      </c>
      <c r="F165" s="7">
        <v>4.8540000000000001</v>
      </c>
      <c r="G165" s="16">
        <f t="shared" si="22"/>
        <v>419385.60000000003</v>
      </c>
      <c r="H165" s="22">
        <f t="shared" si="23"/>
        <v>0.41938560000000003</v>
      </c>
      <c r="I165" s="21">
        <v>15390</v>
      </c>
      <c r="J165" s="52">
        <f t="shared" si="20"/>
        <v>1.5389999999999999E-2</v>
      </c>
      <c r="K165" s="21">
        <v>1955</v>
      </c>
      <c r="L165" s="21">
        <f t="shared" si="21"/>
        <v>1.9550000000000001E-3</v>
      </c>
      <c r="M165" s="21">
        <f t="shared" si="18"/>
        <v>1.7344999999999999E-2</v>
      </c>
      <c r="N165" s="21">
        <v>3.7670400000000001E-3</v>
      </c>
      <c r="O165" s="7">
        <f t="shared" si="19"/>
        <v>0.39827356000000003</v>
      </c>
    </row>
    <row r="166" spans="1:15" x14ac:dyDescent="0.7">
      <c r="A166" s="6"/>
      <c r="B166" s="6"/>
      <c r="C166" s="3">
        <v>13</v>
      </c>
      <c r="D166" s="7">
        <v>4.5759999999999996</v>
      </c>
      <c r="E166" s="4">
        <v>0.5</v>
      </c>
      <c r="F166" s="7">
        <v>4.5759999999999996</v>
      </c>
      <c r="G166" s="16">
        <f t="shared" si="22"/>
        <v>395366.39999999997</v>
      </c>
      <c r="H166" s="22">
        <f t="shared" si="23"/>
        <v>0.39536639999999995</v>
      </c>
      <c r="I166" s="21">
        <v>16452</v>
      </c>
      <c r="J166" s="52">
        <f t="shared" si="20"/>
        <v>1.6452000000000001E-2</v>
      </c>
      <c r="K166" s="21">
        <v>2069</v>
      </c>
      <c r="L166" s="21">
        <f t="shared" si="21"/>
        <v>2.0690000000000001E-3</v>
      </c>
      <c r="M166" s="21">
        <f t="shared" si="18"/>
        <v>1.8521000000000003E-2</v>
      </c>
      <c r="N166" s="21">
        <v>3.7670400000000001E-3</v>
      </c>
      <c r="O166" s="7">
        <f t="shared" si="19"/>
        <v>0.37307835999999994</v>
      </c>
    </row>
    <row r="167" spans="1:15" x14ac:dyDescent="0.7">
      <c r="A167" s="6"/>
      <c r="B167" s="6"/>
      <c r="C167" s="6">
        <v>14</v>
      </c>
      <c r="D167" s="7">
        <v>5.2430000000000003</v>
      </c>
      <c r="E167" s="4">
        <v>1</v>
      </c>
      <c r="F167" s="7">
        <v>5.2430000000000003</v>
      </c>
      <c r="G167" s="16">
        <f t="shared" si="22"/>
        <v>452995.2</v>
      </c>
      <c r="H167" s="22">
        <f t="shared" si="23"/>
        <v>0.45299519999999999</v>
      </c>
      <c r="I167" s="21">
        <v>20079</v>
      </c>
      <c r="J167" s="52">
        <f t="shared" si="20"/>
        <v>2.0079E-2</v>
      </c>
      <c r="K167" s="21">
        <v>1465</v>
      </c>
      <c r="L167" s="21">
        <f t="shared" si="21"/>
        <v>1.4649999999999999E-3</v>
      </c>
      <c r="M167" s="21">
        <f t="shared" si="18"/>
        <v>2.1544000000000001E-2</v>
      </c>
      <c r="N167" s="21">
        <v>3.7670400000000001E-3</v>
      </c>
      <c r="O167" s="7">
        <f t="shared" si="19"/>
        <v>0.42768415999999998</v>
      </c>
    </row>
    <row r="168" spans="1:15" x14ac:dyDescent="0.7">
      <c r="A168" s="6"/>
      <c r="B168" s="6"/>
      <c r="C168" s="6">
        <v>15</v>
      </c>
      <c r="D168" s="7">
        <v>5.367</v>
      </c>
      <c r="E168" s="4">
        <v>0.3</v>
      </c>
      <c r="F168" s="7">
        <v>5.367</v>
      </c>
      <c r="G168" s="16">
        <f t="shared" si="22"/>
        <v>463708.8</v>
      </c>
      <c r="H168" s="22">
        <f t="shared" si="23"/>
        <v>0.46370879999999998</v>
      </c>
      <c r="I168" s="21">
        <v>17796</v>
      </c>
      <c r="J168" s="52">
        <f t="shared" si="20"/>
        <v>1.7795999999999999E-2</v>
      </c>
      <c r="K168" s="21">
        <v>2244</v>
      </c>
      <c r="L168" s="21">
        <f t="shared" si="21"/>
        <v>2.2439999999999999E-3</v>
      </c>
      <c r="M168" s="21">
        <f t="shared" si="18"/>
        <v>2.0039999999999999E-2</v>
      </c>
      <c r="N168" s="21">
        <v>3.7670400000000001E-3</v>
      </c>
      <c r="O168" s="7">
        <f t="shared" si="19"/>
        <v>0.43990175999999998</v>
      </c>
    </row>
    <row r="169" spans="1:15" x14ac:dyDescent="0.7">
      <c r="A169" s="6"/>
      <c r="B169" s="6"/>
      <c r="C169" s="3">
        <v>16</v>
      </c>
      <c r="D169" s="7">
        <v>4.8869999999999996</v>
      </c>
      <c r="E169" s="4">
        <v>3.1</v>
      </c>
      <c r="F169" s="7">
        <v>4.8869999999999996</v>
      </c>
      <c r="G169" s="16">
        <f t="shared" si="22"/>
        <v>422236.8</v>
      </c>
      <c r="H169" s="22">
        <f t="shared" si="23"/>
        <v>0.42223679999999997</v>
      </c>
      <c r="I169" s="18">
        <v>64994.3944444441</v>
      </c>
      <c r="J169" s="52">
        <f t="shared" si="20"/>
        <v>6.4994394444444104E-2</v>
      </c>
      <c r="K169" s="18">
        <v>54217.199999996301</v>
      </c>
      <c r="L169" s="21">
        <f t="shared" si="21"/>
        <v>5.4217199999996302E-2</v>
      </c>
      <c r="M169" s="18">
        <f t="shared" si="18"/>
        <v>0.11921159444444041</v>
      </c>
      <c r="N169" s="27">
        <v>-0.43486560000000002</v>
      </c>
      <c r="O169" s="7">
        <f t="shared" si="19"/>
        <v>0.73789080555555953</v>
      </c>
    </row>
    <row r="170" spans="1:15" x14ac:dyDescent="0.7">
      <c r="A170" s="6"/>
      <c r="B170" s="6"/>
      <c r="C170" s="6">
        <v>17</v>
      </c>
      <c r="D170" s="7">
        <v>4.5119999999999996</v>
      </c>
      <c r="E170" s="4">
        <v>0.4</v>
      </c>
      <c r="F170" s="7">
        <v>4.5119999999999996</v>
      </c>
      <c r="G170" s="16">
        <f t="shared" si="22"/>
        <v>389836.79999999999</v>
      </c>
      <c r="H170" s="22">
        <f t="shared" si="23"/>
        <v>0.38983679999999998</v>
      </c>
      <c r="I170" s="18">
        <v>65373.844444444097</v>
      </c>
      <c r="J170" s="52">
        <f t="shared" si="20"/>
        <v>6.5373844444444093E-2</v>
      </c>
      <c r="K170" s="18">
        <v>54587.733333329597</v>
      </c>
      <c r="L170" s="21">
        <f t="shared" si="21"/>
        <v>5.4587733333329599E-2</v>
      </c>
      <c r="M170" s="18">
        <f t="shared" si="18"/>
        <v>0.11996157777777369</v>
      </c>
      <c r="N170" s="27">
        <v>-0.43859520000000002</v>
      </c>
      <c r="O170" s="7">
        <f t="shared" si="19"/>
        <v>0.70847042222222623</v>
      </c>
    </row>
    <row r="171" spans="1:15" x14ac:dyDescent="0.7">
      <c r="A171" s="6"/>
      <c r="B171" s="6"/>
      <c r="C171" s="6">
        <v>18</v>
      </c>
      <c r="D171" s="7">
        <v>5.3129999999999997</v>
      </c>
      <c r="E171" s="4">
        <v>3.1</v>
      </c>
      <c r="F171" s="7">
        <v>5.3129999999999997</v>
      </c>
      <c r="G171" s="16">
        <f t="shared" si="22"/>
        <v>459043.19999999995</v>
      </c>
      <c r="H171" s="22">
        <f t="shared" si="23"/>
        <v>0.45904319999999993</v>
      </c>
      <c r="I171" s="18">
        <v>65753.294444444095</v>
      </c>
      <c r="J171" s="52">
        <f t="shared" si="20"/>
        <v>6.5753294444444096E-2</v>
      </c>
      <c r="K171" s="18">
        <v>54958.266666662901</v>
      </c>
      <c r="L171" s="21">
        <f t="shared" si="21"/>
        <v>5.4958266666662904E-2</v>
      </c>
      <c r="M171" s="18">
        <f t="shared" si="18"/>
        <v>0.12071156111110701</v>
      </c>
      <c r="N171" s="27">
        <v>-0.44232480000000002</v>
      </c>
      <c r="O171" s="7">
        <f t="shared" si="19"/>
        <v>0.78065643888889302</v>
      </c>
    </row>
    <row r="172" spans="1:15" x14ac:dyDescent="0.7">
      <c r="A172" s="6"/>
      <c r="B172" s="6"/>
      <c r="C172" s="3">
        <v>19</v>
      </c>
      <c r="D172" s="7">
        <v>8.3940000000000001</v>
      </c>
      <c r="E172" s="4">
        <v>1.5</v>
      </c>
      <c r="F172" s="7">
        <v>8.3940000000000001</v>
      </c>
      <c r="G172" s="16">
        <f t="shared" si="22"/>
        <v>725241.6</v>
      </c>
      <c r="H172" s="22">
        <f t="shared" si="23"/>
        <v>0.72524159999999993</v>
      </c>
      <c r="I172" s="18">
        <v>66132.744444444106</v>
      </c>
      <c r="J172" s="52">
        <f t="shared" si="20"/>
        <v>6.61327444444441E-2</v>
      </c>
      <c r="K172" s="18">
        <v>55328.799999996198</v>
      </c>
      <c r="L172" s="21">
        <f t="shared" si="21"/>
        <v>5.5328799999996195E-2</v>
      </c>
      <c r="M172" s="18">
        <f t="shared" si="18"/>
        <v>0.12146154444444029</v>
      </c>
      <c r="N172" s="27">
        <v>-0.44605440000000002</v>
      </c>
      <c r="O172" s="7">
        <f t="shared" si="19"/>
        <v>1.0498344555555597</v>
      </c>
    </row>
    <row r="173" spans="1:15" x14ac:dyDescent="0.7">
      <c r="A173" s="6"/>
      <c r="B173" s="6"/>
      <c r="C173" s="6">
        <v>20</v>
      </c>
      <c r="D173" s="7">
        <v>9.9420000000000002</v>
      </c>
      <c r="E173" s="4">
        <v>0</v>
      </c>
      <c r="F173" s="7">
        <v>9.9420000000000002</v>
      </c>
      <c r="G173" s="16">
        <f t="shared" si="22"/>
        <v>858988.8</v>
      </c>
      <c r="H173" s="22">
        <f t="shared" si="23"/>
        <v>0.8589888</v>
      </c>
      <c r="I173" s="18">
        <v>66512.194444444103</v>
      </c>
      <c r="J173" s="52">
        <f t="shared" si="20"/>
        <v>6.6512194444444103E-2</v>
      </c>
      <c r="K173" s="18">
        <v>55699.333333329501</v>
      </c>
      <c r="L173" s="21">
        <f t="shared" si="21"/>
        <v>5.56993333333295E-2</v>
      </c>
      <c r="M173" s="18">
        <f t="shared" si="18"/>
        <v>0.12221152777777361</v>
      </c>
      <c r="N173" s="27">
        <v>-0.44978400000000002</v>
      </c>
      <c r="O173" s="7">
        <f t="shared" si="19"/>
        <v>1.1865612722222263</v>
      </c>
    </row>
    <row r="174" spans="1:15" x14ac:dyDescent="0.7">
      <c r="A174" s="6"/>
      <c r="B174" s="6"/>
      <c r="C174" s="6">
        <v>21</v>
      </c>
      <c r="D174" s="7">
        <v>6.0369999999999999</v>
      </c>
      <c r="E174" s="4">
        <v>0</v>
      </c>
      <c r="F174" s="7">
        <v>6.0369999999999999</v>
      </c>
      <c r="G174" s="16">
        <f t="shared" si="22"/>
        <v>521596.8</v>
      </c>
      <c r="H174" s="22">
        <f t="shared" si="23"/>
        <v>0.52159679999999997</v>
      </c>
      <c r="I174" s="18">
        <v>66891.6444444441</v>
      </c>
      <c r="J174" s="52">
        <f t="shared" si="20"/>
        <v>6.6891644444444107E-2</v>
      </c>
      <c r="K174" s="18">
        <v>56069.866666662798</v>
      </c>
      <c r="L174" s="21">
        <f t="shared" si="21"/>
        <v>5.6069866666662797E-2</v>
      </c>
      <c r="M174" s="18">
        <f t="shared" si="18"/>
        <v>0.1229615111111069</v>
      </c>
      <c r="N174" s="27">
        <v>-0.45351360000000002</v>
      </c>
      <c r="O174" s="7">
        <f t="shared" si="19"/>
        <v>0.85214888888889306</v>
      </c>
    </row>
    <row r="175" spans="1:15" x14ac:dyDescent="0.7">
      <c r="A175" s="6"/>
      <c r="B175" s="6"/>
      <c r="C175" s="3">
        <v>22</v>
      </c>
      <c r="D175" s="7">
        <v>5.2619999999999996</v>
      </c>
      <c r="E175" s="4">
        <v>0</v>
      </c>
      <c r="F175" s="7">
        <v>5.2619999999999996</v>
      </c>
      <c r="G175" s="16">
        <f t="shared" si="22"/>
        <v>454636.79999999999</v>
      </c>
      <c r="H175" s="22">
        <f t="shared" si="23"/>
        <v>0.45463680000000001</v>
      </c>
      <c r="I175" s="18">
        <v>67271.094444444097</v>
      </c>
      <c r="J175" s="52">
        <f t="shared" si="20"/>
        <v>6.7271094444444096E-2</v>
      </c>
      <c r="K175" s="18">
        <v>56440.399999996102</v>
      </c>
      <c r="L175" s="21">
        <f t="shared" si="21"/>
        <v>5.6440399999996102E-2</v>
      </c>
      <c r="M175" s="18">
        <f t="shared" si="18"/>
        <v>0.1237114944444402</v>
      </c>
      <c r="N175" s="27">
        <v>-0.45724320000000002</v>
      </c>
      <c r="O175" s="7">
        <f t="shared" si="19"/>
        <v>0.78816850555555984</v>
      </c>
    </row>
    <row r="176" spans="1:15" x14ac:dyDescent="0.7">
      <c r="A176" s="6"/>
      <c r="B176" s="6"/>
      <c r="C176" s="6">
        <v>23</v>
      </c>
      <c r="D176" s="7">
        <v>4.4050000000000002</v>
      </c>
      <c r="E176" s="4">
        <v>0</v>
      </c>
      <c r="F176" s="7">
        <v>4.4050000000000002</v>
      </c>
      <c r="G176" s="16">
        <f t="shared" si="22"/>
        <v>380592</v>
      </c>
      <c r="H176" s="22">
        <f t="shared" si="23"/>
        <v>0.38059199999999999</v>
      </c>
      <c r="I176" s="18">
        <v>67650.544444444095</v>
      </c>
      <c r="J176" s="52">
        <f t="shared" si="20"/>
        <v>6.76505444444441E-2</v>
      </c>
      <c r="K176" s="18">
        <v>56810.933333329398</v>
      </c>
      <c r="L176" s="21">
        <f t="shared" si="21"/>
        <v>5.68109333333294E-2</v>
      </c>
      <c r="M176" s="18">
        <f t="shared" si="18"/>
        <v>0.1244614777777735</v>
      </c>
      <c r="N176" s="27">
        <v>-0.46097280000000002</v>
      </c>
      <c r="O176" s="7">
        <f t="shared" si="19"/>
        <v>0.7171033222222265</v>
      </c>
    </row>
    <row r="177" spans="1:15" x14ac:dyDescent="0.7">
      <c r="A177" s="6"/>
      <c r="B177" s="6"/>
      <c r="C177" s="6">
        <v>24</v>
      </c>
      <c r="D177" s="7">
        <v>4.0209999999999999</v>
      </c>
      <c r="E177" s="4">
        <v>0</v>
      </c>
      <c r="F177" s="7">
        <v>4.0209999999999999</v>
      </c>
      <c r="G177" s="16">
        <f t="shared" si="22"/>
        <v>347414.39999999997</v>
      </c>
      <c r="H177" s="22">
        <f t="shared" si="23"/>
        <v>0.34741439999999996</v>
      </c>
      <c r="I177" s="18">
        <v>68029.994444444106</v>
      </c>
      <c r="J177" s="52">
        <f t="shared" si="20"/>
        <v>6.8029994444444103E-2</v>
      </c>
      <c r="K177" s="18">
        <v>57181.466666662702</v>
      </c>
      <c r="L177" s="21">
        <f t="shared" si="21"/>
        <v>5.7181466666662704E-2</v>
      </c>
      <c r="M177" s="18">
        <f t="shared" si="18"/>
        <v>0.12521146111110681</v>
      </c>
      <c r="N177" s="27">
        <v>-0.46470240000000002</v>
      </c>
      <c r="O177" s="7">
        <f t="shared" si="19"/>
        <v>0.68690533888889316</v>
      </c>
    </row>
    <row r="178" spans="1:15" x14ac:dyDescent="0.7">
      <c r="A178" s="6"/>
      <c r="B178" s="6"/>
      <c r="C178" s="3">
        <v>25</v>
      </c>
      <c r="D178" s="7">
        <v>5.1150000000000002</v>
      </c>
      <c r="E178" s="4">
        <v>0</v>
      </c>
      <c r="F178" s="7">
        <v>5.1150000000000002</v>
      </c>
      <c r="G178" s="16">
        <f t="shared" si="22"/>
        <v>441936</v>
      </c>
      <c r="H178" s="22">
        <f t="shared" si="23"/>
        <v>0.441936</v>
      </c>
      <c r="I178" s="18">
        <v>68409.444444444103</v>
      </c>
      <c r="J178" s="52">
        <f t="shared" si="20"/>
        <v>6.8409444444444106E-2</v>
      </c>
      <c r="K178" s="18">
        <v>57551.999999995998</v>
      </c>
      <c r="L178" s="21">
        <f t="shared" si="21"/>
        <v>5.7551999999995995E-2</v>
      </c>
      <c r="M178" s="18">
        <f t="shared" si="18"/>
        <v>0.1259614444444401</v>
      </c>
      <c r="N178" s="27">
        <v>-0.46843200000000002</v>
      </c>
      <c r="O178" s="7">
        <f t="shared" si="19"/>
        <v>0.78440655555555994</v>
      </c>
    </row>
    <row r="179" spans="1:15" x14ac:dyDescent="0.7">
      <c r="A179" s="6"/>
      <c r="B179" s="6"/>
      <c r="C179" s="6">
        <v>26</v>
      </c>
      <c r="D179" s="7">
        <v>4.758</v>
      </c>
      <c r="E179" s="4">
        <v>0</v>
      </c>
      <c r="F179" s="7">
        <v>4.758</v>
      </c>
      <c r="G179" s="16">
        <f t="shared" si="22"/>
        <v>411091.20000000001</v>
      </c>
      <c r="H179" s="22">
        <f t="shared" si="23"/>
        <v>0.41109119999999999</v>
      </c>
      <c r="I179" s="18">
        <v>68788.894444443999</v>
      </c>
      <c r="J179" s="52">
        <f t="shared" si="20"/>
        <v>6.8788894444443999E-2</v>
      </c>
      <c r="K179" s="18">
        <v>57922.533333329302</v>
      </c>
      <c r="L179" s="21">
        <f t="shared" si="21"/>
        <v>5.79225333333293E-2</v>
      </c>
      <c r="M179" s="18">
        <f t="shared" si="18"/>
        <v>0.12671142777777331</v>
      </c>
      <c r="N179" s="27">
        <v>-0.47216160000000001</v>
      </c>
      <c r="O179" s="7">
        <f t="shared" si="19"/>
        <v>0.75654137222222673</v>
      </c>
    </row>
    <row r="180" spans="1:15" x14ac:dyDescent="0.7">
      <c r="A180" s="6"/>
      <c r="B180" s="6"/>
      <c r="C180" s="6">
        <v>27</v>
      </c>
      <c r="D180" s="7">
        <v>4.7880000000000003</v>
      </c>
      <c r="E180" s="4">
        <v>0</v>
      </c>
      <c r="F180" s="7">
        <v>4.7880000000000003</v>
      </c>
      <c r="G180" s="16">
        <f t="shared" si="22"/>
        <v>413683.20000000001</v>
      </c>
      <c r="H180" s="22">
        <f t="shared" si="23"/>
        <v>0.41368320000000003</v>
      </c>
      <c r="I180" s="18">
        <v>69168.344444443996</v>
      </c>
      <c r="J180" s="52">
        <f t="shared" si="20"/>
        <v>6.9168344444444002E-2</v>
      </c>
      <c r="K180" s="18">
        <v>58293.066666662598</v>
      </c>
      <c r="L180" s="21">
        <f t="shared" si="21"/>
        <v>5.8293066666662598E-2</v>
      </c>
      <c r="M180" s="18">
        <f t="shared" si="18"/>
        <v>0.12746141111110659</v>
      </c>
      <c r="N180" s="27">
        <v>-0.47589120000000001</v>
      </c>
      <c r="O180" s="7">
        <f t="shared" si="19"/>
        <v>0.76211298888889345</v>
      </c>
    </row>
    <row r="181" spans="1:15" x14ac:dyDescent="0.7">
      <c r="A181" s="6"/>
      <c r="B181" s="6"/>
      <c r="C181" s="3">
        <v>28</v>
      </c>
      <c r="D181" s="7">
        <v>4.1790000000000003</v>
      </c>
      <c r="E181" s="4">
        <v>6.4</v>
      </c>
      <c r="F181" s="7">
        <v>4.1790000000000003</v>
      </c>
      <c r="G181" s="16">
        <f t="shared" si="22"/>
        <v>361065.60000000003</v>
      </c>
      <c r="H181" s="22">
        <f t="shared" si="23"/>
        <v>0.36106560000000004</v>
      </c>
      <c r="I181" s="18">
        <v>69547.794444444007</v>
      </c>
      <c r="J181" s="52">
        <f t="shared" si="20"/>
        <v>6.9547794444444005E-2</v>
      </c>
      <c r="K181" s="18">
        <v>58663.599999995902</v>
      </c>
      <c r="L181" s="21">
        <f t="shared" si="21"/>
        <v>5.8663599999995902E-2</v>
      </c>
      <c r="M181" s="18">
        <f t="shared" si="18"/>
        <v>0.12821139444443991</v>
      </c>
      <c r="N181" s="27">
        <v>-0.47962080000000001</v>
      </c>
      <c r="O181" s="7">
        <f t="shared" si="19"/>
        <v>0.7124750055555602</v>
      </c>
    </row>
    <row r="182" spans="1:15" x14ac:dyDescent="0.7">
      <c r="A182" s="6"/>
      <c r="B182" s="6"/>
      <c r="C182" s="6">
        <v>29</v>
      </c>
      <c r="D182" s="7">
        <v>4.4359999999999999</v>
      </c>
      <c r="E182" s="4">
        <v>7.9</v>
      </c>
      <c r="F182" s="7">
        <v>4.4359999999999999</v>
      </c>
      <c r="G182" s="16">
        <f t="shared" si="22"/>
        <v>383270.40000000002</v>
      </c>
      <c r="H182" s="22">
        <f t="shared" si="23"/>
        <v>0.38327040000000001</v>
      </c>
      <c r="I182" s="18">
        <v>69927.244444444004</v>
      </c>
      <c r="J182" s="52">
        <f t="shared" si="20"/>
        <v>6.9927244444444009E-2</v>
      </c>
      <c r="K182" s="18">
        <v>59034.133333329199</v>
      </c>
      <c r="L182" s="21">
        <f t="shared" si="21"/>
        <v>5.90341333333292E-2</v>
      </c>
      <c r="M182" s="18">
        <f t="shared" si="18"/>
        <v>0.12896137777777322</v>
      </c>
      <c r="N182" s="27">
        <v>-0.48335040000000001</v>
      </c>
      <c r="O182" s="7">
        <f t="shared" si="19"/>
        <v>0.7376594222222268</v>
      </c>
    </row>
    <row r="183" spans="1:15" s="14" customFormat="1" ht="25.2" thickBot="1" x14ac:dyDescent="0.75">
      <c r="A183" s="9"/>
      <c r="B183" s="12" t="s">
        <v>20</v>
      </c>
      <c r="C183" s="9">
        <v>30</v>
      </c>
      <c r="D183" s="10">
        <v>4.2539999999999996</v>
      </c>
      <c r="E183" s="20">
        <v>0.7</v>
      </c>
      <c r="F183" s="10">
        <v>4.2539999999999996</v>
      </c>
      <c r="G183" s="29">
        <f t="shared" si="22"/>
        <v>367545.59999999998</v>
      </c>
      <c r="H183" s="30">
        <f t="shared" si="23"/>
        <v>0.36754559999999997</v>
      </c>
      <c r="I183" s="19">
        <v>70306.694444444001</v>
      </c>
      <c r="J183" s="53">
        <f t="shared" si="20"/>
        <v>7.0306694444443998E-2</v>
      </c>
      <c r="K183" s="19">
        <v>59404.666666662502</v>
      </c>
      <c r="L183" s="23">
        <f t="shared" si="21"/>
        <v>5.9404666666662505E-2</v>
      </c>
      <c r="M183" s="19">
        <f t="shared" si="18"/>
        <v>0.12971136111110651</v>
      </c>
      <c r="N183" s="31">
        <v>-0.48708000000000001</v>
      </c>
      <c r="O183" s="10">
        <f t="shared" si="19"/>
        <v>0.7249142388888935</v>
      </c>
    </row>
    <row r="184" spans="1:15" x14ac:dyDescent="0.7">
      <c r="A184" s="3"/>
      <c r="B184" s="3" t="s">
        <v>21</v>
      </c>
      <c r="C184" s="3">
        <v>1</v>
      </c>
      <c r="D184" s="4">
        <v>4.2539999999999996</v>
      </c>
      <c r="E184" s="4">
        <v>0.7</v>
      </c>
      <c r="F184" s="4">
        <v>4.2539999999999996</v>
      </c>
      <c r="G184" s="16">
        <f t="shared" si="22"/>
        <v>367545.59999999998</v>
      </c>
      <c r="H184" s="22">
        <f t="shared" si="23"/>
        <v>0.36754559999999997</v>
      </c>
      <c r="I184" s="17">
        <v>70686.144444443999</v>
      </c>
      <c r="J184" s="54">
        <f t="shared" si="20"/>
        <v>7.0686144444444002E-2</v>
      </c>
      <c r="K184" s="17">
        <v>59775.199999995799</v>
      </c>
      <c r="L184" s="22">
        <f t="shared" si="21"/>
        <v>5.9775199999995796E-2</v>
      </c>
      <c r="M184" s="17">
        <f t="shared" si="18"/>
        <v>0.1304613444444398</v>
      </c>
      <c r="N184" s="28">
        <v>-0.49080960000000001</v>
      </c>
      <c r="O184" s="4">
        <f t="shared" si="19"/>
        <v>0.72789385555556019</v>
      </c>
    </row>
    <row r="185" spans="1:15" x14ac:dyDescent="0.7">
      <c r="A185" s="6"/>
      <c r="B185" s="6"/>
      <c r="C185" s="6">
        <v>2</v>
      </c>
      <c r="D185" s="7">
        <v>4.4729999999999999</v>
      </c>
      <c r="E185" s="4">
        <v>0.4</v>
      </c>
      <c r="F185" s="7">
        <v>4.4729999999999999</v>
      </c>
      <c r="G185" s="16">
        <f t="shared" si="22"/>
        <v>386467.2</v>
      </c>
      <c r="H185" s="22">
        <f t="shared" si="23"/>
        <v>0.38646720000000001</v>
      </c>
      <c r="I185" s="18">
        <v>71065.594444443996</v>
      </c>
      <c r="J185" s="52">
        <f t="shared" si="20"/>
        <v>7.1065594444443991E-2</v>
      </c>
      <c r="K185" s="18">
        <v>60145.733333329103</v>
      </c>
      <c r="L185" s="21">
        <f t="shared" si="21"/>
        <v>6.01457333333291E-2</v>
      </c>
      <c r="M185" s="18">
        <f t="shared" si="18"/>
        <v>0.13121132777777308</v>
      </c>
      <c r="N185" s="27">
        <v>-0.49453920000000001</v>
      </c>
      <c r="O185" s="7">
        <f t="shared" si="19"/>
        <v>0.74979507222222685</v>
      </c>
    </row>
    <row r="186" spans="1:15" x14ac:dyDescent="0.7">
      <c r="A186" s="6"/>
      <c r="B186" s="6"/>
      <c r="C186" s="6">
        <v>3</v>
      </c>
      <c r="D186" s="7">
        <v>4.1790000000000003</v>
      </c>
      <c r="E186" s="4">
        <v>0</v>
      </c>
      <c r="F186" s="7">
        <v>4.1790000000000003</v>
      </c>
      <c r="G186" s="16">
        <f t="shared" si="22"/>
        <v>361065.60000000003</v>
      </c>
      <c r="H186" s="22">
        <f t="shared" si="23"/>
        <v>0.36106560000000004</v>
      </c>
      <c r="I186" s="18">
        <v>71445.044444444007</v>
      </c>
      <c r="J186" s="52">
        <f t="shared" si="20"/>
        <v>7.1445044444444009E-2</v>
      </c>
      <c r="K186" s="18">
        <v>60516.266666662399</v>
      </c>
      <c r="L186" s="21">
        <f t="shared" si="21"/>
        <v>6.0516266666662398E-2</v>
      </c>
      <c r="M186" s="18">
        <f t="shared" si="18"/>
        <v>0.1319613111111064</v>
      </c>
      <c r="N186" s="27">
        <v>-0.49826880000000001</v>
      </c>
      <c r="O186" s="7">
        <f t="shared" si="19"/>
        <v>0.72737308888889363</v>
      </c>
    </row>
    <row r="187" spans="1:15" x14ac:dyDescent="0.7">
      <c r="A187" s="6"/>
      <c r="B187" s="6"/>
      <c r="C187" s="3">
        <v>4</v>
      </c>
      <c r="D187" s="7">
        <v>3.8340000000000001</v>
      </c>
      <c r="E187" s="4">
        <v>0</v>
      </c>
      <c r="F187" s="7">
        <v>3.8340000000000001</v>
      </c>
      <c r="G187" s="16">
        <f t="shared" si="22"/>
        <v>331257.60000000003</v>
      </c>
      <c r="H187" s="22">
        <f t="shared" si="23"/>
        <v>0.33125760000000004</v>
      </c>
      <c r="I187" s="18">
        <v>71824.494444444004</v>
      </c>
      <c r="J187" s="52">
        <f t="shared" si="20"/>
        <v>7.1824494444443998E-2</v>
      </c>
      <c r="K187" s="18">
        <v>60886.799999995703</v>
      </c>
      <c r="L187" s="21">
        <f t="shared" si="21"/>
        <v>6.0886799999995703E-2</v>
      </c>
      <c r="M187" s="18">
        <f t="shared" si="18"/>
        <v>0.13271129444443969</v>
      </c>
      <c r="N187" s="27">
        <v>-0.50199839999999996</v>
      </c>
      <c r="O187" s="7">
        <f t="shared" si="19"/>
        <v>0.70054470555556025</v>
      </c>
    </row>
    <row r="188" spans="1:15" x14ac:dyDescent="0.7">
      <c r="A188" s="6"/>
      <c r="B188" s="6"/>
      <c r="C188" s="6">
        <v>5</v>
      </c>
      <c r="D188" s="7">
        <v>3.7559999999999998</v>
      </c>
      <c r="E188" s="4">
        <v>0</v>
      </c>
      <c r="F188" s="7">
        <v>3.7559999999999998</v>
      </c>
      <c r="G188" s="16">
        <f t="shared" si="22"/>
        <v>324518.39999999997</v>
      </c>
      <c r="H188" s="22">
        <f t="shared" si="23"/>
        <v>0.32451839999999998</v>
      </c>
      <c r="I188" s="18">
        <v>72203.944444444001</v>
      </c>
      <c r="J188" s="52">
        <f t="shared" si="20"/>
        <v>7.2203944444444002E-2</v>
      </c>
      <c r="K188" s="18">
        <v>61257.333333328999</v>
      </c>
      <c r="L188" s="21">
        <f t="shared" si="21"/>
        <v>6.1257333333329E-2</v>
      </c>
      <c r="M188" s="18">
        <f t="shared" si="18"/>
        <v>0.133461277777773</v>
      </c>
      <c r="N188" s="27">
        <v>-0.50572799999999996</v>
      </c>
      <c r="O188" s="7">
        <f t="shared" si="19"/>
        <v>0.69678512222222699</v>
      </c>
    </row>
    <row r="189" spans="1:15" x14ac:dyDescent="0.7">
      <c r="A189" s="6"/>
      <c r="B189" s="6"/>
      <c r="C189" s="6">
        <v>6</v>
      </c>
      <c r="D189" s="7">
        <v>3.7559999999999998</v>
      </c>
      <c r="E189" s="4">
        <v>0</v>
      </c>
      <c r="F189" s="7">
        <v>3.7559999999999998</v>
      </c>
      <c r="G189" s="16">
        <f t="shared" si="22"/>
        <v>324518.39999999997</v>
      </c>
      <c r="H189" s="22">
        <f t="shared" si="23"/>
        <v>0.32451839999999998</v>
      </c>
      <c r="I189" s="18">
        <v>72583.394444443999</v>
      </c>
      <c r="J189" s="52">
        <f t="shared" si="20"/>
        <v>7.2583394444444005E-2</v>
      </c>
      <c r="K189" s="18">
        <v>61627.866666662303</v>
      </c>
      <c r="L189" s="21">
        <f t="shared" si="21"/>
        <v>6.1627866666662305E-2</v>
      </c>
      <c r="M189" s="18">
        <f t="shared" si="18"/>
        <v>0.13421126111110632</v>
      </c>
      <c r="N189" s="27">
        <v>-0.50945759999999995</v>
      </c>
      <c r="O189" s="7">
        <f t="shared" si="19"/>
        <v>0.69976473888889368</v>
      </c>
    </row>
    <row r="190" spans="1:15" x14ac:dyDescent="0.7">
      <c r="A190" s="6"/>
      <c r="B190" s="6"/>
      <c r="C190" s="3">
        <v>7</v>
      </c>
      <c r="D190" s="7">
        <v>3.718</v>
      </c>
      <c r="E190" s="4">
        <v>0.4</v>
      </c>
      <c r="F190" s="7">
        <v>3.718</v>
      </c>
      <c r="G190" s="16">
        <f t="shared" si="22"/>
        <v>321235.20000000001</v>
      </c>
      <c r="H190" s="22">
        <f t="shared" si="23"/>
        <v>0.3212352</v>
      </c>
      <c r="I190" s="18">
        <v>72962.844444443996</v>
      </c>
      <c r="J190" s="52">
        <f t="shared" si="20"/>
        <v>7.2962844444443994E-2</v>
      </c>
      <c r="K190" s="18">
        <v>61998.3999999956</v>
      </c>
      <c r="L190" s="21">
        <f t="shared" si="21"/>
        <v>6.1998399999995603E-2</v>
      </c>
      <c r="M190" s="18">
        <f t="shared" si="18"/>
        <v>0.1349612444444396</v>
      </c>
      <c r="N190" s="27">
        <v>-0.51318719999999995</v>
      </c>
      <c r="O190" s="7">
        <f t="shared" si="19"/>
        <v>0.69946115555556032</v>
      </c>
    </row>
    <row r="191" spans="1:15" x14ac:dyDescent="0.7">
      <c r="A191" s="6"/>
      <c r="B191" s="6"/>
      <c r="C191" s="6">
        <v>8</v>
      </c>
      <c r="D191" s="7">
        <v>3.718</v>
      </c>
      <c r="E191" s="4">
        <v>0</v>
      </c>
      <c r="F191" s="7">
        <v>3.718</v>
      </c>
      <c r="G191" s="16">
        <f t="shared" si="22"/>
        <v>321235.20000000001</v>
      </c>
      <c r="H191" s="22">
        <f t="shared" si="23"/>
        <v>0.3212352</v>
      </c>
      <c r="I191" s="18">
        <v>73342.294444444007</v>
      </c>
      <c r="J191" s="52">
        <f t="shared" si="20"/>
        <v>7.3342294444444012E-2</v>
      </c>
      <c r="K191" s="18">
        <v>62368.933333328903</v>
      </c>
      <c r="L191" s="21">
        <f t="shared" si="21"/>
        <v>6.2368933333328901E-2</v>
      </c>
      <c r="M191" s="18">
        <f t="shared" ref="M191:M254" si="24">J191+L191</f>
        <v>0.13571122777777292</v>
      </c>
      <c r="N191" s="27">
        <v>-0.51691679999999995</v>
      </c>
      <c r="O191" s="7">
        <f t="shared" ref="O191:O254" si="25">H191-M191-N191</f>
        <v>0.70244077222222701</v>
      </c>
    </row>
    <row r="192" spans="1:15" x14ac:dyDescent="0.7">
      <c r="A192" s="6"/>
      <c r="B192" s="6"/>
      <c r="C192" s="6">
        <v>9</v>
      </c>
      <c r="D192" s="7">
        <v>4.141</v>
      </c>
      <c r="E192" s="4">
        <v>3.2</v>
      </c>
      <c r="F192" s="7">
        <v>4.141</v>
      </c>
      <c r="G192" s="16">
        <f t="shared" si="22"/>
        <v>357782.4</v>
      </c>
      <c r="H192" s="22">
        <f t="shared" si="23"/>
        <v>0.3577824</v>
      </c>
      <c r="I192" s="18">
        <v>73721.744444444004</v>
      </c>
      <c r="J192" s="52">
        <f t="shared" si="20"/>
        <v>7.3721744444444001E-2</v>
      </c>
      <c r="K192" s="18">
        <v>62739.4666666622</v>
      </c>
      <c r="L192" s="21">
        <f t="shared" si="21"/>
        <v>6.2739466666662205E-2</v>
      </c>
      <c r="M192" s="18">
        <f t="shared" si="24"/>
        <v>0.13646121111110621</v>
      </c>
      <c r="N192" s="27">
        <v>-0.52064639999999995</v>
      </c>
      <c r="O192" s="7">
        <f t="shared" si="25"/>
        <v>0.74196758888889369</v>
      </c>
    </row>
    <row r="193" spans="1:15" x14ac:dyDescent="0.7">
      <c r="A193" s="6"/>
      <c r="B193" s="6"/>
      <c r="C193" s="3">
        <v>10</v>
      </c>
      <c r="D193" s="7">
        <v>4.141</v>
      </c>
      <c r="E193" s="4">
        <v>1.3</v>
      </c>
      <c r="F193" s="7">
        <v>4.141</v>
      </c>
      <c r="G193" s="16">
        <f t="shared" si="22"/>
        <v>357782.4</v>
      </c>
      <c r="H193" s="22">
        <f t="shared" si="23"/>
        <v>0.3577824</v>
      </c>
      <c r="I193" s="18">
        <v>74101.194444444001</v>
      </c>
      <c r="J193" s="52">
        <f t="shared" si="20"/>
        <v>7.4101194444444005E-2</v>
      </c>
      <c r="K193" s="18">
        <v>63109.999999995503</v>
      </c>
      <c r="L193" s="21">
        <f t="shared" si="21"/>
        <v>6.3109999999995503E-2</v>
      </c>
      <c r="M193" s="18">
        <f t="shared" si="24"/>
        <v>0.13721119444443952</v>
      </c>
      <c r="N193" s="27">
        <v>-0.52437599999999995</v>
      </c>
      <c r="O193" s="7">
        <f t="shared" si="25"/>
        <v>0.74494720555556038</v>
      </c>
    </row>
    <row r="194" spans="1:15" x14ac:dyDescent="0.7">
      <c r="A194" s="6"/>
      <c r="B194" s="6"/>
      <c r="C194" s="6">
        <v>11</v>
      </c>
      <c r="D194" s="7">
        <v>4.2169999999999996</v>
      </c>
      <c r="E194" s="4">
        <v>0</v>
      </c>
      <c r="F194" s="7">
        <v>4.2169999999999996</v>
      </c>
      <c r="G194" s="16">
        <f t="shared" si="22"/>
        <v>364348.8</v>
      </c>
      <c r="H194" s="22">
        <f t="shared" si="23"/>
        <v>0.36434879999999997</v>
      </c>
      <c r="I194" s="18">
        <v>74480.644444443999</v>
      </c>
      <c r="J194" s="52">
        <f t="shared" si="20"/>
        <v>7.4480644444443994E-2</v>
      </c>
      <c r="K194" s="18">
        <v>63480.5333333288</v>
      </c>
      <c r="L194" s="21">
        <f t="shared" si="21"/>
        <v>6.3480533333328801E-2</v>
      </c>
      <c r="M194" s="18">
        <f t="shared" si="24"/>
        <v>0.13796117777777278</v>
      </c>
      <c r="N194" s="27">
        <v>-0.52810559999999995</v>
      </c>
      <c r="O194" s="7">
        <f t="shared" si="25"/>
        <v>0.75449322222222714</v>
      </c>
    </row>
    <row r="195" spans="1:15" x14ac:dyDescent="0.7">
      <c r="A195" s="6"/>
      <c r="B195" s="6"/>
      <c r="C195" s="6">
        <v>12</v>
      </c>
      <c r="D195" s="7">
        <v>4.2110000000000003</v>
      </c>
      <c r="E195" s="4">
        <v>0</v>
      </c>
      <c r="F195" s="7">
        <v>4.2110000000000003</v>
      </c>
      <c r="G195" s="16">
        <f t="shared" si="22"/>
        <v>363830.4</v>
      </c>
      <c r="H195" s="22">
        <f t="shared" si="23"/>
        <v>0.3638304</v>
      </c>
      <c r="I195" s="18">
        <v>74860.094444443996</v>
      </c>
      <c r="J195" s="52">
        <f t="shared" ref="J195:J258" si="26">I195/1000000</f>
        <v>7.4860094444443998E-2</v>
      </c>
      <c r="K195" s="18">
        <v>63851.066666662096</v>
      </c>
      <c r="L195" s="21">
        <f t="shared" ref="L195:L258" si="27">K195/1000000</f>
        <v>6.3851066666662099E-2</v>
      </c>
      <c r="M195" s="18">
        <f t="shared" si="24"/>
        <v>0.1387111611111061</v>
      </c>
      <c r="N195" s="27">
        <v>-0.53183519999999995</v>
      </c>
      <c r="O195" s="7">
        <f t="shared" si="25"/>
        <v>0.7569544388888938</v>
      </c>
    </row>
    <row r="196" spans="1:15" x14ac:dyDescent="0.7">
      <c r="A196" s="6"/>
      <c r="B196" s="6"/>
      <c r="C196" s="3">
        <v>13</v>
      </c>
      <c r="D196" s="7">
        <v>4.2809999999999997</v>
      </c>
      <c r="E196" s="4">
        <v>0</v>
      </c>
      <c r="F196" s="7">
        <v>4.2809999999999997</v>
      </c>
      <c r="G196" s="16">
        <f t="shared" ref="G196:G259" si="28">F196*86400</f>
        <v>369878.39999999997</v>
      </c>
      <c r="H196" s="22">
        <f t="shared" ref="H196:H259" si="29">G196/1000000</f>
        <v>0.36987839999999994</v>
      </c>
      <c r="I196" s="18">
        <v>75239.544444444007</v>
      </c>
      <c r="J196" s="52">
        <f t="shared" si="26"/>
        <v>7.5239544444444001E-2</v>
      </c>
      <c r="K196" s="18">
        <v>64221.5999999954</v>
      </c>
      <c r="L196" s="21">
        <f t="shared" si="27"/>
        <v>6.4221599999995396E-2</v>
      </c>
      <c r="M196" s="18">
        <f t="shared" si="24"/>
        <v>0.13946114444443941</v>
      </c>
      <c r="N196" s="27">
        <v>-0.53556479999999995</v>
      </c>
      <c r="O196" s="7">
        <f t="shared" si="25"/>
        <v>0.76598205555556054</v>
      </c>
    </row>
    <row r="197" spans="1:15" x14ac:dyDescent="0.7">
      <c r="A197" s="6"/>
      <c r="B197" s="6"/>
      <c r="C197" s="6">
        <v>14</v>
      </c>
      <c r="D197" s="7">
        <v>4.2809999999999997</v>
      </c>
      <c r="E197" s="4">
        <v>0</v>
      </c>
      <c r="F197" s="7">
        <v>4.2809999999999997</v>
      </c>
      <c r="G197" s="16">
        <f t="shared" si="28"/>
        <v>369878.39999999997</v>
      </c>
      <c r="H197" s="22">
        <f t="shared" si="29"/>
        <v>0.36987839999999994</v>
      </c>
      <c r="I197" s="18">
        <v>75618.994444444004</v>
      </c>
      <c r="J197" s="52">
        <f t="shared" si="26"/>
        <v>7.5618994444444004E-2</v>
      </c>
      <c r="K197" s="18">
        <v>64592.133333328697</v>
      </c>
      <c r="L197" s="21">
        <f t="shared" si="27"/>
        <v>6.4592133333328694E-2</v>
      </c>
      <c r="M197" s="18">
        <f t="shared" si="24"/>
        <v>0.1402111277777727</v>
      </c>
      <c r="N197" s="27">
        <v>-0.53929439999999995</v>
      </c>
      <c r="O197" s="7">
        <f t="shared" si="25"/>
        <v>0.76896167222222722</v>
      </c>
    </row>
    <row r="198" spans="1:15" x14ac:dyDescent="0.7">
      <c r="A198" s="6"/>
      <c r="B198" s="6"/>
      <c r="C198" s="6">
        <v>15</v>
      </c>
      <c r="D198" s="7">
        <v>4.2460000000000004</v>
      </c>
      <c r="E198" s="4">
        <v>7</v>
      </c>
      <c r="F198" s="7">
        <v>4.2460000000000004</v>
      </c>
      <c r="G198" s="16">
        <f t="shared" si="28"/>
        <v>366854.40000000002</v>
      </c>
      <c r="H198" s="22">
        <f t="shared" si="29"/>
        <v>0.36685440000000002</v>
      </c>
      <c r="I198" s="18">
        <v>75998.444444444001</v>
      </c>
      <c r="J198" s="52">
        <f t="shared" si="26"/>
        <v>7.5998444444444008E-2</v>
      </c>
      <c r="K198" s="18">
        <v>64962.666666662</v>
      </c>
      <c r="L198" s="21">
        <f t="shared" si="27"/>
        <v>6.4962666666662006E-2</v>
      </c>
      <c r="M198" s="18">
        <f t="shared" si="24"/>
        <v>0.14096111111110601</v>
      </c>
      <c r="N198" s="27">
        <v>-0.54302399999999995</v>
      </c>
      <c r="O198" s="7">
        <f t="shared" si="25"/>
        <v>0.76891728888889399</v>
      </c>
    </row>
    <row r="199" spans="1:15" x14ac:dyDescent="0.7">
      <c r="A199" s="6"/>
      <c r="B199" s="6"/>
      <c r="C199" s="3">
        <v>16</v>
      </c>
      <c r="D199" s="7">
        <v>4.7640000000000002</v>
      </c>
      <c r="E199" s="4">
        <v>0</v>
      </c>
      <c r="F199" s="7">
        <v>4.7640000000000002</v>
      </c>
      <c r="G199" s="16">
        <f t="shared" si="28"/>
        <v>411609.60000000003</v>
      </c>
      <c r="H199" s="22">
        <f t="shared" si="29"/>
        <v>0.41160960000000002</v>
      </c>
      <c r="I199" s="18">
        <v>76377.894444443999</v>
      </c>
      <c r="J199" s="52">
        <f t="shared" si="26"/>
        <v>7.6377894444443997E-2</v>
      </c>
      <c r="K199" s="18">
        <v>65333.199999995297</v>
      </c>
      <c r="L199" s="21">
        <f t="shared" si="27"/>
        <v>6.5333199999995303E-2</v>
      </c>
      <c r="M199" s="18">
        <f t="shared" si="24"/>
        <v>0.1417110944444393</v>
      </c>
      <c r="N199" s="27">
        <v>-0.54675359999999995</v>
      </c>
      <c r="O199" s="7">
        <f t="shared" si="25"/>
        <v>0.81665210555556067</v>
      </c>
    </row>
    <row r="200" spans="1:15" x14ac:dyDescent="0.7">
      <c r="A200" s="6"/>
      <c r="B200" s="6"/>
      <c r="C200" s="6">
        <v>17</v>
      </c>
      <c r="D200" s="7">
        <v>4.3360000000000003</v>
      </c>
      <c r="E200" s="4">
        <v>0</v>
      </c>
      <c r="F200" s="7">
        <v>4.3360000000000003</v>
      </c>
      <c r="G200" s="16">
        <f t="shared" si="28"/>
        <v>374630.40000000002</v>
      </c>
      <c r="H200" s="22">
        <f t="shared" si="29"/>
        <v>0.37463040000000003</v>
      </c>
      <c r="I200" s="18">
        <v>76757.344444443996</v>
      </c>
      <c r="J200" s="52">
        <f t="shared" si="26"/>
        <v>7.6757344444444001E-2</v>
      </c>
      <c r="K200" s="18">
        <v>65703.733333328593</v>
      </c>
      <c r="L200" s="21">
        <f t="shared" si="27"/>
        <v>6.5703733333328587E-2</v>
      </c>
      <c r="M200" s="18">
        <f t="shared" si="24"/>
        <v>0.14246107777777259</v>
      </c>
      <c r="N200" s="27">
        <v>-0.55048319999999995</v>
      </c>
      <c r="O200" s="7">
        <f t="shared" si="25"/>
        <v>0.78265252222222736</v>
      </c>
    </row>
    <row r="201" spans="1:15" x14ac:dyDescent="0.7">
      <c r="A201" s="6"/>
      <c r="B201" s="6"/>
      <c r="C201" s="6">
        <v>18</v>
      </c>
      <c r="D201" s="7">
        <v>3.694</v>
      </c>
      <c r="E201" s="4">
        <v>0</v>
      </c>
      <c r="F201" s="7">
        <v>3.694</v>
      </c>
      <c r="G201" s="16">
        <f t="shared" si="28"/>
        <v>319161.59999999998</v>
      </c>
      <c r="H201" s="22">
        <f t="shared" si="29"/>
        <v>0.31916159999999999</v>
      </c>
      <c r="I201" s="18">
        <v>77136.794444444007</v>
      </c>
      <c r="J201" s="52">
        <f t="shared" si="26"/>
        <v>7.7136794444444004E-2</v>
      </c>
      <c r="K201" s="18">
        <v>66074.266666661904</v>
      </c>
      <c r="L201" s="21">
        <f t="shared" si="27"/>
        <v>6.6074266666661899E-2</v>
      </c>
      <c r="M201" s="18">
        <f t="shared" si="24"/>
        <v>0.1432110611111059</v>
      </c>
      <c r="N201" s="27">
        <v>-0.55421279999999995</v>
      </c>
      <c r="O201" s="7">
        <f t="shared" si="25"/>
        <v>0.73016333888889406</v>
      </c>
    </row>
    <row r="202" spans="1:15" x14ac:dyDescent="0.7">
      <c r="A202" s="6"/>
      <c r="B202" s="6"/>
      <c r="C202" s="3">
        <v>19</v>
      </c>
      <c r="D202" s="7">
        <v>3.609</v>
      </c>
      <c r="E202" s="4">
        <v>0</v>
      </c>
      <c r="F202" s="7">
        <v>3.609</v>
      </c>
      <c r="G202" s="16">
        <f t="shared" si="28"/>
        <v>311817.59999999998</v>
      </c>
      <c r="H202" s="22">
        <f t="shared" si="29"/>
        <v>0.31181759999999997</v>
      </c>
      <c r="I202" s="18">
        <v>77516.244444444004</v>
      </c>
      <c r="J202" s="52">
        <f t="shared" si="26"/>
        <v>7.7516244444444007E-2</v>
      </c>
      <c r="K202" s="18">
        <v>66444.799999995201</v>
      </c>
      <c r="L202" s="21">
        <f t="shared" si="27"/>
        <v>6.6444799999995197E-2</v>
      </c>
      <c r="M202" s="18">
        <f t="shared" si="24"/>
        <v>0.14396104444443919</v>
      </c>
      <c r="N202" s="27">
        <v>-0.55794239999999995</v>
      </c>
      <c r="O202" s="7">
        <f t="shared" si="25"/>
        <v>0.72579895555556073</v>
      </c>
    </row>
    <row r="203" spans="1:15" x14ac:dyDescent="0.7">
      <c r="A203" s="6"/>
      <c r="B203" s="6"/>
      <c r="C203" s="6">
        <v>20</v>
      </c>
      <c r="D203" s="7">
        <v>2.5659999999999998</v>
      </c>
      <c r="E203" s="4">
        <v>44.5</v>
      </c>
      <c r="F203" s="7">
        <v>2.5659999999999998</v>
      </c>
      <c r="G203" s="16">
        <f t="shared" si="28"/>
        <v>221702.39999999999</v>
      </c>
      <c r="H203" s="22">
        <f t="shared" si="29"/>
        <v>0.22170239999999999</v>
      </c>
      <c r="I203" s="18">
        <v>77895.694444444001</v>
      </c>
      <c r="J203" s="52">
        <f t="shared" si="26"/>
        <v>7.7895694444443997E-2</v>
      </c>
      <c r="K203" s="18">
        <v>66815.333333328497</v>
      </c>
      <c r="L203" s="21">
        <f t="shared" si="27"/>
        <v>6.6815333333328494E-2</v>
      </c>
      <c r="M203" s="18">
        <f t="shared" si="24"/>
        <v>0.14471102777777251</v>
      </c>
      <c r="N203" s="27">
        <v>-0.56167199999999995</v>
      </c>
      <c r="O203" s="7">
        <f t="shared" si="25"/>
        <v>0.63866337222222747</v>
      </c>
    </row>
    <row r="204" spans="1:15" x14ac:dyDescent="0.7">
      <c r="A204" s="6"/>
      <c r="B204" s="6"/>
      <c r="C204" s="6">
        <v>21</v>
      </c>
      <c r="D204" s="7">
        <v>3.5659999999999998</v>
      </c>
      <c r="E204" s="4">
        <v>4</v>
      </c>
      <c r="F204" s="7">
        <v>3.5659999999999998</v>
      </c>
      <c r="G204" s="16">
        <f t="shared" si="28"/>
        <v>308102.39999999997</v>
      </c>
      <c r="H204" s="22">
        <f t="shared" si="29"/>
        <v>0.30810239999999994</v>
      </c>
      <c r="I204" s="18">
        <v>78275.144444443999</v>
      </c>
      <c r="J204" s="52">
        <f t="shared" si="26"/>
        <v>7.8275144444444E-2</v>
      </c>
      <c r="K204" s="18">
        <v>67185.866666661794</v>
      </c>
      <c r="L204" s="21">
        <f t="shared" si="27"/>
        <v>6.7185866666661792E-2</v>
      </c>
      <c r="M204" s="18">
        <f t="shared" si="24"/>
        <v>0.14546101111110579</v>
      </c>
      <c r="N204" s="27">
        <v>-0.56540159999999995</v>
      </c>
      <c r="O204" s="7">
        <f t="shared" si="25"/>
        <v>0.72804298888889407</v>
      </c>
    </row>
    <row r="205" spans="1:15" x14ac:dyDescent="0.7">
      <c r="A205" s="6"/>
      <c r="B205" s="6"/>
      <c r="C205" s="3">
        <v>22</v>
      </c>
      <c r="D205" s="7">
        <v>6.5540000000000003</v>
      </c>
      <c r="E205" s="4">
        <v>0</v>
      </c>
      <c r="F205" s="7">
        <v>6.5540000000000003</v>
      </c>
      <c r="G205" s="16">
        <f t="shared" si="28"/>
        <v>566265.59999999998</v>
      </c>
      <c r="H205" s="22">
        <f t="shared" si="29"/>
        <v>0.56626559999999992</v>
      </c>
      <c r="I205" s="18">
        <v>78654.594444443996</v>
      </c>
      <c r="J205" s="52">
        <f t="shared" si="26"/>
        <v>7.865459444444399E-2</v>
      </c>
      <c r="K205" s="18">
        <v>67556.399999995105</v>
      </c>
      <c r="L205" s="21">
        <f t="shared" si="27"/>
        <v>6.7556399999995104E-2</v>
      </c>
      <c r="M205" s="18">
        <f t="shared" si="24"/>
        <v>0.14621099444443908</v>
      </c>
      <c r="N205" s="27">
        <v>-0.56913119999999995</v>
      </c>
      <c r="O205" s="7">
        <f t="shared" si="25"/>
        <v>0.98918580555556079</v>
      </c>
    </row>
    <row r="206" spans="1:15" x14ac:dyDescent="0.7">
      <c r="A206" s="6"/>
      <c r="B206" s="6"/>
      <c r="C206" s="6">
        <v>23</v>
      </c>
      <c r="D206" s="7">
        <v>5.625</v>
      </c>
      <c r="E206" s="4">
        <v>3.3</v>
      </c>
      <c r="F206" s="7">
        <v>5.625</v>
      </c>
      <c r="G206" s="16">
        <f t="shared" si="28"/>
        <v>486000</v>
      </c>
      <c r="H206" s="22">
        <f t="shared" si="29"/>
        <v>0.48599999999999999</v>
      </c>
      <c r="I206" s="18">
        <v>79034.044444444007</v>
      </c>
      <c r="J206" s="52">
        <f t="shared" si="26"/>
        <v>7.9034044444444007E-2</v>
      </c>
      <c r="K206" s="18">
        <v>67926.933333328401</v>
      </c>
      <c r="L206" s="21">
        <f t="shared" si="27"/>
        <v>6.7926933333328401E-2</v>
      </c>
      <c r="M206" s="18">
        <f t="shared" si="24"/>
        <v>0.14696097777777239</v>
      </c>
      <c r="N206" s="27">
        <v>-0.57286079999999995</v>
      </c>
      <c r="O206" s="7">
        <f t="shared" si="25"/>
        <v>0.91189982222222754</v>
      </c>
    </row>
    <row r="207" spans="1:15" x14ac:dyDescent="0.7">
      <c r="A207" s="6"/>
      <c r="B207" s="6"/>
      <c r="C207" s="6">
        <v>24</v>
      </c>
      <c r="D207" s="7">
        <v>5.4219999999999997</v>
      </c>
      <c r="E207" s="4">
        <v>13.5</v>
      </c>
      <c r="F207" s="7">
        <v>5.4219999999999997</v>
      </c>
      <c r="G207" s="16">
        <f t="shared" si="28"/>
        <v>468460.79999999999</v>
      </c>
      <c r="H207" s="22">
        <f t="shared" si="29"/>
        <v>0.46846080000000001</v>
      </c>
      <c r="I207" s="18">
        <v>79413.494444444004</v>
      </c>
      <c r="J207" s="52">
        <f t="shared" si="26"/>
        <v>7.9413494444444011E-2</v>
      </c>
      <c r="K207" s="18">
        <v>68297.466666661698</v>
      </c>
      <c r="L207" s="21">
        <f t="shared" si="27"/>
        <v>6.8297466666661699E-2</v>
      </c>
      <c r="M207" s="18">
        <f t="shared" si="24"/>
        <v>0.14771096111110571</v>
      </c>
      <c r="N207" s="27">
        <v>-0.57659039999999995</v>
      </c>
      <c r="O207" s="7">
        <f t="shared" si="25"/>
        <v>0.89734023888889425</v>
      </c>
    </row>
    <row r="208" spans="1:15" x14ac:dyDescent="0.7">
      <c r="A208" s="6"/>
      <c r="B208" s="6"/>
      <c r="C208" s="3">
        <v>25</v>
      </c>
      <c r="D208" s="7">
        <v>6.306</v>
      </c>
      <c r="E208" s="4">
        <v>15.3</v>
      </c>
      <c r="F208" s="7">
        <v>6.306</v>
      </c>
      <c r="G208" s="16">
        <f t="shared" si="28"/>
        <v>544838.40000000002</v>
      </c>
      <c r="H208" s="22">
        <f t="shared" si="29"/>
        <v>0.54483840000000006</v>
      </c>
      <c r="I208" s="18">
        <v>79792.944444444001</v>
      </c>
      <c r="J208" s="52">
        <f t="shared" si="26"/>
        <v>7.9792944444444E-2</v>
      </c>
      <c r="K208" s="18">
        <v>68667.999999994994</v>
      </c>
      <c r="L208" s="21">
        <f t="shared" si="27"/>
        <v>6.8667999999994997E-2</v>
      </c>
      <c r="M208" s="18">
        <f t="shared" si="24"/>
        <v>0.148460944444439</v>
      </c>
      <c r="N208" s="27">
        <v>-0.58031999999999995</v>
      </c>
      <c r="O208" s="7">
        <f t="shared" si="25"/>
        <v>0.97669745555556098</v>
      </c>
    </row>
    <row r="209" spans="1:15" x14ac:dyDescent="0.7">
      <c r="A209" s="6"/>
      <c r="B209" s="6"/>
      <c r="C209" s="6">
        <v>26</v>
      </c>
      <c r="D209" s="7">
        <v>10.199999999999999</v>
      </c>
      <c r="E209" s="4">
        <v>25.3</v>
      </c>
      <c r="F209" s="7">
        <v>10.199999999999999</v>
      </c>
      <c r="G209" s="16">
        <f t="shared" si="28"/>
        <v>881279.99999999988</v>
      </c>
      <c r="H209" s="22">
        <f t="shared" si="29"/>
        <v>0.88127999999999984</v>
      </c>
      <c r="I209" s="18">
        <v>80172.394444443999</v>
      </c>
      <c r="J209" s="52">
        <f t="shared" si="26"/>
        <v>8.0172394444444003E-2</v>
      </c>
      <c r="K209" s="18">
        <v>69038.533333328305</v>
      </c>
      <c r="L209" s="21">
        <f t="shared" si="27"/>
        <v>6.9038533333328309E-2</v>
      </c>
      <c r="M209" s="18">
        <f t="shared" si="24"/>
        <v>0.14921092777777231</v>
      </c>
      <c r="N209" s="27">
        <v>-0.58404959999999995</v>
      </c>
      <c r="O209" s="7">
        <f t="shared" si="25"/>
        <v>1.3161186722222276</v>
      </c>
    </row>
    <row r="210" spans="1:15" x14ac:dyDescent="0.7">
      <c r="A210" s="6"/>
      <c r="B210" s="6"/>
      <c r="C210" s="6">
        <v>27</v>
      </c>
      <c r="D210" s="7">
        <v>8.1999999999999993</v>
      </c>
      <c r="E210" s="4">
        <v>7.2</v>
      </c>
      <c r="F210" s="7">
        <v>8.1999999999999993</v>
      </c>
      <c r="G210" s="16">
        <f t="shared" si="28"/>
        <v>708479.99999999988</v>
      </c>
      <c r="H210" s="22">
        <f t="shared" si="29"/>
        <v>0.70847999999999989</v>
      </c>
      <c r="I210" s="18">
        <v>80551.844444443996</v>
      </c>
      <c r="J210" s="52">
        <f t="shared" si="26"/>
        <v>8.0551844444443993E-2</v>
      </c>
      <c r="K210" s="18">
        <v>69409.066666661602</v>
      </c>
      <c r="L210" s="21">
        <f t="shared" si="27"/>
        <v>6.9409066666661606E-2</v>
      </c>
      <c r="M210" s="18">
        <f t="shared" si="24"/>
        <v>0.1499609111111056</v>
      </c>
      <c r="N210" s="27">
        <v>-0.58777919999999995</v>
      </c>
      <c r="O210" s="7">
        <f t="shared" si="25"/>
        <v>1.1462982888888942</v>
      </c>
    </row>
    <row r="211" spans="1:15" x14ac:dyDescent="0.7">
      <c r="A211" s="6"/>
      <c r="B211" s="6"/>
      <c r="C211" s="3">
        <v>28</v>
      </c>
      <c r="D211" s="7">
        <v>8.9</v>
      </c>
      <c r="E211" s="4">
        <v>0.4</v>
      </c>
      <c r="F211" s="7">
        <v>8.9</v>
      </c>
      <c r="G211" s="16">
        <f t="shared" si="28"/>
        <v>768960</v>
      </c>
      <c r="H211" s="22">
        <f t="shared" si="29"/>
        <v>0.76895999999999998</v>
      </c>
      <c r="I211" s="18">
        <v>80931.294444444007</v>
      </c>
      <c r="J211" s="52">
        <f t="shared" si="26"/>
        <v>8.093129444444401E-2</v>
      </c>
      <c r="K211" s="18">
        <v>69779.599999994898</v>
      </c>
      <c r="L211" s="21">
        <f t="shared" si="27"/>
        <v>6.9779599999994904E-2</v>
      </c>
      <c r="M211" s="18">
        <f t="shared" si="24"/>
        <v>0.15071089444443891</v>
      </c>
      <c r="N211" s="27">
        <v>-0.59150879999999995</v>
      </c>
      <c r="O211" s="7">
        <f t="shared" si="25"/>
        <v>1.209757905555561</v>
      </c>
    </row>
    <row r="212" spans="1:15" x14ac:dyDescent="0.7">
      <c r="A212" s="6"/>
      <c r="B212" s="6"/>
      <c r="C212" s="6">
        <v>29</v>
      </c>
      <c r="D212" s="7">
        <v>8.9</v>
      </c>
      <c r="E212" s="4">
        <v>0</v>
      </c>
      <c r="F212" s="7">
        <v>8.9</v>
      </c>
      <c r="G212" s="16">
        <f t="shared" si="28"/>
        <v>768960</v>
      </c>
      <c r="H212" s="22">
        <f t="shared" si="29"/>
        <v>0.76895999999999998</v>
      </c>
      <c r="I212" s="18">
        <v>81310.744444444004</v>
      </c>
      <c r="J212" s="52">
        <f t="shared" si="26"/>
        <v>8.1310744444444E-2</v>
      </c>
      <c r="K212" s="18">
        <v>70150.133333328195</v>
      </c>
      <c r="L212" s="21">
        <f t="shared" si="27"/>
        <v>7.0150133333328188E-2</v>
      </c>
      <c r="M212" s="18">
        <f t="shared" si="24"/>
        <v>0.15146087777777217</v>
      </c>
      <c r="N212" s="27">
        <v>-0.59523839999999995</v>
      </c>
      <c r="O212" s="7">
        <f t="shared" si="25"/>
        <v>1.2127375222222279</v>
      </c>
    </row>
    <row r="213" spans="1:15" x14ac:dyDescent="0.7">
      <c r="A213" s="6"/>
      <c r="B213" s="6"/>
      <c r="C213" s="6">
        <v>30</v>
      </c>
      <c r="D213" s="7">
        <v>5.7</v>
      </c>
      <c r="E213" s="4">
        <v>12.7</v>
      </c>
      <c r="F213" s="7">
        <v>5.7</v>
      </c>
      <c r="G213" s="16">
        <f t="shared" si="28"/>
        <v>492480</v>
      </c>
      <c r="H213" s="22">
        <f t="shared" si="29"/>
        <v>0.49247999999999997</v>
      </c>
      <c r="I213" s="18">
        <v>81690.1944444439</v>
      </c>
      <c r="J213" s="52">
        <f t="shared" si="26"/>
        <v>8.1690194444443906E-2</v>
      </c>
      <c r="K213" s="18">
        <v>70520.666666661506</v>
      </c>
      <c r="L213" s="21">
        <f t="shared" si="27"/>
        <v>7.05206666666615E-2</v>
      </c>
      <c r="M213" s="18">
        <f t="shared" si="24"/>
        <v>0.15221086111110541</v>
      </c>
      <c r="N213" s="27">
        <v>-0.59896799999999994</v>
      </c>
      <c r="O213" s="7">
        <f t="shared" si="25"/>
        <v>0.93923713888889448</v>
      </c>
    </row>
    <row r="214" spans="1:15" s="14" customFormat="1" ht="25.2" thickBot="1" x14ac:dyDescent="0.75">
      <c r="A214" s="9"/>
      <c r="B214" s="12" t="s">
        <v>21</v>
      </c>
      <c r="C214" s="12">
        <v>31</v>
      </c>
      <c r="D214" s="10">
        <v>5.4</v>
      </c>
      <c r="E214" s="20">
        <v>4.5999999999999996</v>
      </c>
      <c r="F214" s="10">
        <v>5.4</v>
      </c>
      <c r="G214" s="29">
        <f t="shared" si="28"/>
        <v>466560.00000000006</v>
      </c>
      <c r="H214" s="30">
        <f t="shared" si="29"/>
        <v>0.46656000000000009</v>
      </c>
      <c r="I214" s="19">
        <v>82069.644444443897</v>
      </c>
      <c r="J214" s="53">
        <f t="shared" si="26"/>
        <v>8.2069644444443896E-2</v>
      </c>
      <c r="K214" s="19">
        <v>70891.199999994802</v>
      </c>
      <c r="L214" s="23">
        <f t="shared" si="27"/>
        <v>7.0891199999994797E-2</v>
      </c>
      <c r="M214" s="19">
        <f t="shared" si="24"/>
        <v>0.15296084444443869</v>
      </c>
      <c r="N214" s="31">
        <v>-0.60269759999999994</v>
      </c>
      <c r="O214" s="10">
        <f t="shared" si="25"/>
        <v>0.91629675555556134</v>
      </c>
    </row>
    <row r="215" spans="1:15" x14ac:dyDescent="0.7">
      <c r="A215" s="3"/>
      <c r="B215" s="3" t="s">
        <v>22</v>
      </c>
      <c r="C215" s="3">
        <v>1</v>
      </c>
      <c r="D215" s="4">
        <v>8.3000000000000007</v>
      </c>
      <c r="E215" s="4">
        <v>3.6</v>
      </c>
      <c r="F215" s="4">
        <v>8.3000000000000007</v>
      </c>
      <c r="G215" s="16">
        <f t="shared" si="28"/>
        <v>717120.00000000012</v>
      </c>
      <c r="H215" s="22">
        <f t="shared" si="29"/>
        <v>0.71712000000000009</v>
      </c>
      <c r="I215" s="17">
        <v>82449.094444443894</v>
      </c>
      <c r="J215" s="54">
        <f t="shared" si="26"/>
        <v>8.2449094444443899E-2</v>
      </c>
      <c r="K215" s="17">
        <v>71261.733333328099</v>
      </c>
      <c r="L215" s="22">
        <f t="shared" si="27"/>
        <v>7.1261733333328095E-2</v>
      </c>
      <c r="M215" s="17">
        <f t="shared" si="24"/>
        <v>0.15371082777777201</v>
      </c>
      <c r="N215" s="28">
        <v>-0.60642720000000006</v>
      </c>
      <c r="O215" s="4">
        <f t="shared" si="25"/>
        <v>1.1698363722222282</v>
      </c>
    </row>
    <row r="216" spans="1:15" x14ac:dyDescent="0.7">
      <c r="A216" s="6"/>
      <c r="B216" s="6"/>
      <c r="C216" s="6">
        <v>2</v>
      </c>
      <c r="D216" s="7">
        <v>8.6999999999999993</v>
      </c>
      <c r="E216" s="4">
        <v>7.3</v>
      </c>
      <c r="F216" s="7">
        <v>8.6999999999999993</v>
      </c>
      <c r="G216" s="16">
        <f t="shared" si="28"/>
        <v>751679.99999999988</v>
      </c>
      <c r="H216" s="22">
        <f t="shared" si="29"/>
        <v>0.7516799999999999</v>
      </c>
      <c r="I216" s="18">
        <v>82828.544444443905</v>
      </c>
      <c r="J216" s="52">
        <f t="shared" si="26"/>
        <v>8.2828544444443902E-2</v>
      </c>
      <c r="K216" s="18">
        <v>71632.266666661395</v>
      </c>
      <c r="L216" s="21">
        <f t="shared" si="27"/>
        <v>7.1632266666661393E-2</v>
      </c>
      <c r="M216" s="18">
        <f t="shared" si="24"/>
        <v>0.1544608111111053</v>
      </c>
      <c r="N216" s="27">
        <v>-0.61015680000000005</v>
      </c>
      <c r="O216" s="7">
        <f t="shared" si="25"/>
        <v>1.2073759888888946</v>
      </c>
    </row>
    <row r="217" spans="1:15" x14ac:dyDescent="0.7">
      <c r="A217" s="6"/>
      <c r="B217" s="6"/>
      <c r="C217" s="6">
        <v>3</v>
      </c>
      <c r="D217" s="7">
        <v>10.8</v>
      </c>
      <c r="E217" s="4">
        <v>0.5</v>
      </c>
      <c r="F217" s="7">
        <v>10.8</v>
      </c>
      <c r="G217" s="16">
        <f t="shared" si="28"/>
        <v>933120.00000000012</v>
      </c>
      <c r="H217" s="22">
        <f t="shared" si="29"/>
        <v>0.93312000000000017</v>
      </c>
      <c r="I217" s="18">
        <v>83207.994444443902</v>
      </c>
      <c r="J217" s="52">
        <f t="shared" si="26"/>
        <v>8.3207994444443906E-2</v>
      </c>
      <c r="K217" s="18">
        <v>72002.799999994706</v>
      </c>
      <c r="L217" s="21">
        <f t="shared" si="27"/>
        <v>7.2002799999994704E-2</v>
      </c>
      <c r="M217" s="18">
        <f t="shared" si="24"/>
        <v>0.15521079444443861</v>
      </c>
      <c r="N217" s="27">
        <v>-0.61388640000000005</v>
      </c>
      <c r="O217" s="7">
        <f t="shared" si="25"/>
        <v>1.3917956055555616</v>
      </c>
    </row>
    <row r="218" spans="1:15" x14ac:dyDescent="0.7">
      <c r="A218" s="6"/>
      <c r="B218" s="6"/>
      <c r="C218" s="3">
        <v>4</v>
      </c>
      <c r="D218" s="7">
        <v>7.2</v>
      </c>
      <c r="E218" s="4">
        <v>20.6</v>
      </c>
      <c r="F218" s="7">
        <v>7.2</v>
      </c>
      <c r="G218" s="16">
        <f t="shared" si="28"/>
        <v>622080</v>
      </c>
      <c r="H218" s="22">
        <f t="shared" si="29"/>
        <v>0.62207999999999997</v>
      </c>
      <c r="I218" s="18">
        <v>83587.4444444439</v>
      </c>
      <c r="J218" s="52">
        <f t="shared" si="26"/>
        <v>8.3587444444443895E-2</v>
      </c>
      <c r="K218" s="18">
        <v>72373.333333328002</v>
      </c>
      <c r="L218" s="21">
        <f t="shared" si="27"/>
        <v>7.2373333333328002E-2</v>
      </c>
      <c r="M218" s="18">
        <f t="shared" si="24"/>
        <v>0.1559607777777719</v>
      </c>
      <c r="N218" s="27">
        <v>-0.61761600000000005</v>
      </c>
      <c r="O218" s="7">
        <f t="shared" si="25"/>
        <v>1.0837352222222281</v>
      </c>
    </row>
    <row r="219" spans="1:15" x14ac:dyDescent="0.7">
      <c r="A219" s="6"/>
      <c r="B219" s="6"/>
      <c r="C219" s="6">
        <v>5</v>
      </c>
      <c r="D219" s="7">
        <v>10.9</v>
      </c>
      <c r="E219" s="4">
        <v>7.6</v>
      </c>
      <c r="F219" s="7">
        <v>10.9</v>
      </c>
      <c r="G219" s="16">
        <f t="shared" si="28"/>
        <v>941760</v>
      </c>
      <c r="H219" s="22">
        <f t="shared" si="29"/>
        <v>0.94176000000000004</v>
      </c>
      <c r="I219" s="18">
        <v>83966.894444443897</v>
      </c>
      <c r="J219" s="52">
        <f t="shared" si="26"/>
        <v>8.3966894444443899E-2</v>
      </c>
      <c r="K219" s="18">
        <v>72743.866666661299</v>
      </c>
      <c r="L219" s="21">
        <f t="shared" si="27"/>
        <v>7.27438666666613E-2</v>
      </c>
      <c r="M219" s="18">
        <f t="shared" si="24"/>
        <v>0.15671076111110521</v>
      </c>
      <c r="N219" s="27">
        <v>-0.62134560000000005</v>
      </c>
      <c r="O219" s="7">
        <f t="shared" si="25"/>
        <v>1.4063948388888949</v>
      </c>
    </row>
    <row r="220" spans="1:15" x14ac:dyDescent="0.7">
      <c r="A220" s="6"/>
      <c r="B220" s="6"/>
      <c r="C220" s="6">
        <v>6</v>
      </c>
      <c r="D220" s="7">
        <v>46.16</v>
      </c>
      <c r="E220" s="4">
        <v>3.1</v>
      </c>
      <c r="F220" s="7">
        <v>46.16</v>
      </c>
      <c r="G220" s="16">
        <f t="shared" si="28"/>
        <v>3988223.9999999995</v>
      </c>
      <c r="H220" s="22">
        <f t="shared" si="29"/>
        <v>3.9882239999999993</v>
      </c>
      <c r="I220" s="18">
        <v>84346.344444443894</v>
      </c>
      <c r="J220" s="52">
        <f t="shared" si="26"/>
        <v>8.4346344444443888E-2</v>
      </c>
      <c r="K220" s="18">
        <v>73114.399999994595</v>
      </c>
      <c r="L220" s="21">
        <f t="shared" si="27"/>
        <v>7.3114399999994598E-2</v>
      </c>
      <c r="M220" s="18">
        <f t="shared" si="24"/>
        <v>0.15746074444443847</v>
      </c>
      <c r="N220" s="27">
        <v>-0.62507520000000005</v>
      </c>
      <c r="O220" s="7">
        <f t="shared" si="25"/>
        <v>4.4558384555555612</v>
      </c>
    </row>
    <row r="221" spans="1:15" x14ac:dyDescent="0.7">
      <c r="A221" s="6"/>
      <c r="B221" s="6"/>
      <c r="C221" s="3">
        <v>7</v>
      </c>
      <c r="D221" s="7">
        <v>38.299999999999997</v>
      </c>
      <c r="E221" s="4">
        <v>0</v>
      </c>
      <c r="F221" s="7">
        <v>38.299999999999997</v>
      </c>
      <c r="G221" s="16">
        <f t="shared" si="28"/>
        <v>3309119.9999999995</v>
      </c>
      <c r="H221" s="22">
        <f t="shared" si="29"/>
        <v>3.3091199999999996</v>
      </c>
      <c r="I221" s="18">
        <v>84725.794444443905</v>
      </c>
      <c r="J221" s="52">
        <f t="shared" si="26"/>
        <v>8.4725794444443905E-2</v>
      </c>
      <c r="K221" s="18">
        <v>73484.933333327906</v>
      </c>
      <c r="L221" s="21">
        <f t="shared" si="27"/>
        <v>7.3484933333327909E-2</v>
      </c>
      <c r="M221" s="18">
        <f t="shared" si="24"/>
        <v>0.15821072777777181</v>
      </c>
      <c r="N221" s="27">
        <v>-0.62880480000000005</v>
      </c>
      <c r="O221" s="7">
        <f t="shared" si="25"/>
        <v>3.779714072222228</v>
      </c>
    </row>
    <row r="222" spans="1:15" x14ac:dyDescent="0.7">
      <c r="A222" s="6"/>
      <c r="B222" s="6"/>
      <c r="C222" s="6">
        <v>8</v>
      </c>
      <c r="D222" s="7">
        <v>21.38</v>
      </c>
      <c r="E222" s="4">
        <v>0</v>
      </c>
      <c r="F222" s="7">
        <v>21.38</v>
      </c>
      <c r="G222" s="16">
        <f t="shared" si="28"/>
        <v>1847232</v>
      </c>
      <c r="H222" s="22">
        <f t="shared" si="29"/>
        <v>1.847232</v>
      </c>
      <c r="I222" s="18">
        <v>85105.244444443902</v>
      </c>
      <c r="J222" s="52">
        <f t="shared" si="26"/>
        <v>8.5105244444443909E-2</v>
      </c>
      <c r="K222" s="18">
        <v>73855.466666661203</v>
      </c>
      <c r="L222" s="21">
        <f t="shared" si="27"/>
        <v>7.3855466666661207E-2</v>
      </c>
      <c r="M222" s="18">
        <f t="shared" si="24"/>
        <v>0.1589607111111051</v>
      </c>
      <c r="N222" s="27">
        <v>-0.63253440000000005</v>
      </c>
      <c r="O222" s="7">
        <f t="shared" si="25"/>
        <v>2.3208056888888948</v>
      </c>
    </row>
    <row r="223" spans="1:15" x14ac:dyDescent="0.7">
      <c r="A223" s="6"/>
      <c r="B223" s="6"/>
      <c r="C223" s="6">
        <v>9</v>
      </c>
      <c r="D223" s="7">
        <v>12.77</v>
      </c>
      <c r="E223" s="4">
        <v>7.6</v>
      </c>
      <c r="F223" s="7">
        <v>12.77</v>
      </c>
      <c r="G223" s="16">
        <f t="shared" si="28"/>
        <v>1103328</v>
      </c>
      <c r="H223" s="22">
        <f t="shared" si="29"/>
        <v>1.1033280000000001</v>
      </c>
      <c r="I223" s="18">
        <v>85484.6944444439</v>
      </c>
      <c r="J223" s="52">
        <f t="shared" si="26"/>
        <v>8.5484694444443898E-2</v>
      </c>
      <c r="K223" s="18">
        <v>74225.999999994499</v>
      </c>
      <c r="L223" s="21">
        <f t="shared" si="27"/>
        <v>7.4225999999994505E-2</v>
      </c>
      <c r="M223" s="18">
        <f t="shared" si="24"/>
        <v>0.15971069444443842</v>
      </c>
      <c r="N223" s="27">
        <v>-0.63626400000000005</v>
      </c>
      <c r="O223" s="7">
        <f t="shared" si="25"/>
        <v>1.5798813055555616</v>
      </c>
    </row>
    <row r="224" spans="1:15" x14ac:dyDescent="0.7">
      <c r="A224" s="6"/>
      <c r="B224" s="6"/>
      <c r="C224" s="3">
        <v>10</v>
      </c>
      <c r="D224" s="7">
        <v>11.05</v>
      </c>
      <c r="E224" s="4">
        <v>4.8</v>
      </c>
      <c r="F224" s="7">
        <v>11.05</v>
      </c>
      <c r="G224" s="16">
        <f t="shared" si="28"/>
        <v>954720.00000000012</v>
      </c>
      <c r="H224" s="22">
        <f t="shared" si="29"/>
        <v>0.95472000000000012</v>
      </c>
      <c r="I224" s="18">
        <v>85864.144444443897</v>
      </c>
      <c r="J224" s="52">
        <f t="shared" si="26"/>
        <v>8.5864144444443902E-2</v>
      </c>
      <c r="K224" s="18">
        <v>74596.533333327796</v>
      </c>
      <c r="L224" s="21">
        <f t="shared" si="27"/>
        <v>7.4596533333327802E-2</v>
      </c>
      <c r="M224" s="18">
        <f t="shared" si="24"/>
        <v>0.1604606777777717</v>
      </c>
      <c r="N224" s="27">
        <v>-0.63999360000000005</v>
      </c>
      <c r="O224" s="7">
        <f t="shared" si="25"/>
        <v>1.4342529222222284</v>
      </c>
    </row>
    <row r="225" spans="1:15" x14ac:dyDescent="0.7">
      <c r="A225" s="6"/>
      <c r="B225" s="6"/>
      <c r="C225" s="6">
        <v>11</v>
      </c>
      <c r="D225" s="7">
        <v>43.36</v>
      </c>
      <c r="E225" s="4">
        <v>6.2</v>
      </c>
      <c r="F225" s="7">
        <v>43.36</v>
      </c>
      <c r="G225" s="16">
        <f t="shared" si="28"/>
        <v>3746304</v>
      </c>
      <c r="H225" s="22">
        <f t="shared" si="29"/>
        <v>3.7463039999999999</v>
      </c>
      <c r="I225" s="18">
        <v>86243.594444443894</v>
      </c>
      <c r="J225" s="52">
        <f t="shared" si="26"/>
        <v>8.6243594444443891E-2</v>
      </c>
      <c r="K225" s="18">
        <v>74967.066666661107</v>
      </c>
      <c r="L225" s="21">
        <f t="shared" si="27"/>
        <v>7.49670666666611E-2</v>
      </c>
      <c r="M225" s="18">
        <f t="shared" si="24"/>
        <v>0.16121066111110499</v>
      </c>
      <c r="N225" s="27">
        <v>-0.64372320000000005</v>
      </c>
      <c r="O225" s="7">
        <f t="shared" si="25"/>
        <v>4.2288165388888945</v>
      </c>
    </row>
    <row r="226" spans="1:15" x14ac:dyDescent="0.7">
      <c r="A226" s="6"/>
      <c r="B226" s="6"/>
      <c r="C226" s="6">
        <v>12</v>
      </c>
      <c r="D226" s="7">
        <v>15.03</v>
      </c>
      <c r="E226" s="4">
        <v>7.7</v>
      </c>
      <c r="F226" s="7">
        <v>15.03</v>
      </c>
      <c r="G226" s="16">
        <f t="shared" si="28"/>
        <v>1298592</v>
      </c>
      <c r="H226" s="22">
        <f t="shared" si="29"/>
        <v>1.298592</v>
      </c>
      <c r="I226" s="18">
        <v>86623.044444443905</v>
      </c>
      <c r="J226" s="52">
        <f t="shared" si="26"/>
        <v>8.6623044444443908E-2</v>
      </c>
      <c r="K226" s="18">
        <v>75337.599999994403</v>
      </c>
      <c r="L226" s="21">
        <f t="shared" si="27"/>
        <v>7.5337599999994398E-2</v>
      </c>
      <c r="M226" s="18">
        <f t="shared" si="24"/>
        <v>0.16196064444443831</v>
      </c>
      <c r="N226" s="27">
        <v>-0.64745280000000005</v>
      </c>
      <c r="O226" s="7">
        <f t="shared" si="25"/>
        <v>1.7840841555555618</v>
      </c>
    </row>
    <row r="227" spans="1:15" x14ac:dyDescent="0.7">
      <c r="A227" s="6"/>
      <c r="B227" s="6"/>
      <c r="C227" s="3">
        <v>13</v>
      </c>
      <c r="D227" s="7">
        <v>15.03</v>
      </c>
      <c r="E227" s="4">
        <v>5.6</v>
      </c>
      <c r="F227" s="7">
        <v>15.03</v>
      </c>
      <c r="G227" s="16">
        <f t="shared" si="28"/>
        <v>1298592</v>
      </c>
      <c r="H227" s="22">
        <f t="shared" si="29"/>
        <v>1.298592</v>
      </c>
      <c r="I227" s="18">
        <v>87002.494444443902</v>
      </c>
      <c r="J227" s="52">
        <f t="shared" si="26"/>
        <v>8.7002494444443898E-2</v>
      </c>
      <c r="K227" s="18">
        <v>75708.1333333277</v>
      </c>
      <c r="L227" s="21">
        <f t="shared" si="27"/>
        <v>7.5708133333327696E-2</v>
      </c>
      <c r="M227" s="18">
        <f t="shared" si="24"/>
        <v>0.16271062777777159</v>
      </c>
      <c r="N227" s="27">
        <v>-0.65118240000000005</v>
      </c>
      <c r="O227" s="7">
        <f t="shared" si="25"/>
        <v>1.7870637722222282</v>
      </c>
    </row>
    <row r="228" spans="1:15" x14ac:dyDescent="0.7">
      <c r="A228" s="6"/>
      <c r="B228" s="6"/>
      <c r="C228" s="6">
        <v>14</v>
      </c>
      <c r="D228" s="7">
        <v>15.34</v>
      </c>
      <c r="E228" s="4">
        <v>7.6</v>
      </c>
      <c r="F228" s="7">
        <v>15.34</v>
      </c>
      <c r="G228" s="16">
        <f t="shared" si="28"/>
        <v>1325376</v>
      </c>
      <c r="H228" s="22">
        <f t="shared" si="29"/>
        <v>1.3253760000000001</v>
      </c>
      <c r="I228" s="18">
        <v>87381.9444444439</v>
      </c>
      <c r="J228" s="52">
        <f t="shared" si="26"/>
        <v>8.7381944444443901E-2</v>
      </c>
      <c r="K228" s="18">
        <v>76078.666666660996</v>
      </c>
      <c r="L228" s="21">
        <f t="shared" si="27"/>
        <v>7.6078666666660993E-2</v>
      </c>
      <c r="M228" s="18">
        <f t="shared" si="24"/>
        <v>0.16346061111110488</v>
      </c>
      <c r="N228" s="27">
        <v>-0.65491200000000005</v>
      </c>
      <c r="O228" s="7">
        <f t="shared" si="25"/>
        <v>1.8168273888888953</v>
      </c>
    </row>
    <row r="229" spans="1:15" x14ac:dyDescent="0.7">
      <c r="A229" s="6"/>
      <c r="B229" s="6"/>
      <c r="C229" s="6">
        <v>15</v>
      </c>
      <c r="D229" s="7">
        <v>12.76</v>
      </c>
      <c r="E229" s="4">
        <v>4.5999999999999996</v>
      </c>
      <c r="F229" s="7">
        <v>12.76</v>
      </c>
      <c r="G229" s="16">
        <f t="shared" si="28"/>
        <v>1102464</v>
      </c>
      <c r="H229" s="22">
        <f t="shared" si="29"/>
        <v>1.1024640000000001</v>
      </c>
      <c r="I229" s="18">
        <v>87761.394444443897</v>
      </c>
      <c r="J229" s="52">
        <f t="shared" si="26"/>
        <v>8.7761394444443891E-2</v>
      </c>
      <c r="K229" s="18">
        <v>76449.199999994293</v>
      </c>
      <c r="L229" s="21">
        <f t="shared" si="27"/>
        <v>7.6449199999994291E-2</v>
      </c>
      <c r="M229" s="18">
        <f t="shared" si="24"/>
        <v>0.1642105944444382</v>
      </c>
      <c r="N229" s="27">
        <v>-0.65864160000000005</v>
      </c>
      <c r="O229" s="7">
        <f t="shared" si="25"/>
        <v>1.596895005555562</v>
      </c>
    </row>
    <row r="230" spans="1:15" x14ac:dyDescent="0.7">
      <c r="A230" s="6"/>
      <c r="B230" s="6"/>
      <c r="C230" s="3">
        <v>16</v>
      </c>
      <c r="D230" s="7">
        <v>12.22</v>
      </c>
      <c r="E230" s="4">
        <v>13.7</v>
      </c>
      <c r="F230" s="7">
        <v>12.22</v>
      </c>
      <c r="G230" s="16">
        <f t="shared" si="28"/>
        <v>1055808</v>
      </c>
      <c r="H230" s="22">
        <f t="shared" si="29"/>
        <v>1.0558080000000001</v>
      </c>
      <c r="I230" s="18">
        <v>88140.844444443894</v>
      </c>
      <c r="J230" s="52">
        <f t="shared" si="26"/>
        <v>8.8140844444443894E-2</v>
      </c>
      <c r="K230" s="18">
        <v>76819.733333327604</v>
      </c>
      <c r="L230" s="21">
        <f t="shared" si="27"/>
        <v>7.6819733333327603E-2</v>
      </c>
      <c r="M230" s="18">
        <f t="shared" si="24"/>
        <v>0.16496057777777151</v>
      </c>
      <c r="N230" s="27">
        <v>-0.66237120000000005</v>
      </c>
      <c r="O230" s="7">
        <f t="shared" si="25"/>
        <v>1.5532186222222286</v>
      </c>
    </row>
    <row r="231" spans="1:15" x14ac:dyDescent="0.7">
      <c r="A231" s="6"/>
      <c r="B231" s="6"/>
      <c r="C231" s="6">
        <v>17</v>
      </c>
      <c r="D231" s="7">
        <v>48.620000000000005</v>
      </c>
      <c r="E231" s="4">
        <v>4.3</v>
      </c>
      <c r="F231" s="7">
        <v>48.620000000000005</v>
      </c>
      <c r="G231" s="16">
        <f t="shared" si="28"/>
        <v>4200768</v>
      </c>
      <c r="H231" s="22">
        <f t="shared" si="29"/>
        <v>4.2007680000000001</v>
      </c>
      <c r="I231" s="18">
        <v>88520.294444443905</v>
      </c>
      <c r="J231" s="52">
        <f t="shared" si="26"/>
        <v>8.8520294444443912E-2</v>
      </c>
      <c r="K231" s="18">
        <v>77190.2666666609</v>
      </c>
      <c r="L231" s="21">
        <f t="shared" si="27"/>
        <v>7.7190266666660901E-2</v>
      </c>
      <c r="M231" s="18">
        <f t="shared" si="24"/>
        <v>0.16571056111110483</v>
      </c>
      <c r="N231" s="27">
        <v>-0.66610080000000005</v>
      </c>
      <c r="O231" s="7">
        <f t="shared" si="25"/>
        <v>4.7011582388888948</v>
      </c>
    </row>
    <row r="232" spans="1:15" x14ac:dyDescent="0.7">
      <c r="A232" s="6"/>
      <c r="B232" s="6"/>
      <c r="C232" s="6">
        <v>18</v>
      </c>
      <c r="D232" s="7">
        <v>23.33</v>
      </c>
      <c r="E232" s="4">
        <v>3.1</v>
      </c>
      <c r="F232" s="7">
        <v>23.33</v>
      </c>
      <c r="G232" s="16">
        <f t="shared" si="28"/>
        <v>2015711.9999999998</v>
      </c>
      <c r="H232" s="22">
        <f t="shared" si="29"/>
        <v>2.0157119999999997</v>
      </c>
      <c r="I232" s="18">
        <v>88899.744444443902</v>
      </c>
      <c r="J232" s="52">
        <f t="shared" si="26"/>
        <v>8.8899744444443901E-2</v>
      </c>
      <c r="K232" s="18">
        <v>77560.799999994197</v>
      </c>
      <c r="L232" s="21">
        <f t="shared" si="27"/>
        <v>7.7560799999994198E-2</v>
      </c>
      <c r="M232" s="18">
        <f t="shared" si="24"/>
        <v>0.16646054444443809</v>
      </c>
      <c r="N232" s="27">
        <v>-0.66983040000000005</v>
      </c>
      <c r="O232" s="7">
        <f t="shared" si="25"/>
        <v>2.5190818555555619</v>
      </c>
    </row>
    <row r="233" spans="1:15" x14ac:dyDescent="0.7">
      <c r="A233" s="6"/>
      <c r="B233" s="6"/>
      <c r="C233" s="3">
        <v>19</v>
      </c>
      <c r="D233" s="7">
        <v>15.95</v>
      </c>
      <c r="E233" s="4">
        <v>0</v>
      </c>
      <c r="F233" s="7">
        <v>15.95</v>
      </c>
      <c r="G233" s="16">
        <f t="shared" si="28"/>
        <v>1378080</v>
      </c>
      <c r="H233" s="22">
        <f t="shared" si="29"/>
        <v>1.37808</v>
      </c>
      <c r="I233" s="18">
        <v>89279.1944444439</v>
      </c>
      <c r="J233" s="52">
        <f t="shared" si="26"/>
        <v>8.9279194444443905E-2</v>
      </c>
      <c r="K233" s="18">
        <v>77931.333333327493</v>
      </c>
      <c r="L233" s="21">
        <f t="shared" si="27"/>
        <v>7.7931333333327496E-2</v>
      </c>
      <c r="M233" s="18">
        <f t="shared" si="24"/>
        <v>0.1672105277777714</v>
      </c>
      <c r="N233" s="27">
        <v>-0.67356000000000005</v>
      </c>
      <c r="O233" s="7">
        <f t="shared" si="25"/>
        <v>1.8844294722222288</v>
      </c>
    </row>
    <row r="234" spans="1:15" x14ac:dyDescent="0.7">
      <c r="A234" s="6"/>
      <c r="B234" s="6"/>
      <c r="C234" s="6">
        <v>20</v>
      </c>
      <c r="D234" s="7">
        <v>13.99</v>
      </c>
      <c r="E234" s="4">
        <v>0</v>
      </c>
      <c r="F234" s="7">
        <v>13.99</v>
      </c>
      <c r="G234" s="16">
        <f t="shared" si="28"/>
        <v>1208736</v>
      </c>
      <c r="H234" s="22">
        <f t="shared" si="29"/>
        <v>1.208736</v>
      </c>
      <c r="I234" s="18">
        <v>89658.644444443897</v>
      </c>
      <c r="J234" s="52">
        <f t="shared" si="26"/>
        <v>8.9658644444443894E-2</v>
      </c>
      <c r="K234" s="18">
        <v>78301.866666660804</v>
      </c>
      <c r="L234" s="21">
        <f t="shared" si="27"/>
        <v>7.8301866666660808E-2</v>
      </c>
      <c r="M234" s="18">
        <f t="shared" si="24"/>
        <v>0.16796051111110472</v>
      </c>
      <c r="N234" s="27">
        <v>-0.67728960000000005</v>
      </c>
      <c r="O234" s="7">
        <f t="shared" si="25"/>
        <v>1.7180650888888955</v>
      </c>
    </row>
    <row r="235" spans="1:15" x14ac:dyDescent="0.7">
      <c r="A235" s="6"/>
      <c r="B235" s="6"/>
      <c r="C235" s="6">
        <v>21</v>
      </c>
      <c r="D235" s="7">
        <v>13.61</v>
      </c>
      <c r="E235" s="4">
        <v>7.9</v>
      </c>
      <c r="F235" s="7">
        <v>13.61</v>
      </c>
      <c r="G235" s="16">
        <f t="shared" si="28"/>
        <v>1175904</v>
      </c>
      <c r="H235" s="22">
        <f t="shared" si="29"/>
        <v>1.1759040000000001</v>
      </c>
      <c r="I235" s="18">
        <v>90038.094444443894</v>
      </c>
      <c r="J235" s="52">
        <f t="shared" si="26"/>
        <v>9.0038094444443897E-2</v>
      </c>
      <c r="K235" s="18">
        <v>78672.399999994101</v>
      </c>
      <c r="L235" s="21">
        <f t="shared" si="27"/>
        <v>7.8672399999994105E-2</v>
      </c>
      <c r="M235" s="18">
        <f t="shared" si="24"/>
        <v>0.168710494444438</v>
      </c>
      <c r="N235" s="27">
        <v>-0.68101920000000005</v>
      </c>
      <c r="O235" s="7">
        <f t="shared" si="25"/>
        <v>1.688212705555562</v>
      </c>
    </row>
    <row r="236" spans="1:15" x14ac:dyDescent="0.7">
      <c r="A236" s="6"/>
      <c r="B236" s="6"/>
      <c r="C236" s="3">
        <v>22</v>
      </c>
      <c r="D236" s="7">
        <v>17.84</v>
      </c>
      <c r="E236" s="4">
        <v>62.5</v>
      </c>
      <c r="F236" s="7">
        <v>17.84</v>
      </c>
      <c r="G236" s="16">
        <f t="shared" si="28"/>
        <v>1541376</v>
      </c>
      <c r="H236" s="22">
        <f t="shared" si="29"/>
        <v>1.5413760000000001</v>
      </c>
      <c r="I236" s="18">
        <v>90417.544444443905</v>
      </c>
      <c r="J236" s="52">
        <f t="shared" si="26"/>
        <v>9.0417544444443901E-2</v>
      </c>
      <c r="K236" s="18">
        <v>79042.933333327397</v>
      </c>
      <c r="L236" s="21">
        <f t="shared" si="27"/>
        <v>7.9042933333327403E-2</v>
      </c>
      <c r="M236" s="18">
        <f t="shared" si="24"/>
        <v>0.16946047777777129</v>
      </c>
      <c r="N236" s="27">
        <v>-0.68474880000000005</v>
      </c>
      <c r="O236" s="7">
        <f t="shared" si="25"/>
        <v>2.0566643222222289</v>
      </c>
    </row>
    <row r="237" spans="1:15" x14ac:dyDescent="0.7">
      <c r="A237" s="6"/>
      <c r="B237" s="6"/>
      <c r="C237" s="6">
        <v>23</v>
      </c>
      <c r="D237" s="7">
        <v>38.18</v>
      </c>
      <c r="E237" s="4">
        <v>27.1</v>
      </c>
      <c r="F237" s="7">
        <v>38.18</v>
      </c>
      <c r="G237" s="16">
        <f t="shared" si="28"/>
        <v>3298752</v>
      </c>
      <c r="H237" s="22">
        <f t="shared" si="29"/>
        <v>3.2987519999999999</v>
      </c>
      <c r="I237" s="18">
        <v>90796.994444443902</v>
      </c>
      <c r="J237" s="52">
        <f t="shared" si="26"/>
        <v>9.0796994444443904E-2</v>
      </c>
      <c r="K237" s="18">
        <v>79413.466666660694</v>
      </c>
      <c r="L237" s="21">
        <f t="shared" si="27"/>
        <v>7.9413466666660687E-2</v>
      </c>
      <c r="M237" s="18">
        <f t="shared" si="24"/>
        <v>0.17021046111110461</v>
      </c>
      <c r="N237" s="27">
        <v>-0.68847840000000005</v>
      </c>
      <c r="O237" s="7">
        <f t="shared" si="25"/>
        <v>3.8170199388888957</v>
      </c>
    </row>
    <row r="238" spans="1:15" x14ac:dyDescent="0.7">
      <c r="A238" s="6"/>
      <c r="B238" s="6"/>
      <c r="C238" s="6">
        <v>24</v>
      </c>
      <c r="D238" s="7">
        <v>56</v>
      </c>
      <c r="E238" s="4">
        <v>4.5999999999999996</v>
      </c>
      <c r="F238" s="7">
        <v>56</v>
      </c>
      <c r="G238" s="16">
        <f t="shared" si="28"/>
        <v>4838400</v>
      </c>
      <c r="H238" s="22">
        <f t="shared" si="29"/>
        <v>4.8384</v>
      </c>
      <c r="I238" s="18">
        <v>91176.4444444439</v>
      </c>
      <c r="J238" s="52">
        <f t="shared" si="26"/>
        <v>9.1176444444443894E-2</v>
      </c>
      <c r="K238" s="18">
        <v>79783.999999994005</v>
      </c>
      <c r="L238" s="21">
        <f t="shared" si="27"/>
        <v>7.9783999999993999E-2</v>
      </c>
      <c r="M238" s="18">
        <f t="shared" si="24"/>
        <v>0.17096044444443789</v>
      </c>
      <c r="N238" s="27">
        <v>-0.69220800000000005</v>
      </c>
      <c r="O238" s="7">
        <f t="shared" si="25"/>
        <v>5.3596475555555623</v>
      </c>
    </row>
    <row r="239" spans="1:15" x14ac:dyDescent="0.7">
      <c r="A239" s="6"/>
      <c r="B239" s="6"/>
      <c r="C239" s="3">
        <v>25</v>
      </c>
      <c r="D239" s="7">
        <v>76.800000000000011</v>
      </c>
      <c r="E239" s="4">
        <v>1.2</v>
      </c>
      <c r="F239" s="7">
        <v>76.800000000000011</v>
      </c>
      <c r="G239" s="16">
        <f t="shared" si="28"/>
        <v>6635520.0000000009</v>
      </c>
      <c r="H239" s="22">
        <f t="shared" si="29"/>
        <v>6.6355200000000005</v>
      </c>
      <c r="I239" s="18">
        <v>91555.894444443897</v>
      </c>
      <c r="J239" s="52">
        <f t="shared" si="26"/>
        <v>9.1555894444443897E-2</v>
      </c>
      <c r="K239" s="18">
        <v>80154.533333327301</v>
      </c>
      <c r="L239" s="21">
        <f t="shared" si="27"/>
        <v>8.0154533333327296E-2</v>
      </c>
      <c r="M239" s="18">
        <f t="shared" si="24"/>
        <v>0.17171042777777118</v>
      </c>
      <c r="N239" s="27">
        <v>-0.69593760000000005</v>
      </c>
      <c r="O239" s="7">
        <f t="shared" si="25"/>
        <v>7.1597471722222288</v>
      </c>
    </row>
    <row r="240" spans="1:15" x14ac:dyDescent="0.7">
      <c r="A240" s="6"/>
      <c r="B240" s="6"/>
      <c r="C240" s="6">
        <v>26</v>
      </c>
      <c r="D240" s="7">
        <v>35.82</v>
      </c>
      <c r="E240" s="4">
        <v>2.1</v>
      </c>
      <c r="F240" s="7">
        <v>35.82</v>
      </c>
      <c r="G240" s="16">
        <f t="shared" si="28"/>
        <v>3094848</v>
      </c>
      <c r="H240" s="22">
        <f t="shared" si="29"/>
        <v>3.0948479999999998</v>
      </c>
      <c r="I240" s="18">
        <v>91935.344444443894</v>
      </c>
      <c r="J240" s="52">
        <f t="shared" si="26"/>
        <v>9.1935344444443901E-2</v>
      </c>
      <c r="K240" s="18">
        <v>80525.066666660598</v>
      </c>
      <c r="L240" s="21">
        <f t="shared" si="27"/>
        <v>8.0525066666660594E-2</v>
      </c>
      <c r="M240" s="18">
        <f t="shared" si="24"/>
        <v>0.17246041111110449</v>
      </c>
      <c r="N240" s="27">
        <v>-0.69966720000000004</v>
      </c>
      <c r="O240" s="7">
        <f t="shared" si="25"/>
        <v>3.6220547888888954</v>
      </c>
    </row>
    <row r="241" spans="1:15" x14ac:dyDescent="0.7">
      <c r="A241" s="6"/>
      <c r="B241" s="6"/>
      <c r="C241" s="6">
        <v>27</v>
      </c>
      <c r="D241" s="7">
        <v>31.01</v>
      </c>
      <c r="E241" s="4">
        <v>22.1</v>
      </c>
      <c r="F241" s="7">
        <v>31.01</v>
      </c>
      <c r="G241" s="16">
        <f t="shared" si="28"/>
        <v>2679264</v>
      </c>
      <c r="H241" s="22">
        <f t="shared" si="29"/>
        <v>2.6792639999999999</v>
      </c>
      <c r="I241" s="18">
        <v>92314.794444443905</v>
      </c>
      <c r="J241" s="52">
        <f t="shared" si="26"/>
        <v>9.2314794444443904E-2</v>
      </c>
      <c r="K241" s="18">
        <v>80895.599999993894</v>
      </c>
      <c r="L241" s="21">
        <f t="shared" si="27"/>
        <v>8.0895599999993892E-2</v>
      </c>
      <c r="M241" s="18">
        <f t="shared" si="24"/>
        <v>0.17321039444443781</v>
      </c>
      <c r="N241" s="27">
        <v>-0.70339680000000004</v>
      </c>
      <c r="O241" s="7">
        <f t="shared" si="25"/>
        <v>3.2094504055555624</v>
      </c>
    </row>
    <row r="242" spans="1:15" x14ac:dyDescent="0.7">
      <c r="A242" s="6"/>
      <c r="B242" s="6"/>
      <c r="C242" s="3">
        <v>28</v>
      </c>
      <c r="D242" s="7">
        <v>30</v>
      </c>
      <c r="E242" s="4">
        <v>1.6</v>
      </c>
      <c r="F242" s="7">
        <v>30</v>
      </c>
      <c r="G242" s="16">
        <f t="shared" si="28"/>
        <v>2592000</v>
      </c>
      <c r="H242" s="22">
        <f t="shared" si="29"/>
        <v>2.5920000000000001</v>
      </c>
      <c r="I242" s="18">
        <v>92694.244444443902</v>
      </c>
      <c r="J242" s="52">
        <f t="shared" si="26"/>
        <v>9.2694244444443907E-2</v>
      </c>
      <c r="K242" s="18">
        <v>81266.133333327205</v>
      </c>
      <c r="L242" s="21">
        <f t="shared" si="27"/>
        <v>8.1266133333327203E-2</v>
      </c>
      <c r="M242" s="18">
        <f t="shared" si="24"/>
        <v>0.17396037777777112</v>
      </c>
      <c r="N242" s="27">
        <v>-0.70712640000000004</v>
      </c>
      <c r="O242" s="7">
        <f t="shared" si="25"/>
        <v>3.1251660222222291</v>
      </c>
    </row>
    <row r="243" spans="1:15" x14ac:dyDescent="0.7">
      <c r="A243" s="6"/>
      <c r="B243" s="6"/>
      <c r="C243" s="6">
        <v>29</v>
      </c>
      <c r="D243" s="7">
        <v>21.71</v>
      </c>
      <c r="E243" s="4">
        <v>0</v>
      </c>
      <c r="F243" s="7">
        <v>21.71</v>
      </c>
      <c r="G243" s="16">
        <f t="shared" si="28"/>
        <v>1875744</v>
      </c>
      <c r="H243" s="22">
        <f t="shared" si="29"/>
        <v>1.8757440000000001</v>
      </c>
      <c r="I243" s="18">
        <v>93073.6944444439</v>
      </c>
      <c r="J243" s="52">
        <f t="shared" si="26"/>
        <v>9.3073694444443897E-2</v>
      </c>
      <c r="K243" s="18">
        <v>81636.666666660502</v>
      </c>
      <c r="L243" s="21">
        <f t="shared" si="27"/>
        <v>8.1636666666660501E-2</v>
      </c>
      <c r="M243" s="18">
        <f t="shared" si="24"/>
        <v>0.17471036111110438</v>
      </c>
      <c r="N243" s="27">
        <v>-0.71085600000000004</v>
      </c>
      <c r="O243" s="7">
        <f t="shared" si="25"/>
        <v>2.411889638888896</v>
      </c>
    </row>
    <row r="244" spans="1:15" x14ac:dyDescent="0.7">
      <c r="A244" s="6"/>
      <c r="B244" s="6"/>
      <c r="C244" s="6">
        <v>30</v>
      </c>
      <c r="D244" s="7">
        <v>27.916999999999998</v>
      </c>
      <c r="E244" s="4">
        <v>42.2</v>
      </c>
      <c r="F244" s="7">
        <v>27.916999999999998</v>
      </c>
      <c r="G244" s="16">
        <f t="shared" si="28"/>
        <v>2412028.7999999998</v>
      </c>
      <c r="H244" s="22">
        <f t="shared" si="29"/>
        <v>2.4120287999999999</v>
      </c>
      <c r="I244" s="18">
        <v>93453.144444443897</v>
      </c>
      <c r="J244" s="52">
        <f t="shared" si="26"/>
        <v>9.34531444444439E-2</v>
      </c>
      <c r="K244" s="18">
        <v>82007.199999993798</v>
      </c>
      <c r="L244" s="21">
        <f t="shared" si="27"/>
        <v>8.2007199999993799E-2</v>
      </c>
      <c r="M244" s="18">
        <f t="shared" si="24"/>
        <v>0.1754603444444377</v>
      </c>
      <c r="N244" s="27">
        <v>-0.71458560000000004</v>
      </c>
      <c r="O244" s="7">
        <f t="shared" si="25"/>
        <v>2.9511540555555622</v>
      </c>
    </row>
    <row r="245" spans="1:15" s="14" customFormat="1" ht="25.2" thickBot="1" x14ac:dyDescent="0.75">
      <c r="A245" s="9"/>
      <c r="B245" s="9" t="s">
        <v>22</v>
      </c>
      <c r="C245" s="12">
        <v>31</v>
      </c>
      <c r="D245" s="10">
        <v>30.234999999999999</v>
      </c>
      <c r="E245" s="20">
        <v>7.3</v>
      </c>
      <c r="F245" s="10">
        <v>30.234999999999999</v>
      </c>
      <c r="G245" s="29">
        <f t="shared" si="28"/>
        <v>2612304</v>
      </c>
      <c r="H245" s="30">
        <f t="shared" si="29"/>
        <v>2.612304</v>
      </c>
      <c r="I245" s="19">
        <v>93832.594444443894</v>
      </c>
      <c r="J245" s="53">
        <f t="shared" si="26"/>
        <v>9.383259444444389E-2</v>
      </c>
      <c r="K245" s="19">
        <v>82377.733333327094</v>
      </c>
      <c r="L245" s="23">
        <f t="shared" si="27"/>
        <v>8.2377733333327097E-2</v>
      </c>
      <c r="M245" s="19">
        <f t="shared" si="24"/>
        <v>0.17621032777777099</v>
      </c>
      <c r="N245" s="31">
        <v>-0.71831520000000004</v>
      </c>
      <c r="O245" s="10">
        <f t="shared" si="25"/>
        <v>3.1544088722222292</v>
      </c>
    </row>
    <row r="246" spans="1:15" x14ac:dyDescent="0.7">
      <c r="A246" s="3"/>
      <c r="B246" s="3" t="s">
        <v>23</v>
      </c>
      <c r="C246" s="3">
        <v>1</v>
      </c>
      <c r="D246" s="4">
        <v>35.301000000000002</v>
      </c>
      <c r="E246" s="4">
        <v>1.2</v>
      </c>
      <c r="F246" s="4">
        <v>35.301000000000002</v>
      </c>
      <c r="G246" s="16">
        <f t="shared" si="28"/>
        <v>3050006.4000000004</v>
      </c>
      <c r="H246" s="22">
        <f t="shared" si="29"/>
        <v>3.0500064000000005</v>
      </c>
      <c r="I246" s="17">
        <v>94212.044444443905</v>
      </c>
      <c r="J246" s="54">
        <f t="shared" si="26"/>
        <v>9.4212044444443907E-2</v>
      </c>
      <c r="K246" s="17">
        <v>82748.266666660405</v>
      </c>
      <c r="L246" s="22">
        <f t="shared" si="27"/>
        <v>8.2748266666660408E-2</v>
      </c>
      <c r="M246" s="17">
        <f t="shared" si="24"/>
        <v>0.17696031111110433</v>
      </c>
      <c r="N246" s="28">
        <v>-0.72204480000000004</v>
      </c>
      <c r="O246" s="4">
        <f t="shared" si="25"/>
        <v>3.5950908888888962</v>
      </c>
    </row>
    <row r="247" spans="1:15" x14ac:dyDescent="0.7">
      <c r="A247" s="6"/>
      <c r="B247" s="6"/>
      <c r="C247" s="6">
        <v>2</v>
      </c>
      <c r="D247" s="7">
        <v>41.997999999999998</v>
      </c>
      <c r="E247" s="4">
        <v>1.4</v>
      </c>
      <c r="F247" s="7">
        <v>41.997999999999998</v>
      </c>
      <c r="G247" s="16">
        <f t="shared" si="28"/>
        <v>3628627.1999999997</v>
      </c>
      <c r="H247" s="22">
        <f t="shared" si="29"/>
        <v>3.6286271999999999</v>
      </c>
      <c r="I247" s="18">
        <v>94591.494444443801</v>
      </c>
      <c r="J247" s="52">
        <f t="shared" si="26"/>
        <v>9.4591494444443799E-2</v>
      </c>
      <c r="K247" s="18">
        <v>83118.799999993702</v>
      </c>
      <c r="L247" s="21">
        <f t="shared" si="27"/>
        <v>8.3118799999993706E-2</v>
      </c>
      <c r="M247" s="18">
        <f t="shared" si="24"/>
        <v>0.17771029444443751</v>
      </c>
      <c r="N247" s="27">
        <v>-0.72577440000000004</v>
      </c>
      <c r="O247" s="7">
        <f t="shared" si="25"/>
        <v>4.1766913055555621</v>
      </c>
    </row>
    <row r="248" spans="1:15" x14ac:dyDescent="0.7">
      <c r="A248" s="6"/>
      <c r="B248" s="6"/>
      <c r="C248" s="6">
        <v>3</v>
      </c>
      <c r="D248" s="7">
        <v>85.661000000000001</v>
      </c>
      <c r="E248" s="4">
        <v>1.5</v>
      </c>
      <c r="F248" s="7">
        <v>85.661000000000001</v>
      </c>
      <c r="G248" s="16">
        <f t="shared" si="28"/>
        <v>7401110.4000000004</v>
      </c>
      <c r="H248" s="22">
        <f t="shared" si="29"/>
        <v>7.4011104000000003</v>
      </c>
      <c r="I248" s="18">
        <v>94970.944444443798</v>
      </c>
      <c r="J248" s="52">
        <f t="shared" si="26"/>
        <v>9.4970944444443803E-2</v>
      </c>
      <c r="K248" s="18">
        <v>83489.333333326998</v>
      </c>
      <c r="L248" s="21">
        <f t="shared" si="27"/>
        <v>8.3489333333327004E-2</v>
      </c>
      <c r="M248" s="18">
        <f t="shared" si="24"/>
        <v>0.17846027777777079</v>
      </c>
      <c r="N248" s="27">
        <v>-0.72950400000000004</v>
      </c>
      <c r="O248" s="7">
        <f t="shared" si="25"/>
        <v>7.9521541222222298</v>
      </c>
    </row>
    <row r="249" spans="1:15" x14ac:dyDescent="0.7">
      <c r="A249" s="6"/>
      <c r="B249" s="6"/>
      <c r="C249" s="3">
        <v>4</v>
      </c>
      <c r="D249" s="7">
        <v>52.35</v>
      </c>
      <c r="E249" s="4">
        <v>0</v>
      </c>
      <c r="F249" s="7">
        <v>52.35</v>
      </c>
      <c r="G249" s="16">
        <f t="shared" si="28"/>
        <v>4523040</v>
      </c>
      <c r="H249" s="22">
        <f t="shared" si="29"/>
        <v>4.5230399999999999</v>
      </c>
      <c r="I249" s="18">
        <v>95350.394444443795</v>
      </c>
      <c r="J249" s="52">
        <f t="shared" si="26"/>
        <v>9.5350394444443792E-2</v>
      </c>
      <c r="K249" s="18">
        <v>83859.866666660295</v>
      </c>
      <c r="L249" s="21">
        <f t="shared" si="27"/>
        <v>8.3859866666660302E-2</v>
      </c>
      <c r="M249" s="18">
        <f t="shared" si="24"/>
        <v>0.17921026111110411</v>
      </c>
      <c r="N249" s="27">
        <v>-0.73323360000000004</v>
      </c>
      <c r="O249" s="7">
        <f t="shared" si="25"/>
        <v>5.0770633388888964</v>
      </c>
    </row>
    <row r="250" spans="1:15" x14ac:dyDescent="0.7">
      <c r="A250" s="6"/>
      <c r="B250" s="6"/>
      <c r="C250" s="6">
        <v>5</v>
      </c>
      <c r="D250" s="7">
        <v>46.302</v>
      </c>
      <c r="E250" s="4">
        <v>0</v>
      </c>
      <c r="F250" s="7">
        <v>46.302</v>
      </c>
      <c r="G250" s="16">
        <f t="shared" si="28"/>
        <v>4000492.8</v>
      </c>
      <c r="H250" s="22">
        <f t="shared" si="29"/>
        <v>4.0004928</v>
      </c>
      <c r="I250" s="18">
        <v>95729.844444443806</v>
      </c>
      <c r="J250" s="52">
        <f t="shared" si="26"/>
        <v>9.572984444444381E-2</v>
      </c>
      <c r="K250" s="18">
        <v>84230.399999993606</v>
      </c>
      <c r="L250" s="21">
        <f t="shared" si="27"/>
        <v>8.4230399999993599E-2</v>
      </c>
      <c r="M250" s="18">
        <f t="shared" si="24"/>
        <v>0.17996024444443742</v>
      </c>
      <c r="N250" s="27">
        <v>-0.73696320000000004</v>
      </c>
      <c r="O250" s="7">
        <f t="shared" si="25"/>
        <v>4.5574957555555624</v>
      </c>
    </row>
    <row r="251" spans="1:15" x14ac:dyDescent="0.7">
      <c r="A251" s="6"/>
      <c r="B251" s="6"/>
      <c r="C251" s="6">
        <v>6</v>
      </c>
      <c r="D251" s="7">
        <v>34.701999999999998</v>
      </c>
      <c r="E251" s="4">
        <v>0</v>
      </c>
      <c r="F251" s="7">
        <v>34.701999999999998</v>
      </c>
      <c r="G251" s="16">
        <f t="shared" si="28"/>
        <v>2998252.8</v>
      </c>
      <c r="H251" s="22">
        <f t="shared" si="29"/>
        <v>2.9982527999999999</v>
      </c>
      <c r="I251" s="18">
        <v>96109.294444443804</v>
      </c>
      <c r="J251" s="52">
        <f t="shared" si="26"/>
        <v>9.6109294444443799E-2</v>
      </c>
      <c r="K251" s="18">
        <v>84600.933333326902</v>
      </c>
      <c r="L251" s="21">
        <f t="shared" si="27"/>
        <v>8.4600933333326897E-2</v>
      </c>
      <c r="M251" s="18">
        <f t="shared" si="24"/>
        <v>0.18071022777777068</v>
      </c>
      <c r="N251" s="27">
        <v>-0.74069280000000004</v>
      </c>
      <c r="O251" s="7">
        <f t="shared" si="25"/>
        <v>3.5582353722222293</v>
      </c>
    </row>
    <row r="252" spans="1:15" x14ac:dyDescent="0.7">
      <c r="A252" s="6"/>
      <c r="B252" s="6"/>
      <c r="C252" s="3">
        <v>7</v>
      </c>
      <c r="D252" s="7">
        <v>24.58</v>
      </c>
      <c r="E252" s="4">
        <v>7.8</v>
      </c>
      <c r="F252" s="7">
        <v>24.58</v>
      </c>
      <c r="G252" s="16">
        <f t="shared" si="28"/>
        <v>2123712</v>
      </c>
      <c r="H252" s="22">
        <f t="shared" si="29"/>
        <v>2.1237119999999998</v>
      </c>
      <c r="I252" s="18">
        <v>96488.744444443801</v>
      </c>
      <c r="J252" s="52">
        <f t="shared" si="26"/>
        <v>9.6488744444443802E-2</v>
      </c>
      <c r="K252" s="18">
        <v>84971.466666660199</v>
      </c>
      <c r="L252" s="21">
        <f t="shared" si="27"/>
        <v>8.4971466666660195E-2</v>
      </c>
      <c r="M252" s="18">
        <f t="shared" si="24"/>
        <v>0.181460211111104</v>
      </c>
      <c r="N252" s="27">
        <v>-0.74442240000000004</v>
      </c>
      <c r="O252" s="7">
        <f t="shared" si="25"/>
        <v>2.6866741888888956</v>
      </c>
    </row>
    <row r="253" spans="1:15" x14ac:dyDescent="0.7">
      <c r="A253" s="6"/>
      <c r="B253" s="6"/>
      <c r="C253" s="6">
        <v>8</v>
      </c>
      <c r="D253" s="7">
        <v>22.502000000000002</v>
      </c>
      <c r="E253" s="4">
        <v>4.2</v>
      </c>
      <c r="F253" s="7">
        <v>22.502000000000002</v>
      </c>
      <c r="G253" s="16">
        <f t="shared" si="28"/>
        <v>1944172.8000000003</v>
      </c>
      <c r="H253" s="22">
        <f t="shared" si="29"/>
        <v>1.9441728000000003</v>
      </c>
      <c r="I253" s="18">
        <v>96868.194444443798</v>
      </c>
      <c r="J253" s="52">
        <f t="shared" si="26"/>
        <v>9.6868194444443792E-2</v>
      </c>
      <c r="K253" s="18">
        <v>85341.999999993495</v>
      </c>
      <c r="L253" s="21">
        <f t="shared" si="27"/>
        <v>8.5341999999993493E-2</v>
      </c>
      <c r="M253" s="18">
        <f t="shared" si="24"/>
        <v>0.18221019444443728</v>
      </c>
      <c r="N253" s="27">
        <v>-0.74815200000000004</v>
      </c>
      <c r="O253" s="7">
        <f t="shared" si="25"/>
        <v>2.5101146055555632</v>
      </c>
    </row>
    <row r="254" spans="1:15" x14ac:dyDescent="0.7">
      <c r="A254" s="6"/>
      <c r="B254" s="6"/>
      <c r="C254" s="6">
        <v>9</v>
      </c>
      <c r="D254" s="7">
        <v>15.063000000000001</v>
      </c>
      <c r="E254" s="4">
        <v>1.8</v>
      </c>
      <c r="F254" s="7">
        <v>15.063000000000001</v>
      </c>
      <c r="G254" s="16">
        <f t="shared" si="28"/>
        <v>1301443.2</v>
      </c>
      <c r="H254" s="22">
        <f t="shared" si="29"/>
        <v>1.3014432</v>
      </c>
      <c r="I254" s="18">
        <v>97247.644444443795</v>
      </c>
      <c r="J254" s="52">
        <f t="shared" si="26"/>
        <v>9.7247644444443795E-2</v>
      </c>
      <c r="K254" s="18">
        <v>85712.533333326806</v>
      </c>
      <c r="L254" s="21">
        <f t="shared" si="27"/>
        <v>8.5712533333326804E-2</v>
      </c>
      <c r="M254" s="18">
        <f t="shared" si="24"/>
        <v>0.1829601777777706</v>
      </c>
      <c r="N254" s="27">
        <v>-0.75188160000000004</v>
      </c>
      <c r="O254" s="7">
        <f t="shared" si="25"/>
        <v>1.8703646222222297</v>
      </c>
    </row>
    <row r="255" spans="1:15" x14ac:dyDescent="0.7">
      <c r="A255" s="6"/>
      <c r="B255" s="6"/>
      <c r="C255" s="3">
        <v>10</v>
      </c>
      <c r="D255" s="7">
        <v>14.680999999999999</v>
      </c>
      <c r="E255" s="4">
        <v>22.7</v>
      </c>
      <c r="F255" s="7">
        <v>14.680999999999999</v>
      </c>
      <c r="G255" s="16">
        <f t="shared" si="28"/>
        <v>1268438.3999999999</v>
      </c>
      <c r="H255" s="22">
        <f t="shared" si="29"/>
        <v>1.2684384</v>
      </c>
      <c r="I255" s="18">
        <v>97627.094444443806</v>
      </c>
      <c r="J255" s="52">
        <f t="shared" si="26"/>
        <v>9.7627094444443813E-2</v>
      </c>
      <c r="K255" s="18">
        <v>86083.066666660103</v>
      </c>
      <c r="L255" s="21">
        <f t="shared" si="27"/>
        <v>8.6083066666660102E-2</v>
      </c>
      <c r="M255" s="18">
        <f t="shared" ref="M255:M318" si="30">J255+L255</f>
        <v>0.18371016111110391</v>
      </c>
      <c r="N255" s="27">
        <v>-0.75561120000000004</v>
      </c>
      <c r="O255" s="7">
        <f t="shared" ref="O255:O318" si="31">H255-M255-N255</f>
        <v>1.8403394388888961</v>
      </c>
    </row>
    <row r="256" spans="1:15" x14ac:dyDescent="0.7">
      <c r="A256" s="6"/>
      <c r="B256" s="6"/>
      <c r="C256" s="6">
        <v>11</v>
      </c>
      <c r="D256" s="7">
        <v>14.737</v>
      </c>
      <c r="E256" s="4">
        <v>4.8</v>
      </c>
      <c r="F256" s="7">
        <v>14.737</v>
      </c>
      <c r="G256" s="16">
        <f t="shared" si="28"/>
        <v>1273276.8</v>
      </c>
      <c r="H256" s="22">
        <f t="shared" si="29"/>
        <v>1.2732768000000001</v>
      </c>
      <c r="I256" s="18">
        <v>98006.544444443804</v>
      </c>
      <c r="J256" s="52">
        <f t="shared" si="26"/>
        <v>9.8006544444443802E-2</v>
      </c>
      <c r="K256" s="18">
        <v>86453.599999993399</v>
      </c>
      <c r="L256" s="21">
        <f t="shared" si="27"/>
        <v>8.64535999999934E-2</v>
      </c>
      <c r="M256" s="18">
        <f t="shared" si="30"/>
        <v>0.1844601444444372</v>
      </c>
      <c r="N256" s="27">
        <v>-0.75934080000000004</v>
      </c>
      <c r="O256" s="7">
        <f t="shared" si="31"/>
        <v>1.8481574555555631</v>
      </c>
    </row>
    <row r="257" spans="1:15" x14ac:dyDescent="0.7">
      <c r="A257" s="6"/>
      <c r="B257" s="6"/>
      <c r="C257" s="6">
        <v>12</v>
      </c>
      <c r="D257" s="7">
        <v>16.823999999999998</v>
      </c>
      <c r="E257" s="4">
        <v>4.3</v>
      </c>
      <c r="F257" s="7">
        <v>16.823999999999998</v>
      </c>
      <c r="G257" s="16">
        <f t="shared" si="28"/>
        <v>1453593.5999999999</v>
      </c>
      <c r="H257" s="22">
        <f t="shared" si="29"/>
        <v>1.4535935999999998</v>
      </c>
      <c r="I257" s="18">
        <v>98385.994444443801</v>
      </c>
      <c r="J257" s="52">
        <f t="shared" si="26"/>
        <v>9.8385994444443806E-2</v>
      </c>
      <c r="K257" s="18">
        <v>86824.133333326696</v>
      </c>
      <c r="L257" s="21">
        <f t="shared" si="27"/>
        <v>8.6824133333326697E-2</v>
      </c>
      <c r="M257" s="18">
        <f t="shared" si="30"/>
        <v>0.18521012777777052</v>
      </c>
      <c r="N257" s="27">
        <v>-0.76307040000000004</v>
      </c>
      <c r="O257" s="7">
        <f t="shared" si="31"/>
        <v>2.0314538722222295</v>
      </c>
    </row>
    <row r="258" spans="1:15" x14ac:dyDescent="0.7">
      <c r="A258" s="6"/>
      <c r="B258" s="6"/>
      <c r="C258" s="3">
        <v>13</v>
      </c>
      <c r="D258" s="7">
        <v>15.19</v>
      </c>
      <c r="E258" s="4">
        <v>0</v>
      </c>
      <c r="F258" s="7">
        <v>15.19</v>
      </c>
      <c r="G258" s="16">
        <f t="shared" si="28"/>
        <v>1312416</v>
      </c>
      <c r="H258" s="22">
        <f t="shared" si="29"/>
        <v>1.312416</v>
      </c>
      <c r="I258" s="18">
        <v>98765.444444443798</v>
      </c>
      <c r="J258" s="52">
        <f t="shared" si="26"/>
        <v>9.8765444444443795E-2</v>
      </c>
      <c r="K258" s="18">
        <v>87194.666666660007</v>
      </c>
      <c r="L258" s="21">
        <f t="shared" si="27"/>
        <v>8.7194666666660009E-2</v>
      </c>
      <c r="M258" s="18">
        <f t="shared" si="30"/>
        <v>0.1859601111111038</v>
      </c>
      <c r="N258" s="27">
        <v>-0.76680000000000004</v>
      </c>
      <c r="O258" s="7">
        <f t="shared" si="31"/>
        <v>1.8932558888888962</v>
      </c>
    </row>
    <row r="259" spans="1:15" x14ac:dyDescent="0.7">
      <c r="A259" s="6"/>
      <c r="B259" s="6"/>
      <c r="C259" s="6">
        <v>14</v>
      </c>
      <c r="D259" s="7">
        <v>12.315</v>
      </c>
      <c r="E259" s="4">
        <v>0</v>
      </c>
      <c r="F259" s="7">
        <v>12.315</v>
      </c>
      <c r="G259" s="16">
        <f t="shared" si="28"/>
        <v>1064016</v>
      </c>
      <c r="H259" s="22">
        <f t="shared" si="29"/>
        <v>1.0640160000000001</v>
      </c>
      <c r="I259" s="18">
        <v>99144.894444443795</v>
      </c>
      <c r="J259" s="52">
        <f t="shared" ref="J259:J322" si="32">I259/1000000</f>
        <v>9.9144894444443799E-2</v>
      </c>
      <c r="K259" s="18">
        <v>87565.199999993303</v>
      </c>
      <c r="L259" s="21">
        <f t="shared" ref="L259:L322" si="33">K259/1000000</f>
        <v>8.7565199999993307E-2</v>
      </c>
      <c r="M259" s="18">
        <f t="shared" si="30"/>
        <v>0.18671009444443709</v>
      </c>
      <c r="N259" s="27">
        <v>-0.77052960000000004</v>
      </c>
      <c r="O259" s="7">
        <f t="shared" si="31"/>
        <v>1.6478355055555629</v>
      </c>
    </row>
    <row r="260" spans="1:15" x14ac:dyDescent="0.7">
      <c r="A260" s="6"/>
      <c r="B260" s="6"/>
      <c r="C260" s="6">
        <v>15</v>
      </c>
      <c r="D260" s="7">
        <v>13.923</v>
      </c>
      <c r="E260" s="4">
        <v>0</v>
      </c>
      <c r="F260" s="7">
        <v>13.923</v>
      </c>
      <c r="G260" s="16">
        <f t="shared" ref="G260:G323" si="34">F260*86400</f>
        <v>1202947.2</v>
      </c>
      <c r="H260" s="22">
        <f t="shared" ref="H260:H323" si="35">G260/1000000</f>
        <v>1.2029471999999999</v>
      </c>
      <c r="I260" s="18">
        <v>99524.344444443806</v>
      </c>
      <c r="J260" s="52">
        <f t="shared" si="32"/>
        <v>9.9524344444443802E-2</v>
      </c>
      <c r="K260" s="18">
        <v>87935.7333333266</v>
      </c>
      <c r="L260" s="21">
        <f t="shared" si="33"/>
        <v>8.7935733333326604E-2</v>
      </c>
      <c r="M260" s="18">
        <f t="shared" si="30"/>
        <v>0.18746007777777041</v>
      </c>
      <c r="N260" s="27">
        <v>-0.77425920000000004</v>
      </c>
      <c r="O260" s="7">
        <f t="shared" si="31"/>
        <v>1.7897463222222294</v>
      </c>
    </row>
    <row r="261" spans="1:15" x14ac:dyDescent="0.7">
      <c r="A261" s="6"/>
      <c r="B261" s="6"/>
      <c r="C261" s="3">
        <v>16</v>
      </c>
      <c r="D261" s="7">
        <v>13.238</v>
      </c>
      <c r="E261" s="4">
        <v>0</v>
      </c>
      <c r="F261" s="7">
        <v>13.238</v>
      </c>
      <c r="G261" s="16">
        <f t="shared" si="34"/>
        <v>1143763.2</v>
      </c>
      <c r="H261" s="22">
        <f t="shared" si="35"/>
        <v>1.1437632</v>
      </c>
      <c r="I261" s="18">
        <v>99903.794444443804</v>
      </c>
      <c r="J261" s="52">
        <f t="shared" si="32"/>
        <v>9.9903794444443805E-2</v>
      </c>
      <c r="K261" s="18">
        <v>88306.266666659896</v>
      </c>
      <c r="L261" s="21">
        <f t="shared" si="33"/>
        <v>8.8306266666659902E-2</v>
      </c>
      <c r="M261" s="18">
        <f t="shared" si="30"/>
        <v>0.18821006111110372</v>
      </c>
      <c r="N261" s="27">
        <v>-0.77798880000000004</v>
      </c>
      <c r="O261" s="7">
        <f t="shared" si="31"/>
        <v>1.7335419388888962</v>
      </c>
    </row>
    <row r="262" spans="1:15" x14ac:dyDescent="0.7">
      <c r="A262" s="6"/>
      <c r="B262" s="6"/>
      <c r="C262" s="6">
        <v>17</v>
      </c>
      <c r="D262" s="7">
        <v>12.635</v>
      </c>
      <c r="E262" s="4">
        <v>5.2</v>
      </c>
      <c r="F262" s="7">
        <v>12.635</v>
      </c>
      <c r="G262" s="16">
        <f t="shared" si="34"/>
        <v>1091664</v>
      </c>
      <c r="H262" s="22">
        <f t="shared" si="35"/>
        <v>1.091664</v>
      </c>
      <c r="I262" s="18">
        <v>100283.244444444</v>
      </c>
      <c r="J262" s="52">
        <f t="shared" si="32"/>
        <v>0.100283244444444</v>
      </c>
      <c r="K262" s="18">
        <v>88676.799999993207</v>
      </c>
      <c r="L262" s="21">
        <f t="shared" si="33"/>
        <v>8.8676799999993214E-2</v>
      </c>
      <c r="M262" s="18">
        <f t="shared" si="30"/>
        <v>0.1889600444444372</v>
      </c>
      <c r="N262" s="27">
        <v>-0.78171840000000004</v>
      </c>
      <c r="O262" s="7">
        <f t="shared" si="31"/>
        <v>1.6844223555555629</v>
      </c>
    </row>
    <row r="263" spans="1:15" x14ac:dyDescent="0.7">
      <c r="A263" s="6"/>
      <c r="B263" s="6"/>
      <c r="C263" s="6">
        <v>18</v>
      </c>
      <c r="D263" s="7">
        <v>10.826000000000001</v>
      </c>
      <c r="E263" s="4">
        <v>36</v>
      </c>
      <c r="F263" s="7">
        <v>10.826000000000001</v>
      </c>
      <c r="G263" s="16">
        <f t="shared" si="34"/>
        <v>935366.4</v>
      </c>
      <c r="H263" s="22">
        <f t="shared" si="35"/>
        <v>0.93536640000000004</v>
      </c>
      <c r="I263" s="18">
        <v>100662.694444444</v>
      </c>
      <c r="J263" s="52">
        <f t="shared" si="32"/>
        <v>0.10066269444444401</v>
      </c>
      <c r="K263" s="18">
        <v>89047.333333326504</v>
      </c>
      <c r="L263" s="21">
        <f t="shared" si="33"/>
        <v>8.9047333333326498E-2</v>
      </c>
      <c r="M263" s="18">
        <f t="shared" si="30"/>
        <v>0.18971002777777052</v>
      </c>
      <c r="N263" s="27">
        <v>-0.78544800000000004</v>
      </c>
      <c r="O263" s="7">
        <f t="shared" si="31"/>
        <v>1.5311043722222295</v>
      </c>
    </row>
    <row r="264" spans="1:15" x14ac:dyDescent="0.7">
      <c r="A264" s="6"/>
      <c r="B264" s="6"/>
      <c r="C264" s="3">
        <v>19</v>
      </c>
      <c r="D264" s="7">
        <v>15.689</v>
      </c>
      <c r="E264" s="4">
        <v>5.0999999999999996</v>
      </c>
      <c r="F264" s="7">
        <v>15.689</v>
      </c>
      <c r="G264" s="16">
        <f t="shared" si="34"/>
        <v>1355529.6</v>
      </c>
      <c r="H264" s="22">
        <f t="shared" si="35"/>
        <v>1.3555296000000001</v>
      </c>
      <c r="I264" s="18">
        <v>101042.144444444</v>
      </c>
      <c r="J264" s="52">
        <f t="shared" si="32"/>
        <v>0.101042144444444</v>
      </c>
      <c r="K264" s="18">
        <v>89417.8666666598</v>
      </c>
      <c r="L264" s="21">
        <f t="shared" si="33"/>
        <v>8.9417866666659795E-2</v>
      </c>
      <c r="M264" s="18">
        <f t="shared" si="30"/>
        <v>0.19046001111110378</v>
      </c>
      <c r="N264" s="27">
        <v>-0.78917760000000003</v>
      </c>
      <c r="O264" s="7">
        <f t="shared" si="31"/>
        <v>1.9542471888888961</v>
      </c>
    </row>
    <row r="265" spans="1:15" x14ac:dyDescent="0.7">
      <c r="A265" s="6"/>
      <c r="B265" s="6"/>
      <c r="C265" s="6">
        <v>20</v>
      </c>
      <c r="D265" s="7">
        <v>22.167999999999999</v>
      </c>
      <c r="E265" s="4">
        <v>4.8</v>
      </c>
      <c r="F265" s="7">
        <v>22.167999999999999</v>
      </c>
      <c r="G265" s="16">
        <f t="shared" si="34"/>
        <v>1915315.2</v>
      </c>
      <c r="H265" s="22">
        <f t="shared" si="35"/>
        <v>1.9153152</v>
      </c>
      <c r="I265" s="18">
        <v>101421.594444444</v>
      </c>
      <c r="J265" s="52">
        <f t="shared" si="32"/>
        <v>0.101421594444444</v>
      </c>
      <c r="K265" s="18">
        <v>89788.399999993097</v>
      </c>
      <c r="L265" s="21">
        <f t="shared" si="33"/>
        <v>8.9788399999993093E-2</v>
      </c>
      <c r="M265" s="18">
        <f t="shared" si="30"/>
        <v>0.19120999444443709</v>
      </c>
      <c r="N265" s="27">
        <v>-0.79290720000000003</v>
      </c>
      <c r="O265" s="7">
        <f t="shared" si="31"/>
        <v>2.5170124055555632</v>
      </c>
    </row>
    <row r="266" spans="1:15" x14ac:dyDescent="0.7">
      <c r="A266" s="6"/>
      <c r="B266" s="6"/>
      <c r="C266" s="6">
        <v>21</v>
      </c>
      <c r="D266" s="7">
        <v>15.745000000000001</v>
      </c>
      <c r="E266" s="4">
        <v>8.1999999999999993</v>
      </c>
      <c r="F266" s="7">
        <v>15.745000000000001</v>
      </c>
      <c r="G266" s="16">
        <f t="shared" si="34"/>
        <v>1360368</v>
      </c>
      <c r="H266" s="22">
        <f t="shared" si="35"/>
        <v>1.360368</v>
      </c>
      <c r="I266" s="18">
        <v>101801.04444444401</v>
      </c>
      <c r="J266" s="52">
        <f t="shared" si="32"/>
        <v>0.101801044444444</v>
      </c>
      <c r="K266" s="18">
        <v>90158.933333326393</v>
      </c>
      <c r="L266" s="21">
        <f t="shared" si="33"/>
        <v>9.0158933333326391E-2</v>
      </c>
      <c r="M266" s="18">
        <f t="shared" si="30"/>
        <v>0.19195997777777041</v>
      </c>
      <c r="N266" s="27">
        <v>-0.79663680000000003</v>
      </c>
      <c r="O266" s="7">
        <f t="shared" si="31"/>
        <v>1.9650448222222296</v>
      </c>
    </row>
    <row r="267" spans="1:15" x14ac:dyDescent="0.7">
      <c r="A267" s="6"/>
      <c r="B267" s="6"/>
      <c r="C267" s="3">
        <v>22</v>
      </c>
      <c r="D267" s="7">
        <v>21.466999999999999</v>
      </c>
      <c r="E267" s="4">
        <v>0</v>
      </c>
      <c r="F267" s="7">
        <v>21.466999999999999</v>
      </c>
      <c r="G267" s="16">
        <f t="shared" si="34"/>
        <v>1854748.7999999998</v>
      </c>
      <c r="H267" s="22">
        <f t="shared" si="35"/>
        <v>1.8547487999999999</v>
      </c>
      <c r="I267" s="18">
        <v>102180.494444444</v>
      </c>
      <c r="J267" s="52">
        <f t="shared" si="32"/>
        <v>0.10218049444444401</v>
      </c>
      <c r="K267" s="18">
        <v>90529.466666659704</v>
      </c>
      <c r="L267" s="21">
        <f t="shared" si="33"/>
        <v>9.0529466666659703E-2</v>
      </c>
      <c r="M267" s="18">
        <f t="shared" si="30"/>
        <v>0.19270996111110372</v>
      </c>
      <c r="N267" s="27">
        <v>-0.80036640000000003</v>
      </c>
      <c r="O267" s="7">
        <f t="shared" si="31"/>
        <v>2.4624052388888962</v>
      </c>
    </row>
    <row r="268" spans="1:15" x14ac:dyDescent="0.7">
      <c r="A268" s="6"/>
      <c r="B268" s="6"/>
      <c r="C268" s="6">
        <v>23</v>
      </c>
      <c r="D268" s="7">
        <v>14.21</v>
      </c>
      <c r="E268" s="4">
        <v>1</v>
      </c>
      <c r="F268" s="7">
        <v>14.21</v>
      </c>
      <c r="G268" s="16">
        <f t="shared" si="34"/>
        <v>1227744</v>
      </c>
      <c r="H268" s="22">
        <f t="shared" si="35"/>
        <v>1.2277439999999999</v>
      </c>
      <c r="I268" s="18">
        <v>102559.944444444</v>
      </c>
      <c r="J268" s="52">
        <f t="shared" si="32"/>
        <v>0.102559944444444</v>
      </c>
      <c r="K268" s="18">
        <v>90899.999999993001</v>
      </c>
      <c r="L268" s="21">
        <f t="shared" si="33"/>
        <v>9.0899999999993E-2</v>
      </c>
      <c r="M268" s="18">
        <f t="shared" si="30"/>
        <v>0.19345994444443698</v>
      </c>
      <c r="N268" s="27">
        <v>-0.80409600000000003</v>
      </c>
      <c r="O268" s="7">
        <f t="shared" si="31"/>
        <v>1.8383800555555632</v>
      </c>
    </row>
    <row r="269" spans="1:15" x14ac:dyDescent="0.7">
      <c r="A269" s="6"/>
      <c r="B269" s="6"/>
      <c r="C269" s="6">
        <v>24</v>
      </c>
      <c r="D269" s="7">
        <v>13.206</v>
      </c>
      <c r="E269" s="4">
        <v>0</v>
      </c>
      <c r="F269" s="7">
        <v>13.206</v>
      </c>
      <c r="G269" s="16">
        <f t="shared" si="34"/>
        <v>1140998.3999999999</v>
      </c>
      <c r="H269" s="22">
        <f t="shared" si="35"/>
        <v>1.1409984</v>
      </c>
      <c r="I269" s="18">
        <v>102939.394444444</v>
      </c>
      <c r="J269" s="52">
        <f t="shared" si="32"/>
        <v>0.102939394444444</v>
      </c>
      <c r="K269" s="18">
        <v>91270.533333326297</v>
      </c>
      <c r="L269" s="21">
        <f t="shared" si="33"/>
        <v>9.1270533333326298E-2</v>
      </c>
      <c r="M269" s="18">
        <f t="shared" si="30"/>
        <v>0.1942099277777703</v>
      </c>
      <c r="N269" s="27">
        <v>-0.80782560000000003</v>
      </c>
      <c r="O269" s="7">
        <f t="shared" si="31"/>
        <v>1.7546140722222296</v>
      </c>
    </row>
    <row r="270" spans="1:15" x14ac:dyDescent="0.7">
      <c r="A270" s="6"/>
      <c r="B270" s="6"/>
      <c r="C270" s="3">
        <v>25</v>
      </c>
      <c r="D270" s="7">
        <v>11.323</v>
      </c>
      <c r="E270" s="4">
        <v>0</v>
      </c>
      <c r="F270" s="7">
        <v>11.323</v>
      </c>
      <c r="G270" s="16">
        <f t="shared" si="34"/>
        <v>978307.20000000007</v>
      </c>
      <c r="H270" s="22">
        <f t="shared" si="35"/>
        <v>0.97830720000000004</v>
      </c>
      <c r="I270" s="18">
        <v>103318.844444444</v>
      </c>
      <c r="J270" s="52">
        <f t="shared" si="32"/>
        <v>0.103318844444444</v>
      </c>
      <c r="K270" s="18">
        <v>91641.066666659593</v>
      </c>
      <c r="L270" s="21">
        <f t="shared" si="33"/>
        <v>9.1641066666659596E-2</v>
      </c>
      <c r="M270" s="18">
        <f t="shared" si="30"/>
        <v>0.19495991111110361</v>
      </c>
      <c r="N270" s="27">
        <v>-0.81155520000000003</v>
      </c>
      <c r="O270" s="7">
        <f t="shared" si="31"/>
        <v>1.5949024888888963</v>
      </c>
    </row>
    <row r="271" spans="1:15" x14ac:dyDescent="0.7">
      <c r="A271" s="6"/>
      <c r="B271" s="6"/>
      <c r="C271" s="6">
        <v>26</v>
      </c>
      <c r="D271" s="7">
        <v>10.840999999999999</v>
      </c>
      <c r="E271" s="4">
        <v>2.5</v>
      </c>
      <c r="F271" s="7">
        <v>10.840999999999999</v>
      </c>
      <c r="G271" s="16">
        <f t="shared" si="34"/>
        <v>936662.39999999991</v>
      </c>
      <c r="H271" s="22">
        <f t="shared" si="35"/>
        <v>0.9366623999999999</v>
      </c>
      <c r="I271" s="18">
        <v>103698.29444444401</v>
      </c>
      <c r="J271" s="52">
        <f t="shared" si="32"/>
        <v>0.10369829444444401</v>
      </c>
      <c r="K271" s="18">
        <v>92011.599999992904</v>
      </c>
      <c r="L271" s="21">
        <f t="shared" si="33"/>
        <v>9.2011599999992907E-2</v>
      </c>
      <c r="M271" s="18">
        <f t="shared" si="30"/>
        <v>0.19570989444443693</v>
      </c>
      <c r="N271" s="27">
        <v>-0.81528480000000003</v>
      </c>
      <c r="O271" s="7">
        <f t="shared" si="31"/>
        <v>1.5562373055555629</v>
      </c>
    </row>
    <row r="272" spans="1:15" x14ac:dyDescent="0.7">
      <c r="A272" s="6"/>
      <c r="B272" s="6"/>
      <c r="C272" s="6">
        <v>27</v>
      </c>
      <c r="D272" s="7">
        <v>10.706</v>
      </c>
      <c r="E272" s="4">
        <v>3.3</v>
      </c>
      <c r="F272" s="7">
        <v>10.706</v>
      </c>
      <c r="G272" s="16">
        <f t="shared" si="34"/>
        <v>924998.39999999991</v>
      </c>
      <c r="H272" s="22">
        <f t="shared" si="35"/>
        <v>0.92499839999999989</v>
      </c>
      <c r="I272" s="18">
        <v>104077.744444444</v>
      </c>
      <c r="J272" s="52">
        <f t="shared" si="32"/>
        <v>0.10407774444444401</v>
      </c>
      <c r="K272" s="18">
        <v>92382.133333326201</v>
      </c>
      <c r="L272" s="21">
        <f t="shared" si="33"/>
        <v>9.2382133333326205E-2</v>
      </c>
      <c r="M272" s="18">
        <f t="shared" si="30"/>
        <v>0.19645987777777021</v>
      </c>
      <c r="N272" s="27">
        <v>-0.81901440000000003</v>
      </c>
      <c r="O272" s="7">
        <f t="shared" si="31"/>
        <v>1.5475529222222297</v>
      </c>
    </row>
    <row r="273" spans="1:15" x14ac:dyDescent="0.7">
      <c r="A273" s="6"/>
      <c r="B273" s="6"/>
      <c r="C273" s="3">
        <v>28</v>
      </c>
      <c r="D273" s="7">
        <v>10.986000000000001</v>
      </c>
      <c r="E273" s="4">
        <v>0</v>
      </c>
      <c r="F273" s="7">
        <v>10.986000000000001</v>
      </c>
      <c r="G273" s="16">
        <f t="shared" si="34"/>
        <v>949190.4</v>
      </c>
      <c r="H273" s="22">
        <f t="shared" si="35"/>
        <v>0.94919039999999999</v>
      </c>
      <c r="I273" s="18">
        <v>104457.194444444</v>
      </c>
      <c r="J273" s="52">
        <f t="shared" si="32"/>
        <v>0.104457194444444</v>
      </c>
      <c r="K273" s="18">
        <v>92752.666666659497</v>
      </c>
      <c r="L273" s="21">
        <f t="shared" si="33"/>
        <v>9.2752666666659503E-2</v>
      </c>
      <c r="M273" s="18">
        <f t="shared" si="30"/>
        <v>0.1972098611111035</v>
      </c>
      <c r="N273" s="27">
        <v>-0.82274400000000003</v>
      </c>
      <c r="O273" s="7">
        <f t="shared" si="31"/>
        <v>1.5747245388888964</v>
      </c>
    </row>
    <row r="274" spans="1:15" x14ac:dyDescent="0.7">
      <c r="A274" s="6"/>
      <c r="B274" s="6"/>
      <c r="C274" s="6">
        <v>29</v>
      </c>
      <c r="D274" s="7">
        <v>10.539</v>
      </c>
      <c r="E274" s="4">
        <v>0</v>
      </c>
      <c r="F274" s="7">
        <v>10.539</v>
      </c>
      <c r="G274" s="16">
        <f t="shared" si="34"/>
        <v>910569.6</v>
      </c>
      <c r="H274" s="22">
        <f t="shared" si="35"/>
        <v>0.91056959999999998</v>
      </c>
      <c r="I274" s="18">
        <v>104836.644444444</v>
      </c>
      <c r="J274" s="52">
        <f t="shared" si="32"/>
        <v>0.104836644444444</v>
      </c>
      <c r="K274" s="18">
        <v>93123.199999992794</v>
      </c>
      <c r="L274" s="21">
        <f t="shared" si="33"/>
        <v>9.3123199999992801E-2</v>
      </c>
      <c r="M274" s="18">
        <f t="shared" si="30"/>
        <v>0.19795984444443682</v>
      </c>
      <c r="N274" s="27">
        <v>-0.82647360000000003</v>
      </c>
      <c r="O274" s="7">
        <f t="shared" si="31"/>
        <v>1.5390833555555632</v>
      </c>
    </row>
    <row r="275" spans="1:15" s="14" customFormat="1" ht="25.2" thickBot="1" x14ac:dyDescent="0.75">
      <c r="A275" s="9"/>
      <c r="B275" s="9" t="s">
        <v>23</v>
      </c>
      <c r="C275" s="9">
        <v>30</v>
      </c>
      <c r="D275" s="10">
        <v>10.335000000000001</v>
      </c>
      <c r="E275" s="20">
        <v>0</v>
      </c>
      <c r="F275" s="10">
        <v>10.335000000000001</v>
      </c>
      <c r="G275" s="29">
        <f t="shared" si="34"/>
        <v>892944.00000000012</v>
      </c>
      <c r="H275" s="30">
        <f t="shared" si="35"/>
        <v>0.89294400000000007</v>
      </c>
      <c r="I275" s="19">
        <v>105216.094444444</v>
      </c>
      <c r="J275" s="53">
        <f t="shared" si="32"/>
        <v>0.10521609444444399</v>
      </c>
      <c r="K275" s="19">
        <v>93493.733333326105</v>
      </c>
      <c r="L275" s="23">
        <f t="shared" si="33"/>
        <v>9.3493733333326098E-2</v>
      </c>
      <c r="M275" s="19">
        <f t="shared" si="30"/>
        <v>0.19870982777777008</v>
      </c>
      <c r="N275" s="31">
        <v>-0.83020320000000003</v>
      </c>
      <c r="O275" s="10">
        <f t="shared" si="31"/>
        <v>1.5244373722222302</v>
      </c>
    </row>
    <row r="276" spans="1:15" x14ac:dyDescent="0.7">
      <c r="A276" s="3"/>
      <c r="B276" s="3" t="s">
        <v>24</v>
      </c>
      <c r="C276" s="3">
        <v>1</v>
      </c>
      <c r="D276" s="4">
        <v>10.17</v>
      </c>
      <c r="E276" s="4">
        <v>0</v>
      </c>
      <c r="F276" s="4">
        <v>10.17</v>
      </c>
      <c r="G276" s="16">
        <f t="shared" si="34"/>
        <v>878688</v>
      </c>
      <c r="H276" s="22">
        <f t="shared" si="35"/>
        <v>0.87868800000000002</v>
      </c>
      <c r="I276" s="17">
        <v>105595.54444444401</v>
      </c>
      <c r="J276" s="54">
        <f t="shared" si="32"/>
        <v>0.10559554444444401</v>
      </c>
      <c r="K276" s="17">
        <v>93864.266666659401</v>
      </c>
      <c r="L276" s="22">
        <f t="shared" si="33"/>
        <v>9.3864266666659396E-2</v>
      </c>
      <c r="M276" s="17">
        <f t="shared" si="30"/>
        <v>0.19945981111110339</v>
      </c>
      <c r="N276" s="28">
        <v>-0.83393280000000003</v>
      </c>
      <c r="O276" s="4">
        <f t="shared" si="31"/>
        <v>1.5131609888888966</v>
      </c>
    </row>
    <row r="277" spans="1:15" x14ac:dyDescent="0.7">
      <c r="A277" s="6"/>
      <c r="B277" s="6"/>
      <c r="C277" s="6">
        <v>2</v>
      </c>
      <c r="D277" s="7">
        <v>10.196</v>
      </c>
      <c r="E277" s="4">
        <v>0</v>
      </c>
      <c r="F277" s="7">
        <v>10.196</v>
      </c>
      <c r="G277" s="16">
        <f t="shared" si="34"/>
        <v>880934.40000000002</v>
      </c>
      <c r="H277" s="22">
        <f t="shared" si="35"/>
        <v>0.88093440000000001</v>
      </c>
      <c r="I277" s="18">
        <v>105974.994444444</v>
      </c>
      <c r="J277" s="52">
        <f t="shared" si="32"/>
        <v>0.105974994444444</v>
      </c>
      <c r="K277" s="18">
        <v>94234.799999992698</v>
      </c>
      <c r="L277" s="21">
        <f t="shared" si="33"/>
        <v>9.4234799999992694E-2</v>
      </c>
      <c r="M277" s="18">
        <f t="shared" si="30"/>
        <v>0.20020979444443671</v>
      </c>
      <c r="N277" s="27">
        <v>-0.83766240000000003</v>
      </c>
      <c r="O277" s="7">
        <f t="shared" si="31"/>
        <v>1.5183870055555633</v>
      </c>
    </row>
    <row r="278" spans="1:15" x14ac:dyDescent="0.7">
      <c r="A278" s="6"/>
      <c r="B278" s="6"/>
      <c r="C278" s="6">
        <v>3</v>
      </c>
      <c r="D278" s="7">
        <v>10.128</v>
      </c>
      <c r="E278" s="4">
        <v>0</v>
      </c>
      <c r="F278" s="7">
        <v>10.128</v>
      </c>
      <c r="G278" s="16">
        <f t="shared" si="34"/>
        <v>875059.19999999995</v>
      </c>
      <c r="H278" s="22">
        <f t="shared" si="35"/>
        <v>0.87505919999999993</v>
      </c>
      <c r="I278" s="18">
        <v>106354.444444444</v>
      </c>
      <c r="J278" s="52">
        <f t="shared" si="32"/>
        <v>0.106354444444444</v>
      </c>
      <c r="K278" s="18">
        <v>94605.333333325994</v>
      </c>
      <c r="L278" s="21">
        <f t="shared" si="33"/>
        <v>9.4605333333325992E-2</v>
      </c>
      <c r="M278" s="18">
        <f t="shared" si="30"/>
        <v>0.20095977777776999</v>
      </c>
      <c r="N278" s="27">
        <v>-0.84139200000000003</v>
      </c>
      <c r="O278" s="7">
        <f t="shared" si="31"/>
        <v>1.51549142222223</v>
      </c>
    </row>
    <row r="279" spans="1:15" x14ac:dyDescent="0.7">
      <c r="A279" s="6"/>
      <c r="B279" s="6"/>
      <c r="C279" s="3">
        <v>4</v>
      </c>
      <c r="D279" s="7">
        <v>0</v>
      </c>
      <c r="E279" s="4">
        <v>1.8</v>
      </c>
      <c r="F279" s="7">
        <v>0</v>
      </c>
      <c r="G279" s="16">
        <f t="shared" si="34"/>
        <v>0</v>
      </c>
      <c r="H279" s="22">
        <f t="shared" si="35"/>
        <v>0</v>
      </c>
      <c r="I279" s="18">
        <v>106733.894444444</v>
      </c>
      <c r="J279" s="52">
        <f t="shared" si="32"/>
        <v>0.10673389444444401</v>
      </c>
      <c r="K279" s="18">
        <v>94975.866666659305</v>
      </c>
      <c r="L279" s="21">
        <f t="shared" si="33"/>
        <v>9.4975866666659303E-2</v>
      </c>
      <c r="M279" s="18">
        <f t="shared" si="30"/>
        <v>0.20170976111110331</v>
      </c>
      <c r="N279" s="27">
        <v>-0.84512160000000003</v>
      </c>
      <c r="O279" s="7">
        <f t="shared" si="31"/>
        <v>0.64341183888889675</v>
      </c>
    </row>
    <row r="280" spans="1:15" x14ac:dyDescent="0.7">
      <c r="A280" s="6"/>
      <c r="B280" s="6"/>
      <c r="C280" s="6">
        <v>5</v>
      </c>
      <c r="D280" s="7">
        <v>10.378</v>
      </c>
      <c r="E280" s="4">
        <v>0</v>
      </c>
      <c r="F280" s="7">
        <v>10.378</v>
      </c>
      <c r="G280" s="16">
        <f t="shared" si="34"/>
        <v>896659.2</v>
      </c>
      <c r="H280" s="22">
        <f t="shared" si="35"/>
        <v>0.89665919999999999</v>
      </c>
      <c r="I280" s="18">
        <v>107113.344444444</v>
      </c>
      <c r="J280" s="52">
        <f t="shared" si="32"/>
        <v>0.10711334444444399</v>
      </c>
      <c r="K280" s="18">
        <v>95346.399999992602</v>
      </c>
      <c r="L280" s="21">
        <f t="shared" si="33"/>
        <v>9.5346399999992601E-2</v>
      </c>
      <c r="M280" s="18">
        <f t="shared" si="30"/>
        <v>0.2024597444444366</v>
      </c>
      <c r="N280" s="27">
        <v>-0.84885120000000003</v>
      </c>
      <c r="O280" s="7">
        <f t="shared" si="31"/>
        <v>1.5430506555555634</v>
      </c>
    </row>
    <row r="281" spans="1:15" x14ac:dyDescent="0.7">
      <c r="A281" s="6"/>
      <c r="B281" s="6"/>
      <c r="C281" s="6">
        <v>6</v>
      </c>
      <c r="D281" s="7">
        <v>11.59</v>
      </c>
      <c r="E281" s="4">
        <v>0</v>
      </c>
      <c r="F281" s="7">
        <v>11.59</v>
      </c>
      <c r="G281" s="16">
        <f t="shared" si="34"/>
        <v>1001376</v>
      </c>
      <c r="H281" s="22">
        <f t="shared" si="35"/>
        <v>1.001376</v>
      </c>
      <c r="I281" s="18">
        <v>107492.79444444401</v>
      </c>
      <c r="J281" s="52">
        <f t="shared" si="32"/>
        <v>0.10749279444444401</v>
      </c>
      <c r="K281" s="18">
        <v>95716.933333325898</v>
      </c>
      <c r="L281" s="21">
        <f t="shared" si="33"/>
        <v>9.5716933333325899E-2</v>
      </c>
      <c r="M281" s="18">
        <f t="shared" si="30"/>
        <v>0.20320972777776991</v>
      </c>
      <c r="N281" s="27">
        <v>-0.85258080000000003</v>
      </c>
      <c r="O281" s="7">
        <f t="shared" si="31"/>
        <v>1.6507470722222302</v>
      </c>
    </row>
    <row r="282" spans="1:15" x14ac:dyDescent="0.7">
      <c r="A282" s="6"/>
      <c r="B282" s="6"/>
      <c r="C282" s="3">
        <v>7</v>
      </c>
      <c r="D282" s="7">
        <v>11.57</v>
      </c>
      <c r="E282" s="4">
        <v>0</v>
      </c>
      <c r="F282" s="7">
        <v>11.57</v>
      </c>
      <c r="G282" s="16">
        <f t="shared" si="34"/>
        <v>999648</v>
      </c>
      <c r="H282" s="22">
        <f t="shared" si="35"/>
        <v>0.99964799999999998</v>
      </c>
      <c r="I282" s="18">
        <v>107872.244444444</v>
      </c>
      <c r="J282" s="52">
        <f t="shared" si="32"/>
        <v>0.107872244444444</v>
      </c>
      <c r="K282" s="18">
        <v>96087.466666659195</v>
      </c>
      <c r="L282" s="21">
        <f t="shared" si="33"/>
        <v>9.6087466666659196E-2</v>
      </c>
      <c r="M282" s="18">
        <f t="shared" si="30"/>
        <v>0.2039597111111032</v>
      </c>
      <c r="N282" s="27">
        <v>-0.85631040000000003</v>
      </c>
      <c r="O282" s="7">
        <f t="shared" si="31"/>
        <v>1.6519986888888969</v>
      </c>
    </row>
    <row r="283" spans="1:15" x14ac:dyDescent="0.7">
      <c r="A283" s="6"/>
      <c r="B283" s="6"/>
      <c r="C283" s="6">
        <v>8</v>
      </c>
      <c r="D283" s="7">
        <v>10.385999999999999</v>
      </c>
      <c r="E283" s="4">
        <v>0</v>
      </c>
      <c r="F283" s="7">
        <v>10.385999999999999</v>
      </c>
      <c r="G283" s="16">
        <f t="shared" si="34"/>
        <v>897350.39999999991</v>
      </c>
      <c r="H283" s="22">
        <f t="shared" si="35"/>
        <v>0.89735039999999988</v>
      </c>
      <c r="I283" s="18">
        <v>108251.694444444</v>
      </c>
      <c r="J283" s="52">
        <f t="shared" si="32"/>
        <v>0.108251694444444</v>
      </c>
      <c r="K283" s="18">
        <v>96457.999999992506</v>
      </c>
      <c r="L283" s="21">
        <f t="shared" si="33"/>
        <v>9.6457999999992508E-2</v>
      </c>
      <c r="M283" s="18">
        <f t="shared" si="30"/>
        <v>0.20470969444443651</v>
      </c>
      <c r="N283" s="27">
        <v>-0.86004000000000003</v>
      </c>
      <c r="O283" s="7">
        <f t="shared" si="31"/>
        <v>1.5526807055555634</v>
      </c>
    </row>
    <row r="284" spans="1:15" x14ac:dyDescent="0.7">
      <c r="A284" s="6"/>
      <c r="B284" s="6"/>
      <c r="C284" s="6">
        <v>9</v>
      </c>
      <c r="D284" s="7">
        <v>0</v>
      </c>
      <c r="E284" s="4">
        <v>0</v>
      </c>
      <c r="F284" s="7">
        <v>0</v>
      </c>
      <c r="G284" s="16">
        <f t="shared" si="34"/>
        <v>0</v>
      </c>
      <c r="H284" s="22">
        <f t="shared" si="35"/>
        <v>0</v>
      </c>
      <c r="I284" s="22">
        <f t="shared" ref="I284" si="36">H284/1000000</f>
        <v>0</v>
      </c>
      <c r="J284" s="52">
        <f t="shared" si="32"/>
        <v>0</v>
      </c>
      <c r="K284" s="22">
        <f t="shared" ref="K284" si="37">J284/1000000</f>
        <v>0</v>
      </c>
      <c r="L284" s="21">
        <f t="shared" si="33"/>
        <v>0</v>
      </c>
      <c r="M284" s="18">
        <f t="shared" si="30"/>
        <v>0</v>
      </c>
      <c r="N284" s="27">
        <v>-0.86376960000000003</v>
      </c>
      <c r="O284" s="7">
        <f t="shared" si="31"/>
        <v>0.86376960000000003</v>
      </c>
    </row>
    <row r="285" spans="1:15" x14ac:dyDescent="0.7">
      <c r="A285" s="6"/>
      <c r="B285" s="6"/>
      <c r="C285" s="3">
        <v>10</v>
      </c>
      <c r="D285" s="7">
        <v>9.4610000000000003</v>
      </c>
      <c r="E285" s="4">
        <v>1.2</v>
      </c>
      <c r="F285" s="7">
        <v>9.4610000000000003</v>
      </c>
      <c r="G285" s="16">
        <f t="shared" si="34"/>
        <v>817430.4</v>
      </c>
      <c r="H285" s="22">
        <f t="shared" si="35"/>
        <v>0.8174304</v>
      </c>
      <c r="I285" s="18">
        <v>109010.594444444</v>
      </c>
      <c r="J285" s="52">
        <f t="shared" si="32"/>
        <v>0.109010594444444</v>
      </c>
      <c r="K285" s="18">
        <v>97199.066666659099</v>
      </c>
      <c r="L285" s="21">
        <f t="shared" si="33"/>
        <v>9.7199066666659104E-2</v>
      </c>
      <c r="M285" s="18">
        <f t="shared" si="30"/>
        <v>0.20620966111110312</v>
      </c>
      <c r="N285" s="27">
        <v>-0.86749920000000003</v>
      </c>
      <c r="O285" s="7">
        <f t="shared" si="31"/>
        <v>1.4787199388888967</v>
      </c>
    </row>
    <row r="286" spans="1:15" x14ac:dyDescent="0.7">
      <c r="A286" s="6"/>
      <c r="B286" s="6"/>
      <c r="C286" s="6">
        <v>11</v>
      </c>
      <c r="D286" s="7">
        <v>9.76</v>
      </c>
      <c r="E286" s="4">
        <v>0</v>
      </c>
      <c r="F286" s="7">
        <v>9.76</v>
      </c>
      <c r="G286" s="16">
        <f t="shared" si="34"/>
        <v>843264</v>
      </c>
      <c r="H286" s="22">
        <f t="shared" si="35"/>
        <v>0.84326400000000001</v>
      </c>
      <c r="I286" s="18">
        <v>109390.04444444401</v>
      </c>
      <c r="J286" s="52">
        <f t="shared" si="32"/>
        <v>0.109390044444444</v>
      </c>
      <c r="K286" s="18">
        <v>97569.599999992395</v>
      </c>
      <c r="L286" s="21">
        <f t="shared" si="33"/>
        <v>9.7569599999992401E-2</v>
      </c>
      <c r="M286" s="18">
        <f t="shared" si="30"/>
        <v>0.2069596444444364</v>
      </c>
      <c r="N286" s="27">
        <v>-0.87122880000000003</v>
      </c>
      <c r="O286" s="7">
        <f t="shared" si="31"/>
        <v>1.5075331555555636</v>
      </c>
    </row>
    <row r="287" spans="1:15" x14ac:dyDescent="0.7">
      <c r="A287" s="6"/>
      <c r="B287" s="6"/>
      <c r="C287" s="6">
        <v>12</v>
      </c>
      <c r="D287" s="7">
        <v>13.56</v>
      </c>
      <c r="E287" s="4">
        <v>0</v>
      </c>
      <c r="F287" s="7">
        <v>13.56</v>
      </c>
      <c r="G287" s="16">
        <f t="shared" si="34"/>
        <v>1171584</v>
      </c>
      <c r="H287" s="22">
        <f t="shared" si="35"/>
        <v>1.171584</v>
      </c>
      <c r="I287" s="18">
        <v>109769.494444444</v>
      </c>
      <c r="J287" s="52">
        <f t="shared" si="32"/>
        <v>0.109769494444444</v>
      </c>
      <c r="K287" s="18">
        <v>97940.133333325706</v>
      </c>
      <c r="L287" s="21">
        <f t="shared" si="33"/>
        <v>9.7940133333325713E-2</v>
      </c>
      <c r="M287" s="18">
        <f t="shared" si="30"/>
        <v>0.20770962777776972</v>
      </c>
      <c r="N287" s="27">
        <v>-0.87495840000000003</v>
      </c>
      <c r="O287" s="7">
        <f t="shared" si="31"/>
        <v>1.8388327722222302</v>
      </c>
    </row>
    <row r="288" spans="1:15" x14ac:dyDescent="0.7">
      <c r="A288" s="6"/>
      <c r="B288" s="6"/>
      <c r="C288" s="3">
        <v>13</v>
      </c>
      <c r="D288" s="7">
        <v>12.372999999999999</v>
      </c>
      <c r="E288" s="4">
        <v>0</v>
      </c>
      <c r="F288" s="7">
        <v>12.372999999999999</v>
      </c>
      <c r="G288" s="16">
        <f t="shared" si="34"/>
        <v>1069027.2</v>
      </c>
      <c r="H288" s="22">
        <f t="shared" si="35"/>
        <v>1.0690271999999998</v>
      </c>
      <c r="I288" s="18">
        <v>110148.944444444</v>
      </c>
      <c r="J288" s="52">
        <f t="shared" si="32"/>
        <v>0.11014894444444401</v>
      </c>
      <c r="K288" s="18">
        <v>98310.666666659003</v>
      </c>
      <c r="L288" s="21">
        <f t="shared" si="33"/>
        <v>9.8310666666658997E-2</v>
      </c>
      <c r="M288" s="18">
        <f t="shared" si="30"/>
        <v>0.208459611111103</v>
      </c>
      <c r="N288" s="27">
        <v>-0.87868800000000002</v>
      </c>
      <c r="O288" s="7">
        <f t="shared" si="31"/>
        <v>1.7392555888888968</v>
      </c>
    </row>
    <row r="289" spans="1:15" x14ac:dyDescent="0.7">
      <c r="A289" s="6"/>
      <c r="B289" s="6"/>
      <c r="C289" s="6">
        <v>14</v>
      </c>
      <c r="D289" s="7">
        <v>12.63</v>
      </c>
      <c r="E289" s="4">
        <v>12.1</v>
      </c>
      <c r="F289" s="7">
        <v>12.63</v>
      </c>
      <c r="G289" s="16">
        <f t="shared" si="34"/>
        <v>1091232</v>
      </c>
      <c r="H289" s="22">
        <f t="shared" si="35"/>
        <v>1.091232</v>
      </c>
      <c r="I289" s="18">
        <v>110528.394444444</v>
      </c>
      <c r="J289" s="52">
        <f t="shared" si="32"/>
        <v>0.110528394444444</v>
      </c>
      <c r="K289" s="18">
        <v>98681.199999992299</v>
      </c>
      <c r="L289" s="21">
        <f t="shared" si="33"/>
        <v>9.8681199999992295E-2</v>
      </c>
      <c r="M289" s="18">
        <f t="shared" si="30"/>
        <v>0.20920959444443629</v>
      </c>
      <c r="N289" s="27">
        <v>-0.88241760000000002</v>
      </c>
      <c r="O289" s="7">
        <f t="shared" si="31"/>
        <v>1.7644400055555636</v>
      </c>
    </row>
    <row r="290" spans="1:15" x14ac:dyDescent="0.7">
      <c r="A290" s="6"/>
      <c r="B290" s="6"/>
      <c r="C290" s="6">
        <v>15</v>
      </c>
      <c r="D290" s="7">
        <v>9.0589999999999993</v>
      </c>
      <c r="E290" s="4">
        <v>1.1000000000000001</v>
      </c>
      <c r="F290" s="7">
        <v>9.0589999999999993</v>
      </c>
      <c r="G290" s="16">
        <f t="shared" si="34"/>
        <v>782697.6</v>
      </c>
      <c r="H290" s="22">
        <f t="shared" si="35"/>
        <v>0.78269759999999999</v>
      </c>
      <c r="I290" s="18">
        <v>110907.844444444</v>
      </c>
      <c r="J290" s="52">
        <f t="shared" si="32"/>
        <v>0.110907844444444</v>
      </c>
      <c r="K290" s="18">
        <v>99051.733333325596</v>
      </c>
      <c r="L290" s="21">
        <f t="shared" si="33"/>
        <v>9.9051733333325592E-2</v>
      </c>
      <c r="M290" s="18">
        <f t="shared" si="30"/>
        <v>0.20995957777776958</v>
      </c>
      <c r="N290" s="27">
        <v>-0.88614720000000002</v>
      </c>
      <c r="O290" s="7">
        <f t="shared" si="31"/>
        <v>1.4588852222222304</v>
      </c>
    </row>
    <row r="291" spans="1:15" x14ac:dyDescent="0.7">
      <c r="A291" s="6"/>
      <c r="B291" s="6"/>
      <c r="C291" s="3">
        <v>16</v>
      </c>
      <c r="D291" s="7">
        <v>15.016</v>
      </c>
      <c r="E291" s="4">
        <v>0</v>
      </c>
      <c r="F291" s="7">
        <v>15.016</v>
      </c>
      <c r="G291" s="16">
        <f t="shared" si="34"/>
        <v>1297382.3999999999</v>
      </c>
      <c r="H291" s="22">
        <f t="shared" si="35"/>
        <v>1.2973823999999998</v>
      </c>
      <c r="I291" s="18">
        <v>111287.29444444401</v>
      </c>
      <c r="J291" s="52">
        <f t="shared" si="32"/>
        <v>0.111287294444444</v>
      </c>
      <c r="K291" s="18">
        <v>99422.266666658907</v>
      </c>
      <c r="L291" s="21">
        <f t="shared" si="33"/>
        <v>9.9422266666658904E-2</v>
      </c>
      <c r="M291" s="18">
        <f t="shared" si="30"/>
        <v>0.21070956111110289</v>
      </c>
      <c r="N291" s="27">
        <v>-0.88987680000000002</v>
      </c>
      <c r="O291" s="7">
        <f t="shared" si="31"/>
        <v>1.9765496388888968</v>
      </c>
    </row>
    <row r="292" spans="1:15" x14ac:dyDescent="0.7">
      <c r="A292" s="6"/>
      <c r="B292" s="6"/>
      <c r="C292" s="6">
        <v>17</v>
      </c>
      <c r="D292" s="7">
        <v>14.511000000000001</v>
      </c>
      <c r="E292" s="4">
        <v>0</v>
      </c>
      <c r="F292" s="7">
        <v>14.511000000000001</v>
      </c>
      <c r="G292" s="16">
        <f t="shared" si="34"/>
        <v>1253750.4000000001</v>
      </c>
      <c r="H292" s="22">
        <f t="shared" si="35"/>
        <v>1.2537504000000002</v>
      </c>
      <c r="I292" s="18">
        <v>111666.744444444</v>
      </c>
      <c r="J292" s="52">
        <f t="shared" si="32"/>
        <v>0.11166674444444401</v>
      </c>
      <c r="K292" s="18">
        <v>99792.799999992203</v>
      </c>
      <c r="L292" s="21">
        <f t="shared" si="33"/>
        <v>9.9792799999992202E-2</v>
      </c>
      <c r="M292" s="18">
        <f t="shared" si="30"/>
        <v>0.21145954444443621</v>
      </c>
      <c r="N292" s="27">
        <v>-0.89360640000000002</v>
      </c>
      <c r="O292" s="7">
        <f t="shared" si="31"/>
        <v>1.935897255555564</v>
      </c>
    </row>
    <row r="293" spans="1:15" x14ac:dyDescent="0.7">
      <c r="A293" s="6"/>
      <c r="B293" s="6"/>
      <c r="C293" s="6">
        <v>18</v>
      </c>
      <c r="D293" s="7">
        <v>14.513</v>
      </c>
      <c r="E293" s="4">
        <v>0</v>
      </c>
      <c r="F293" s="7">
        <v>14.513</v>
      </c>
      <c r="G293" s="16">
        <f t="shared" si="34"/>
        <v>1253923.2</v>
      </c>
      <c r="H293" s="22">
        <f t="shared" si="35"/>
        <v>1.2539232</v>
      </c>
      <c r="I293" s="18">
        <v>112046.194444444</v>
      </c>
      <c r="J293" s="52">
        <f t="shared" si="32"/>
        <v>0.112046194444444</v>
      </c>
      <c r="K293" s="18">
        <v>100163.333333325</v>
      </c>
      <c r="L293" s="21">
        <f t="shared" si="33"/>
        <v>0.100163333333325</v>
      </c>
      <c r="M293" s="18">
        <f t="shared" si="30"/>
        <v>0.212209527777769</v>
      </c>
      <c r="N293" s="27">
        <v>-0.89733600000000002</v>
      </c>
      <c r="O293" s="7">
        <f t="shared" si="31"/>
        <v>1.939049672222231</v>
      </c>
    </row>
    <row r="294" spans="1:15" x14ac:dyDescent="0.7">
      <c r="A294" s="6"/>
      <c r="B294" s="6"/>
      <c r="C294" s="3">
        <v>19</v>
      </c>
      <c r="D294" s="7">
        <v>13.08</v>
      </c>
      <c r="E294" s="4">
        <v>0.4</v>
      </c>
      <c r="F294" s="7">
        <v>13.08</v>
      </c>
      <c r="G294" s="16">
        <f t="shared" si="34"/>
        <v>1130112</v>
      </c>
      <c r="H294" s="22">
        <f t="shared" si="35"/>
        <v>1.130112</v>
      </c>
      <c r="I294" s="18">
        <v>112425.644444444</v>
      </c>
      <c r="J294" s="52">
        <f t="shared" si="32"/>
        <v>0.112425644444444</v>
      </c>
      <c r="K294" s="18">
        <v>100533.866666659</v>
      </c>
      <c r="L294" s="21">
        <f t="shared" si="33"/>
        <v>0.10053386666665901</v>
      </c>
      <c r="M294" s="18">
        <f t="shared" si="30"/>
        <v>0.21295951111110301</v>
      </c>
      <c r="N294" s="27">
        <v>-0.90106560000000002</v>
      </c>
      <c r="O294" s="7">
        <f t="shared" si="31"/>
        <v>1.818218088888897</v>
      </c>
    </row>
    <row r="295" spans="1:15" x14ac:dyDescent="0.7">
      <c r="A295" s="6"/>
      <c r="B295" s="6"/>
      <c r="C295" s="6">
        <v>20</v>
      </c>
      <c r="D295" s="7">
        <v>12.728999999999999</v>
      </c>
      <c r="E295" s="4">
        <v>0</v>
      </c>
      <c r="F295" s="7">
        <v>12.728999999999999</v>
      </c>
      <c r="G295" s="16">
        <f t="shared" si="34"/>
        <v>1099785.5999999999</v>
      </c>
      <c r="H295" s="22">
        <f t="shared" si="35"/>
        <v>1.0997855999999999</v>
      </c>
      <c r="I295" s="18">
        <v>112805.094444444</v>
      </c>
      <c r="J295" s="52">
        <f t="shared" si="32"/>
        <v>0.11280509444444399</v>
      </c>
      <c r="K295" s="18">
        <v>100904.39999999201</v>
      </c>
      <c r="L295" s="21">
        <f t="shared" si="33"/>
        <v>0.10090439999999201</v>
      </c>
      <c r="M295" s="18">
        <f t="shared" si="30"/>
        <v>0.21370949444443599</v>
      </c>
      <c r="N295" s="27">
        <v>-0.90479520000000002</v>
      </c>
      <c r="O295" s="7">
        <f t="shared" si="31"/>
        <v>1.7908713055555641</v>
      </c>
    </row>
    <row r="296" spans="1:15" x14ac:dyDescent="0.7">
      <c r="A296" s="6"/>
      <c r="B296" s="6"/>
      <c r="C296" s="6">
        <v>21</v>
      </c>
      <c r="D296" s="7">
        <v>11.951000000000001</v>
      </c>
      <c r="E296" s="4">
        <v>0</v>
      </c>
      <c r="F296" s="7">
        <v>11.951000000000001</v>
      </c>
      <c r="G296" s="16">
        <f t="shared" si="34"/>
        <v>1032566.4</v>
      </c>
      <c r="H296" s="22">
        <f t="shared" si="35"/>
        <v>1.0325664000000001</v>
      </c>
      <c r="I296" s="18">
        <v>113184.54444444401</v>
      </c>
      <c r="J296" s="52">
        <f t="shared" si="32"/>
        <v>0.11318454444444401</v>
      </c>
      <c r="K296" s="18">
        <v>101274.933333325</v>
      </c>
      <c r="L296" s="21">
        <f t="shared" si="33"/>
        <v>0.10127493333332499</v>
      </c>
      <c r="M296" s="18">
        <f t="shared" si="30"/>
        <v>0.214459477777769</v>
      </c>
      <c r="N296" s="27">
        <v>-0.90852480000000002</v>
      </c>
      <c r="O296" s="7">
        <f t="shared" si="31"/>
        <v>1.7266317222222312</v>
      </c>
    </row>
    <row r="297" spans="1:15" x14ac:dyDescent="0.7">
      <c r="A297" s="6"/>
      <c r="B297" s="6"/>
      <c r="C297" s="3">
        <v>22</v>
      </c>
      <c r="D297" s="7">
        <v>10.955</v>
      </c>
      <c r="E297" s="4">
        <v>0</v>
      </c>
      <c r="F297" s="7">
        <v>10.955</v>
      </c>
      <c r="G297" s="16">
        <f t="shared" si="34"/>
        <v>946512</v>
      </c>
      <c r="H297" s="22">
        <f t="shared" si="35"/>
        <v>0.94651200000000002</v>
      </c>
      <c r="I297" s="18">
        <v>113563.994444444</v>
      </c>
      <c r="J297" s="52">
        <f t="shared" si="32"/>
        <v>0.11356399444444401</v>
      </c>
      <c r="K297" s="18">
        <v>101645.46666665901</v>
      </c>
      <c r="L297" s="21">
        <f t="shared" si="33"/>
        <v>0.10164546666665901</v>
      </c>
      <c r="M297" s="18">
        <f t="shared" si="30"/>
        <v>0.21520946111110301</v>
      </c>
      <c r="N297" s="27">
        <v>-0.91225440000000002</v>
      </c>
      <c r="O297" s="7">
        <f t="shared" si="31"/>
        <v>1.6435569388888971</v>
      </c>
    </row>
    <row r="298" spans="1:15" x14ac:dyDescent="0.7">
      <c r="A298" s="6"/>
      <c r="B298" s="6"/>
      <c r="C298" s="6">
        <v>23</v>
      </c>
      <c r="D298" s="7">
        <v>10.377000000000001</v>
      </c>
      <c r="E298" s="4">
        <v>0</v>
      </c>
      <c r="F298" s="7">
        <v>10.377000000000001</v>
      </c>
      <c r="G298" s="16">
        <f t="shared" si="34"/>
        <v>896572.8</v>
      </c>
      <c r="H298" s="22">
        <f t="shared" si="35"/>
        <v>0.89657280000000006</v>
      </c>
      <c r="I298" s="18">
        <v>113943.444444444</v>
      </c>
      <c r="J298" s="52">
        <f t="shared" si="32"/>
        <v>0.113943444444444</v>
      </c>
      <c r="K298" s="18">
        <v>102015.999999992</v>
      </c>
      <c r="L298" s="21">
        <f t="shared" si="33"/>
        <v>0.102015999999992</v>
      </c>
      <c r="M298" s="18">
        <f t="shared" si="30"/>
        <v>0.21595944444443599</v>
      </c>
      <c r="N298" s="27">
        <v>-0.91598400000000002</v>
      </c>
      <c r="O298" s="7">
        <f t="shared" si="31"/>
        <v>1.5965973555555641</v>
      </c>
    </row>
    <row r="299" spans="1:15" x14ac:dyDescent="0.7">
      <c r="A299" s="6"/>
      <c r="B299" s="6"/>
      <c r="C299" s="6">
        <v>24</v>
      </c>
      <c r="D299" s="7">
        <v>10.095000000000001</v>
      </c>
      <c r="E299" s="4">
        <v>0</v>
      </c>
      <c r="F299" s="7">
        <v>10.095000000000001</v>
      </c>
      <c r="G299" s="16">
        <f t="shared" si="34"/>
        <v>872208</v>
      </c>
      <c r="H299" s="22">
        <f t="shared" si="35"/>
        <v>0.87220799999999998</v>
      </c>
      <c r="I299" s="18">
        <v>114322.894444444</v>
      </c>
      <c r="J299" s="52">
        <f t="shared" si="32"/>
        <v>0.114322894444444</v>
      </c>
      <c r="K299" s="18">
        <v>102386.533333325</v>
      </c>
      <c r="L299" s="21">
        <f t="shared" si="33"/>
        <v>0.10238653333332501</v>
      </c>
      <c r="M299" s="18">
        <f t="shared" si="30"/>
        <v>0.21670942777776903</v>
      </c>
      <c r="N299" s="27">
        <v>-0.91971360000000002</v>
      </c>
      <c r="O299" s="7">
        <f t="shared" si="31"/>
        <v>1.575212172222231</v>
      </c>
    </row>
    <row r="300" spans="1:15" x14ac:dyDescent="0.7">
      <c r="A300" s="6"/>
      <c r="B300" s="6"/>
      <c r="C300" s="3">
        <v>25</v>
      </c>
      <c r="D300" s="7">
        <v>9.7669999999999995</v>
      </c>
      <c r="E300" s="4">
        <v>0</v>
      </c>
      <c r="F300" s="7">
        <v>9.7669999999999995</v>
      </c>
      <c r="G300" s="16">
        <f t="shared" si="34"/>
        <v>843868.79999999993</v>
      </c>
      <c r="H300" s="22">
        <f t="shared" si="35"/>
        <v>0.84386879999999997</v>
      </c>
      <c r="I300" s="18">
        <v>114702.344444444</v>
      </c>
      <c r="J300" s="52">
        <f t="shared" si="32"/>
        <v>0.11470234444444399</v>
      </c>
      <c r="K300" s="18">
        <v>102757.066666659</v>
      </c>
      <c r="L300" s="21">
        <f t="shared" si="33"/>
        <v>0.102757066666659</v>
      </c>
      <c r="M300" s="18">
        <f t="shared" si="30"/>
        <v>0.21745941111110301</v>
      </c>
      <c r="N300" s="27">
        <v>-0.92344320000000002</v>
      </c>
      <c r="O300" s="7">
        <f t="shared" si="31"/>
        <v>1.549852588888897</v>
      </c>
    </row>
    <row r="301" spans="1:15" x14ac:dyDescent="0.7">
      <c r="A301" s="6"/>
      <c r="B301" s="6"/>
      <c r="C301" s="6">
        <v>26</v>
      </c>
      <c r="D301" s="7">
        <v>9.6530000000000005</v>
      </c>
      <c r="E301" s="4">
        <v>0</v>
      </c>
      <c r="F301" s="7">
        <v>9.6530000000000005</v>
      </c>
      <c r="G301" s="16">
        <f t="shared" si="34"/>
        <v>834019.20000000007</v>
      </c>
      <c r="H301" s="22">
        <f t="shared" si="35"/>
        <v>0.83401920000000007</v>
      </c>
      <c r="I301" s="18">
        <v>115081.79444444401</v>
      </c>
      <c r="J301" s="52">
        <f t="shared" si="32"/>
        <v>0.11508179444444401</v>
      </c>
      <c r="K301" s="18">
        <v>103127.599999992</v>
      </c>
      <c r="L301" s="21">
        <f t="shared" si="33"/>
        <v>0.10312759999999201</v>
      </c>
      <c r="M301" s="18">
        <f t="shared" si="30"/>
        <v>0.21820939444443602</v>
      </c>
      <c r="N301" s="27">
        <v>-0.92717280000000002</v>
      </c>
      <c r="O301" s="7">
        <f t="shared" si="31"/>
        <v>1.5429826055555642</v>
      </c>
    </row>
    <row r="302" spans="1:15" x14ac:dyDescent="0.7">
      <c r="A302" s="6"/>
      <c r="B302" s="6"/>
      <c r="C302" s="6">
        <v>27</v>
      </c>
      <c r="D302" s="7">
        <v>9.2330000000000005</v>
      </c>
      <c r="E302" s="4">
        <v>0</v>
      </c>
      <c r="F302" s="7">
        <v>9.2330000000000005</v>
      </c>
      <c r="G302" s="16">
        <f t="shared" si="34"/>
        <v>797731.20000000007</v>
      </c>
      <c r="H302" s="22">
        <f t="shared" si="35"/>
        <v>0.79773120000000008</v>
      </c>
      <c r="I302" s="18">
        <v>115461.244444444</v>
      </c>
      <c r="J302" s="52">
        <f t="shared" si="32"/>
        <v>0.115461244444444</v>
      </c>
      <c r="K302" s="18">
        <v>103498.13333332499</v>
      </c>
      <c r="L302" s="21">
        <f t="shared" si="33"/>
        <v>0.103498133333325</v>
      </c>
      <c r="M302" s="18">
        <f t="shared" si="30"/>
        <v>0.218959377777769</v>
      </c>
      <c r="N302" s="27">
        <v>-0.93090240000000002</v>
      </c>
      <c r="O302" s="7">
        <f t="shared" si="31"/>
        <v>1.5096742222222312</v>
      </c>
    </row>
    <row r="303" spans="1:15" x14ac:dyDescent="0.7">
      <c r="A303" s="6"/>
      <c r="B303" s="6"/>
      <c r="C303" s="3">
        <v>28</v>
      </c>
      <c r="D303" s="7">
        <v>8.9309999999999992</v>
      </c>
      <c r="E303" s="4">
        <v>0</v>
      </c>
      <c r="F303" s="7">
        <v>8.9309999999999992</v>
      </c>
      <c r="G303" s="16">
        <f t="shared" si="34"/>
        <v>771638.39999999991</v>
      </c>
      <c r="H303" s="22">
        <f t="shared" si="35"/>
        <v>0.77163839999999995</v>
      </c>
      <c r="I303" s="18">
        <v>115840.694444444</v>
      </c>
      <c r="J303" s="52">
        <f t="shared" si="32"/>
        <v>0.115840694444444</v>
      </c>
      <c r="K303" s="18">
        <v>103868.666666658</v>
      </c>
      <c r="L303" s="21">
        <f t="shared" si="33"/>
        <v>0.103868666666658</v>
      </c>
      <c r="M303" s="18">
        <f t="shared" si="30"/>
        <v>0.21970936111110201</v>
      </c>
      <c r="N303" s="27">
        <v>-0.93463200000000002</v>
      </c>
      <c r="O303" s="7">
        <f t="shared" si="31"/>
        <v>1.4865610388888979</v>
      </c>
    </row>
    <row r="304" spans="1:15" x14ac:dyDescent="0.7">
      <c r="A304" s="6"/>
      <c r="B304" s="6"/>
      <c r="C304" s="6">
        <v>29</v>
      </c>
      <c r="D304" s="7">
        <v>9.4849999999999994</v>
      </c>
      <c r="E304" s="4">
        <v>88</v>
      </c>
      <c r="F304" s="7">
        <v>9.4849999999999994</v>
      </c>
      <c r="G304" s="16">
        <f t="shared" si="34"/>
        <v>819504</v>
      </c>
      <c r="H304" s="22">
        <f t="shared" si="35"/>
        <v>0.81950400000000001</v>
      </c>
      <c r="I304" s="18">
        <v>116220.144444444</v>
      </c>
      <c r="J304" s="52">
        <f t="shared" si="32"/>
        <v>0.11622014444444399</v>
      </c>
      <c r="K304" s="18">
        <v>104239.19999999199</v>
      </c>
      <c r="L304" s="21">
        <f t="shared" si="33"/>
        <v>0.104239199999992</v>
      </c>
      <c r="M304" s="18">
        <f t="shared" si="30"/>
        <v>0.22045934444443599</v>
      </c>
      <c r="N304" s="27">
        <v>-0.93836160000000002</v>
      </c>
      <c r="O304" s="7">
        <f t="shared" si="31"/>
        <v>1.5374062555555641</v>
      </c>
    </row>
    <row r="305" spans="1:15" x14ac:dyDescent="0.7">
      <c r="A305" s="13"/>
      <c r="B305" s="13"/>
      <c r="C305" s="13">
        <v>30</v>
      </c>
      <c r="D305" s="7">
        <v>12.145</v>
      </c>
      <c r="E305" s="4">
        <v>0</v>
      </c>
      <c r="F305" s="7">
        <v>12.145</v>
      </c>
      <c r="G305" s="16">
        <f t="shared" si="34"/>
        <v>1049328</v>
      </c>
      <c r="H305" s="22">
        <f t="shared" si="35"/>
        <v>1.049328</v>
      </c>
      <c r="I305" s="18">
        <v>116599.594444444</v>
      </c>
      <c r="J305" s="52">
        <f t="shared" si="32"/>
        <v>0.116599594444444</v>
      </c>
      <c r="K305" s="18">
        <v>104609.733333325</v>
      </c>
      <c r="L305" s="21">
        <f t="shared" si="33"/>
        <v>0.104609733333325</v>
      </c>
      <c r="M305" s="18">
        <f t="shared" si="30"/>
        <v>0.221209327777769</v>
      </c>
      <c r="N305" s="27">
        <v>-0.94209120000000002</v>
      </c>
      <c r="O305" s="7">
        <f t="shared" si="31"/>
        <v>1.770209872222231</v>
      </c>
    </row>
    <row r="306" spans="1:15" s="14" customFormat="1" ht="25.2" thickBot="1" x14ac:dyDescent="0.75">
      <c r="A306" s="9"/>
      <c r="B306" s="9" t="s">
        <v>24</v>
      </c>
      <c r="C306" s="9">
        <v>31</v>
      </c>
      <c r="D306" s="10">
        <v>10.220000000000001</v>
      </c>
      <c r="E306" s="20">
        <v>0</v>
      </c>
      <c r="F306" s="10">
        <v>10.220000000000001</v>
      </c>
      <c r="G306" s="29">
        <f t="shared" si="34"/>
        <v>883008</v>
      </c>
      <c r="H306" s="30">
        <f t="shared" si="35"/>
        <v>0.88300800000000002</v>
      </c>
      <c r="I306" s="19">
        <v>116979.04444444401</v>
      </c>
      <c r="J306" s="53">
        <f t="shared" si="32"/>
        <v>0.11697904444444401</v>
      </c>
      <c r="K306" s="19">
        <v>104980.266666658</v>
      </c>
      <c r="L306" s="23">
        <f t="shared" si="33"/>
        <v>0.10498026666665801</v>
      </c>
      <c r="M306" s="19">
        <f t="shared" si="30"/>
        <v>0.22195931111110201</v>
      </c>
      <c r="N306" s="31">
        <v>-0.94582080000000002</v>
      </c>
      <c r="O306" s="10">
        <f t="shared" si="31"/>
        <v>1.6068694888888979</v>
      </c>
    </row>
    <row r="307" spans="1:15" s="26" customFormat="1" x14ac:dyDescent="0.7">
      <c r="A307" s="24"/>
      <c r="B307" s="24" t="s">
        <v>25</v>
      </c>
      <c r="C307" s="24">
        <v>1</v>
      </c>
      <c r="D307" s="25">
        <v>9.7430000000000003</v>
      </c>
      <c r="E307" s="4">
        <v>0</v>
      </c>
      <c r="F307" s="25">
        <v>9.7430000000000003</v>
      </c>
      <c r="G307" s="16">
        <f t="shared" si="34"/>
        <v>841795.20000000007</v>
      </c>
      <c r="H307" s="22">
        <f t="shared" si="35"/>
        <v>0.84179520000000008</v>
      </c>
      <c r="I307" s="17">
        <v>117358.494444444</v>
      </c>
      <c r="J307" s="54">
        <f t="shared" si="32"/>
        <v>0.117358494444444</v>
      </c>
      <c r="K307" s="17">
        <v>105350.799999992</v>
      </c>
      <c r="L307" s="22">
        <f t="shared" si="33"/>
        <v>0.105350799999992</v>
      </c>
      <c r="M307" s="17">
        <f t="shared" si="30"/>
        <v>0.22270929444443599</v>
      </c>
      <c r="N307" s="28">
        <v>-0.94955040000000002</v>
      </c>
      <c r="O307" s="4">
        <f t="shared" si="31"/>
        <v>1.5686363055555641</v>
      </c>
    </row>
    <row r="308" spans="1:15" x14ac:dyDescent="0.7">
      <c r="A308" s="6"/>
      <c r="B308" s="6"/>
      <c r="C308" s="6">
        <v>2</v>
      </c>
      <c r="D308" s="7">
        <v>9.7430000000000003</v>
      </c>
      <c r="E308" s="4">
        <v>0</v>
      </c>
      <c r="F308" s="7">
        <v>9.7430000000000003</v>
      </c>
      <c r="G308" s="16">
        <f t="shared" si="34"/>
        <v>841795.20000000007</v>
      </c>
      <c r="H308" s="22">
        <f t="shared" si="35"/>
        <v>0.84179520000000008</v>
      </c>
      <c r="I308" s="18">
        <v>117737.944444444</v>
      </c>
      <c r="J308" s="52">
        <f t="shared" si="32"/>
        <v>0.11773794444444401</v>
      </c>
      <c r="K308" s="18">
        <v>105721.333333325</v>
      </c>
      <c r="L308" s="21">
        <f t="shared" si="33"/>
        <v>0.10572133333332501</v>
      </c>
      <c r="M308" s="18">
        <f t="shared" si="30"/>
        <v>0.22345927777776903</v>
      </c>
      <c r="N308" s="27">
        <v>-0.95328000000000002</v>
      </c>
      <c r="O308" s="7">
        <f t="shared" si="31"/>
        <v>1.571615922222231</v>
      </c>
    </row>
    <row r="309" spans="1:15" x14ac:dyDescent="0.7">
      <c r="A309" s="6"/>
      <c r="B309" s="6"/>
      <c r="C309" s="6">
        <v>3</v>
      </c>
      <c r="D309" s="7">
        <v>8.9309999999999992</v>
      </c>
      <c r="E309" s="4">
        <v>0</v>
      </c>
      <c r="F309" s="7">
        <v>8.9309999999999992</v>
      </c>
      <c r="G309" s="16">
        <f t="shared" si="34"/>
        <v>771638.39999999991</v>
      </c>
      <c r="H309" s="22">
        <f t="shared" si="35"/>
        <v>0.77163839999999995</v>
      </c>
      <c r="I309" s="18">
        <v>118117.394444444</v>
      </c>
      <c r="J309" s="52">
        <f t="shared" si="32"/>
        <v>0.118117394444444</v>
      </c>
      <c r="K309" s="18">
        <v>106091.866666658</v>
      </c>
      <c r="L309" s="21">
        <f t="shared" si="33"/>
        <v>0.106091866666658</v>
      </c>
      <c r="M309" s="18">
        <f t="shared" si="30"/>
        <v>0.22420926111110201</v>
      </c>
      <c r="N309" s="27">
        <v>-0.95700960000000002</v>
      </c>
      <c r="O309" s="7">
        <f t="shared" si="31"/>
        <v>1.504438738888898</v>
      </c>
    </row>
    <row r="310" spans="1:15" x14ac:dyDescent="0.7">
      <c r="A310" s="6"/>
      <c r="B310" s="6"/>
      <c r="C310" s="3">
        <v>4</v>
      </c>
      <c r="D310" s="7">
        <v>8.9309999999999992</v>
      </c>
      <c r="E310" s="4">
        <v>0</v>
      </c>
      <c r="F310" s="7">
        <v>8.9309999999999992</v>
      </c>
      <c r="G310" s="16">
        <f t="shared" si="34"/>
        <v>771638.39999999991</v>
      </c>
      <c r="H310" s="22">
        <f t="shared" si="35"/>
        <v>0.77163839999999995</v>
      </c>
      <c r="I310" s="18">
        <v>118496.844444444</v>
      </c>
      <c r="J310" s="52">
        <f t="shared" si="32"/>
        <v>0.118496844444444</v>
      </c>
      <c r="K310" s="18">
        <v>106462.39999999201</v>
      </c>
      <c r="L310" s="21">
        <f t="shared" si="33"/>
        <v>0.10646239999999201</v>
      </c>
      <c r="M310" s="18">
        <f t="shared" si="30"/>
        <v>0.22495924444443599</v>
      </c>
      <c r="N310" s="27">
        <v>-0.96073920000000002</v>
      </c>
      <c r="O310" s="7">
        <f t="shared" si="31"/>
        <v>1.507418355555564</v>
      </c>
    </row>
    <row r="311" spans="1:15" x14ac:dyDescent="0.7">
      <c r="A311" s="6"/>
      <c r="B311" s="6"/>
      <c r="C311" s="6">
        <v>5</v>
      </c>
      <c r="D311" s="7">
        <v>8.9309999999999992</v>
      </c>
      <c r="E311" s="4">
        <v>0</v>
      </c>
      <c r="F311" s="7">
        <v>8.9309999999999992</v>
      </c>
      <c r="G311" s="16">
        <f t="shared" si="34"/>
        <v>771638.39999999991</v>
      </c>
      <c r="H311" s="22">
        <f t="shared" si="35"/>
        <v>0.77163839999999995</v>
      </c>
      <c r="I311" s="18">
        <v>118876.29444444401</v>
      </c>
      <c r="J311" s="52">
        <f t="shared" si="32"/>
        <v>0.118876294444444</v>
      </c>
      <c r="K311" s="18">
        <v>106832.933333325</v>
      </c>
      <c r="L311" s="21">
        <f t="shared" si="33"/>
        <v>0.106832933333325</v>
      </c>
      <c r="M311" s="18">
        <f t="shared" si="30"/>
        <v>0.225709227777769</v>
      </c>
      <c r="N311" s="27">
        <v>-0.96446880000000001</v>
      </c>
      <c r="O311" s="7">
        <f t="shared" si="31"/>
        <v>1.5103979722222309</v>
      </c>
    </row>
    <row r="312" spans="1:15" x14ac:dyDescent="0.7">
      <c r="A312" s="6"/>
      <c r="B312" s="6"/>
      <c r="C312" s="6">
        <v>6</v>
      </c>
      <c r="D312" s="7">
        <v>8.9309999999999992</v>
      </c>
      <c r="E312" s="4">
        <v>0</v>
      </c>
      <c r="F312" s="7">
        <v>8.9309999999999992</v>
      </c>
      <c r="G312" s="16">
        <f t="shared" si="34"/>
        <v>771638.39999999991</v>
      </c>
      <c r="H312" s="22">
        <f t="shared" si="35"/>
        <v>0.77163839999999995</v>
      </c>
      <c r="I312" s="18">
        <v>119255.744444444</v>
      </c>
      <c r="J312" s="52">
        <f t="shared" si="32"/>
        <v>0.11925574444444401</v>
      </c>
      <c r="K312" s="18">
        <v>107203.466666658</v>
      </c>
      <c r="L312" s="21">
        <f t="shared" si="33"/>
        <v>0.107203466666658</v>
      </c>
      <c r="M312" s="18">
        <f t="shared" si="30"/>
        <v>0.22645921111110201</v>
      </c>
      <c r="N312" s="27">
        <v>-0.96819840000000001</v>
      </c>
      <c r="O312" s="7">
        <f t="shared" si="31"/>
        <v>1.5133775888888978</v>
      </c>
    </row>
    <row r="313" spans="1:15" x14ac:dyDescent="0.7">
      <c r="A313" s="6"/>
      <c r="B313" s="6"/>
      <c r="C313" s="3">
        <v>7</v>
      </c>
      <c r="D313" s="7">
        <v>10.211</v>
      </c>
      <c r="E313" s="4">
        <v>26.5</v>
      </c>
      <c r="F313" s="7">
        <v>10.211</v>
      </c>
      <c r="G313" s="16">
        <f t="shared" si="34"/>
        <v>882230.4</v>
      </c>
      <c r="H313" s="22">
        <f t="shared" si="35"/>
        <v>0.88223039999999997</v>
      </c>
      <c r="I313" s="18">
        <v>119635.194444444</v>
      </c>
      <c r="J313" s="52">
        <f t="shared" si="32"/>
        <v>0.119635194444444</v>
      </c>
      <c r="K313" s="18">
        <v>107573.999999992</v>
      </c>
      <c r="L313" s="21">
        <f t="shared" si="33"/>
        <v>0.107573999999992</v>
      </c>
      <c r="M313" s="18">
        <f t="shared" si="30"/>
        <v>0.22720919444443599</v>
      </c>
      <c r="N313" s="27">
        <v>-0.97192800000000001</v>
      </c>
      <c r="O313" s="7">
        <f t="shared" si="31"/>
        <v>1.6269492055555639</v>
      </c>
    </row>
    <row r="314" spans="1:15" x14ac:dyDescent="0.7">
      <c r="A314" s="6"/>
      <c r="B314" s="6"/>
      <c r="C314" s="6">
        <v>8</v>
      </c>
      <c r="D314" s="7">
        <v>5.0460000000000003</v>
      </c>
      <c r="E314" s="4">
        <v>7.2</v>
      </c>
      <c r="F314" s="7">
        <v>5.0460000000000003</v>
      </c>
      <c r="G314" s="16">
        <f t="shared" si="34"/>
        <v>435974.40000000002</v>
      </c>
      <c r="H314" s="22">
        <f t="shared" si="35"/>
        <v>0.43597440000000004</v>
      </c>
      <c r="I314" s="18">
        <v>120014.644444444</v>
      </c>
      <c r="J314" s="52">
        <f t="shared" si="32"/>
        <v>0.120014644444444</v>
      </c>
      <c r="K314" s="18">
        <v>107944.533333325</v>
      </c>
      <c r="L314" s="21">
        <f t="shared" si="33"/>
        <v>0.107944533333325</v>
      </c>
      <c r="M314" s="18">
        <f t="shared" si="30"/>
        <v>0.227959177777769</v>
      </c>
      <c r="N314" s="27">
        <v>-0.97565760000000001</v>
      </c>
      <c r="O314" s="7">
        <f t="shared" si="31"/>
        <v>1.183672822222231</v>
      </c>
    </row>
    <row r="315" spans="1:15" x14ac:dyDescent="0.7">
      <c r="A315" s="6"/>
      <c r="B315" s="6"/>
      <c r="C315" s="6">
        <v>9</v>
      </c>
      <c r="D315" s="7">
        <v>23.466999999999999</v>
      </c>
      <c r="E315" s="4">
        <v>0</v>
      </c>
      <c r="F315" s="7">
        <v>23.466999999999999</v>
      </c>
      <c r="G315" s="16">
        <f t="shared" si="34"/>
        <v>2027548.7999999998</v>
      </c>
      <c r="H315" s="22">
        <f t="shared" si="35"/>
        <v>2.0275487999999999</v>
      </c>
      <c r="I315" s="18">
        <v>306941.094444444</v>
      </c>
      <c r="J315" s="52">
        <f t="shared" si="32"/>
        <v>0.30694109444444401</v>
      </c>
      <c r="K315" s="18">
        <v>108315.06666665799</v>
      </c>
      <c r="L315" s="21">
        <f t="shared" si="33"/>
        <v>0.10831506666665799</v>
      </c>
      <c r="M315" s="18">
        <f t="shared" si="30"/>
        <v>0.41525616111110197</v>
      </c>
      <c r="N315" s="27">
        <v>-0.97938720000000001</v>
      </c>
      <c r="O315" s="7">
        <f t="shared" si="31"/>
        <v>2.591679838888898</v>
      </c>
    </row>
    <row r="316" spans="1:15" x14ac:dyDescent="0.7">
      <c r="A316" s="6"/>
      <c r="B316" s="6"/>
      <c r="C316" s="3">
        <v>10</v>
      </c>
      <c r="D316" s="7">
        <v>14.809000000000001</v>
      </c>
      <c r="E316" s="4">
        <v>0</v>
      </c>
      <c r="F316" s="7">
        <v>14.809000000000001</v>
      </c>
      <c r="G316" s="16">
        <f t="shared" si="34"/>
        <v>1279497.6000000001</v>
      </c>
      <c r="H316" s="22">
        <f t="shared" si="35"/>
        <v>1.2794976</v>
      </c>
      <c r="I316" s="18">
        <v>120773.54444444401</v>
      </c>
      <c r="J316" s="52">
        <f t="shared" si="32"/>
        <v>0.12077354444444401</v>
      </c>
      <c r="K316" s="18">
        <v>108685.599999991</v>
      </c>
      <c r="L316" s="21">
        <f t="shared" si="33"/>
        <v>0.108685599999991</v>
      </c>
      <c r="M316" s="18">
        <f t="shared" si="30"/>
        <v>0.22945914444443499</v>
      </c>
      <c r="N316" s="27">
        <v>-0.98311680000000001</v>
      </c>
      <c r="O316" s="7">
        <f t="shared" si="31"/>
        <v>2.033155255555565</v>
      </c>
    </row>
    <row r="317" spans="1:15" x14ac:dyDescent="0.7">
      <c r="A317" s="6"/>
      <c r="B317" s="6"/>
      <c r="C317" s="6">
        <v>11</v>
      </c>
      <c r="D317" s="7">
        <v>11.176</v>
      </c>
      <c r="E317" s="4">
        <v>0</v>
      </c>
      <c r="F317" s="7">
        <v>11.176</v>
      </c>
      <c r="G317" s="16">
        <f t="shared" si="34"/>
        <v>965606.40000000002</v>
      </c>
      <c r="H317" s="22">
        <f t="shared" si="35"/>
        <v>0.96560639999999998</v>
      </c>
      <c r="I317" s="18">
        <v>121152.994444444</v>
      </c>
      <c r="J317" s="52">
        <f t="shared" si="32"/>
        <v>0.12115299444444401</v>
      </c>
      <c r="K317" s="18">
        <v>109056.13333332499</v>
      </c>
      <c r="L317" s="21">
        <f t="shared" si="33"/>
        <v>0.10905613333332499</v>
      </c>
      <c r="M317" s="18">
        <f t="shared" si="30"/>
        <v>0.230209127777769</v>
      </c>
      <c r="N317" s="27">
        <v>-0.98684640000000001</v>
      </c>
      <c r="O317" s="7">
        <f t="shared" si="31"/>
        <v>1.722243672222231</v>
      </c>
    </row>
    <row r="318" spans="1:15" x14ac:dyDescent="0.7">
      <c r="A318" s="6"/>
      <c r="B318" s="6"/>
      <c r="C318" s="6">
        <v>12</v>
      </c>
      <c r="D318" s="7">
        <v>9.032</v>
      </c>
      <c r="E318" s="4">
        <v>0</v>
      </c>
      <c r="F318" s="7">
        <v>9.032</v>
      </c>
      <c r="G318" s="16">
        <f t="shared" si="34"/>
        <v>780364.80000000005</v>
      </c>
      <c r="H318" s="22">
        <f t="shared" si="35"/>
        <v>0.78036480000000008</v>
      </c>
      <c r="I318" s="18">
        <v>121532.444444444</v>
      </c>
      <c r="J318" s="52">
        <f t="shared" si="32"/>
        <v>0.121532444444444</v>
      </c>
      <c r="K318" s="18">
        <v>109426.666666658</v>
      </c>
      <c r="L318" s="21">
        <f t="shared" si="33"/>
        <v>0.109426666666658</v>
      </c>
      <c r="M318" s="18">
        <f t="shared" si="30"/>
        <v>0.23095911111110201</v>
      </c>
      <c r="N318" s="27">
        <v>-0.99057600000000001</v>
      </c>
      <c r="O318" s="7">
        <f t="shared" si="31"/>
        <v>1.539981688888898</v>
      </c>
    </row>
    <row r="319" spans="1:15" x14ac:dyDescent="0.7">
      <c r="A319" s="6"/>
      <c r="B319" s="6"/>
      <c r="C319" s="3">
        <v>13</v>
      </c>
      <c r="D319" s="7">
        <v>8.4149999999999991</v>
      </c>
      <c r="E319" s="4">
        <v>4.7</v>
      </c>
      <c r="F319" s="7">
        <v>8.4149999999999991</v>
      </c>
      <c r="G319" s="16">
        <f t="shared" si="34"/>
        <v>727055.99999999988</v>
      </c>
      <c r="H319" s="22">
        <f t="shared" si="35"/>
        <v>0.72705599999999992</v>
      </c>
      <c r="I319" s="18">
        <v>121911.894444444</v>
      </c>
      <c r="J319" s="52">
        <f t="shared" si="32"/>
        <v>0.121911894444444</v>
      </c>
      <c r="K319" s="18">
        <v>109797.199999991</v>
      </c>
      <c r="L319" s="21">
        <f t="shared" si="33"/>
        <v>0.109797199999991</v>
      </c>
      <c r="M319" s="18">
        <f t="shared" ref="M319:M367" si="38">J319+L319</f>
        <v>0.23170909444443499</v>
      </c>
      <c r="N319" s="27">
        <v>-0.99430560000000001</v>
      </c>
      <c r="O319" s="7">
        <f t="shared" ref="O319:O367" si="39">H319-M319-N319</f>
        <v>1.4896525055555649</v>
      </c>
    </row>
    <row r="320" spans="1:15" x14ac:dyDescent="0.7">
      <c r="A320" s="6"/>
      <c r="B320" s="6"/>
      <c r="C320" s="6">
        <v>14</v>
      </c>
      <c r="D320" s="7">
        <v>8.4149999999999991</v>
      </c>
      <c r="E320" s="4">
        <v>0</v>
      </c>
      <c r="F320" s="7">
        <v>8.4149999999999991</v>
      </c>
      <c r="G320" s="16">
        <f t="shared" si="34"/>
        <v>727055.99999999988</v>
      </c>
      <c r="H320" s="22">
        <f t="shared" si="35"/>
        <v>0.72705599999999992</v>
      </c>
      <c r="I320" s="18">
        <v>122291.344444444</v>
      </c>
      <c r="J320" s="52">
        <f t="shared" si="32"/>
        <v>0.12229134444444399</v>
      </c>
      <c r="K320" s="18">
        <v>110167.733333325</v>
      </c>
      <c r="L320" s="21">
        <f t="shared" si="33"/>
        <v>0.110167733333325</v>
      </c>
      <c r="M320" s="18">
        <f t="shared" si="38"/>
        <v>0.23245907777776897</v>
      </c>
      <c r="N320" s="27">
        <v>-0.99803520000000001</v>
      </c>
      <c r="O320" s="7">
        <f t="shared" si="39"/>
        <v>1.492632122222231</v>
      </c>
    </row>
    <row r="321" spans="1:15" x14ac:dyDescent="0.7">
      <c r="A321" s="6"/>
      <c r="B321" s="6"/>
      <c r="C321" s="6">
        <v>15</v>
      </c>
      <c r="D321" s="7">
        <v>8.4149999999999991</v>
      </c>
      <c r="E321" s="4">
        <v>0</v>
      </c>
      <c r="F321" s="7">
        <v>8.4149999999999991</v>
      </c>
      <c r="G321" s="16">
        <f t="shared" si="34"/>
        <v>727055.99999999988</v>
      </c>
      <c r="H321" s="22">
        <f t="shared" si="35"/>
        <v>0.72705599999999992</v>
      </c>
      <c r="I321" s="18">
        <v>122670.79444444401</v>
      </c>
      <c r="J321" s="52">
        <f t="shared" si="32"/>
        <v>0.12267079444444401</v>
      </c>
      <c r="K321" s="18">
        <v>110538.266666658</v>
      </c>
      <c r="L321" s="21">
        <f t="shared" si="33"/>
        <v>0.110538266666658</v>
      </c>
      <c r="M321" s="18">
        <f t="shared" si="38"/>
        <v>0.23320906111110201</v>
      </c>
      <c r="N321" s="27">
        <v>-1.0017647999999999</v>
      </c>
      <c r="O321" s="7">
        <f t="shared" si="39"/>
        <v>1.4956117388888979</v>
      </c>
    </row>
    <row r="322" spans="1:15" x14ac:dyDescent="0.7">
      <c r="A322" s="6"/>
      <c r="B322" s="6"/>
      <c r="C322" s="3">
        <v>16</v>
      </c>
      <c r="D322" s="7">
        <v>7.8360000000000003</v>
      </c>
      <c r="E322" s="4">
        <v>0</v>
      </c>
      <c r="F322" s="7">
        <v>7.8360000000000003</v>
      </c>
      <c r="G322" s="16">
        <f t="shared" si="34"/>
        <v>677030.40000000002</v>
      </c>
      <c r="H322" s="22">
        <f t="shared" si="35"/>
        <v>0.67703040000000003</v>
      </c>
      <c r="I322" s="18">
        <v>123050.244444443</v>
      </c>
      <c r="J322" s="52">
        <f t="shared" si="32"/>
        <v>0.123050244444443</v>
      </c>
      <c r="K322" s="18">
        <v>110908.799999991</v>
      </c>
      <c r="L322" s="21">
        <f t="shared" si="33"/>
        <v>0.110908799999991</v>
      </c>
      <c r="M322" s="18">
        <f t="shared" si="38"/>
        <v>0.23395904444443399</v>
      </c>
      <c r="N322" s="27">
        <v>-1.0054943999999999</v>
      </c>
      <c r="O322" s="7">
        <f t="shared" si="39"/>
        <v>1.448565755555566</v>
      </c>
    </row>
    <row r="323" spans="1:15" x14ac:dyDescent="0.7">
      <c r="A323" s="6"/>
      <c r="B323" s="6"/>
      <c r="C323" s="6">
        <v>17</v>
      </c>
      <c r="D323" s="7">
        <v>7.8360000000000003</v>
      </c>
      <c r="E323" s="4">
        <v>0</v>
      </c>
      <c r="F323" s="7">
        <v>7.8360000000000003</v>
      </c>
      <c r="G323" s="16">
        <f t="shared" si="34"/>
        <v>677030.40000000002</v>
      </c>
      <c r="H323" s="22">
        <f t="shared" si="35"/>
        <v>0.67703040000000003</v>
      </c>
      <c r="I323" s="18">
        <v>123429.694444443</v>
      </c>
      <c r="J323" s="52">
        <f t="shared" ref="J323:J367" si="40">I323/1000000</f>
        <v>0.123429694444443</v>
      </c>
      <c r="K323" s="18">
        <v>111279.333333324</v>
      </c>
      <c r="L323" s="21">
        <f t="shared" ref="L323:L367" si="41">K323/1000000</f>
        <v>0.111279333333324</v>
      </c>
      <c r="M323" s="18">
        <f t="shared" si="38"/>
        <v>0.234709027777767</v>
      </c>
      <c r="N323" s="27">
        <v>-1.0092239999999999</v>
      </c>
      <c r="O323" s="7">
        <f t="shared" si="39"/>
        <v>1.4515453722222329</v>
      </c>
    </row>
    <row r="324" spans="1:15" x14ac:dyDescent="0.7">
      <c r="A324" s="6"/>
      <c r="B324" s="6"/>
      <c r="C324" s="6">
        <v>18</v>
      </c>
      <c r="D324" s="7">
        <v>6.2940000000000005</v>
      </c>
      <c r="E324" s="4">
        <v>0</v>
      </c>
      <c r="F324" s="7">
        <v>6.2940000000000005</v>
      </c>
      <c r="G324" s="16">
        <f t="shared" ref="G324:G367" si="42">F324*86400</f>
        <v>543801.60000000009</v>
      </c>
      <c r="H324" s="22">
        <f t="shared" ref="H324:H367" si="43">G324/1000000</f>
        <v>0.54380160000000011</v>
      </c>
      <c r="I324" s="18">
        <v>123809.14444444299</v>
      </c>
      <c r="J324" s="52">
        <f t="shared" si="40"/>
        <v>0.12380914444444299</v>
      </c>
      <c r="K324" s="18">
        <v>111649.866666658</v>
      </c>
      <c r="L324" s="21">
        <f t="shared" si="41"/>
        <v>0.11164986666665799</v>
      </c>
      <c r="M324" s="18">
        <f t="shared" si="38"/>
        <v>0.23545901111110099</v>
      </c>
      <c r="N324" s="27">
        <v>-1.0129535999999999</v>
      </c>
      <c r="O324" s="7">
        <f t="shared" si="39"/>
        <v>1.321296188888899</v>
      </c>
    </row>
    <row r="325" spans="1:15" x14ac:dyDescent="0.7">
      <c r="A325" s="6"/>
      <c r="B325" s="6"/>
      <c r="C325" s="3">
        <v>19</v>
      </c>
      <c r="D325" s="7">
        <v>6.2940000000000005</v>
      </c>
      <c r="E325" s="4">
        <v>0</v>
      </c>
      <c r="F325" s="7">
        <v>6.2940000000000005</v>
      </c>
      <c r="G325" s="16">
        <f t="shared" si="42"/>
        <v>543801.60000000009</v>
      </c>
      <c r="H325" s="22">
        <f t="shared" si="43"/>
        <v>0.54380160000000011</v>
      </c>
      <c r="I325" s="18">
        <v>124188.59444444301</v>
      </c>
      <c r="J325" s="52">
        <f t="shared" si="40"/>
        <v>0.12418859444444301</v>
      </c>
      <c r="K325" s="18">
        <v>112020.399999991</v>
      </c>
      <c r="L325" s="21">
        <f t="shared" si="41"/>
        <v>0.112020399999991</v>
      </c>
      <c r="M325" s="18">
        <f t="shared" si="38"/>
        <v>0.236208994444434</v>
      </c>
      <c r="N325" s="27">
        <v>-1.0166831999999999</v>
      </c>
      <c r="O325" s="7">
        <f t="shared" si="39"/>
        <v>1.3242758055555659</v>
      </c>
    </row>
    <row r="326" spans="1:15" x14ac:dyDescent="0.7">
      <c r="A326" s="6"/>
      <c r="B326" s="6"/>
      <c r="C326" s="6">
        <v>20</v>
      </c>
      <c r="D326" s="7">
        <v>6.2940000000000005</v>
      </c>
      <c r="E326" s="4">
        <v>0</v>
      </c>
      <c r="F326" s="7">
        <v>6.2940000000000005</v>
      </c>
      <c r="G326" s="16">
        <f t="shared" si="42"/>
        <v>543801.60000000009</v>
      </c>
      <c r="H326" s="22">
        <f t="shared" si="43"/>
        <v>0.54380160000000011</v>
      </c>
      <c r="I326" s="18">
        <v>124568.044444443</v>
      </c>
      <c r="J326" s="52">
        <f t="shared" si="40"/>
        <v>0.124568044444443</v>
      </c>
      <c r="K326" s="18">
        <v>112390.93333332401</v>
      </c>
      <c r="L326" s="21">
        <f t="shared" si="41"/>
        <v>0.11239093333332401</v>
      </c>
      <c r="M326" s="18">
        <f t="shared" si="38"/>
        <v>0.236958977777767</v>
      </c>
      <c r="N326" s="27">
        <v>-1.0204127999999999</v>
      </c>
      <c r="O326" s="7">
        <f t="shared" si="39"/>
        <v>1.327255422222233</v>
      </c>
    </row>
    <row r="327" spans="1:15" x14ac:dyDescent="0.7">
      <c r="A327" s="6"/>
      <c r="B327" s="6"/>
      <c r="C327" s="6">
        <v>21</v>
      </c>
      <c r="D327" s="7">
        <v>7.9550000000000001</v>
      </c>
      <c r="E327" s="4">
        <v>0</v>
      </c>
      <c r="F327" s="7">
        <v>7.9550000000000001</v>
      </c>
      <c r="G327" s="16">
        <f t="shared" si="42"/>
        <v>687312</v>
      </c>
      <c r="H327" s="22">
        <f t="shared" si="43"/>
        <v>0.68731200000000003</v>
      </c>
      <c r="I327" s="18">
        <v>124947.494444443</v>
      </c>
      <c r="J327" s="52">
        <f t="shared" si="40"/>
        <v>0.124947494444443</v>
      </c>
      <c r="K327" s="18">
        <v>112761.466666658</v>
      </c>
      <c r="L327" s="21">
        <f t="shared" si="41"/>
        <v>0.112761466666658</v>
      </c>
      <c r="M327" s="18">
        <f t="shared" si="38"/>
        <v>0.23770896111110101</v>
      </c>
      <c r="N327" s="27">
        <v>-1.0241423999999999</v>
      </c>
      <c r="O327" s="7">
        <f t="shared" si="39"/>
        <v>1.4737454388888989</v>
      </c>
    </row>
    <row r="328" spans="1:15" x14ac:dyDescent="0.7">
      <c r="A328" s="6"/>
      <c r="B328" s="6"/>
      <c r="C328" s="3">
        <v>22</v>
      </c>
      <c r="D328" s="7">
        <v>7.702</v>
      </c>
      <c r="E328" s="4">
        <v>0</v>
      </c>
      <c r="F328" s="7">
        <v>7.702</v>
      </c>
      <c r="G328" s="16">
        <f t="shared" si="42"/>
        <v>665452.80000000005</v>
      </c>
      <c r="H328" s="22">
        <f t="shared" si="43"/>
        <v>0.66545280000000007</v>
      </c>
      <c r="I328" s="18">
        <v>125326.944444443</v>
      </c>
      <c r="J328" s="52">
        <f t="shared" si="40"/>
        <v>0.12532694444444301</v>
      </c>
      <c r="K328" s="18">
        <v>113131.99999999101</v>
      </c>
      <c r="L328" s="21">
        <f t="shared" si="41"/>
        <v>0.113131999999991</v>
      </c>
      <c r="M328" s="18">
        <f t="shared" si="38"/>
        <v>0.238458944444434</v>
      </c>
      <c r="N328" s="27">
        <v>-1.0278719999999999</v>
      </c>
      <c r="O328" s="7">
        <f t="shared" si="39"/>
        <v>1.454865855555566</v>
      </c>
    </row>
    <row r="329" spans="1:15" x14ac:dyDescent="0.7">
      <c r="A329" s="6"/>
      <c r="B329" s="6"/>
      <c r="C329" s="6">
        <v>23</v>
      </c>
      <c r="D329" s="7">
        <v>7.4169999999999998</v>
      </c>
      <c r="E329" s="4">
        <v>0</v>
      </c>
      <c r="F329" s="7">
        <v>7.4169999999999998</v>
      </c>
      <c r="G329" s="16">
        <f t="shared" si="42"/>
        <v>640828.79999999993</v>
      </c>
      <c r="H329" s="22">
        <f t="shared" si="43"/>
        <v>0.64082879999999998</v>
      </c>
      <c r="I329" s="18">
        <v>125706.39444444299</v>
      </c>
      <c r="J329" s="52">
        <f t="shared" si="40"/>
        <v>0.12570639444444298</v>
      </c>
      <c r="K329" s="18">
        <v>113502.533333324</v>
      </c>
      <c r="L329" s="21">
        <f t="shared" si="41"/>
        <v>0.113502533333324</v>
      </c>
      <c r="M329" s="18">
        <f t="shared" si="38"/>
        <v>0.23920892777776698</v>
      </c>
      <c r="N329" s="27">
        <v>-1.0316015999999999</v>
      </c>
      <c r="O329" s="7">
        <f t="shared" si="39"/>
        <v>1.433221472222233</v>
      </c>
    </row>
    <row r="330" spans="1:15" x14ac:dyDescent="0.7">
      <c r="A330" s="6"/>
      <c r="B330" s="6"/>
      <c r="C330" s="6">
        <v>24</v>
      </c>
      <c r="D330" s="7">
        <v>7.4169999999999998</v>
      </c>
      <c r="E330" s="4">
        <v>0</v>
      </c>
      <c r="F330" s="7">
        <v>7.4169999999999998</v>
      </c>
      <c r="G330" s="16">
        <f t="shared" si="42"/>
        <v>640828.79999999993</v>
      </c>
      <c r="H330" s="22">
        <f t="shared" si="43"/>
        <v>0.64082879999999998</v>
      </c>
      <c r="I330" s="18">
        <v>126085.84444444301</v>
      </c>
      <c r="J330" s="52">
        <f t="shared" si="40"/>
        <v>0.12608584444444301</v>
      </c>
      <c r="K330" s="18">
        <v>113873.06666665799</v>
      </c>
      <c r="L330" s="21">
        <f t="shared" si="41"/>
        <v>0.11387306666665799</v>
      </c>
      <c r="M330" s="18">
        <f t="shared" si="38"/>
        <v>0.23995891111110101</v>
      </c>
      <c r="N330" s="27">
        <v>-1.0353311999999999</v>
      </c>
      <c r="O330" s="7">
        <f t="shared" si="39"/>
        <v>1.436201088888899</v>
      </c>
    </row>
    <row r="331" spans="1:15" x14ac:dyDescent="0.7">
      <c r="A331" s="6"/>
      <c r="B331" s="6"/>
      <c r="C331" s="3">
        <v>25</v>
      </c>
      <c r="D331" s="7">
        <v>7.0670000000000002</v>
      </c>
      <c r="E331" s="4">
        <v>0</v>
      </c>
      <c r="F331" s="7">
        <v>7.0670000000000002</v>
      </c>
      <c r="G331" s="16">
        <f t="shared" si="42"/>
        <v>610588.80000000005</v>
      </c>
      <c r="H331" s="22">
        <f t="shared" si="43"/>
        <v>0.61058880000000004</v>
      </c>
      <c r="I331" s="18">
        <v>126465.294444443</v>
      </c>
      <c r="J331" s="52">
        <f t="shared" si="40"/>
        <v>0.12646529444444302</v>
      </c>
      <c r="K331" s="18">
        <v>114243.599999991</v>
      </c>
      <c r="L331" s="21">
        <f t="shared" si="41"/>
        <v>0.11424359999999099</v>
      </c>
      <c r="M331" s="18">
        <f t="shared" si="38"/>
        <v>0.240708894444434</v>
      </c>
      <c r="N331" s="27">
        <v>-1.0390607999999999</v>
      </c>
      <c r="O331" s="7">
        <f t="shared" si="39"/>
        <v>1.4089407055555658</v>
      </c>
    </row>
    <row r="332" spans="1:15" x14ac:dyDescent="0.7">
      <c r="A332" s="6"/>
      <c r="B332" s="6"/>
      <c r="C332" s="6">
        <v>26</v>
      </c>
      <c r="D332" s="7">
        <v>6.9240000000000004</v>
      </c>
      <c r="E332" s="4">
        <v>0</v>
      </c>
      <c r="F332" s="7">
        <v>6.9240000000000004</v>
      </c>
      <c r="G332" s="16">
        <f t="shared" si="42"/>
        <v>598233.59999999998</v>
      </c>
      <c r="H332" s="22">
        <f t="shared" si="43"/>
        <v>0.59823360000000003</v>
      </c>
      <c r="I332" s="18">
        <v>126844.744444443</v>
      </c>
      <c r="J332" s="52">
        <f t="shared" si="40"/>
        <v>0.12684474444444299</v>
      </c>
      <c r="K332" s="18">
        <v>114614.133333324</v>
      </c>
      <c r="L332" s="21">
        <f t="shared" si="41"/>
        <v>0.114614133333324</v>
      </c>
      <c r="M332" s="18">
        <f t="shared" si="38"/>
        <v>0.24145887777776698</v>
      </c>
      <c r="N332" s="27">
        <v>-1.0427903999999999</v>
      </c>
      <c r="O332" s="7">
        <f t="shared" si="39"/>
        <v>1.3995651222222329</v>
      </c>
    </row>
    <row r="333" spans="1:15" x14ac:dyDescent="0.7">
      <c r="A333" s="6"/>
      <c r="B333" s="6"/>
      <c r="C333" s="6">
        <v>27</v>
      </c>
      <c r="D333" s="7">
        <v>6.9240000000000004</v>
      </c>
      <c r="E333" s="4">
        <v>0</v>
      </c>
      <c r="F333" s="7">
        <v>6.9240000000000004</v>
      </c>
      <c r="G333" s="16">
        <f t="shared" si="42"/>
        <v>598233.59999999998</v>
      </c>
      <c r="H333" s="22">
        <f t="shared" si="43"/>
        <v>0.59823360000000003</v>
      </c>
      <c r="I333" s="18">
        <v>127224.194444443</v>
      </c>
      <c r="J333" s="52">
        <f t="shared" si="40"/>
        <v>0.127224194444443</v>
      </c>
      <c r="K333" s="18">
        <v>114984.666666658</v>
      </c>
      <c r="L333" s="21">
        <f t="shared" si="41"/>
        <v>0.11498466666665799</v>
      </c>
      <c r="M333" s="18">
        <f t="shared" si="38"/>
        <v>0.24220886111110099</v>
      </c>
      <c r="N333" s="27">
        <v>-1.0465199999999999</v>
      </c>
      <c r="O333" s="7">
        <f t="shared" si="39"/>
        <v>1.402544738888899</v>
      </c>
    </row>
    <row r="334" spans="1:15" x14ac:dyDescent="0.7">
      <c r="A334" s="6"/>
      <c r="B334" s="6"/>
      <c r="C334" s="3">
        <v>28</v>
      </c>
      <c r="D334" s="7">
        <v>6.9240000000000004</v>
      </c>
      <c r="E334" s="4">
        <v>0</v>
      </c>
      <c r="F334" s="7">
        <v>6.9240000000000004</v>
      </c>
      <c r="G334" s="16">
        <f t="shared" si="42"/>
        <v>598233.59999999998</v>
      </c>
      <c r="H334" s="22">
        <f t="shared" si="43"/>
        <v>0.59823360000000003</v>
      </c>
      <c r="I334" s="18">
        <v>127603.64444444299</v>
      </c>
      <c r="J334" s="52">
        <f t="shared" si="40"/>
        <v>0.127603644444443</v>
      </c>
      <c r="K334" s="18">
        <v>115355.199999991</v>
      </c>
      <c r="L334" s="21">
        <f t="shared" si="41"/>
        <v>0.115355199999991</v>
      </c>
      <c r="M334" s="18">
        <f t="shared" si="38"/>
        <v>0.242958844444434</v>
      </c>
      <c r="N334" s="27">
        <v>-1.0502495999999999</v>
      </c>
      <c r="O334" s="7">
        <f t="shared" si="39"/>
        <v>1.4055243555555659</v>
      </c>
    </row>
    <row r="335" spans="1:15" x14ac:dyDescent="0.7">
      <c r="A335" s="13"/>
      <c r="B335" s="6"/>
      <c r="C335" s="13">
        <v>29</v>
      </c>
      <c r="D335" s="7">
        <v>6.85</v>
      </c>
      <c r="E335" s="4">
        <v>0</v>
      </c>
      <c r="F335" s="7">
        <v>6.85</v>
      </c>
      <c r="G335" s="16">
        <f t="shared" si="42"/>
        <v>591840</v>
      </c>
      <c r="H335" s="22">
        <f t="shared" si="43"/>
        <v>0.59184000000000003</v>
      </c>
      <c r="I335" s="18">
        <v>127983.09444444301</v>
      </c>
      <c r="J335" s="52">
        <f t="shared" si="40"/>
        <v>0.127983094444443</v>
      </c>
      <c r="K335" s="18">
        <v>115725.73333332399</v>
      </c>
      <c r="L335" s="21">
        <f t="shared" si="41"/>
        <v>0.11572573333332399</v>
      </c>
      <c r="M335" s="18">
        <f t="shared" si="38"/>
        <v>0.24370882777776698</v>
      </c>
      <c r="N335" s="27">
        <v>-1.0539791999999999</v>
      </c>
      <c r="O335" s="7">
        <f t="shared" si="39"/>
        <v>1.402110372222233</v>
      </c>
    </row>
    <row r="336" spans="1:15" s="14" customFormat="1" ht="25.2" thickBot="1" x14ac:dyDescent="0.75">
      <c r="A336" s="9"/>
      <c r="B336" s="12" t="s">
        <v>25</v>
      </c>
      <c r="C336" s="9">
        <v>30</v>
      </c>
      <c r="D336" s="10">
        <v>6.6970000000000001</v>
      </c>
      <c r="E336" s="20">
        <v>0</v>
      </c>
      <c r="F336" s="10">
        <v>6.6970000000000001</v>
      </c>
      <c r="G336" s="29">
        <f t="shared" si="42"/>
        <v>578620.80000000005</v>
      </c>
      <c r="H336" s="30">
        <f t="shared" si="43"/>
        <v>0.57862080000000005</v>
      </c>
      <c r="I336" s="19">
        <v>128362.544444443</v>
      </c>
      <c r="J336" s="53">
        <f t="shared" si="40"/>
        <v>0.12836254444444301</v>
      </c>
      <c r="K336" s="19">
        <v>116096.266666657</v>
      </c>
      <c r="L336" s="23">
        <f t="shared" si="41"/>
        <v>0.116096266666657</v>
      </c>
      <c r="M336" s="19">
        <f t="shared" si="38"/>
        <v>0.24445881111110002</v>
      </c>
      <c r="N336" s="31">
        <v>-1.0577087999999999</v>
      </c>
      <c r="O336" s="10">
        <f t="shared" si="39"/>
        <v>1.3918707888888999</v>
      </c>
    </row>
    <row r="337" spans="1:15" x14ac:dyDescent="0.7">
      <c r="A337" s="5"/>
      <c r="B337" s="3" t="s">
        <v>26</v>
      </c>
      <c r="C337" s="3">
        <v>1</v>
      </c>
      <c r="D337" s="4">
        <v>6.6970000000000001</v>
      </c>
      <c r="E337" s="4">
        <v>0</v>
      </c>
      <c r="F337" s="4">
        <v>6.6970000000000001</v>
      </c>
      <c r="G337" s="16">
        <f t="shared" si="42"/>
        <v>578620.80000000005</v>
      </c>
      <c r="H337" s="22">
        <f t="shared" si="43"/>
        <v>0.57862080000000005</v>
      </c>
      <c r="I337" s="17">
        <v>128741.994444443</v>
      </c>
      <c r="J337" s="54">
        <f t="shared" si="40"/>
        <v>0.12874199444444301</v>
      </c>
      <c r="K337" s="17">
        <v>116466.799999991</v>
      </c>
      <c r="L337" s="22">
        <f t="shared" si="41"/>
        <v>0.11646679999999099</v>
      </c>
      <c r="M337" s="17">
        <f t="shared" si="38"/>
        <v>0.245208794444434</v>
      </c>
      <c r="N337" s="28">
        <v>-1.0614383999999999</v>
      </c>
      <c r="O337" s="4">
        <f t="shared" si="39"/>
        <v>1.3948504055555659</v>
      </c>
    </row>
    <row r="338" spans="1:15" x14ac:dyDescent="0.7">
      <c r="A338" s="8"/>
      <c r="B338" s="6"/>
      <c r="C338" s="6">
        <v>2</v>
      </c>
      <c r="D338" s="7">
        <v>6.53</v>
      </c>
      <c r="E338" s="4">
        <v>0</v>
      </c>
      <c r="F338" s="7">
        <v>6.53</v>
      </c>
      <c r="G338" s="16">
        <f t="shared" si="42"/>
        <v>564192</v>
      </c>
      <c r="H338" s="22">
        <f t="shared" si="43"/>
        <v>0.56419200000000003</v>
      </c>
      <c r="I338" s="18">
        <v>129121.444444443</v>
      </c>
      <c r="J338" s="52">
        <f t="shared" si="40"/>
        <v>0.12912144444444298</v>
      </c>
      <c r="K338" s="18">
        <v>116837.333333324</v>
      </c>
      <c r="L338" s="21">
        <f t="shared" si="41"/>
        <v>0.11683733333332399</v>
      </c>
      <c r="M338" s="18">
        <f t="shared" si="38"/>
        <v>0.24595877777776698</v>
      </c>
      <c r="N338" s="27">
        <v>-1.0651679999999999</v>
      </c>
      <c r="O338" s="7">
        <f t="shared" si="39"/>
        <v>1.3834012222222329</v>
      </c>
    </row>
    <row r="339" spans="1:15" x14ac:dyDescent="0.7">
      <c r="A339" s="8"/>
      <c r="B339" s="6"/>
      <c r="C339" s="6">
        <v>3</v>
      </c>
      <c r="D339" s="7">
        <v>6.4139999999999997</v>
      </c>
      <c r="E339" s="4">
        <v>0</v>
      </c>
      <c r="F339" s="7">
        <v>6.4139999999999997</v>
      </c>
      <c r="G339" s="16">
        <f t="shared" si="42"/>
        <v>554169.59999999998</v>
      </c>
      <c r="H339" s="22">
        <f t="shared" si="43"/>
        <v>0.55416959999999993</v>
      </c>
      <c r="I339" s="18">
        <v>129500.89444444299</v>
      </c>
      <c r="J339" s="52">
        <f t="shared" si="40"/>
        <v>0.12950089444444299</v>
      </c>
      <c r="K339" s="18">
        <v>117207.86666665701</v>
      </c>
      <c r="L339" s="21">
        <f t="shared" si="41"/>
        <v>0.117207866666657</v>
      </c>
      <c r="M339" s="18">
        <f t="shared" si="38"/>
        <v>0.24670876111109999</v>
      </c>
      <c r="N339" s="27">
        <v>-1.0688975999999999</v>
      </c>
      <c r="O339" s="7">
        <f t="shared" si="39"/>
        <v>1.3763584388888999</v>
      </c>
    </row>
    <row r="340" spans="1:15" x14ac:dyDescent="0.7">
      <c r="A340" s="8"/>
      <c r="B340" s="6"/>
      <c r="C340" s="6">
        <v>4</v>
      </c>
      <c r="D340" s="7">
        <v>6.4029999999999996</v>
      </c>
      <c r="E340" s="4">
        <v>0</v>
      </c>
      <c r="F340" s="7">
        <v>6.4029999999999996</v>
      </c>
      <c r="G340" s="16">
        <f t="shared" si="42"/>
        <v>553219.19999999995</v>
      </c>
      <c r="H340" s="22">
        <f t="shared" si="43"/>
        <v>0.55321919999999991</v>
      </c>
      <c r="I340" s="18">
        <v>129880.34444444301</v>
      </c>
      <c r="J340" s="52">
        <f t="shared" si="40"/>
        <v>0.12988034444444302</v>
      </c>
      <c r="K340" s="18">
        <v>117578.399999991</v>
      </c>
      <c r="L340" s="21">
        <f t="shared" si="41"/>
        <v>0.11757839999999101</v>
      </c>
      <c r="M340" s="18">
        <f t="shared" si="38"/>
        <v>0.24745874444443403</v>
      </c>
      <c r="N340" s="27">
        <v>-1.0726271999999999</v>
      </c>
      <c r="O340" s="7">
        <f t="shared" si="39"/>
        <v>1.3783876555555659</v>
      </c>
    </row>
    <row r="341" spans="1:15" x14ac:dyDescent="0.7">
      <c r="A341" s="8"/>
      <c r="B341" s="6"/>
      <c r="C341" s="6">
        <v>5</v>
      </c>
      <c r="D341" s="7">
        <v>6.3150000000000004</v>
      </c>
      <c r="E341" s="4">
        <v>0</v>
      </c>
      <c r="F341" s="7">
        <v>6.3150000000000004</v>
      </c>
      <c r="G341" s="16">
        <f t="shared" si="42"/>
        <v>545616</v>
      </c>
      <c r="H341" s="22">
        <f t="shared" si="43"/>
        <v>0.54561599999999999</v>
      </c>
      <c r="I341" s="18">
        <v>130259.794444443</v>
      </c>
      <c r="J341" s="52">
        <f t="shared" si="40"/>
        <v>0.13025979444444299</v>
      </c>
      <c r="K341" s="18">
        <v>117948.93333332401</v>
      </c>
      <c r="L341" s="21">
        <f t="shared" si="41"/>
        <v>0.11794893333332401</v>
      </c>
      <c r="M341" s="18">
        <f t="shared" si="38"/>
        <v>0.24820872777776701</v>
      </c>
      <c r="N341" s="27">
        <v>-1.0763567999999999</v>
      </c>
      <c r="O341" s="7">
        <f t="shared" si="39"/>
        <v>1.3737640722222328</v>
      </c>
    </row>
    <row r="342" spans="1:15" x14ac:dyDescent="0.7">
      <c r="A342" s="8"/>
      <c r="B342" s="6"/>
      <c r="C342" s="6">
        <v>6</v>
      </c>
      <c r="D342" s="7">
        <v>6.16</v>
      </c>
      <c r="E342" s="4">
        <v>0</v>
      </c>
      <c r="F342" s="7">
        <v>6.16</v>
      </c>
      <c r="G342" s="16">
        <f t="shared" si="42"/>
        <v>532224</v>
      </c>
      <c r="H342" s="22">
        <f t="shared" si="43"/>
        <v>0.53222400000000003</v>
      </c>
      <c r="I342" s="18">
        <v>130639.244444443</v>
      </c>
      <c r="J342" s="52">
        <f t="shared" si="40"/>
        <v>0.130639244444443</v>
      </c>
      <c r="K342" s="18">
        <v>118319.466666657</v>
      </c>
      <c r="L342" s="21">
        <f t="shared" si="41"/>
        <v>0.11831946666665699</v>
      </c>
      <c r="M342" s="18">
        <f t="shared" si="38"/>
        <v>0.24895871111109999</v>
      </c>
      <c r="N342" s="27">
        <v>-1.0800863999999999</v>
      </c>
      <c r="O342" s="7">
        <f t="shared" si="39"/>
        <v>1.3633516888888999</v>
      </c>
    </row>
    <row r="343" spans="1:15" x14ac:dyDescent="0.7">
      <c r="A343" s="8"/>
      <c r="B343" s="6"/>
      <c r="C343" s="6">
        <v>7</v>
      </c>
      <c r="D343" s="7">
        <v>5.9489999999999998</v>
      </c>
      <c r="E343" s="4">
        <v>0</v>
      </c>
      <c r="F343" s="7">
        <v>5.9489999999999998</v>
      </c>
      <c r="G343" s="16">
        <f t="shared" si="42"/>
        <v>513993.6</v>
      </c>
      <c r="H343" s="22">
        <f t="shared" si="43"/>
        <v>0.51399359999999994</v>
      </c>
      <c r="I343" s="18">
        <v>131018.694444443</v>
      </c>
      <c r="J343" s="52">
        <f t="shared" si="40"/>
        <v>0.131018694444443</v>
      </c>
      <c r="K343" s="18">
        <v>118689.99999999101</v>
      </c>
      <c r="L343" s="21">
        <f t="shared" si="41"/>
        <v>0.11868999999999101</v>
      </c>
      <c r="M343" s="18">
        <f t="shared" si="38"/>
        <v>0.249708694444434</v>
      </c>
      <c r="N343" s="27">
        <v>-1.0838159999999999</v>
      </c>
      <c r="O343" s="7">
        <f t="shared" si="39"/>
        <v>1.3481009055555657</v>
      </c>
    </row>
    <row r="344" spans="1:15" x14ac:dyDescent="0.7">
      <c r="A344" s="8"/>
      <c r="B344" s="6"/>
      <c r="C344" s="6">
        <v>8</v>
      </c>
      <c r="D344" s="7">
        <v>5.82</v>
      </c>
      <c r="E344" s="4">
        <v>0</v>
      </c>
      <c r="F344" s="7">
        <v>5.82</v>
      </c>
      <c r="G344" s="16">
        <f t="shared" si="42"/>
        <v>502848</v>
      </c>
      <c r="H344" s="22">
        <f t="shared" si="43"/>
        <v>0.50284799999999996</v>
      </c>
      <c r="I344" s="18">
        <v>131398.14444444299</v>
      </c>
      <c r="J344" s="52">
        <f t="shared" si="40"/>
        <v>0.131398144444443</v>
      </c>
      <c r="K344" s="18">
        <v>119060.533333324</v>
      </c>
      <c r="L344" s="21">
        <f t="shared" si="41"/>
        <v>0.119060533333324</v>
      </c>
      <c r="M344" s="18">
        <f t="shared" si="38"/>
        <v>0.25045867777776698</v>
      </c>
      <c r="N344" s="27">
        <v>-1.0875455999999999</v>
      </c>
      <c r="O344" s="7">
        <f t="shared" si="39"/>
        <v>1.3399349222222328</v>
      </c>
    </row>
    <row r="345" spans="1:15" x14ac:dyDescent="0.7">
      <c r="A345" s="8"/>
      <c r="B345" s="6"/>
      <c r="C345" s="6">
        <v>9</v>
      </c>
      <c r="D345" s="7">
        <v>5.742</v>
      </c>
      <c r="E345" s="4">
        <v>0</v>
      </c>
      <c r="F345" s="7">
        <v>5.742</v>
      </c>
      <c r="G345" s="16">
        <f t="shared" si="42"/>
        <v>496108.79999999999</v>
      </c>
      <c r="H345" s="22">
        <f t="shared" si="43"/>
        <v>0.49610879999999996</v>
      </c>
      <c r="I345" s="18">
        <v>131777.59444444301</v>
      </c>
      <c r="J345" s="52">
        <f t="shared" si="40"/>
        <v>0.13177759444444301</v>
      </c>
      <c r="K345" s="18">
        <v>119431.066666657</v>
      </c>
      <c r="L345" s="21">
        <f t="shared" si="41"/>
        <v>0.11943106666665701</v>
      </c>
      <c r="M345" s="18">
        <f t="shared" si="38"/>
        <v>0.25120866111110002</v>
      </c>
      <c r="N345" s="27">
        <v>-1.0912751999999999</v>
      </c>
      <c r="O345" s="7">
        <f t="shared" si="39"/>
        <v>1.3361753388888999</v>
      </c>
    </row>
    <row r="346" spans="1:15" x14ac:dyDescent="0.7">
      <c r="A346" s="8"/>
      <c r="B346" s="6"/>
      <c r="C346" s="6">
        <v>10</v>
      </c>
      <c r="D346" s="7">
        <v>5.6130000000000004</v>
      </c>
      <c r="E346" s="4">
        <v>0</v>
      </c>
      <c r="F346" s="7">
        <v>5.6130000000000004</v>
      </c>
      <c r="G346" s="16">
        <f t="shared" si="42"/>
        <v>484963.2</v>
      </c>
      <c r="H346" s="22">
        <f t="shared" si="43"/>
        <v>0.48496320000000004</v>
      </c>
      <c r="I346" s="18">
        <v>132157.04444444299</v>
      </c>
      <c r="J346" s="52">
        <f t="shared" si="40"/>
        <v>0.13215704444444298</v>
      </c>
      <c r="K346" s="18">
        <v>119801.59999998999</v>
      </c>
      <c r="L346" s="21">
        <f t="shared" si="41"/>
        <v>0.11980159999998999</v>
      </c>
      <c r="M346" s="18">
        <f t="shared" si="38"/>
        <v>0.25195864444443294</v>
      </c>
      <c r="N346" s="27">
        <v>-1.0950047999999999</v>
      </c>
      <c r="O346" s="7">
        <f t="shared" si="39"/>
        <v>1.328009355555567</v>
      </c>
    </row>
    <row r="347" spans="1:15" x14ac:dyDescent="0.7">
      <c r="A347" s="8"/>
      <c r="B347" s="6"/>
      <c r="C347" s="6">
        <v>11</v>
      </c>
      <c r="D347" s="7">
        <v>5.6130000000000004</v>
      </c>
      <c r="E347" s="4">
        <v>0</v>
      </c>
      <c r="F347" s="7">
        <v>5.6130000000000004</v>
      </c>
      <c r="G347" s="16">
        <f t="shared" si="42"/>
        <v>484963.2</v>
      </c>
      <c r="H347" s="22">
        <f t="shared" si="43"/>
        <v>0.48496320000000004</v>
      </c>
      <c r="I347" s="18">
        <v>132536.494444443</v>
      </c>
      <c r="J347" s="52">
        <f t="shared" si="40"/>
        <v>0.13253649444444299</v>
      </c>
      <c r="K347" s="18">
        <v>120172.133333324</v>
      </c>
      <c r="L347" s="21">
        <f t="shared" si="41"/>
        <v>0.12017213333332401</v>
      </c>
      <c r="M347" s="18">
        <f t="shared" si="38"/>
        <v>0.25270862777776698</v>
      </c>
      <c r="N347" s="27">
        <v>-1.0987344000000001</v>
      </c>
      <c r="O347" s="7">
        <f t="shared" si="39"/>
        <v>1.3309889722222332</v>
      </c>
    </row>
    <row r="348" spans="1:15" x14ac:dyDescent="0.7">
      <c r="A348" s="8"/>
      <c r="B348" s="6"/>
      <c r="C348" s="6">
        <v>12</v>
      </c>
      <c r="D348" s="7">
        <v>5.53</v>
      </c>
      <c r="E348" s="4">
        <v>0</v>
      </c>
      <c r="F348" s="7">
        <v>5.53</v>
      </c>
      <c r="G348" s="16">
        <f t="shared" si="42"/>
        <v>477792</v>
      </c>
      <c r="H348" s="22">
        <f t="shared" si="43"/>
        <v>0.47779199999999999</v>
      </c>
      <c r="I348" s="18">
        <v>132915.94444444301</v>
      </c>
      <c r="J348" s="52">
        <f t="shared" si="40"/>
        <v>0.13291594444444302</v>
      </c>
      <c r="K348" s="18">
        <v>120542.66666665699</v>
      </c>
      <c r="L348" s="21">
        <f t="shared" si="41"/>
        <v>0.120542666666657</v>
      </c>
      <c r="M348" s="18">
        <f t="shared" si="38"/>
        <v>0.25345861111110002</v>
      </c>
      <c r="N348" s="27">
        <v>-1.1024640000000001</v>
      </c>
      <c r="O348" s="7">
        <f t="shared" si="39"/>
        <v>1.3267973888889002</v>
      </c>
    </row>
    <row r="349" spans="1:15" x14ac:dyDescent="0.7">
      <c r="A349" s="8"/>
      <c r="B349" s="6"/>
      <c r="C349" s="6">
        <v>13</v>
      </c>
      <c r="D349" s="7">
        <v>5.53</v>
      </c>
      <c r="E349" s="4">
        <v>0</v>
      </c>
      <c r="F349" s="7">
        <v>5.53</v>
      </c>
      <c r="G349" s="16">
        <f t="shared" si="42"/>
        <v>477792</v>
      </c>
      <c r="H349" s="22">
        <f t="shared" si="43"/>
        <v>0.47779199999999999</v>
      </c>
      <c r="I349" s="18">
        <v>133295.39444444299</v>
      </c>
      <c r="J349" s="52">
        <f t="shared" si="40"/>
        <v>0.13329539444444299</v>
      </c>
      <c r="K349" s="18">
        <v>120913.19999999</v>
      </c>
      <c r="L349" s="21">
        <f t="shared" si="41"/>
        <v>0.12091319999999001</v>
      </c>
      <c r="M349" s="18">
        <f t="shared" si="38"/>
        <v>0.254208594444433</v>
      </c>
      <c r="N349" s="27">
        <v>-1.1061936000000001</v>
      </c>
      <c r="O349" s="7">
        <f t="shared" si="39"/>
        <v>1.3297770055555671</v>
      </c>
    </row>
    <row r="350" spans="1:15" x14ac:dyDescent="0.7">
      <c r="A350" s="8"/>
      <c r="B350" s="6"/>
      <c r="C350" s="6">
        <v>14</v>
      </c>
      <c r="D350" s="7">
        <v>5.53</v>
      </c>
      <c r="E350" s="4">
        <v>0</v>
      </c>
      <c r="F350" s="7">
        <v>5.53</v>
      </c>
      <c r="G350" s="16">
        <f t="shared" si="42"/>
        <v>477792</v>
      </c>
      <c r="H350" s="22">
        <f t="shared" si="43"/>
        <v>0.47779199999999999</v>
      </c>
      <c r="I350" s="18">
        <v>133674.84444444301</v>
      </c>
      <c r="J350" s="52">
        <f t="shared" si="40"/>
        <v>0.133674844444443</v>
      </c>
      <c r="K350" s="18">
        <v>121283.73333332399</v>
      </c>
      <c r="L350" s="21">
        <f t="shared" si="41"/>
        <v>0.121283733333324</v>
      </c>
      <c r="M350" s="18">
        <f t="shared" si="38"/>
        <v>0.25495857777776698</v>
      </c>
      <c r="N350" s="27">
        <v>-1.1099232000000001</v>
      </c>
      <c r="O350" s="7">
        <f t="shared" si="39"/>
        <v>1.3327566222222331</v>
      </c>
    </row>
    <row r="351" spans="1:15" x14ac:dyDescent="0.7">
      <c r="A351" s="8"/>
      <c r="B351" s="6"/>
      <c r="C351" s="6">
        <v>15</v>
      </c>
      <c r="D351" s="7">
        <v>5.4349999999999996</v>
      </c>
      <c r="E351" s="4">
        <v>0</v>
      </c>
      <c r="F351" s="7">
        <v>5.4349999999999996</v>
      </c>
      <c r="G351" s="16">
        <f t="shared" si="42"/>
        <v>469583.99999999994</v>
      </c>
      <c r="H351" s="22">
        <f t="shared" si="43"/>
        <v>0.46958399999999995</v>
      </c>
      <c r="I351" s="18">
        <v>134054.29444444299</v>
      </c>
      <c r="J351" s="52">
        <f t="shared" si="40"/>
        <v>0.134054294444443</v>
      </c>
      <c r="K351" s="18">
        <v>121654.266666657</v>
      </c>
      <c r="L351" s="21">
        <f t="shared" si="41"/>
        <v>0.121654266666657</v>
      </c>
      <c r="M351" s="18">
        <f t="shared" si="38"/>
        <v>0.25570856111110002</v>
      </c>
      <c r="N351" s="27">
        <v>-1.1136528000000001</v>
      </c>
      <c r="O351" s="7">
        <f t="shared" si="39"/>
        <v>1.3275282388889</v>
      </c>
    </row>
    <row r="352" spans="1:15" x14ac:dyDescent="0.7">
      <c r="A352" s="8"/>
      <c r="B352" s="6"/>
      <c r="C352" s="6">
        <v>16</v>
      </c>
      <c r="D352" s="7">
        <v>5.4349999999999996</v>
      </c>
      <c r="E352" s="4">
        <v>0</v>
      </c>
      <c r="F352" s="7">
        <v>5.4349999999999996</v>
      </c>
      <c r="G352" s="16">
        <f t="shared" si="42"/>
        <v>469583.99999999994</v>
      </c>
      <c r="H352" s="22">
        <f t="shared" si="43"/>
        <v>0.46958399999999995</v>
      </c>
      <c r="I352" s="18">
        <v>134433.744444443</v>
      </c>
      <c r="J352" s="52">
        <f t="shared" si="40"/>
        <v>0.134433744444443</v>
      </c>
      <c r="K352" s="18">
        <v>122024.79999999001</v>
      </c>
      <c r="L352" s="21">
        <f t="shared" si="41"/>
        <v>0.12202479999999001</v>
      </c>
      <c r="M352" s="18">
        <f t="shared" si="38"/>
        <v>0.256458544444433</v>
      </c>
      <c r="N352" s="27">
        <v>-1.1173824000000001</v>
      </c>
      <c r="O352" s="7">
        <f t="shared" si="39"/>
        <v>1.3305078555555672</v>
      </c>
    </row>
    <row r="353" spans="1:15" x14ac:dyDescent="0.7">
      <c r="A353" s="8"/>
      <c r="B353" s="6"/>
      <c r="C353" s="6">
        <v>17</v>
      </c>
      <c r="D353" s="7">
        <v>5.4119999999999999</v>
      </c>
      <c r="E353" s="4">
        <v>0</v>
      </c>
      <c r="F353" s="7">
        <v>5.4119999999999999</v>
      </c>
      <c r="G353" s="16">
        <f t="shared" si="42"/>
        <v>467596.79999999999</v>
      </c>
      <c r="H353" s="22">
        <f t="shared" si="43"/>
        <v>0.46759679999999998</v>
      </c>
      <c r="I353" s="18">
        <v>134813.19444444301</v>
      </c>
      <c r="J353" s="52">
        <f t="shared" si="40"/>
        <v>0.13481319444444301</v>
      </c>
      <c r="K353" s="18">
        <v>122395.333333324</v>
      </c>
      <c r="L353" s="21">
        <f t="shared" si="41"/>
        <v>0.122395333333324</v>
      </c>
      <c r="M353" s="18">
        <f t="shared" si="38"/>
        <v>0.25720852777776704</v>
      </c>
      <c r="N353" s="27">
        <v>-1.1211120000000001</v>
      </c>
      <c r="O353" s="7">
        <f t="shared" si="39"/>
        <v>1.3315002722222331</v>
      </c>
    </row>
    <row r="354" spans="1:15" x14ac:dyDescent="0.7">
      <c r="A354" s="8"/>
      <c r="B354" s="6"/>
      <c r="C354" s="6">
        <v>18</v>
      </c>
      <c r="D354" s="7">
        <v>5.3520000000000003</v>
      </c>
      <c r="E354" s="4">
        <v>0</v>
      </c>
      <c r="F354" s="7">
        <v>5.3520000000000003</v>
      </c>
      <c r="G354" s="16">
        <f t="shared" si="42"/>
        <v>462412.80000000005</v>
      </c>
      <c r="H354" s="22">
        <f t="shared" si="43"/>
        <v>0.46241280000000007</v>
      </c>
      <c r="I354" s="18">
        <v>135192.64444444299</v>
      </c>
      <c r="J354" s="52">
        <f t="shared" si="40"/>
        <v>0.13519264444444298</v>
      </c>
      <c r="K354" s="18">
        <v>122765.86666665701</v>
      </c>
      <c r="L354" s="21">
        <f t="shared" si="41"/>
        <v>0.12276586666665701</v>
      </c>
      <c r="M354" s="18">
        <f t="shared" si="38"/>
        <v>0.25795851111110002</v>
      </c>
      <c r="N354" s="27">
        <v>-1.1248416000000001</v>
      </c>
      <c r="O354" s="7">
        <f t="shared" si="39"/>
        <v>1.3292958888889002</v>
      </c>
    </row>
    <row r="355" spans="1:15" x14ac:dyDescent="0.7">
      <c r="A355" s="8"/>
      <c r="B355" s="6"/>
      <c r="C355" s="6">
        <v>19</v>
      </c>
      <c r="D355" s="7">
        <v>5.2690000000000001</v>
      </c>
      <c r="E355" s="4">
        <v>0</v>
      </c>
      <c r="F355" s="7">
        <v>5.2690000000000001</v>
      </c>
      <c r="G355" s="16">
        <f t="shared" si="42"/>
        <v>455241.60000000003</v>
      </c>
      <c r="H355" s="22">
        <f t="shared" si="43"/>
        <v>0.45524160000000002</v>
      </c>
      <c r="I355" s="18">
        <v>135572.09444444301</v>
      </c>
      <c r="J355" s="52">
        <f t="shared" si="40"/>
        <v>0.13557209444444301</v>
      </c>
      <c r="K355" s="18">
        <v>123136.39999999</v>
      </c>
      <c r="L355" s="21">
        <f t="shared" si="41"/>
        <v>0.12313639999999</v>
      </c>
      <c r="M355" s="18">
        <f t="shared" si="38"/>
        <v>0.258708494444433</v>
      </c>
      <c r="N355" s="27">
        <v>-1.1285712000000001</v>
      </c>
      <c r="O355" s="7">
        <f t="shared" si="39"/>
        <v>1.3251043055555671</v>
      </c>
    </row>
    <row r="356" spans="1:15" x14ac:dyDescent="0.7">
      <c r="A356" s="8"/>
      <c r="B356" s="6"/>
      <c r="C356" s="6">
        <v>20</v>
      </c>
      <c r="D356" s="7">
        <v>5.2670000000000003</v>
      </c>
      <c r="E356" s="4">
        <v>0</v>
      </c>
      <c r="F356" s="7">
        <v>5.2670000000000003</v>
      </c>
      <c r="G356" s="16">
        <f t="shared" si="42"/>
        <v>455068.80000000005</v>
      </c>
      <c r="H356" s="22">
        <f t="shared" si="43"/>
        <v>0.45506880000000005</v>
      </c>
      <c r="I356" s="18">
        <v>135951.54444444299</v>
      </c>
      <c r="J356" s="52">
        <f t="shared" si="40"/>
        <v>0.13595154444444299</v>
      </c>
      <c r="K356" s="18">
        <v>123506.933333323</v>
      </c>
      <c r="L356" s="21">
        <f t="shared" si="41"/>
        <v>0.12350693333332301</v>
      </c>
      <c r="M356" s="18">
        <f t="shared" si="38"/>
        <v>0.25945847777776598</v>
      </c>
      <c r="N356" s="27">
        <v>-1.1323008000000001</v>
      </c>
      <c r="O356" s="7">
        <f t="shared" si="39"/>
        <v>1.3279111222222342</v>
      </c>
    </row>
    <row r="357" spans="1:15" x14ac:dyDescent="0.7">
      <c r="A357" s="8"/>
      <c r="B357" s="6"/>
      <c r="C357" s="6">
        <v>21</v>
      </c>
      <c r="D357" s="7">
        <v>5.2619999999999996</v>
      </c>
      <c r="E357" s="4">
        <v>0</v>
      </c>
      <c r="F357" s="7">
        <v>5.2619999999999996</v>
      </c>
      <c r="G357" s="16">
        <f t="shared" si="42"/>
        <v>454636.79999999999</v>
      </c>
      <c r="H357" s="22">
        <f t="shared" si="43"/>
        <v>0.45463680000000001</v>
      </c>
      <c r="I357" s="18">
        <v>136330.994444443</v>
      </c>
      <c r="J357" s="52">
        <f t="shared" si="40"/>
        <v>0.13633099444444299</v>
      </c>
      <c r="K357" s="18">
        <v>123877.466666657</v>
      </c>
      <c r="L357" s="21">
        <f t="shared" si="41"/>
        <v>0.123877466666657</v>
      </c>
      <c r="M357" s="18">
        <f t="shared" si="38"/>
        <v>0.26020846111109996</v>
      </c>
      <c r="N357" s="27">
        <v>-1.1360304000000001</v>
      </c>
      <c r="O357" s="7">
        <f t="shared" si="39"/>
        <v>1.3304587388889002</v>
      </c>
    </row>
    <row r="358" spans="1:15" x14ac:dyDescent="0.7">
      <c r="A358" s="8"/>
      <c r="B358" s="6"/>
      <c r="C358" s="6">
        <v>22</v>
      </c>
      <c r="D358" s="7">
        <v>5.2619999999999996</v>
      </c>
      <c r="E358" s="4">
        <v>0</v>
      </c>
      <c r="F358" s="7">
        <v>5.2619999999999996</v>
      </c>
      <c r="G358" s="16">
        <f t="shared" si="42"/>
        <v>454636.79999999999</v>
      </c>
      <c r="H358" s="22">
        <f t="shared" si="43"/>
        <v>0.45463680000000001</v>
      </c>
      <c r="I358" s="18">
        <v>136710.44444444301</v>
      </c>
      <c r="J358" s="52">
        <f t="shared" si="40"/>
        <v>0.13671044444444302</v>
      </c>
      <c r="K358" s="18">
        <v>124247.99999999</v>
      </c>
      <c r="L358" s="21">
        <f t="shared" si="41"/>
        <v>0.12424799999999001</v>
      </c>
      <c r="M358" s="18">
        <f t="shared" si="38"/>
        <v>0.26095844444443306</v>
      </c>
      <c r="N358" s="27">
        <v>-1.1397600000000001</v>
      </c>
      <c r="O358" s="7">
        <f t="shared" si="39"/>
        <v>1.3334383555555671</v>
      </c>
    </row>
    <row r="359" spans="1:15" x14ac:dyDescent="0.7">
      <c r="A359" s="8"/>
      <c r="B359" s="6"/>
      <c r="C359" s="6">
        <v>23</v>
      </c>
      <c r="D359" s="7">
        <v>5.2590000000000003</v>
      </c>
      <c r="E359" s="4">
        <v>0</v>
      </c>
      <c r="F359" s="7">
        <v>5.2590000000000003</v>
      </c>
      <c r="G359" s="16">
        <f t="shared" si="42"/>
        <v>454377.60000000003</v>
      </c>
      <c r="H359" s="22">
        <f t="shared" si="43"/>
        <v>0.45437760000000005</v>
      </c>
      <c r="I359" s="18">
        <v>137089.89444444299</v>
      </c>
      <c r="J359" s="52">
        <f t="shared" si="40"/>
        <v>0.137089894444443</v>
      </c>
      <c r="K359" s="18">
        <v>124618.53333332299</v>
      </c>
      <c r="L359" s="21">
        <f t="shared" si="41"/>
        <v>0.124618533333323</v>
      </c>
      <c r="M359" s="18">
        <f t="shared" si="38"/>
        <v>0.26170842777776598</v>
      </c>
      <c r="N359" s="27">
        <v>-1.1434896000000001</v>
      </c>
      <c r="O359" s="7">
        <f t="shared" si="39"/>
        <v>1.3361587722222341</v>
      </c>
    </row>
    <row r="360" spans="1:15" x14ac:dyDescent="0.7">
      <c r="A360" s="8"/>
      <c r="B360" s="6"/>
      <c r="C360" s="6">
        <v>24</v>
      </c>
      <c r="D360" s="7">
        <v>5.2519999999999998</v>
      </c>
      <c r="E360" s="4">
        <v>0</v>
      </c>
      <c r="F360" s="7">
        <v>5.2519999999999998</v>
      </c>
      <c r="G360" s="16">
        <f t="shared" si="42"/>
        <v>453772.79999999999</v>
      </c>
      <c r="H360" s="22">
        <f t="shared" si="43"/>
        <v>0.45377279999999998</v>
      </c>
      <c r="I360" s="18">
        <v>137469.34444444301</v>
      </c>
      <c r="J360" s="52">
        <f t="shared" si="40"/>
        <v>0.137469344444443</v>
      </c>
      <c r="K360" s="18">
        <v>124989.066666657</v>
      </c>
      <c r="L360" s="21">
        <f t="shared" si="41"/>
        <v>0.124989066666657</v>
      </c>
      <c r="M360" s="18">
        <f t="shared" si="38"/>
        <v>0.26245841111110002</v>
      </c>
      <c r="N360" s="27">
        <v>-1.1472192000000001</v>
      </c>
      <c r="O360" s="7">
        <f t="shared" si="39"/>
        <v>1.3385335888889001</v>
      </c>
    </row>
    <row r="361" spans="1:15" x14ac:dyDescent="0.7">
      <c r="A361" s="8"/>
      <c r="B361" s="6"/>
      <c r="C361" s="6">
        <v>25</v>
      </c>
      <c r="D361" s="7">
        <v>4.8090000000000002</v>
      </c>
      <c r="E361" s="4">
        <v>0</v>
      </c>
      <c r="F361" s="7">
        <v>4.8090000000000002</v>
      </c>
      <c r="G361" s="16">
        <f t="shared" si="42"/>
        <v>415497.60000000003</v>
      </c>
      <c r="H361" s="22">
        <f t="shared" si="43"/>
        <v>0.41549760000000002</v>
      </c>
      <c r="I361" s="18">
        <v>137848.79444444299</v>
      </c>
      <c r="J361" s="52">
        <f t="shared" si="40"/>
        <v>0.13784879444444298</v>
      </c>
      <c r="K361" s="18">
        <v>125359.59999998999</v>
      </c>
      <c r="L361" s="21">
        <f t="shared" si="41"/>
        <v>0.12535959999999</v>
      </c>
      <c r="M361" s="18">
        <f t="shared" si="38"/>
        <v>0.263208394444433</v>
      </c>
      <c r="N361" s="27">
        <v>-1.1509488000000001</v>
      </c>
      <c r="O361" s="7">
        <f t="shared" si="39"/>
        <v>1.303238005555567</v>
      </c>
    </row>
    <row r="362" spans="1:15" x14ac:dyDescent="0.7">
      <c r="A362" s="8"/>
      <c r="B362" s="6"/>
      <c r="C362" s="6">
        <v>26</v>
      </c>
      <c r="D362" s="7">
        <v>5.798</v>
      </c>
      <c r="E362" s="4">
        <v>0</v>
      </c>
      <c r="F362" s="7">
        <v>5.798</v>
      </c>
      <c r="G362" s="16">
        <f t="shared" si="42"/>
        <v>500947.20000000001</v>
      </c>
      <c r="H362" s="22">
        <f t="shared" si="43"/>
        <v>0.50094720000000004</v>
      </c>
      <c r="I362" s="18">
        <v>138228.244444443</v>
      </c>
      <c r="J362" s="52">
        <f t="shared" si="40"/>
        <v>0.13822824444444301</v>
      </c>
      <c r="K362" s="18">
        <v>125730.133333323</v>
      </c>
      <c r="L362" s="21">
        <f t="shared" si="41"/>
        <v>0.125730133333323</v>
      </c>
      <c r="M362" s="18">
        <f t="shared" si="38"/>
        <v>0.26395837777776598</v>
      </c>
      <c r="N362" s="27">
        <v>-1.1546784000000001</v>
      </c>
      <c r="O362" s="7">
        <f t="shared" si="39"/>
        <v>1.3916672222222342</v>
      </c>
    </row>
    <row r="363" spans="1:15" x14ac:dyDescent="0.7">
      <c r="A363" s="8"/>
      <c r="B363" s="6"/>
      <c r="C363" s="6">
        <v>27</v>
      </c>
      <c r="D363" s="7">
        <v>4.7930000000000001</v>
      </c>
      <c r="E363" s="4">
        <v>0</v>
      </c>
      <c r="F363" s="7">
        <v>4.7930000000000001</v>
      </c>
      <c r="G363" s="16">
        <f t="shared" si="42"/>
        <v>414115.2</v>
      </c>
      <c r="H363" s="22">
        <f t="shared" si="43"/>
        <v>0.41411520000000002</v>
      </c>
      <c r="I363" s="18">
        <v>132607.69444444301</v>
      </c>
      <c r="J363" s="52">
        <f t="shared" si="40"/>
        <v>0.13260769444444301</v>
      </c>
      <c r="K363" s="18">
        <v>126100.66666665699</v>
      </c>
      <c r="L363" s="21">
        <f t="shared" si="41"/>
        <v>0.12610066666665701</v>
      </c>
      <c r="M363" s="18">
        <f t="shared" si="38"/>
        <v>0.25870836111110002</v>
      </c>
      <c r="N363" s="27">
        <v>-1.1584080000000001</v>
      </c>
      <c r="O363" s="7">
        <f t="shared" si="39"/>
        <v>1.3138148388889002</v>
      </c>
    </row>
    <row r="364" spans="1:15" x14ac:dyDescent="0.7">
      <c r="A364" s="8"/>
      <c r="B364" s="6"/>
      <c r="C364" s="6">
        <v>28</v>
      </c>
      <c r="D364" s="7">
        <v>4.7930000000000001</v>
      </c>
      <c r="E364" s="4">
        <v>0</v>
      </c>
      <c r="F364" s="7">
        <v>4.7930000000000001</v>
      </c>
      <c r="G364" s="16">
        <f t="shared" si="42"/>
        <v>414115.2</v>
      </c>
      <c r="H364" s="22">
        <f t="shared" si="43"/>
        <v>0.41411520000000002</v>
      </c>
      <c r="I364" s="18">
        <v>138987.14444444299</v>
      </c>
      <c r="J364" s="52">
        <f t="shared" si="40"/>
        <v>0.13898714444444299</v>
      </c>
      <c r="K364" s="18">
        <v>126471.19999999</v>
      </c>
      <c r="L364" s="21">
        <f t="shared" si="41"/>
        <v>0.12647119999998999</v>
      </c>
      <c r="M364" s="18">
        <f t="shared" si="38"/>
        <v>0.26545834444443295</v>
      </c>
      <c r="N364" s="27">
        <v>-1.1621376000000001</v>
      </c>
      <c r="O364" s="7">
        <f t="shared" si="39"/>
        <v>1.3107944555555671</v>
      </c>
    </row>
    <row r="365" spans="1:15" x14ac:dyDescent="0.7">
      <c r="A365" s="8"/>
      <c r="B365" s="6"/>
      <c r="C365" s="6">
        <v>29</v>
      </c>
      <c r="D365" s="7">
        <v>4.6879999999999997</v>
      </c>
      <c r="E365" s="4">
        <v>1.1000000000000001</v>
      </c>
      <c r="F365" s="7">
        <v>4.6879999999999997</v>
      </c>
      <c r="G365" s="16">
        <f t="shared" si="42"/>
        <v>405043.19999999995</v>
      </c>
      <c r="H365" s="22">
        <f t="shared" si="43"/>
        <v>0.40504319999999994</v>
      </c>
      <c r="I365" s="18">
        <v>139366.59444444301</v>
      </c>
      <c r="J365" s="52">
        <f t="shared" si="40"/>
        <v>0.13936659444444299</v>
      </c>
      <c r="K365" s="18">
        <v>126841.73333332301</v>
      </c>
      <c r="L365" s="21">
        <f t="shared" si="41"/>
        <v>0.12684173333332299</v>
      </c>
      <c r="M365" s="18">
        <f t="shared" si="38"/>
        <v>0.26620832777776599</v>
      </c>
      <c r="N365" s="27">
        <v>-1.1658672000000001</v>
      </c>
      <c r="O365" s="7">
        <f t="shared" si="39"/>
        <v>1.304702072222234</v>
      </c>
    </row>
    <row r="366" spans="1:15" x14ac:dyDescent="0.7">
      <c r="A366" s="8"/>
      <c r="B366" s="6"/>
      <c r="C366" s="6">
        <v>30</v>
      </c>
      <c r="D366" s="7">
        <v>11.206</v>
      </c>
      <c r="E366" s="4">
        <v>0.8</v>
      </c>
      <c r="F366" s="7">
        <v>11.206</v>
      </c>
      <c r="G366" s="16">
        <f t="shared" si="42"/>
        <v>968198.39999999991</v>
      </c>
      <c r="H366" s="22">
        <f t="shared" si="43"/>
        <v>0.9681983999999999</v>
      </c>
      <c r="I366" s="18">
        <v>139746.04444444299</v>
      </c>
      <c r="J366" s="52">
        <f t="shared" si="40"/>
        <v>0.139746044444443</v>
      </c>
      <c r="K366" s="18">
        <v>127212.266666656</v>
      </c>
      <c r="L366" s="21">
        <f t="shared" si="41"/>
        <v>0.127212266666656</v>
      </c>
      <c r="M366" s="18">
        <f t="shared" si="38"/>
        <v>0.26695831111109902</v>
      </c>
      <c r="N366" s="27">
        <v>-1.1695968000000001</v>
      </c>
      <c r="O366" s="7">
        <f t="shared" si="39"/>
        <v>1.8708368888889009</v>
      </c>
    </row>
    <row r="367" spans="1:15" s="14" customFormat="1" ht="25.2" thickBot="1" x14ac:dyDescent="0.75">
      <c r="A367" s="11"/>
      <c r="B367" s="9" t="s">
        <v>26</v>
      </c>
      <c r="C367" s="9">
        <v>31</v>
      </c>
      <c r="D367" s="10">
        <v>8.5150000000000006</v>
      </c>
      <c r="E367" s="20">
        <v>0</v>
      </c>
      <c r="F367" s="10">
        <v>8.5150000000000006</v>
      </c>
      <c r="G367" s="29">
        <f t="shared" si="42"/>
        <v>735696</v>
      </c>
      <c r="H367" s="30">
        <f t="shared" si="43"/>
        <v>0.73569600000000002</v>
      </c>
      <c r="I367" s="19">
        <v>140125.494444443</v>
      </c>
      <c r="J367" s="53">
        <f t="shared" si="40"/>
        <v>0.140125494444443</v>
      </c>
      <c r="K367" s="19">
        <v>127582.79999999001</v>
      </c>
      <c r="L367" s="23">
        <f t="shared" si="41"/>
        <v>0.12758279999999</v>
      </c>
      <c r="M367" s="19">
        <f t="shared" si="38"/>
        <v>0.267708294444433</v>
      </c>
      <c r="N367" s="31">
        <v>-1.1733264000000001</v>
      </c>
      <c r="O367" s="10">
        <f t="shared" si="39"/>
        <v>1.6413141055555671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2026-02-23T04:50:17Z</dcterms:modified>
</cp:coreProperties>
</file>