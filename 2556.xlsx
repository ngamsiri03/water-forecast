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A0C01907-88F9-45D2-BB0A-C0B4990B8A6A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1" i="1" l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I256" i="1" l="1"/>
  <c r="N256" i="1"/>
  <c r="N346" i="1"/>
  <c r="I346" i="1"/>
  <c r="I316" i="1"/>
  <c r="N316" i="1"/>
  <c r="I169" i="1"/>
  <c r="N169" i="1"/>
  <c r="I153" i="1"/>
  <c r="N153" i="1"/>
  <c r="N130" i="1"/>
  <c r="I130" i="1"/>
  <c r="N122" i="1"/>
  <c r="I122" i="1"/>
  <c r="N98" i="1"/>
  <c r="I98" i="1"/>
  <c r="N90" i="1"/>
  <c r="I90" i="1"/>
  <c r="N82" i="1"/>
  <c r="I82" i="1"/>
  <c r="N74" i="1"/>
  <c r="I74" i="1"/>
  <c r="N66" i="1"/>
  <c r="I66" i="1"/>
  <c r="I271" i="1"/>
  <c r="N271" i="1"/>
  <c r="N361" i="1"/>
  <c r="I361" i="1"/>
  <c r="N339" i="1"/>
  <c r="I339" i="1"/>
  <c r="I310" i="1"/>
  <c r="N310" i="1"/>
  <c r="I213" i="1"/>
  <c r="N213" i="1"/>
  <c r="I160" i="1"/>
  <c r="N160" i="1"/>
  <c r="N138" i="1"/>
  <c r="I138" i="1"/>
  <c r="N114" i="1"/>
  <c r="I114" i="1"/>
  <c r="I189" i="1"/>
  <c r="N189" i="1"/>
  <c r="I181" i="1"/>
  <c r="N181" i="1"/>
  <c r="I174" i="1"/>
  <c r="N174" i="1"/>
  <c r="I264" i="1"/>
  <c r="N264" i="1"/>
  <c r="N353" i="1"/>
  <c r="I353" i="1"/>
  <c r="N331" i="1"/>
  <c r="I331" i="1"/>
  <c r="I302" i="1"/>
  <c r="N302" i="1"/>
  <c r="I168" i="1"/>
  <c r="N168" i="1"/>
  <c r="I145" i="1"/>
  <c r="N145" i="1"/>
  <c r="N106" i="1"/>
  <c r="I106" i="1"/>
  <c r="N203" i="1"/>
  <c r="I203" i="1"/>
  <c r="I196" i="1"/>
  <c r="N196" i="1"/>
  <c r="I295" i="1"/>
  <c r="N295" i="1"/>
  <c r="I296" i="1"/>
  <c r="N296" i="1"/>
  <c r="N210" i="1"/>
  <c r="I210" i="1"/>
  <c r="I279" i="1"/>
  <c r="N279" i="1"/>
  <c r="I248" i="1"/>
  <c r="N248" i="1"/>
  <c r="N241" i="1"/>
  <c r="I241" i="1"/>
  <c r="I233" i="1"/>
  <c r="N233" i="1"/>
  <c r="N225" i="1"/>
  <c r="I225" i="1"/>
  <c r="I217" i="1"/>
  <c r="N217" i="1"/>
  <c r="I287" i="1"/>
  <c r="N287" i="1"/>
  <c r="I324" i="1"/>
  <c r="N324" i="1"/>
  <c r="I193" i="1"/>
  <c r="N193" i="1"/>
  <c r="I360" i="1"/>
  <c r="N360" i="1"/>
  <c r="I301" i="1"/>
  <c r="N301" i="1"/>
  <c r="I240" i="1"/>
  <c r="N240" i="1"/>
  <c r="I173" i="1"/>
  <c r="N173" i="1"/>
  <c r="I105" i="1"/>
  <c r="N105" i="1"/>
  <c r="I158" i="1"/>
  <c r="N158" i="1"/>
  <c r="I352" i="1"/>
  <c r="N352" i="1"/>
  <c r="N315" i="1"/>
  <c r="I315" i="1"/>
  <c r="I286" i="1"/>
  <c r="N286" i="1"/>
  <c r="I224" i="1"/>
  <c r="N224" i="1"/>
  <c r="I180" i="1"/>
  <c r="N180" i="1"/>
  <c r="I129" i="1"/>
  <c r="N129" i="1"/>
  <c r="I81" i="1"/>
  <c r="N81" i="1"/>
  <c r="I359" i="1"/>
  <c r="N359" i="1"/>
  <c r="I344" i="1"/>
  <c r="N344" i="1"/>
  <c r="N314" i="1"/>
  <c r="I314" i="1"/>
  <c r="I285" i="1"/>
  <c r="N285" i="1"/>
  <c r="I262" i="1"/>
  <c r="N262" i="1"/>
  <c r="I239" i="1"/>
  <c r="N239" i="1"/>
  <c r="N194" i="1"/>
  <c r="I194" i="1"/>
  <c r="N179" i="1"/>
  <c r="I179" i="1"/>
  <c r="I144" i="1"/>
  <c r="N144" i="1"/>
  <c r="I128" i="1"/>
  <c r="N128" i="1"/>
  <c r="I104" i="1"/>
  <c r="N104" i="1"/>
  <c r="I88" i="1"/>
  <c r="N88" i="1"/>
  <c r="I366" i="1"/>
  <c r="N366" i="1"/>
  <c r="I358" i="1"/>
  <c r="N358" i="1"/>
  <c r="I350" i="1"/>
  <c r="N350" i="1"/>
  <c r="I336" i="1"/>
  <c r="N336" i="1"/>
  <c r="N329" i="1"/>
  <c r="I329" i="1"/>
  <c r="I321" i="1"/>
  <c r="N321" i="1"/>
  <c r="N307" i="1"/>
  <c r="I307" i="1"/>
  <c r="N299" i="1"/>
  <c r="I299" i="1"/>
  <c r="I292" i="1"/>
  <c r="N292" i="1"/>
  <c r="I284" i="1"/>
  <c r="N284" i="1"/>
  <c r="I276" i="1"/>
  <c r="N276" i="1"/>
  <c r="I268" i="1"/>
  <c r="N268" i="1"/>
  <c r="I261" i="1"/>
  <c r="N261" i="1"/>
  <c r="I253" i="1"/>
  <c r="N253" i="1"/>
  <c r="I246" i="1"/>
  <c r="N246" i="1"/>
  <c r="I238" i="1"/>
  <c r="N238" i="1"/>
  <c r="I230" i="1"/>
  <c r="N230" i="1"/>
  <c r="I222" i="1"/>
  <c r="N222" i="1"/>
  <c r="I214" i="1"/>
  <c r="N214" i="1"/>
  <c r="I207" i="1"/>
  <c r="N207" i="1"/>
  <c r="N186" i="1"/>
  <c r="I186" i="1"/>
  <c r="N171" i="1"/>
  <c r="I171" i="1"/>
  <c r="I165" i="1"/>
  <c r="N165" i="1"/>
  <c r="I157" i="1"/>
  <c r="N157" i="1"/>
  <c r="I150" i="1"/>
  <c r="N150" i="1"/>
  <c r="I143" i="1"/>
  <c r="N143" i="1"/>
  <c r="I135" i="1"/>
  <c r="N135" i="1"/>
  <c r="I127" i="1"/>
  <c r="N127" i="1"/>
  <c r="I119" i="1"/>
  <c r="N119" i="1"/>
  <c r="I111" i="1"/>
  <c r="N111" i="1"/>
  <c r="I103" i="1"/>
  <c r="N103" i="1"/>
  <c r="I95" i="1"/>
  <c r="N95" i="1"/>
  <c r="I87" i="1"/>
  <c r="N87" i="1"/>
  <c r="I79" i="1"/>
  <c r="N79" i="1"/>
  <c r="I71" i="1"/>
  <c r="N71" i="1"/>
  <c r="I63" i="1"/>
  <c r="N63" i="1"/>
  <c r="I345" i="1"/>
  <c r="N345" i="1"/>
  <c r="I309" i="1"/>
  <c r="N309" i="1"/>
  <c r="I278" i="1"/>
  <c r="N278" i="1"/>
  <c r="I188" i="1"/>
  <c r="N188" i="1"/>
  <c r="N137" i="1"/>
  <c r="I137" i="1"/>
  <c r="I89" i="1"/>
  <c r="N89" i="1"/>
  <c r="I367" i="1"/>
  <c r="N367" i="1"/>
  <c r="I337" i="1"/>
  <c r="N337" i="1"/>
  <c r="I300" i="1"/>
  <c r="N300" i="1"/>
  <c r="I277" i="1"/>
  <c r="N277" i="1"/>
  <c r="I254" i="1"/>
  <c r="N254" i="1"/>
  <c r="I223" i="1"/>
  <c r="N223" i="1"/>
  <c r="N201" i="1"/>
  <c r="I201" i="1"/>
  <c r="I172" i="1"/>
  <c r="N172" i="1"/>
  <c r="I151" i="1"/>
  <c r="N151" i="1"/>
  <c r="I120" i="1"/>
  <c r="N120" i="1"/>
  <c r="I96" i="1"/>
  <c r="N96" i="1"/>
  <c r="I365" i="1"/>
  <c r="N365" i="1"/>
  <c r="I357" i="1"/>
  <c r="N357" i="1"/>
  <c r="I349" i="1"/>
  <c r="N349" i="1"/>
  <c r="I343" i="1"/>
  <c r="N343" i="1"/>
  <c r="I335" i="1"/>
  <c r="N335" i="1"/>
  <c r="I328" i="1"/>
  <c r="N328" i="1"/>
  <c r="I320" i="1"/>
  <c r="N320" i="1"/>
  <c r="N313" i="1"/>
  <c r="I313" i="1"/>
  <c r="N306" i="1"/>
  <c r="I306" i="1"/>
  <c r="N298" i="1"/>
  <c r="I298" i="1"/>
  <c r="N291" i="1"/>
  <c r="I291" i="1"/>
  <c r="N283" i="1"/>
  <c r="I283" i="1"/>
  <c r="N275" i="1"/>
  <c r="I275" i="1"/>
  <c r="N267" i="1"/>
  <c r="I267" i="1"/>
  <c r="I260" i="1"/>
  <c r="N260" i="1"/>
  <c r="I252" i="1"/>
  <c r="N252" i="1"/>
  <c r="I245" i="1"/>
  <c r="N245" i="1"/>
  <c r="I237" i="1"/>
  <c r="N237" i="1"/>
  <c r="I229" i="1"/>
  <c r="N229" i="1"/>
  <c r="I221" i="1"/>
  <c r="N221" i="1"/>
  <c r="I206" i="1"/>
  <c r="N206" i="1"/>
  <c r="I200" i="1"/>
  <c r="N200" i="1"/>
  <c r="N185" i="1"/>
  <c r="I185" i="1"/>
  <c r="N178" i="1"/>
  <c r="I178" i="1"/>
  <c r="I164" i="1"/>
  <c r="N164" i="1"/>
  <c r="I156" i="1"/>
  <c r="N156" i="1"/>
  <c r="I149" i="1"/>
  <c r="N149" i="1"/>
  <c r="I142" i="1"/>
  <c r="N142" i="1"/>
  <c r="I134" i="1"/>
  <c r="N134" i="1"/>
  <c r="I126" i="1"/>
  <c r="N126" i="1"/>
  <c r="I118" i="1"/>
  <c r="N118" i="1"/>
  <c r="I110" i="1"/>
  <c r="N110" i="1"/>
  <c r="I102" i="1"/>
  <c r="N102" i="1"/>
  <c r="I94" i="1"/>
  <c r="N94" i="1"/>
  <c r="I86" i="1"/>
  <c r="N86" i="1"/>
  <c r="I78" i="1"/>
  <c r="N78" i="1"/>
  <c r="I70" i="1"/>
  <c r="N70" i="1"/>
  <c r="I62" i="1"/>
  <c r="N62" i="1"/>
  <c r="N338" i="1"/>
  <c r="I338" i="1"/>
  <c r="I270" i="1"/>
  <c r="N270" i="1"/>
  <c r="I232" i="1"/>
  <c r="N232" i="1"/>
  <c r="N202" i="1"/>
  <c r="I202" i="1"/>
  <c r="I159" i="1"/>
  <c r="N159" i="1"/>
  <c r="N121" i="1"/>
  <c r="I121" i="1"/>
  <c r="N73" i="1"/>
  <c r="I73" i="1"/>
  <c r="I215" i="1"/>
  <c r="N215" i="1"/>
  <c r="I80" i="1"/>
  <c r="N80" i="1"/>
  <c r="I348" i="1"/>
  <c r="N348" i="1"/>
  <c r="I312" i="1"/>
  <c r="N312" i="1"/>
  <c r="N282" i="1"/>
  <c r="I282" i="1"/>
  <c r="N259" i="1"/>
  <c r="I259" i="1"/>
  <c r="I244" i="1"/>
  <c r="N244" i="1"/>
  <c r="I228" i="1"/>
  <c r="N228" i="1"/>
  <c r="I205" i="1"/>
  <c r="N205" i="1"/>
  <c r="I199" i="1"/>
  <c r="N199" i="1"/>
  <c r="I192" i="1"/>
  <c r="N192" i="1"/>
  <c r="I184" i="1"/>
  <c r="N184" i="1"/>
  <c r="N177" i="1"/>
  <c r="I177" i="1"/>
  <c r="N170" i="1"/>
  <c r="I170" i="1"/>
  <c r="N163" i="1"/>
  <c r="I163" i="1"/>
  <c r="N155" i="1"/>
  <c r="I155" i="1"/>
  <c r="I148" i="1"/>
  <c r="N148" i="1"/>
  <c r="I141" i="1"/>
  <c r="N141" i="1"/>
  <c r="I133" i="1"/>
  <c r="N133" i="1"/>
  <c r="I125" i="1"/>
  <c r="N125" i="1"/>
  <c r="I117" i="1"/>
  <c r="N117" i="1"/>
  <c r="I109" i="1"/>
  <c r="N109" i="1"/>
  <c r="I101" i="1"/>
  <c r="N101" i="1"/>
  <c r="I93" i="1"/>
  <c r="N93" i="1"/>
  <c r="I85" i="1"/>
  <c r="N85" i="1"/>
  <c r="I77" i="1"/>
  <c r="N77" i="1"/>
  <c r="I69" i="1"/>
  <c r="N69" i="1"/>
  <c r="N323" i="1"/>
  <c r="I323" i="1"/>
  <c r="I294" i="1"/>
  <c r="N294" i="1"/>
  <c r="I263" i="1"/>
  <c r="N263" i="1"/>
  <c r="I216" i="1"/>
  <c r="N216" i="1"/>
  <c r="N195" i="1"/>
  <c r="I195" i="1"/>
  <c r="I152" i="1"/>
  <c r="N152" i="1"/>
  <c r="N97" i="1"/>
  <c r="I97" i="1"/>
  <c r="I351" i="1"/>
  <c r="N351" i="1"/>
  <c r="N322" i="1"/>
  <c r="I322" i="1"/>
  <c r="I293" i="1"/>
  <c r="N293" i="1"/>
  <c r="I269" i="1"/>
  <c r="N269" i="1"/>
  <c r="I247" i="1"/>
  <c r="N247" i="1"/>
  <c r="I231" i="1"/>
  <c r="N231" i="1"/>
  <c r="N187" i="1"/>
  <c r="I187" i="1"/>
  <c r="I166" i="1"/>
  <c r="N166" i="1"/>
  <c r="I136" i="1"/>
  <c r="N136" i="1"/>
  <c r="I112" i="1"/>
  <c r="N112" i="1"/>
  <c r="I64" i="1"/>
  <c r="N64" i="1"/>
  <c r="I364" i="1"/>
  <c r="N364" i="1"/>
  <c r="I356" i="1"/>
  <c r="N356" i="1"/>
  <c r="I342" i="1"/>
  <c r="N342" i="1"/>
  <c r="I334" i="1"/>
  <c r="N334" i="1"/>
  <c r="I327" i="1"/>
  <c r="N327" i="1"/>
  <c r="I319" i="1"/>
  <c r="N319" i="1"/>
  <c r="N305" i="1"/>
  <c r="I305" i="1"/>
  <c r="I297" i="1"/>
  <c r="N297" i="1"/>
  <c r="N290" i="1"/>
  <c r="I290" i="1"/>
  <c r="N274" i="1"/>
  <c r="I274" i="1"/>
  <c r="N266" i="1"/>
  <c r="I266" i="1"/>
  <c r="N251" i="1"/>
  <c r="I251" i="1"/>
  <c r="I236" i="1"/>
  <c r="N236" i="1"/>
  <c r="I220" i="1"/>
  <c r="N220" i="1"/>
  <c r="N363" i="1"/>
  <c r="I363" i="1"/>
  <c r="N355" i="1"/>
  <c r="I355" i="1"/>
  <c r="I341" i="1"/>
  <c r="N341" i="1"/>
  <c r="I333" i="1"/>
  <c r="N333" i="1"/>
  <c r="I326" i="1"/>
  <c r="N326" i="1"/>
  <c r="I318" i="1"/>
  <c r="N318" i="1"/>
  <c r="I304" i="1"/>
  <c r="N304" i="1"/>
  <c r="N289" i="1"/>
  <c r="I289" i="1"/>
  <c r="I281" i="1"/>
  <c r="N281" i="1"/>
  <c r="I273" i="1"/>
  <c r="N273" i="1"/>
  <c r="N258" i="1"/>
  <c r="I258" i="1"/>
  <c r="N250" i="1"/>
  <c r="I250" i="1"/>
  <c r="N243" i="1"/>
  <c r="I243" i="1"/>
  <c r="N235" i="1"/>
  <c r="I235" i="1"/>
  <c r="N227" i="1"/>
  <c r="I227" i="1"/>
  <c r="N219" i="1"/>
  <c r="I219" i="1"/>
  <c r="I212" i="1"/>
  <c r="N212" i="1"/>
  <c r="I204" i="1"/>
  <c r="N204" i="1"/>
  <c r="I198" i="1"/>
  <c r="N198" i="1"/>
  <c r="I191" i="1"/>
  <c r="N191" i="1"/>
  <c r="I183" i="1"/>
  <c r="N183" i="1"/>
  <c r="I176" i="1"/>
  <c r="N176" i="1"/>
  <c r="N162" i="1"/>
  <c r="I162" i="1"/>
  <c r="N147" i="1"/>
  <c r="I147" i="1"/>
  <c r="I140" i="1"/>
  <c r="N140" i="1"/>
  <c r="I132" i="1"/>
  <c r="N132" i="1"/>
  <c r="I124" i="1"/>
  <c r="N124" i="1"/>
  <c r="I116" i="1"/>
  <c r="N116" i="1"/>
  <c r="I108" i="1"/>
  <c r="N108" i="1"/>
  <c r="I100" i="1"/>
  <c r="N100" i="1"/>
  <c r="I92" i="1"/>
  <c r="N92" i="1"/>
  <c r="I84" i="1"/>
  <c r="N84" i="1"/>
  <c r="I76" i="1"/>
  <c r="N76" i="1"/>
  <c r="I68" i="1"/>
  <c r="N68" i="1"/>
  <c r="N330" i="1"/>
  <c r="I330" i="1"/>
  <c r="I255" i="1"/>
  <c r="N255" i="1"/>
  <c r="I209" i="1"/>
  <c r="N209" i="1"/>
  <c r="I167" i="1"/>
  <c r="N167" i="1"/>
  <c r="N113" i="1"/>
  <c r="I113" i="1"/>
  <c r="I65" i="1"/>
  <c r="N65" i="1"/>
  <c r="I308" i="1"/>
  <c r="N308" i="1"/>
  <c r="I208" i="1"/>
  <c r="N208" i="1"/>
  <c r="I72" i="1"/>
  <c r="N72" i="1"/>
  <c r="N362" i="1"/>
  <c r="I362" i="1"/>
  <c r="N354" i="1"/>
  <c r="I354" i="1"/>
  <c r="N347" i="1"/>
  <c r="I347" i="1"/>
  <c r="I340" i="1"/>
  <c r="N340" i="1"/>
  <c r="I332" i="1"/>
  <c r="N332" i="1"/>
  <c r="I325" i="1"/>
  <c r="N325" i="1"/>
  <c r="I317" i="1"/>
  <c r="N317" i="1"/>
  <c r="I311" i="1"/>
  <c r="N311" i="1"/>
  <c r="I303" i="1"/>
  <c r="N303" i="1"/>
  <c r="I288" i="1"/>
  <c r="N288" i="1"/>
  <c r="I280" i="1"/>
  <c r="N280" i="1"/>
  <c r="I272" i="1"/>
  <c r="N272" i="1"/>
  <c r="N265" i="1"/>
  <c r="I265" i="1"/>
  <c r="I257" i="1"/>
  <c r="N257" i="1"/>
  <c r="N249" i="1"/>
  <c r="I249" i="1"/>
  <c r="N242" i="1"/>
  <c r="I242" i="1"/>
  <c r="N234" i="1"/>
  <c r="I234" i="1"/>
  <c r="N226" i="1"/>
  <c r="I226" i="1"/>
  <c r="N218" i="1"/>
  <c r="I218" i="1"/>
  <c r="N211" i="1"/>
  <c r="I211" i="1"/>
  <c r="I197" i="1"/>
  <c r="N197" i="1"/>
  <c r="I190" i="1"/>
  <c r="N190" i="1"/>
  <c r="I182" i="1"/>
  <c r="N182" i="1"/>
  <c r="I175" i="1"/>
  <c r="N175" i="1"/>
  <c r="N161" i="1"/>
  <c r="I161" i="1"/>
  <c r="N154" i="1"/>
  <c r="I154" i="1"/>
  <c r="N146" i="1"/>
  <c r="I146" i="1"/>
  <c r="N139" i="1"/>
  <c r="I139" i="1"/>
  <c r="N131" i="1"/>
  <c r="I131" i="1"/>
  <c r="N123" i="1"/>
  <c r="I123" i="1"/>
  <c r="N115" i="1"/>
  <c r="I115" i="1"/>
  <c r="N107" i="1"/>
  <c r="I107" i="1"/>
  <c r="N99" i="1"/>
  <c r="I99" i="1"/>
  <c r="N91" i="1"/>
  <c r="I91" i="1"/>
  <c r="N83" i="1"/>
  <c r="I83" i="1"/>
  <c r="N75" i="1"/>
  <c r="I75" i="1"/>
  <c r="N67" i="1"/>
  <c r="I67" i="1"/>
  <c r="I61" i="1"/>
  <c r="N61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3" i="1"/>
  <c r="H3" i="1" s="1"/>
  <c r="K146" i="1" l="1"/>
  <c r="L146" i="1" s="1"/>
  <c r="J146" i="1"/>
  <c r="K249" i="1"/>
  <c r="L249" i="1" s="1"/>
  <c r="J249" i="1"/>
  <c r="M249" i="1" s="1"/>
  <c r="O249" i="1" s="1"/>
  <c r="K347" i="1"/>
  <c r="L347" i="1" s="1"/>
  <c r="J347" i="1"/>
  <c r="M347" i="1" s="1"/>
  <c r="O347" i="1" s="1"/>
  <c r="K187" i="1"/>
  <c r="L187" i="1" s="1"/>
  <c r="J187" i="1"/>
  <c r="M187" i="1" s="1"/>
  <c r="O187" i="1" s="1"/>
  <c r="K282" i="1"/>
  <c r="L282" i="1" s="1"/>
  <c r="J282" i="1"/>
  <c r="K267" i="1"/>
  <c r="L267" i="1" s="1"/>
  <c r="J267" i="1"/>
  <c r="M267" i="1" s="1"/>
  <c r="O267" i="1" s="1"/>
  <c r="K307" i="1"/>
  <c r="L307" i="1" s="1"/>
  <c r="J307" i="1"/>
  <c r="M307" i="1" s="1"/>
  <c r="O307" i="1" s="1"/>
  <c r="K194" i="1"/>
  <c r="L194" i="1" s="1"/>
  <c r="J194" i="1"/>
  <c r="M194" i="1" s="1"/>
  <c r="O194" i="1" s="1"/>
  <c r="K315" i="1"/>
  <c r="L315" i="1" s="1"/>
  <c r="J315" i="1"/>
  <c r="M315" i="1" s="1"/>
  <c r="O315" i="1" s="1"/>
  <c r="K225" i="1"/>
  <c r="L225" i="1" s="1"/>
  <c r="J225" i="1"/>
  <c r="M225" i="1" s="1"/>
  <c r="O225" i="1" s="1"/>
  <c r="K114" i="1"/>
  <c r="L114" i="1" s="1"/>
  <c r="J114" i="1"/>
  <c r="M114" i="1" s="1"/>
  <c r="O114" i="1" s="1"/>
  <c r="K98" i="1"/>
  <c r="L98" i="1" s="1"/>
  <c r="J98" i="1"/>
  <c r="M98" i="1" s="1"/>
  <c r="O98" i="1" s="1"/>
  <c r="K182" i="1"/>
  <c r="L182" i="1" s="1"/>
  <c r="J182" i="1"/>
  <c r="M182" i="1" s="1"/>
  <c r="O182" i="1" s="1"/>
  <c r="K280" i="1"/>
  <c r="L280" i="1" s="1"/>
  <c r="J280" i="1"/>
  <c r="M280" i="1" s="1"/>
  <c r="O280" i="1" s="1"/>
  <c r="K208" i="1"/>
  <c r="L208" i="1" s="1"/>
  <c r="J208" i="1"/>
  <c r="M208" i="1" s="1"/>
  <c r="O208" i="1" s="1"/>
  <c r="K100" i="1"/>
  <c r="L100" i="1" s="1"/>
  <c r="J100" i="1"/>
  <c r="K334" i="1"/>
  <c r="L334" i="1" s="1"/>
  <c r="J334" i="1"/>
  <c r="M334" i="1" s="1"/>
  <c r="O334" i="1" s="1"/>
  <c r="K293" i="1"/>
  <c r="L293" i="1" s="1"/>
  <c r="J293" i="1"/>
  <c r="M293" i="1" s="1"/>
  <c r="O293" i="1" s="1"/>
  <c r="K85" i="1"/>
  <c r="L85" i="1" s="1"/>
  <c r="J85" i="1"/>
  <c r="M85" i="1" s="1"/>
  <c r="O85" i="1" s="1"/>
  <c r="K215" i="1"/>
  <c r="L215" i="1" s="1"/>
  <c r="J215" i="1"/>
  <c r="M215" i="1" s="1"/>
  <c r="O215" i="1" s="1"/>
  <c r="K94" i="1"/>
  <c r="L94" i="1" s="1"/>
  <c r="J94" i="1"/>
  <c r="M94" i="1" s="1"/>
  <c r="O94" i="1" s="1"/>
  <c r="K200" i="1"/>
  <c r="L200" i="1" s="1"/>
  <c r="J200" i="1"/>
  <c r="M200" i="1" s="1"/>
  <c r="O200" i="1" s="1"/>
  <c r="K151" i="1"/>
  <c r="L151" i="1" s="1"/>
  <c r="J151" i="1"/>
  <c r="M151" i="1" s="1"/>
  <c r="O151" i="1" s="1"/>
  <c r="K278" i="1"/>
  <c r="L278" i="1" s="1"/>
  <c r="J278" i="1"/>
  <c r="M278" i="1" s="1"/>
  <c r="O278" i="1" s="1"/>
  <c r="K135" i="1"/>
  <c r="L135" i="1" s="1"/>
  <c r="J135" i="1"/>
  <c r="M135" i="1" s="1"/>
  <c r="O135" i="1" s="1"/>
  <c r="K246" i="1"/>
  <c r="L246" i="1" s="1"/>
  <c r="J246" i="1"/>
  <c r="M246" i="1" s="1"/>
  <c r="O246" i="1" s="1"/>
  <c r="K350" i="1"/>
  <c r="L350" i="1" s="1"/>
  <c r="J350" i="1"/>
  <c r="M350" i="1" s="1"/>
  <c r="O350" i="1" s="1"/>
  <c r="K173" i="1"/>
  <c r="L173" i="1" s="1"/>
  <c r="J173" i="1"/>
  <c r="M173" i="1" s="1"/>
  <c r="O173" i="1" s="1"/>
  <c r="K279" i="1"/>
  <c r="L279" i="1" s="1"/>
  <c r="J279" i="1"/>
  <c r="M279" i="1" s="1"/>
  <c r="O279" i="1" s="1"/>
  <c r="K264" i="1"/>
  <c r="L264" i="1" s="1"/>
  <c r="J264" i="1"/>
  <c r="M264" i="1" s="1"/>
  <c r="O264" i="1" s="1"/>
  <c r="K310" i="1"/>
  <c r="L310" i="1" s="1"/>
  <c r="J310" i="1"/>
  <c r="M310" i="1" s="1"/>
  <c r="O310" i="1" s="1"/>
  <c r="K154" i="1"/>
  <c r="L154" i="1" s="1"/>
  <c r="J154" i="1"/>
  <c r="M154" i="1" s="1"/>
  <c r="O154" i="1" s="1"/>
  <c r="K354" i="1"/>
  <c r="L354" i="1" s="1"/>
  <c r="J354" i="1"/>
  <c r="M354" i="1" s="1"/>
  <c r="O354" i="1" s="1"/>
  <c r="K266" i="1"/>
  <c r="L266" i="1" s="1"/>
  <c r="J266" i="1"/>
  <c r="M266" i="1" s="1"/>
  <c r="O266" i="1" s="1"/>
  <c r="K195" i="1"/>
  <c r="L195" i="1" s="1"/>
  <c r="J195" i="1"/>
  <c r="M195" i="1" s="1"/>
  <c r="O195" i="1" s="1"/>
  <c r="K203" i="1"/>
  <c r="L203" i="1" s="1"/>
  <c r="J203" i="1"/>
  <c r="M203" i="1" s="1"/>
  <c r="O203" i="1" s="1"/>
  <c r="K190" i="1"/>
  <c r="L190" i="1" s="1"/>
  <c r="J190" i="1"/>
  <c r="M190" i="1" s="1"/>
  <c r="O190" i="1" s="1"/>
  <c r="K257" i="1"/>
  <c r="L257" i="1" s="1"/>
  <c r="J257" i="1"/>
  <c r="M257" i="1" s="1"/>
  <c r="O257" i="1" s="1"/>
  <c r="K288" i="1"/>
  <c r="L288" i="1" s="1"/>
  <c r="J288" i="1"/>
  <c r="M288" i="1" s="1"/>
  <c r="O288" i="1" s="1"/>
  <c r="K325" i="1"/>
  <c r="L325" i="1" s="1"/>
  <c r="J325" i="1"/>
  <c r="M325" i="1" s="1"/>
  <c r="O325" i="1" s="1"/>
  <c r="K308" i="1"/>
  <c r="L308" i="1" s="1"/>
  <c r="J308" i="1"/>
  <c r="M308" i="1" s="1"/>
  <c r="O308" i="1" s="1"/>
  <c r="K209" i="1"/>
  <c r="L209" i="1" s="1"/>
  <c r="J209" i="1"/>
  <c r="M209" i="1" s="1"/>
  <c r="O209" i="1" s="1"/>
  <c r="K76" i="1"/>
  <c r="L76" i="1" s="1"/>
  <c r="J76" i="1"/>
  <c r="M76" i="1" s="1"/>
  <c r="O76" i="1" s="1"/>
  <c r="K108" i="1"/>
  <c r="L108" i="1" s="1"/>
  <c r="J108" i="1"/>
  <c r="M108" i="1" s="1"/>
  <c r="O108" i="1" s="1"/>
  <c r="K140" i="1"/>
  <c r="L140" i="1" s="1"/>
  <c r="J140" i="1"/>
  <c r="M140" i="1" s="1"/>
  <c r="O140" i="1" s="1"/>
  <c r="K183" i="1"/>
  <c r="L183" i="1" s="1"/>
  <c r="J183" i="1"/>
  <c r="M183" i="1" s="1"/>
  <c r="O183" i="1" s="1"/>
  <c r="K212" i="1"/>
  <c r="L212" i="1" s="1"/>
  <c r="J212" i="1"/>
  <c r="M212" i="1" s="1"/>
  <c r="O212" i="1" s="1"/>
  <c r="K281" i="1"/>
  <c r="L281" i="1" s="1"/>
  <c r="J281" i="1"/>
  <c r="M281" i="1" s="1"/>
  <c r="O281" i="1" s="1"/>
  <c r="K326" i="1"/>
  <c r="L326" i="1" s="1"/>
  <c r="J326" i="1"/>
  <c r="M326" i="1" s="1"/>
  <c r="O326" i="1" s="1"/>
  <c r="K342" i="1"/>
  <c r="L342" i="1" s="1"/>
  <c r="J342" i="1"/>
  <c r="M342" i="1" s="1"/>
  <c r="O342" i="1" s="1"/>
  <c r="K112" i="1"/>
  <c r="L112" i="1" s="1"/>
  <c r="J112" i="1"/>
  <c r="M112" i="1" s="1"/>
  <c r="O112" i="1" s="1"/>
  <c r="K231" i="1"/>
  <c r="L231" i="1" s="1"/>
  <c r="J231" i="1"/>
  <c r="M231" i="1" s="1"/>
  <c r="O231" i="1" s="1"/>
  <c r="K93" i="1"/>
  <c r="L93" i="1" s="1"/>
  <c r="J93" i="1"/>
  <c r="M93" i="1" s="1"/>
  <c r="O93" i="1" s="1"/>
  <c r="K125" i="1"/>
  <c r="L125" i="1" s="1"/>
  <c r="J125" i="1"/>
  <c r="M125" i="1" s="1"/>
  <c r="O125" i="1" s="1"/>
  <c r="K184" i="1"/>
  <c r="L184" i="1" s="1"/>
  <c r="J184" i="1"/>
  <c r="M184" i="1" s="1"/>
  <c r="O184" i="1" s="1"/>
  <c r="K228" i="1"/>
  <c r="L228" i="1" s="1"/>
  <c r="J228" i="1"/>
  <c r="M228" i="1" s="1"/>
  <c r="O228" i="1" s="1"/>
  <c r="K312" i="1"/>
  <c r="L312" i="1" s="1"/>
  <c r="J312" i="1"/>
  <c r="M312" i="1" s="1"/>
  <c r="O312" i="1" s="1"/>
  <c r="K232" i="1"/>
  <c r="L232" i="1" s="1"/>
  <c r="J232" i="1"/>
  <c r="M232" i="1" s="1"/>
  <c r="O232" i="1" s="1"/>
  <c r="K70" i="1"/>
  <c r="L70" i="1" s="1"/>
  <c r="J70" i="1"/>
  <c r="M70" i="1" s="1"/>
  <c r="O70" i="1" s="1"/>
  <c r="K102" i="1"/>
  <c r="L102" i="1" s="1"/>
  <c r="J102" i="1"/>
  <c r="M102" i="1" s="1"/>
  <c r="O102" i="1" s="1"/>
  <c r="K134" i="1"/>
  <c r="L134" i="1" s="1"/>
  <c r="J134" i="1"/>
  <c r="M134" i="1" s="1"/>
  <c r="O134" i="1" s="1"/>
  <c r="K164" i="1"/>
  <c r="L164" i="1" s="1"/>
  <c r="J164" i="1"/>
  <c r="M164" i="1" s="1"/>
  <c r="O164" i="1" s="1"/>
  <c r="K206" i="1"/>
  <c r="L206" i="1" s="1"/>
  <c r="J206" i="1"/>
  <c r="M206" i="1" s="1"/>
  <c r="O206" i="1" s="1"/>
  <c r="K245" i="1"/>
  <c r="L245" i="1" s="1"/>
  <c r="J245" i="1"/>
  <c r="M245" i="1" s="1"/>
  <c r="O245" i="1" s="1"/>
  <c r="K335" i="1"/>
  <c r="L335" i="1" s="1"/>
  <c r="J335" i="1"/>
  <c r="M335" i="1" s="1"/>
  <c r="O335" i="1" s="1"/>
  <c r="K365" i="1"/>
  <c r="L365" i="1" s="1"/>
  <c r="J365" i="1"/>
  <c r="M365" i="1" s="1"/>
  <c r="O365" i="1" s="1"/>
  <c r="K172" i="1"/>
  <c r="L172" i="1" s="1"/>
  <c r="J172" i="1"/>
  <c r="M172" i="1" s="1"/>
  <c r="O172" i="1" s="1"/>
  <c r="K277" i="1"/>
  <c r="L277" i="1" s="1"/>
  <c r="J277" i="1"/>
  <c r="M277" i="1" s="1"/>
  <c r="O277" i="1" s="1"/>
  <c r="K89" i="1"/>
  <c r="L89" i="1" s="1"/>
  <c r="J89" i="1"/>
  <c r="M89" i="1" s="1"/>
  <c r="O89" i="1" s="1"/>
  <c r="K309" i="1"/>
  <c r="L309" i="1" s="1"/>
  <c r="J309" i="1"/>
  <c r="M309" i="1" s="1"/>
  <c r="O309" i="1" s="1"/>
  <c r="K79" i="1"/>
  <c r="L79" i="1" s="1"/>
  <c r="J79" i="1"/>
  <c r="M79" i="1" s="1"/>
  <c r="O79" i="1" s="1"/>
  <c r="K111" i="1"/>
  <c r="L111" i="1" s="1"/>
  <c r="J111" i="1"/>
  <c r="M111" i="1" s="1"/>
  <c r="O111" i="1" s="1"/>
  <c r="K143" i="1"/>
  <c r="L143" i="1" s="1"/>
  <c r="J143" i="1"/>
  <c r="M143" i="1" s="1"/>
  <c r="O143" i="1" s="1"/>
  <c r="K222" i="1"/>
  <c r="L222" i="1" s="1"/>
  <c r="J222" i="1"/>
  <c r="M222" i="1" s="1"/>
  <c r="O222" i="1" s="1"/>
  <c r="K253" i="1"/>
  <c r="L253" i="1" s="1"/>
  <c r="J253" i="1"/>
  <c r="M253" i="1" s="1"/>
  <c r="O253" i="1" s="1"/>
  <c r="K284" i="1"/>
  <c r="L284" i="1" s="1"/>
  <c r="J284" i="1"/>
  <c r="M284" i="1" s="1"/>
  <c r="O284" i="1" s="1"/>
  <c r="K321" i="1"/>
  <c r="L321" i="1" s="1"/>
  <c r="J321" i="1"/>
  <c r="M321" i="1" s="1"/>
  <c r="O321" i="1" s="1"/>
  <c r="K358" i="1"/>
  <c r="L358" i="1" s="1"/>
  <c r="J358" i="1"/>
  <c r="M358" i="1" s="1"/>
  <c r="O358" i="1" s="1"/>
  <c r="K128" i="1"/>
  <c r="L128" i="1" s="1"/>
  <c r="J128" i="1"/>
  <c r="M128" i="1" s="1"/>
  <c r="O128" i="1" s="1"/>
  <c r="K239" i="1"/>
  <c r="L239" i="1" s="1"/>
  <c r="J239" i="1"/>
  <c r="M239" i="1" s="1"/>
  <c r="O239" i="1" s="1"/>
  <c r="K344" i="1"/>
  <c r="L344" i="1" s="1"/>
  <c r="J344" i="1"/>
  <c r="M344" i="1" s="1"/>
  <c r="O344" i="1" s="1"/>
  <c r="K180" i="1"/>
  <c r="L180" i="1" s="1"/>
  <c r="J180" i="1"/>
  <c r="M180" i="1" s="1"/>
  <c r="O180" i="1" s="1"/>
  <c r="K352" i="1"/>
  <c r="L352" i="1" s="1"/>
  <c r="J352" i="1"/>
  <c r="M352" i="1" s="1"/>
  <c r="O352" i="1" s="1"/>
  <c r="K240" i="1"/>
  <c r="L240" i="1" s="1"/>
  <c r="J240" i="1"/>
  <c r="M240" i="1" s="1"/>
  <c r="O240" i="1" s="1"/>
  <c r="K324" i="1"/>
  <c r="L324" i="1" s="1"/>
  <c r="J324" i="1"/>
  <c r="M324" i="1" s="1"/>
  <c r="O324" i="1" s="1"/>
  <c r="K233" i="1"/>
  <c r="L233" i="1" s="1"/>
  <c r="J233" i="1"/>
  <c r="M233" i="1" s="1"/>
  <c r="O233" i="1" s="1"/>
  <c r="K302" i="1"/>
  <c r="L302" i="1" s="1"/>
  <c r="J302" i="1"/>
  <c r="M302" i="1" s="1"/>
  <c r="O302" i="1" s="1"/>
  <c r="K174" i="1"/>
  <c r="L174" i="1" s="1"/>
  <c r="J174" i="1"/>
  <c r="M174" i="1" s="1"/>
  <c r="O174" i="1" s="1"/>
  <c r="K316" i="1"/>
  <c r="L316" i="1" s="1"/>
  <c r="J316" i="1"/>
  <c r="M316" i="1" s="1"/>
  <c r="O316" i="1" s="1"/>
  <c r="K83" i="1"/>
  <c r="L83" i="1" s="1"/>
  <c r="J83" i="1"/>
  <c r="M83" i="1" s="1"/>
  <c r="O83" i="1" s="1"/>
  <c r="K251" i="1"/>
  <c r="L251" i="1" s="1"/>
  <c r="J251" i="1"/>
  <c r="M251" i="1" s="1"/>
  <c r="O251" i="1" s="1"/>
  <c r="K202" i="1"/>
  <c r="L202" i="1" s="1"/>
  <c r="J202" i="1"/>
  <c r="M202" i="1" s="1"/>
  <c r="O202" i="1" s="1"/>
  <c r="K317" i="1"/>
  <c r="L317" i="1" s="1"/>
  <c r="J317" i="1"/>
  <c r="M317" i="1" s="1"/>
  <c r="O317" i="1" s="1"/>
  <c r="K167" i="1"/>
  <c r="L167" i="1" s="1"/>
  <c r="J167" i="1"/>
  <c r="M167" i="1" s="1"/>
  <c r="O167" i="1" s="1"/>
  <c r="K132" i="1"/>
  <c r="L132" i="1" s="1"/>
  <c r="J132" i="1"/>
  <c r="M132" i="1" s="1"/>
  <c r="O132" i="1" s="1"/>
  <c r="K204" i="1"/>
  <c r="L204" i="1" s="1"/>
  <c r="J204" i="1"/>
  <c r="M204" i="1" s="1"/>
  <c r="O204" i="1" s="1"/>
  <c r="K318" i="1"/>
  <c r="L318" i="1" s="1"/>
  <c r="J318" i="1"/>
  <c r="M318" i="1" s="1"/>
  <c r="O318" i="1" s="1"/>
  <c r="K297" i="1"/>
  <c r="L297" i="1" s="1"/>
  <c r="J297" i="1"/>
  <c r="M297" i="1" s="1"/>
  <c r="O297" i="1" s="1"/>
  <c r="K294" i="1"/>
  <c r="L294" i="1" s="1"/>
  <c r="J294" i="1"/>
  <c r="M294" i="1" s="1"/>
  <c r="O294" i="1" s="1"/>
  <c r="K148" i="1"/>
  <c r="L148" i="1" s="1"/>
  <c r="J148" i="1"/>
  <c r="M148" i="1" s="1"/>
  <c r="O148" i="1" s="1"/>
  <c r="K62" i="1"/>
  <c r="L62" i="1" s="1"/>
  <c r="J62" i="1"/>
  <c r="M62" i="1" s="1"/>
  <c r="O62" i="1" s="1"/>
  <c r="K156" i="1"/>
  <c r="L156" i="1" s="1"/>
  <c r="J156" i="1"/>
  <c r="M156" i="1" s="1"/>
  <c r="O156" i="1" s="1"/>
  <c r="K357" i="1"/>
  <c r="L357" i="1" s="1"/>
  <c r="J357" i="1"/>
  <c r="M357" i="1" s="1"/>
  <c r="O357" i="1" s="1"/>
  <c r="K367" i="1"/>
  <c r="L367" i="1" s="1"/>
  <c r="J367" i="1"/>
  <c r="M367" i="1" s="1"/>
  <c r="O367" i="1" s="1"/>
  <c r="K103" i="1"/>
  <c r="L103" i="1" s="1"/>
  <c r="J103" i="1"/>
  <c r="M103" i="1" s="1"/>
  <c r="O103" i="1" s="1"/>
  <c r="K214" i="1"/>
  <c r="L214" i="1" s="1"/>
  <c r="J214" i="1"/>
  <c r="M214" i="1" s="1"/>
  <c r="O214" i="1" s="1"/>
  <c r="K196" i="1"/>
  <c r="L196" i="1" s="1"/>
  <c r="J196" i="1"/>
  <c r="M196" i="1" s="1"/>
  <c r="O196" i="1" s="1"/>
  <c r="K91" i="1"/>
  <c r="L91" i="1" s="1"/>
  <c r="J91" i="1"/>
  <c r="M91" i="1" s="1"/>
  <c r="O91" i="1" s="1"/>
  <c r="K363" i="1"/>
  <c r="L363" i="1" s="1"/>
  <c r="J363" i="1"/>
  <c r="M363" i="1" s="1"/>
  <c r="O363" i="1" s="1"/>
  <c r="K322" i="1"/>
  <c r="L322" i="1" s="1"/>
  <c r="J322" i="1"/>
  <c r="M322" i="1" s="1"/>
  <c r="O322" i="1" s="1"/>
  <c r="K73" i="1"/>
  <c r="L73" i="1" s="1"/>
  <c r="J73" i="1"/>
  <c r="M73" i="1" s="1"/>
  <c r="O73" i="1" s="1"/>
  <c r="K306" i="1"/>
  <c r="L306" i="1" s="1"/>
  <c r="J306" i="1"/>
  <c r="M306" i="1" s="1"/>
  <c r="O306" i="1" s="1"/>
  <c r="K171" i="1"/>
  <c r="L171" i="1" s="1"/>
  <c r="J171" i="1"/>
  <c r="M171" i="1" s="1"/>
  <c r="O171" i="1" s="1"/>
  <c r="K210" i="1"/>
  <c r="L210" i="1" s="1"/>
  <c r="J210" i="1"/>
  <c r="M210" i="1" s="1"/>
  <c r="O210" i="1" s="1"/>
  <c r="K138" i="1"/>
  <c r="L138" i="1" s="1"/>
  <c r="J138" i="1"/>
  <c r="M138" i="1" s="1"/>
  <c r="O138" i="1" s="1"/>
  <c r="K339" i="1"/>
  <c r="L339" i="1" s="1"/>
  <c r="J339" i="1"/>
  <c r="M339" i="1" s="1"/>
  <c r="O339" i="1" s="1"/>
  <c r="K74" i="1"/>
  <c r="L74" i="1" s="1"/>
  <c r="J74" i="1"/>
  <c r="M74" i="1" s="1"/>
  <c r="O74" i="1" s="1"/>
  <c r="K67" i="1"/>
  <c r="L67" i="1" s="1"/>
  <c r="J67" i="1"/>
  <c r="M67" i="1" s="1"/>
  <c r="O67" i="1" s="1"/>
  <c r="K99" i="1"/>
  <c r="L99" i="1" s="1"/>
  <c r="J99" i="1"/>
  <c r="M99" i="1" s="1"/>
  <c r="O99" i="1" s="1"/>
  <c r="K131" i="1"/>
  <c r="L131" i="1" s="1"/>
  <c r="J131" i="1"/>
  <c r="M131" i="1" s="1"/>
  <c r="O131" i="1" s="1"/>
  <c r="K161" i="1"/>
  <c r="L161" i="1" s="1"/>
  <c r="J161" i="1"/>
  <c r="M161" i="1" s="1"/>
  <c r="O161" i="1" s="1"/>
  <c r="K234" i="1"/>
  <c r="L234" i="1" s="1"/>
  <c r="J234" i="1"/>
  <c r="M234" i="1" s="1"/>
  <c r="O234" i="1" s="1"/>
  <c r="K265" i="1"/>
  <c r="L265" i="1" s="1"/>
  <c r="J265" i="1"/>
  <c r="M265" i="1" s="1"/>
  <c r="O265" i="1" s="1"/>
  <c r="K362" i="1"/>
  <c r="L362" i="1" s="1"/>
  <c r="J362" i="1"/>
  <c r="M362" i="1" s="1"/>
  <c r="O362" i="1" s="1"/>
  <c r="K147" i="1"/>
  <c r="L147" i="1" s="1"/>
  <c r="J147" i="1"/>
  <c r="M147" i="1" s="1"/>
  <c r="O147" i="1" s="1"/>
  <c r="K219" i="1"/>
  <c r="L219" i="1" s="1"/>
  <c r="J219" i="1"/>
  <c r="M219" i="1" s="1"/>
  <c r="O219" i="1" s="1"/>
  <c r="K250" i="1"/>
  <c r="L250" i="1" s="1"/>
  <c r="J250" i="1"/>
  <c r="M250" i="1" s="1"/>
  <c r="O250" i="1" s="1"/>
  <c r="K289" i="1"/>
  <c r="L289" i="1" s="1"/>
  <c r="J289" i="1"/>
  <c r="M289" i="1" s="1"/>
  <c r="O289" i="1" s="1"/>
  <c r="K274" i="1"/>
  <c r="L274" i="1" s="1"/>
  <c r="J274" i="1"/>
  <c r="M274" i="1" s="1"/>
  <c r="O274" i="1" s="1"/>
  <c r="K163" i="1"/>
  <c r="L163" i="1" s="1"/>
  <c r="J163" i="1"/>
  <c r="M163" i="1" s="1"/>
  <c r="O163" i="1" s="1"/>
  <c r="K121" i="1"/>
  <c r="L121" i="1" s="1"/>
  <c r="J121" i="1"/>
  <c r="M121" i="1" s="1"/>
  <c r="O121" i="1" s="1"/>
  <c r="K178" i="1"/>
  <c r="L178" i="1" s="1"/>
  <c r="J178" i="1"/>
  <c r="M178" i="1" s="1"/>
  <c r="O178" i="1" s="1"/>
  <c r="K283" i="1"/>
  <c r="L283" i="1" s="1"/>
  <c r="J283" i="1"/>
  <c r="M283" i="1" s="1"/>
  <c r="O283" i="1" s="1"/>
  <c r="K313" i="1"/>
  <c r="L313" i="1" s="1"/>
  <c r="J313" i="1"/>
  <c r="M313" i="1" s="1"/>
  <c r="O313" i="1" s="1"/>
  <c r="K201" i="1"/>
  <c r="L201" i="1" s="1"/>
  <c r="J201" i="1"/>
  <c r="M201" i="1" s="1"/>
  <c r="O201" i="1" s="1"/>
  <c r="K137" i="1"/>
  <c r="L137" i="1" s="1"/>
  <c r="J137" i="1"/>
  <c r="M137" i="1" s="1"/>
  <c r="O137" i="1" s="1"/>
  <c r="K186" i="1"/>
  <c r="L186" i="1" s="1"/>
  <c r="J186" i="1"/>
  <c r="M186" i="1" s="1"/>
  <c r="O186" i="1" s="1"/>
  <c r="K329" i="1"/>
  <c r="L329" i="1" s="1"/>
  <c r="J329" i="1"/>
  <c r="M329" i="1" s="1"/>
  <c r="O329" i="1" s="1"/>
  <c r="K241" i="1"/>
  <c r="L241" i="1" s="1"/>
  <c r="J241" i="1"/>
  <c r="M241" i="1" s="1"/>
  <c r="O241" i="1" s="1"/>
  <c r="K106" i="1"/>
  <c r="L106" i="1" s="1"/>
  <c r="J106" i="1"/>
  <c r="M106" i="1" s="1"/>
  <c r="O106" i="1" s="1"/>
  <c r="K331" i="1"/>
  <c r="L331" i="1" s="1"/>
  <c r="J331" i="1"/>
  <c r="M331" i="1" s="1"/>
  <c r="O331" i="1" s="1"/>
  <c r="K361" i="1"/>
  <c r="L361" i="1" s="1"/>
  <c r="J361" i="1"/>
  <c r="M361" i="1" s="1"/>
  <c r="O361" i="1" s="1"/>
  <c r="K82" i="1"/>
  <c r="L82" i="1" s="1"/>
  <c r="J82" i="1"/>
  <c r="M82" i="1" s="1"/>
  <c r="O82" i="1" s="1"/>
  <c r="K130" i="1"/>
  <c r="L130" i="1" s="1"/>
  <c r="J130" i="1"/>
  <c r="M130" i="1" s="1"/>
  <c r="O130" i="1" s="1"/>
  <c r="K346" i="1"/>
  <c r="L346" i="1" s="1"/>
  <c r="J346" i="1"/>
  <c r="M346" i="1" s="1"/>
  <c r="O346" i="1" s="1"/>
  <c r="K115" i="1"/>
  <c r="L115" i="1" s="1"/>
  <c r="J115" i="1"/>
  <c r="M115" i="1" s="1"/>
  <c r="O115" i="1" s="1"/>
  <c r="K218" i="1"/>
  <c r="L218" i="1" s="1"/>
  <c r="J218" i="1"/>
  <c r="M218" i="1" s="1"/>
  <c r="O218" i="1" s="1"/>
  <c r="K235" i="1"/>
  <c r="L235" i="1" s="1"/>
  <c r="J235" i="1"/>
  <c r="M235" i="1" s="1"/>
  <c r="O235" i="1" s="1"/>
  <c r="K355" i="1"/>
  <c r="L355" i="1" s="1"/>
  <c r="J355" i="1"/>
  <c r="M355" i="1" s="1"/>
  <c r="O355" i="1" s="1"/>
  <c r="K177" i="1"/>
  <c r="L177" i="1" s="1"/>
  <c r="J177" i="1"/>
  <c r="M177" i="1" s="1"/>
  <c r="O177" i="1" s="1"/>
  <c r="K298" i="1"/>
  <c r="L298" i="1" s="1"/>
  <c r="J298" i="1"/>
  <c r="M298" i="1" s="1"/>
  <c r="O298" i="1" s="1"/>
  <c r="K314" i="1"/>
  <c r="L314" i="1" s="1"/>
  <c r="J314" i="1"/>
  <c r="M314" i="1" s="1"/>
  <c r="O314" i="1" s="1"/>
  <c r="K66" i="1"/>
  <c r="L66" i="1" s="1"/>
  <c r="J66" i="1"/>
  <c r="M66" i="1" s="1"/>
  <c r="O66" i="1" s="1"/>
  <c r="K68" i="1"/>
  <c r="L68" i="1" s="1"/>
  <c r="J68" i="1"/>
  <c r="M68" i="1" s="1"/>
  <c r="O68" i="1" s="1"/>
  <c r="K176" i="1"/>
  <c r="L176" i="1" s="1"/>
  <c r="J176" i="1"/>
  <c r="M176" i="1" s="1"/>
  <c r="O176" i="1" s="1"/>
  <c r="K273" i="1"/>
  <c r="L273" i="1" s="1"/>
  <c r="J273" i="1"/>
  <c r="M273" i="1" s="1"/>
  <c r="O273" i="1" s="1"/>
  <c r="K64" i="1"/>
  <c r="L64" i="1" s="1"/>
  <c r="J64" i="1"/>
  <c r="M64" i="1" s="1"/>
  <c r="O64" i="1" s="1"/>
  <c r="K152" i="1"/>
  <c r="L152" i="1" s="1"/>
  <c r="J152" i="1"/>
  <c r="M152" i="1" s="1"/>
  <c r="O152" i="1" s="1"/>
  <c r="K117" i="1"/>
  <c r="L117" i="1" s="1"/>
  <c r="J117" i="1"/>
  <c r="M117" i="1" s="1"/>
  <c r="O117" i="1" s="1"/>
  <c r="K205" i="1"/>
  <c r="L205" i="1" s="1"/>
  <c r="J205" i="1"/>
  <c r="M205" i="1" s="1"/>
  <c r="O205" i="1" s="1"/>
  <c r="K126" i="1"/>
  <c r="L126" i="1" s="1"/>
  <c r="J126" i="1"/>
  <c r="M126" i="1" s="1"/>
  <c r="O126" i="1" s="1"/>
  <c r="K237" i="1"/>
  <c r="L237" i="1" s="1"/>
  <c r="J237" i="1"/>
  <c r="M237" i="1" s="1"/>
  <c r="O237" i="1" s="1"/>
  <c r="K328" i="1"/>
  <c r="L328" i="1" s="1"/>
  <c r="J328" i="1"/>
  <c r="M328" i="1" s="1"/>
  <c r="O328" i="1" s="1"/>
  <c r="K254" i="1"/>
  <c r="L254" i="1" s="1"/>
  <c r="J254" i="1"/>
  <c r="M254" i="1" s="1"/>
  <c r="O254" i="1" s="1"/>
  <c r="K71" i="1"/>
  <c r="L71" i="1" s="1"/>
  <c r="J71" i="1"/>
  <c r="M71" i="1" s="1"/>
  <c r="O71" i="1" s="1"/>
  <c r="K165" i="1"/>
  <c r="L165" i="1" s="1"/>
  <c r="J165" i="1"/>
  <c r="M165" i="1" s="1"/>
  <c r="O165" i="1" s="1"/>
  <c r="K276" i="1"/>
  <c r="L276" i="1" s="1"/>
  <c r="J276" i="1"/>
  <c r="M276" i="1" s="1"/>
  <c r="O276" i="1" s="1"/>
  <c r="K104" i="1"/>
  <c r="L104" i="1" s="1"/>
  <c r="J104" i="1"/>
  <c r="M104" i="1" s="1"/>
  <c r="O104" i="1" s="1"/>
  <c r="K129" i="1"/>
  <c r="L129" i="1" s="1"/>
  <c r="J129" i="1"/>
  <c r="M129" i="1" s="1"/>
  <c r="O129" i="1" s="1"/>
  <c r="K193" i="1"/>
  <c r="L193" i="1" s="1"/>
  <c r="J193" i="1"/>
  <c r="M193" i="1" s="1"/>
  <c r="O193" i="1" s="1"/>
  <c r="K168" i="1"/>
  <c r="L168" i="1" s="1"/>
  <c r="J168" i="1"/>
  <c r="M168" i="1" s="1"/>
  <c r="O168" i="1" s="1"/>
  <c r="K169" i="1"/>
  <c r="L169" i="1" s="1"/>
  <c r="J169" i="1"/>
  <c r="M169" i="1" s="1"/>
  <c r="O169" i="1" s="1"/>
  <c r="K123" i="1"/>
  <c r="L123" i="1" s="1"/>
  <c r="J123" i="1"/>
  <c r="M123" i="1" s="1"/>
  <c r="O123" i="1" s="1"/>
  <c r="K226" i="1"/>
  <c r="L226" i="1" s="1"/>
  <c r="J226" i="1"/>
  <c r="M226" i="1" s="1"/>
  <c r="O226" i="1" s="1"/>
  <c r="K243" i="1"/>
  <c r="L243" i="1" s="1"/>
  <c r="J243" i="1"/>
  <c r="M243" i="1" s="1"/>
  <c r="O243" i="1" s="1"/>
  <c r="K305" i="1"/>
  <c r="L305" i="1" s="1"/>
  <c r="J305" i="1"/>
  <c r="M305" i="1" s="1"/>
  <c r="O305" i="1" s="1"/>
  <c r="K323" i="1"/>
  <c r="L323" i="1" s="1"/>
  <c r="J323" i="1"/>
  <c r="M323" i="1" s="1"/>
  <c r="O323" i="1" s="1"/>
  <c r="K155" i="1"/>
  <c r="L155" i="1" s="1"/>
  <c r="J155" i="1"/>
  <c r="M155" i="1" s="1"/>
  <c r="O155" i="1" s="1"/>
  <c r="K275" i="1"/>
  <c r="L275" i="1" s="1"/>
  <c r="J275" i="1"/>
  <c r="M275" i="1" s="1"/>
  <c r="O275" i="1" s="1"/>
  <c r="K122" i="1"/>
  <c r="L122" i="1" s="1"/>
  <c r="J122" i="1"/>
  <c r="M122" i="1" s="1"/>
  <c r="O122" i="1" s="1"/>
  <c r="K197" i="1"/>
  <c r="L197" i="1" s="1"/>
  <c r="J197" i="1"/>
  <c r="M197" i="1" s="1"/>
  <c r="O197" i="1" s="1"/>
  <c r="K303" i="1"/>
  <c r="L303" i="1" s="1"/>
  <c r="J303" i="1"/>
  <c r="M303" i="1" s="1"/>
  <c r="O303" i="1" s="1"/>
  <c r="K332" i="1"/>
  <c r="L332" i="1" s="1"/>
  <c r="J332" i="1"/>
  <c r="M332" i="1" s="1"/>
  <c r="O332" i="1" s="1"/>
  <c r="K65" i="1"/>
  <c r="L65" i="1" s="1"/>
  <c r="J65" i="1"/>
  <c r="M65" i="1" s="1"/>
  <c r="O65" i="1" s="1"/>
  <c r="K255" i="1"/>
  <c r="L255" i="1" s="1"/>
  <c r="J255" i="1"/>
  <c r="M255" i="1" s="1"/>
  <c r="O255" i="1" s="1"/>
  <c r="K84" i="1"/>
  <c r="L84" i="1" s="1"/>
  <c r="J84" i="1"/>
  <c r="M84" i="1" s="1"/>
  <c r="O84" i="1" s="1"/>
  <c r="K116" i="1"/>
  <c r="L116" i="1" s="1"/>
  <c r="J116" i="1"/>
  <c r="M116" i="1" s="1"/>
  <c r="O116" i="1" s="1"/>
  <c r="K191" i="1"/>
  <c r="L191" i="1" s="1"/>
  <c r="J191" i="1"/>
  <c r="M191" i="1" s="1"/>
  <c r="O191" i="1" s="1"/>
  <c r="K333" i="1"/>
  <c r="L333" i="1" s="1"/>
  <c r="J333" i="1"/>
  <c r="M333" i="1" s="1"/>
  <c r="O333" i="1" s="1"/>
  <c r="K220" i="1"/>
  <c r="L220" i="1" s="1"/>
  <c r="J220" i="1"/>
  <c r="M220" i="1" s="1"/>
  <c r="O220" i="1" s="1"/>
  <c r="K319" i="1"/>
  <c r="L319" i="1" s="1"/>
  <c r="J319" i="1"/>
  <c r="M319" i="1" s="1"/>
  <c r="O319" i="1" s="1"/>
  <c r="K356" i="1"/>
  <c r="L356" i="1" s="1"/>
  <c r="J356" i="1"/>
  <c r="M356" i="1" s="1"/>
  <c r="O356" i="1" s="1"/>
  <c r="K136" i="1"/>
  <c r="L136" i="1" s="1"/>
  <c r="J136" i="1"/>
  <c r="M136" i="1" s="1"/>
  <c r="O136" i="1" s="1"/>
  <c r="K247" i="1"/>
  <c r="L247" i="1" s="1"/>
  <c r="J247" i="1"/>
  <c r="M247" i="1" s="1"/>
  <c r="O247" i="1" s="1"/>
  <c r="K351" i="1"/>
  <c r="L351" i="1" s="1"/>
  <c r="J351" i="1"/>
  <c r="M351" i="1" s="1"/>
  <c r="O351" i="1" s="1"/>
  <c r="K216" i="1"/>
  <c r="L216" i="1" s="1"/>
  <c r="J216" i="1"/>
  <c r="M216" i="1" s="1"/>
  <c r="O216" i="1" s="1"/>
  <c r="K69" i="1"/>
  <c r="L69" i="1" s="1"/>
  <c r="J69" i="1"/>
  <c r="M69" i="1" s="1"/>
  <c r="O69" i="1" s="1"/>
  <c r="K101" i="1"/>
  <c r="L101" i="1" s="1"/>
  <c r="J101" i="1"/>
  <c r="M101" i="1" s="1"/>
  <c r="O101" i="1" s="1"/>
  <c r="K133" i="1"/>
  <c r="L133" i="1" s="1"/>
  <c r="J133" i="1"/>
  <c r="M133" i="1" s="1"/>
  <c r="O133" i="1" s="1"/>
  <c r="K192" i="1"/>
  <c r="L192" i="1" s="1"/>
  <c r="J192" i="1"/>
  <c r="M192" i="1" s="1"/>
  <c r="O192" i="1" s="1"/>
  <c r="K244" i="1"/>
  <c r="L244" i="1" s="1"/>
  <c r="J244" i="1"/>
  <c r="M244" i="1" s="1"/>
  <c r="O244" i="1" s="1"/>
  <c r="K348" i="1"/>
  <c r="L348" i="1" s="1"/>
  <c r="J348" i="1"/>
  <c r="M348" i="1" s="1"/>
  <c r="O348" i="1" s="1"/>
  <c r="K270" i="1"/>
  <c r="L270" i="1" s="1"/>
  <c r="J270" i="1"/>
  <c r="M270" i="1" s="1"/>
  <c r="O270" i="1" s="1"/>
  <c r="K78" i="1"/>
  <c r="L78" i="1" s="1"/>
  <c r="J78" i="1"/>
  <c r="M78" i="1" s="1"/>
  <c r="O78" i="1" s="1"/>
  <c r="K110" i="1"/>
  <c r="L110" i="1" s="1"/>
  <c r="J110" i="1"/>
  <c r="M110" i="1" s="1"/>
  <c r="O110" i="1" s="1"/>
  <c r="K142" i="1"/>
  <c r="L142" i="1" s="1"/>
  <c r="J142" i="1"/>
  <c r="M142" i="1" s="1"/>
  <c r="O142" i="1" s="1"/>
  <c r="K221" i="1"/>
  <c r="L221" i="1" s="1"/>
  <c r="J221" i="1"/>
  <c r="M221" i="1" s="1"/>
  <c r="O221" i="1" s="1"/>
  <c r="K252" i="1"/>
  <c r="L252" i="1" s="1"/>
  <c r="J252" i="1"/>
  <c r="M252" i="1" s="1"/>
  <c r="O252" i="1" s="1"/>
  <c r="K343" i="1"/>
  <c r="L343" i="1" s="1"/>
  <c r="J343" i="1"/>
  <c r="M343" i="1" s="1"/>
  <c r="O343" i="1" s="1"/>
  <c r="K96" i="1"/>
  <c r="L96" i="1" s="1"/>
  <c r="J96" i="1"/>
  <c r="M96" i="1" s="1"/>
  <c r="O96" i="1" s="1"/>
  <c r="K300" i="1"/>
  <c r="L300" i="1" s="1"/>
  <c r="J300" i="1"/>
  <c r="M300" i="1" s="1"/>
  <c r="O300" i="1" s="1"/>
  <c r="K345" i="1"/>
  <c r="L345" i="1" s="1"/>
  <c r="J345" i="1"/>
  <c r="M345" i="1" s="1"/>
  <c r="O345" i="1" s="1"/>
  <c r="K87" i="1"/>
  <c r="L87" i="1" s="1"/>
  <c r="J87" i="1"/>
  <c r="M87" i="1" s="1"/>
  <c r="O87" i="1" s="1"/>
  <c r="K119" i="1"/>
  <c r="L119" i="1" s="1"/>
  <c r="J119" i="1"/>
  <c r="M119" i="1" s="1"/>
  <c r="O119" i="1" s="1"/>
  <c r="K150" i="1"/>
  <c r="L150" i="1" s="1"/>
  <c r="J150" i="1"/>
  <c r="M150" i="1" s="1"/>
  <c r="O150" i="1" s="1"/>
  <c r="K230" i="1"/>
  <c r="L230" i="1" s="1"/>
  <c r="J230" i="1"/>
  <c r="M230" i="1" s="1"/>
  <c r="O230" i="1" s="1"/>
  <c r="K261" i="1"/>
  <c r="L261" i="1" s="1"/>
  <c r="J261" i="1"/>
  <c r="M261" i="1" s="1"/>
  <c r="O261" i="1" s="1"/>
  <c r="K292" i="1"/>
  <c r="L292" i="1" s="1"/>
  <c r="J292" i="1"/>
  <c r="M292" i="1" s="1"/>
  <c r="O292" i="1" s="1"/>
  <c r="K366" i="1"/>
  <c r="L366" i="1" s="1"/>
  <c r="J366" i="1"/>
  <c r="M366" i="1" s="1"/>
  <c r="O366" i="1" s="1"/>
  <c r="K144" i="1"/>
  <c r="L144" i="1" s="1"/>
  <c r="J144" i="1"/>
  <c r="M144" i="1" s="1"/>
  <c r="O144" i="1" s="1"/>
  <c r="K262" i="1"/>
  <c r="L262" i="1" s="1"/>
  <c r="J262" i="1"/>
  <c r="M262" i="1" s="1"/>
  <c r="O262" i="1" s="1"/>
  <c r="K359" i="1"/>
  <c r="L359" i="1" s="1"/>
  <c r="J359" i="1"/>
  <c r="M359" i="1" s="1"/>
  <c r="O359" i="1" s="1"/>
  <c r="K224" i="1"/>
  <c r="L224" i="1" s="1"/>
  <c r="J224" i="1"/>
  <c r="M224" i="1" s="1"/>
  <c r="O224" i="1" s="1"/>
  <c r="K158" i="1"/>
  <c r="L158" i="1" s="1"/>
  <c r="J158" i="1"/>
  <c r="M158" i="1" s="1"/>
  <c r="O158" i="1" s="1"/>
  <c r="K301" i="1"/>
  <c r="L301" i="1" s="1"/>
  <c r="J301" i="1"/>
  <c r="M301" i="1" s="1"/>
  <c r="O301" i="1" s="1"/>
  <c r="K287" i="1"/>
  <c r="L287" i="1" s="1"/>
  <c r="J287" i="1"/>
  <c r="M287" i="1" s="1"/>
  <c r="O287" i="1" s="1"/>
  <c r="K296" i="1"/>
  <c r="L296" i="1" s="1"/>
  <c r="J296" i="1"/>
  <c r="M296" i="1" s="1"/>
  <c r="O296" i="1" s="1"/>
  <c r="K181" i="1"/>
  <c r="L181" i="1" s="1"/>
  <c r="J181" i="1"/>
  <c r="M181" i="1" s="1"/>
  <c r="O181" i="1" s="1"/>
  <c r="K160" i="1"/>
  <c r="L160" i="1" s="1"/>
  <c r="J160" i="1"/>
  <c r="M160" i="1" s="1"/>
  <c r="O160" i="1" s="1"/>
  <c r="K75" i="1"/>
  <c r="L75" i="1" s="1"/>
  <c r="J75" i="1"/>
  <c r="M75" i="1" s="1"/>
  <c r="O75" i="1" s="1"/>
  <c r="K107" i="1"/>
  <c r="L107" i="1" s="1"/>
  <c r="J107" i="1"/>
  <c r="M107" i="1" s="1"/>
  <c r="O107" i="1" s="1"/>
  <c r="K139" i="1"/>
  <c r="L139" i="1" s="1"/>
  <c r="J139" i="1"/>
  <c r="M139" i="1" s="1"/>
  <c r="O139" i="1" s="1"/>
  <c r="K211" i="1"/>
  <c r="L211" i="1" s="1"/>
  <c r="J211" i="1"/>
  <c r="M211" i="1" s="1"/>
  <c r="O211" i="1" s="1"/>
  <c r="K242" i="1"/>
  <c r="L242" i="1" s="1"/>
  <c r="J242" i="1"/>
  <c r="M242" i="1" s="1"/>
  <c r="O242" i="1" s="1"/>
  <c r="K113" i="1"/>
  <c r="L113" i="1" s="1"/>
  <c r="J113" i="1"/>
  <c r="M113" i="1" s="1"/>
  <c r="O113" i="1" s="1"/>
  <c r="K330" i="1"/>
  <c r="L330" i="1" s="1"/>
  <c r="J330" i="1"/>
  <c r="M330" i="1" s="1"/>
  <c r="O330" i="1" s="1"/>
  <c r="K162" i="1"/>
  <c r="L162" i="1" s="1"/>
  <c r="J162" i="1"/>
  <c r="M162" i="1" s="1"/>
  <c r="O162" i="1" s="1"/>
  <c r="K227" i="1"/>
  <c r="L227" i="1" s="1"/>
  <c r="J227" i="1"/>
  <c r="M227" i="1" s="1"/>
  <c r="O227" i="1" s="1"/>
  <c r="K258" i="1"/>
  <c r="L258" i="1" s="1"/>
  <c r="J258" i="1"/>
  <c r="M258" i="1" s="1"/>
  <c r="O258" i="1" s="1"/>
  <c r="K290" i="1"/>
  <c r="L290" i="1" s="1"/>
  <c r="J290" i="1"/>
  <c r="M290" i="1" s="1"/>
  <c r="O290" i="1" s="1"/>
  <c r="K97" i="1"/>
  <c r="L97" i="1" s="1"/>
  <c r="J97" i="1"/>
  <c r="M97" i="1" s="1"/>
  <c r="O97" i="1" s="1"/>
  <c r="K170" i="1"/>
  <c r="L170" i="1" s="1"/>
  <c r="J170" i="1"/>
  <c r="M170" i="1" s="1"/>
  <c r="O170" i="1" s="1"/>
  <c r="K259" i="1"/>
  <c r="L259" i="1" s="1"/>
  <c r="J259" i="1"/>
  <c r="M259" i="1" s="1"/>
  <c r="O259" i="1" s="1"/>
  <c r="K338" i="1"/>
  <c r="L338" i="1" s="1"/>
  <c r="J338" i="1"/>
  <c r="M338" i="1" s="1"/>
  <c r="O338" i="1" s="1"/>
  <c r="K185" i="1"/>
  <c r="L185" i="1" s="1"/>
  <c r="J185" i="1"/>
  <c r="M185" i="1" s="1"/>
  <c r="O185" i="1" s="1"/>
  <c r="K291" i="1"/>
  <c r="L291" i="1" s="1"/>
  <c r="J291" i="1"/>
  <c r="M291" i="1" s="1"/>
  <c r="O291" i="1" s="1"/>
  <c r="K299" i="1"/>
  <c r="L299" i="1" s="1"/>
  <c r="J299" i="1"/>
  <c r="M299" i="1" s="1"/>
  <c r="O299" i="1" s="1"/>
  <c r="K179" i="1"/>
  <c r="L179" i="1" s="1"/>
  <c r="J179" i="1"/>
  <c r="M179" i="1" s="1"/>
  <c r="O179" i="1" s="1"/>
  <c r="K353" i="1"/>
  <c r="L353" i="1" s="1"/>
  <c r="J353" i="1"/>
  <c r="M353" i="1" s="1"/>
  <c r="O353" i="1" s="1"/>
  <c r="K90" i="1"/>
  <c r="L90" i="1" s="1"/>
  <c r="J90" i="1"/>
  <c r="M90" i="1" s="1"/>
  <c r="O90" i="1" s="1"/>
  <c r="K175" i="1"/>
  <c r="L175" i="1" s="1"/>
  <c r="J175" i="1"/>
  <c r="M175" i="1" s="1"/>
  <c r="O175" i="1" s="1"/>
  <c r="K272" i="1"/>
  <c r="L272" i="1" s="1"/>
  <c r="J272" i="1"/>
  <c r="M272" i="1" s="1"/>
  <c r="O272" i="1" s="1"/>
  <c r="K311" i="1"/>
  <c r="L311" i="1" s="1"/>
  <c r="J311" i="1"/>
  <c r="M311" i="1" s="1"/>
  <c r="O311" i="1" s="1"/>
  <c r="K340" i="1"/>
  <c r="L340" i="1" s="1"/>
  <c r="J340" i="1"/>
  <c r="M340" i="1" s="1"/>
  <c r="O340" i="1" s="1"/>
  <c r="K72" i="1"/>
  <c r="L72" i="1" s="1"/>
  <c r="J72" i="1"/>
  <c r="M72" i="1" s="1"/>
  <c r="O72" i="1" s="1"/>
  <c r="K92" i="1"/>
  <c r="L92" i="1" s="1"/>
  <c r="J92" i="1"/>
  <c r="M92" i="1" s="1"/>
  <c r="O92" i="1" s="1"/>
  <c r="K124" i="1"/>
  <c r="L124" i="1" s="1"/>
  <c r="J124" i="1"/>
  <c r="M124" i="1" s="1"/>
  <c r="O124" i="1" s="1"/>
  <c r="K198" i="1"/>
  <c r="L198" i="1" s="1"/>
  <c r="J198" i="1"/>
  <c r="M198" i="1" s="1"/>
  <c r="O198" i="1" s="1"/>
  <c r="K304" i="1"/>
  <c r="L304" i="1" s="1"/>
  <c r="J304" i="1"/>
  <c r="M304" i="1" s="1"/>
  <c r="O304" i="1" s="1"/>
  <c r="K341" i="1"/>
  <c r="L341" i="1" s="1"/>
  <c r="J341" i="1"/>
  <c r="M341" i="1" s="1"/>
  <c r="O341" i="1" s="1"/>
  <c r="K236" i="1"/>
  <c r="L236" i="1" s="1"/>
  <c r="J236" i="1"/>
  <c r="M236" i="1" s="1"/>
  <c r="O236" i="1" s="1"/>
  <c r="K327" i="1"/>
  <c r="L327" i="1" s="1"/>
  <c r="J327" i="1"/>
  <c r="M327" i="1" s="1"/>
  <c r="O327" i="1" s="1"/>
  <c r="K364" i="1"/>
  <c r="L364" i="1" s="1"/>
  <c r="J364" i="1"/>
  <c r="M364" i="1" s="1"/>
  <c r="O364" i="1" s="1"/>
  <c r="K166" i="1"/>
  <c r="L166" i="1" s="1"/>
  <c r="J166" i="1"/>
  <c r="M166" i="1" s="1"/>
  <c r="O166" i="1" s="1"/>
  <c r="K269" i="1"/>
  <c r="L269" i="1" s="1"/>
  <c r="J269" i="1"/>
  <c r="M269" i="1" s="1"/>
  <c r="O269" i="1" s="1"/>
  <c r="K263" i="1"/>
  <c r="L263" i="1" s="1"/>
  <c r="J263" i="1"/>
  <c r="M263" i="1" s="1"/>
  <c r="O263" i="1" s="1"/>
  <c r="K77" i="1"/>
  <c r="L77" i="1" s="1"/>
  <c r="J77" i="1"/>
  <c r="M77" i="1" s="1"/>
  <c r="O77" i="1" s="1"/>
  <c r="K109" i="1"/>
  <c r="L109" i="1" s="1"/>
  <c r="J109" i="1"/>
  <c r="M109" i="1" s="1"/>
  <c r="O109" i="1" s="1"/>
  <c r="K141" i="1"/>
  <c r="L141" i="1" s="1"/>
  <c r="J141" i="1"/>
  <c r="M141" i="1" s="1"/>
  <c r="O141" i="1" s="1"/>
  <c r="K199" i="1"/>
  <c r="L199" i="1" s="1"/>
  <c r="J199" i="1"/>
  <c r="M199" i="1" s="1"/>
  <c r="O199" i="1" s="1"/>
  <c r="K80" i="1"/>
  <c r="L80" i="1" s="1"/>
  <c r="J80" i="1"/>
  <c r="M80" i="1" s="1"/>
  <c r="O80" i="1" s="1"/>
  <c r="K159" i="1"/>
  <c r="L159" i="1" s="1"/>
  <c r="J159" i="1"/>
  <c r="M159" i="1" s="1"/>
  <c r="O159" i="1" s="1"/>
  <c r="K86" i="1"/>
  <c r="L86" i="1" s="1"/>
  <c r="J86" i="1"/>
  <c r="M86" i="1" s="1"/>
  <c r="O86" i="1" s="1"/>
  <c r="K118" i="1"/>
  <c r="L118" i="1" s="1"/>
  <c r="J118" i="1"/>
  <c r="M118" i="1" s="1"/>
  <c r="O118" i="1" s="1"/>
  <c r="K149" i="1"/>
  <c r="L149" i="1" s="1"/>
  <c r="J149" i="1"/>
  <c r="M149" i="1" s="1"/>
  <c r="O149" i="1" s="1"/>
  <c r="K229" i="1"/>
  <c r="L229" i="1" s="1"/>
  <c r="J229" i="1"/>
  <c r="M229" i="1" s="1"/>
  <c r="O229" i="1" s="1"/>
  <c r="K260" i="1"/>
  <c r="L260" i="1" s="1"/>
  <c r="J260" i="1"/>
  <c r="M260" i="1" s="1"/>
  <c r="O260" i="1" s="1"/>
  <c r="K320" i="1"/>
  <c r="L320" i="1" s="1"/>
  <c r="J320" i="1"/>
  <c r="M320" i="1" s="1"/>
  <c r="O320" i="1" s="1"/>
  <c r="K349" i="1"/>
  <c r="L349" i="1" s="1"/>
  <c r="J349" i="1"/>
  <c r="M349" i="1" s="1"/>
  <c r="O349" i="1" s="1"/>
  <c r="K120" i="1"/>
  <c r="L120" i="1" s="1"/>
  <c r="J120" i="1"/>
  <c r="M120" i="1" s="1"/>
  <c r="O120" i="1" s="1"/>
  <c r="K223" i="1"/>
  <c r="L223" i="1" s="1"/>
  <c r="J223" i="1"/>
  <c r="M223" i="1" s="1"/>
  <c r="O223" i="1" s="1"/>
  <c r="K337" i="1"/>
  <c r="L337" i="1" s="1"/>
  <c r="J337" i="1"/>
  <c r="M337" i="1" s="1"/>
  <c r="O337" i="1" s="1"/>
  <c r="K188" i="1"/>
  <c r="L188" i="1" s="1"/>
  <c r="J188" i="1"/>
  <c r="M188" i="1" s="1"/>
  <c r="O188" i="1" s="1"/>
  <c r="K63" i="1"/>
  <c r="L63" i="1" s="1"/>
  <c r="J63" i="1"/>
  <c r="M63" i="1" s="1"/>
  <c r="O63" i="1" s="1"/>
  <c r="K95" i="1"/>
  <c r="L95" i="1" s="1"/>
  <c r="J95" i="1"/>
  <c r="M95" i="1" s="1"/>
  <c r="O95" i="1" s="1"/>
  <c r="K127" i="1"/>
  <c r="L127" i="1" s="1"/>
  <c r="J127" i="1"/>
  <c r="M127" i="1" s="1"/>
  <c r="O127" i="1" s="1"/>
  <c r="K157" i="1"/>
  <c r="L157" i="1" s="1"/>
  <c r="J157" i="1"/>
  <c r="M157" i="1" s="1"/>
  <c r="O157" i="1" s="1"/>
  <c r="K207" i="1"/>
  <c r="L207" i="1" s="1"/>
  <c r="J207" i="1"/>
  <c r="M207" i="1" s="1"/>
  <c r="O207" i="1" s="1"/>
  <c r="K238" i="1"/>
  <c r="L238" i="1" s="1"/>
  <c r="J238" i="1"/>
  <c r="M238" i="1" s="1"/>
  <c r="O238" i="1" s="1"/>
  <c r="K268" i="1"/>
  <c r="L268" i="1" s="1"/>
  <c r="J268" i="1"/>
  <c r="M268" i="1" s="1"/>
  <c r="O268" i="1" s="1"/>
  <c r="K336" i="1"/>
  <c r="L336" i="1" s="1"/>
  <c r="J336" i="1"/>
  <c r="M336" i="1" s="1"/>
  <c r="O336" i="1" s="1"/>
  <c r="K88" i="1"/>
  <c r="L88" i="1" s="1"/>
  <c r="J88" i="1"/>
  <c r="M88" i="1" s="1"/>
  <c r="O88" i="1" s="1"/>
  <c r="K285" i="1"/>
  <c r="L285" i="1" s="1"/>
  <c r="J285" i="1"/>
  <c r="M285" i="1" s="1"/>
  <c r="O285" i="1" s="1"/>
  <c r="K81" i="1"/>
  <c r="L81" i="1" s="1"/>
  <c r="J81" i="1"/>
  <c r="M81" i="1" s="1"/>
  <c r="O81" i="1" s="1"/>
  <c r="K286" i="1"/>
  <c r="L286" i="1" s="1"/>
  <c r="J286" i="1"/>
  <c r="M286" i="1" s="1"/>
  <c r="O286" i="1" s="1"/>
  <c r="K105" i="1"/>
  <c r="L105" i="1" s="1"/>
  <c r="J105" i="1"/>
  <c r="M105" i="1" s="1"/>
  <c r="O105" i="1" s="1"/>
  <c r="K360" i="1"/>
  <c r="L360" i="1" s="1"/>
  <c r="J360" i="1"/>
  <c r="M360" i="1" s="1"/>
  <c r="O360" i="1" s="1"/>
  <c r="K217" i="1"/>
  <c r="L217" i="1" s="1"/>
  <c r="J217" i="1"/>
  <c r="M217" i="1" s="1"/>
  <c r="O217" i="1" s="1"/>
  <c r="K248" i="1"/>
  <c r="L248" i="1" s="1"/>
  <c r="J248" i="1"/>
  <c r="M248" i="1" s="1"/>
  <c r="O248" i="1" s="1"/>
  <c r="K295" i="1"/>
  <c r="L295" i="1" s="1"/>
  <c r="J295" i="1"/>
  <c r="M295" i="1" s="1"/>
  <c r="O295" i="1" s="1"/>
  <c r="K145" i="1"/>
  <c r="L145" i="1" s="1"/>
  <c r="J145" i="1"/>
  <c r="M145" i="1" s="1"/>
  <c r="O145" i="1" s="1"/>
  <c r="K189" i="1"/>
  <c r="L189" i="1" s="1"/>
  <c r="J189" i="1"/>
  <c r="M189" i="1" s="1"/>
  <c r="O189" i="1" s="1"/>
  <c r="K213" i="1"/>
  <c r="L213" i="1" s="1"/>
  <c r="J213" i="1"/>
  <c r="M213" i="1" s="1"/>
  <c r="O213" i="1" s="1"/>
  <c r="K271" i="1"/>
  <c r="L271" i="1" s="1"/>
  <c r="J271" i="1"/>
  <c r="M271" i="1" s="1"/>
  <c r="O271" i="1" s="1"/>
  <c r="K153" i="1"/>
  <c r="L153" i="1" s="1"/>
  <c r="J153" i="1"/>
  <c r="M153" i="1" s="1"/>
  <c r="O153" i="1" s="1"/>
  <c r="K256" i="1"/>
  <c r="L256" i="1" s="1"/>
  <c r="J256" i="1"/>
  <c r="M256" i="1" s="1"/>
  <c r="O256" i="1" s="1"/>
  <c r="I56" i="1"/>
  <c r="N56" i="1"/>
  <c r="N24" i="1"/>
  <c r="I24" i="1"/>
  <c r="N15" i="1"/>
  <c r="I15" i="1"/>
  <c r="N6" i="1"/>
  <c r="I6" i="1"/>
  <c r="N3" i="1"/>
  <c r="I3" i="1"/>
  <c r="N53" i="1"/>
  <c r="I53" i="1"/>
  <c r="I45" i="1"/>
  <c r="N45" i="1"/>
  <c r="N37" i="1"/>
  <c r="I37" i="1"/>
  <c r="I29" i="1"/>
  <c r="N29" i="1"/>
  <c r="N21" i="1"/>
  <c r="I21" i="1"/>
  <c r="I13" i="1"/>
  <c r="N13" i="1"/>
  <c r="N5" i="1"/>
  <c r="I5" i="1"/>
  <c r="N48" i="1"/>
  <c r="I48" i="1"/>
  <c r="N32" i="1"/>
  <c r="I32" i="1"/>
  <c r="N7" i="1"/>
  <c r="I7" i="1"/>
  <c r="N46" i="1"/>
  <c r="I46" i="1"/>
  <c r="N14" i="1"/>
  <c r="I14" i="1"/>
  <c r="I60" i="1"/>
  <c r="N60" i="1"/>
  <c r="I52" i="1"/>
  <c r="N52" i="1"/>
  <c r="I44" i="1"/>
  <c r="N44" i="1"/>
  <c r="N36" i="1"/>
  <c r="I36" i="1"/>
  <c r="I28" i="1"/>
  <c r="N28" i="1"/>
  <c r="I20" i="1"/>
  <c r="N20" i="1"/>
  <c r="I12" i="1"/>
  <c r="N12" i="1"/>
  <c r="N4" i="1"/>
  <c r="I4" i="1"/>
  <c r="N16" i="1"/>
  <c r="I16" i="1"/>
  <c r="N47" i="1"/>
  <c r="I47" i="1"/>
  <c r="N31" i="1"/>
  <c r="I31" i="1"/>
  <c r="N30" i="1"/>
  <c r="I30" i="1"/>
  <c r="I59" i="1"/>
  <c r="N59" i="1"/>
  <c r="I51" i="1"/>
  <c r="N51" i="1"/>
  <c r="I43" i="1"/>
  <c r="N43" i="1"/>
  <c r="I35" i="1"/>
  <c r="N35" i="1"/>
  <c r="I27" i="1"/>
  <c r="N27" i="1"/>
  <c r="I19" i="1"/>
  <c r="N19" i="1"/>
  <c r="I11" i="1"/>
  <c r="N11" i="1"/>
  <c r="I8" i="1"/>
  <c r="N8" i="1"/>
  <c r="N55" i="1"/>
  <c r="I55" i="1"/>
  <c r="N23" i="1"/>
  <c r="I23" i="1"/>
  <c r="N54" i="1"/>
  <c r="I54" i="1"/>
  <c r="N22" i="1"/>
  <c r="I22" i="1"/>
  <c r="I58" i="1"/>
  <c r="N58" i="1"/>
  <c r="I50" i="1"/>
  <c r="N50" i="1"/>
  <c r="I42" i="1"/>
  <c r="N42" i="1"/>
  <c r="I34" i="1"/>
  <c r="N34" i="1"/>
  <c r="I26" i="1"/>
  <c r="N26" i="1"/>
  <c r="I18" i="1"/>
  <c r="N18" i="1"/>
  <c r="I10" i="1"/>
  <c r="N10" i="1"/>
  <c r="N40" i="1"/>
  <c r="I40" i="1"/>
  <c r="N39" i="1"/>
  <c r="I39" i="1"/>
  <c r="N38" i="1"/>
  <c r="I38" i="1"/>
  <c r="N57" i="1"/>
  <c r="I57" i="1"/>
  <c r="I49" i="1"/>
  <c r="N49" i="1"/>
  <c r="N41" i="1"/>
  <c r="I41" i="1"/>
  <c r="I33" i="1"/>
  <c r="N33" i="1"/>
  <c r="N25" i="1"/>
  <c r="I25" i="1"/>
  <c r="I17" i="1"/>
  <c r="N17" i="1"/>
  <c r="N9" i="1"/>
  <c r="I9" i="1"/>
  <c r="K61" i="1"/>
  <c r="L61" i="1" s="1"/>
  <c r="J61" i="1"/>
  <c r="M61" i="1" l="1"/>
  <c r="O61" i="1" s="1"/>
  <c r="M100" i="1"/>
  <c r="O100" i="1" s="1"/>
  <c r="M282" i="1"/>
  <c r="O282" i="1" s="1"/>
  <c r="M146" i="1"/>
  <c r="O146" i="1" s="1"/>
  <c r="K47" i="1"/>
  <c r="L47" i="1" s="1"/>
  <c r="J47" i="1"/>
  <c r="M47" i="1" s="1"/>
  <c r="O47" i="1" s="1"/>
  <c r="K9" i="1"/>
  <c r="L9" i="1" s="1"/>
  <c r="J9" i="1"/>
  <c r="M9" i="1" s="1"/>
  <c r="O9" i="1" s="1"/>
  <c r="K55" i="1"/>
  <c r="L55" i="1" s="1"/>
  <c r="J55" i="1"/>
  <c r="M55" i="1" s="1"/>
  <c r="O55" i="1" s="1"/>
  <c r="K16" i="1"/>
  <c r="L16" i="1" s="1"/>
  <c r="J16" i="1"/>
  <c r="M16" i="1" s="1"/>
  <c r="O16" i="1" s="1"/>
  <c r="K32" i="1"/>
  <c r="L32" i="1" s="1"/>
  <c r="J32" i="1"/>
  <c r="M32" i="1" s="1"/>
  <c r="O32" i="1" s="1"/>
  <c r="K21" i="1"/>
  <c r="L21" i="1" s="1"/>
  <c r="J21" i="1"/>
  <c r="M21" i="1" s="1"/>
  <c r="O21" i="1" s="1"/>
  <c r="K53" i="1"/>
  <c r="L53" i="1" s="1"/>
  <c r="J53" i="1"/>
  <c r="M53" i="1" s="1"/>
  <c r="O53" i="1" s="1"/>
  <c r="K11" i="1"/>
  <c r="L11" i="1" s="1"/>
  <c r="J11" i="1"/>
  <c r="K44" i="1"/>
  <c r="L44" i="1" s="1"/>
  <c r="J44" i="1"/>
  <c r="M44" i="1" s="1"/>
  <c r="O44" i="1" s="1"/>
  <c r="K6" i="1"/>
  <c r="L6" i="1" s="1"/>
  <c r="J6" i="1"/>
  <c r="M6" i="1" s="1"/>
  <c r="O6" i="1" s="1"/>
  <c r="K38" i="1"/>
  <c r="L38" i="1" s="1"/>
  <c r="J38" i="1"/>
  <c r="M38" i="1" s="1"/>
  <c r="O38" i="1" s="1"/>
  <c r="K18" i="1"/>
  <c r="L18" i="1" s="1"/>
  <c r="J18" i="1"/>
  <c r="M18" i="1" s="1"/>
  <c r="O18" i="1" s="1"/>
  <c r="K51" i="1"/>
  <c r="L51" i="1" s="1"/>
  <c r="J51" i="1"/>
  <c r="M51" i="1" s="1"/>
  <c r="O51" i="1" s="1"/>
  <c r="K13" i="1"/>
  <c r="L13" i="1" s="1"/>
  <c r="J13" i="1"/>
  <c r="M13" i="1" s="1"/>
  <c r="O13" i="1" s="1"/>
  <c r="K26" i="1"/>
  <c r="L26" i="1" s="1"/>
  <c r="J26" i="1"/>
  <c r="M26" i="1" s="1"/>
  <c r="O26" i="1" s="1"/>
  <c r="K58" i="1"/>
  <c r="L58" i="1" s="1"/>
  <c r="J58" i="1"/>
  <c r="M58" i="1" s="1"/>
  <c r="O58" i="1" s="1"/>
  <c r="K27" i="1"/>
  <c r="L27" i="1" s="1"/>
  <c r="J27" i="1"/>
  <c r="M27" i="1" s="1"/>
  <c r="O27" i="1" s="1"/>
  <c r="K59" i="1"/>
  <c r="L59" i="1" s="1"/>
  <c r="J59" i="1"/>
  <c r="M59" i="1" s="1"/>
  <c r="O59" i="1" s="1"/>
  <c r="K28" i="1"/>
  <c r="L28" i="1" s="1"/>
  <c r="J28" i="1"/>
  <c r="M28" i="1" s="1"/>
  <c r="O28" i="1" s="1"/>
  <c r="K60" i="1"/>
  <c r="L60" i="1" s="1"/>
  <c r="J60" i="1"/>
  <c r="M60" i="1" s="1"/>
  <c r="O60" i="1" s="1"/>
  <c r="K24" i="1"/>
  <c r="L24" i="1" s="1"/>
  <c r="J24" i="1"/>
  <c r="M24" i="1" s="1"/>
  <c r="O24" i="1" s="1"/>
  <c r="K42" i="1"/>
  <c r="L42" i="1" s="1"/>
  <c r="J42" i="1"/>
  <c r="M42" i="1" s="1"/>
  <c r="O42" i="1" s="1"/>
  <c r="K12" i="1"/>
  <c r="L12" i="1" s="1"/>
  <c r="J12" i="1"/>
  <c r="M12" i="1" s="1"/>
  <c r="O12" i="1" s="1"/>
  <c r="K23" i="1"/>
  <c r="L23" i="1" s="1"/>
  <c r="J23" i="1"/>
  <c r="M23" i="1" s="1"/>
  <c r="O23" i="1" s="1"/>
  <c r="K33" i="1"/>
  <c r="L33" i="1" s="1"/>
  <c r="J33" i="1"/>
  <c r="M33" i="1" s="1"/>
  <c r="O33" i="1" s="1"/>
  <c r="K19" i="1"/>
  <c r="L19" i="1" s="1"/>
  <c r="J19" i="1"/>
  <c r="M19" i="1" s="1"/>
  <c r="O19" i="1" s="1"/>
  <c r="K52" i="1"/>
  <c r="L52" i="1" s="1"/>
  <c r="J52" i="1"/>
  <c r="M52" i="1" s="1"/>
  <c r="O52" i="1" s="1"/>
  <c r="K15" i="1"/>
  <c r="L15" i="1" s="1"/>
  <c r="J15" i="1"/>
  <c r="M15" i="1" s="1"/>
  <c r="O15" i="1" s="1"/>
  <c r="K41" i="1"/>
  <c r="L41" i="1" s="1"/>
  <c r="J41" i="1"/>
  <c r="M41" i="1" s="1"/>
  <c r="O41" i="1" s="1"/>
  <c r="K39" i="1"/>
  <c r="L39" i="1" s="1"/>
  <c r="J39" i="1"/>
  <c r="M39" i="1" s="1"/>
  <c r="O39" i="1" s="1"/>
  <c r="K40" i="1"/>
  <c r="L40" i="1" s="1"/>
  <c r="J40" i="1"/>
  <c r="M40" i="1" s="1"/>
  <c r="O40" i="1" s="1"/>
  <c r="K22" i="1"/>
  <c r="L22" i="1" s="1"/>
  <c r="J22" i="1"/>
  <c r="M22" i="1" s="1"/>
  <c r="O22" i="1" s="1"/>
  <c r="K30" i="1"/>
  <c r="L30" i="1" s="1"/>
  <c r="J30" i="1"/>
  <c r="M30" i="1" s="1"/>
  <c r="O30" i="1" s="1"/>
  <c r="K4" i="1"/>
  <c r="L4" i="1" s="1"/>
  <c r="J4" i="1"/>
  <c r="M4" i="1" s="1"/>
  <c r="O4" i="1" s="1"/>
  <c r="K36" i="1"/>
  <c r="L36" i="1" s="1"/>
  <c r="J36" i="1"/>
  <c r="M36" i="1" s="1"/>
  <c r="O36" i="1" s="1"/>
  <c r="K14" i="1"/>
  <c r="L14" i="1" s="1"/>
  <c r="J14" i="1"/>
  <c r="M14" i="1" s="1"/>
  <c r="O14" i="1" s="1"/>
  <c r="K48" i="1"/>
  <c r="L48" i="1" s="1"/>
  <c r="J48" i="1"/>
  <c r="M48" i="1" s="1"/>
  <c r="O48" i="1" s="1"/>
  <c r="J3" i="1"/>
  <c r="K3" i="1"/>
  <c r="L3" i="1" s="1"/>
  <c r="K10" i="1"/>
  <c r="L10" i="1" s="1"/>
  <c r="J10" i="1"/>
  <c r="M10" i="1" s="1"/>
  <c r="O10" i="1" s="1"/>
  <c r="K43" i="1"/>
  <c r="L43" i="1" s="1"/>
  <c r="J43" i="1"/>
  <c r="M43" i="1" s="1"/>
  <c r="O43" i="1" s="1"/>
  <c r="K7" i="1"/>
  <c r="L7" i="1" s="1"/>
  <c r="J7" i="1"/>
  <c r="M7" i="1" s="1"/>
  <c r="O7" i="1" s="1"/>
  <c r="K50" i="1"/>
  <c r="L50" i="1" s="1"/>
  <c r="J50" i="1"/>
  <c r="M50" i="1" s="1"/>
  <c r="O50" i="1" s="1"/>
  <c r="K20" i="1"/>
  <c r="L20" i="1" s="1"/>
  <c r="J20" i="1"/>
  <c r="M20" i="1" s="1"/>
  <c r="O20" i="1" s="1"/>
  <c r="K45" i="1"/>
  <c r="L45" i="1" s="1"/>
  <c r="J45" i="1"/>
  <c r="M45" i="1" s="1"/>
  <c r="O45" i="1" s="1"/>
  <c r="K17" i="1"/>
  <c r="L17" i="1" s="1"/>
  <c r="J17" i="1"/>
  <c r="M17" i="1" s="1"/>
  <c r="O17" i="1" s="1"/>
  <c r="K49" i="1"/>
  <c r="L49" i="1" s="1"/>
  <c r="J49" i="1"/>
  <c r="K34" i="1"/>
  <c r="L34" i="1" s="1"/>
  <c r="J34" i="1"/>
  <c r="M34" i="1" s="1"/>
  <c r="O34" i="1" s="1"/>
  <c r="K8" i="1"/>
  <c r="L8" i="1" s="1"/>
  <c r="J8" i="1"/>
  <c r="M8" i="1" s="1"/>
  <c r="O8" i="1" s="1"/>
  <c r="K35" i="1"/>
  <c r="L35" i="1" s="1"/>
  <c r="J35" i="1"/>
  <c r="M35" i="1" s="1"/>
  <c r="O35" i="1" s="1"/>
  <c r="K29" i="1"/>
  <c r="L29" i="1" s="1"/>
  <c r="J29" i="1"/>
  <c r="M29" i="1" s="1"/>
  <c r="O29" i="1" s="1"/>
  <c r="K25" i="1"/>
  <c r="L25" i="1" s="1"/>
  <c r="J25" i="1"/>
  <c r="M25" i="1" s="1"/>
  <c r="O25" i="1" s="1"/>
  <c r="K57" i="1"/>
  <c r="L57" i="1" s="1"/>
  <c r="J57" i="1"/>
  <c r="M57" i="1" s="1"/>
  <c r="O57" i="1" s="1"/>
  <c r="K54" i="1"/>
  <c r="L54" i="1" s="1"/>
  <c r="J54" i="1"/>
  <c r="M54" i="1" s="1"/>
  <c r="O54" i="1" s="1"/>
  <c r="K31" i="1"/>
  <c r="L31" i="1" s="1"/>
  <c r="J31" i="1"/>
  <c r="M31" i="1" s="1"/>
  <c r="O31" i="1" s="1"/>
  <c r="K46" i="1"/>
  <c r="L46" i="1" s="1"/>
  <c r="J46" i="1"/>
  <c r="M46" i="1" s="1"/>
  <c r="O46" i="1" s="1"/>
  <c r="K5" i="1"/>
  <c r="L5" i="1" s="1"/>
  <c r="J5" i="1"/>
  <c r="M5" i="1" s="1"/>
  <c r="O5" i="1" s="1"/>
  <c r="K37" i="1"/>
  <c r="L37" i="1" s="1"/>
  <c r="J37" i="1"/>
  <c r="M37" i="1" s="1"/>
  <c r="O37" i="1" s="1"/>
  <c r="K56" i="1"/>
  <c r="L56" i="1" s="1"/>
  <c r="J56" i="1"/>
  <c r="M56" i="1" s="1"/>
  <c r="O56" i="1" s="1"/>
  <c r="M49" i="1" l="1"/>
  <c r="O49" i="1" s="1"/>
  <c r="M11" i="1"/>
  <c r="O11" i="1" s="1"/>
  <c r="M3" i="1"/>
  <c r="O3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<sst xmlns="http://schemas.openxmlformats.org/spreadsheetml/2006/main" count="39" uniqueCount="27">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</sst>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6" xfId="0" applyFont="1" applyBorder="1" applyAlignment="1">
      <alignment horizontal="center"/>
    </xf>
    <xf numFmtId="187" fontId="2" fillId="0" borderId="6" xfId="0" applyNumberFormat="1" applyFont="1" applyBorder="1"/>
    <xf numFmtId="0" fontId="2" fillId="0" borderId="6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87" fontId="2" fillId="0" borderId="6" xfId="1" applyNumberFormat="1" applyFont="1" applyBorder="1"/>
    <xf numFmtId="187" fontId="4" fillId="0" borderId="1" xfId="1" applyNumberFormat="1" applyFont="1" applyBorder="1"/>
    <xf numFmtId="187" fontId="4" fillId="0" borderId="6" xfId="1" applyNumberFormat="1" applyFont="1" applyBorder="1"/>
    <xf numFmtId="187" fontId="4" fillId="0" borderId="4" xfId="1" applyNumberFormat="1" applyFont="1" applyBorder="1"/>
    <xf numFmtId="187" fontId="2" fillId="0" borderId="3" xfId="0" applyNumberFormat="1" applyFont="1" applyBorder="1"/>
    <xf numFmtId="187" fontId="2" fillId="0" borderId="7" xfId="1" applyNumberFormat="1" applyFont="1" applyBorder="1"/>
    <xf numFmtId="187" fontId="4" fillId="0" borderId="7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3" xfId="0" applyFont="1" applyBorder="1"/>
    <xf numFmtId="187" fontId="4" fillId="0" borderId="6" xfId="1" applyNumberFormat="1" applyFont="1" applyBorder="1" applyAlignment="1">
      <alignment horizontal="right"/>
    </xf>
    <xf numFmtId="187" fontId="4" fillId="0" borderId="9" xfId="1" applyNumberFormat="1" applyFont="1" applyBorder="1"/>
    <xf numFmtId="187" fontId="4" fillId="0" borderId="2" xfId="1" applyNumberFormat="1" applyFont="1" applyBorder="1"/>
    <xf numFmtId="187" fontId="4" fillId="0" borderId="1" xfId="0" applyNumberFormat="1" applyFont="1" applyBorder="1"/>
    <xf numFmtId="187" fontId="4" fillId="0" borderId="12" xfId="1" applyNumberFormat="1" applyFont="1" applyBorder="1"/>
    <xf numFmtId="187" fontId="4" fillId="0" borderId="6" xfId="0" applyNumberFormat="1" applyFont="1" applyBorder="1"/>
    <xf numFmtId="187" fontId="4" fillId="0" borderId="13" xfId="1" applyNumberFormat="1" applyFont="1" applyBorder="1"/>
    <xf numFmtId="187" fontId="4" fillId="0" borderId="10" xfId="1" applyNumberFormat="1" applyFont="1" applyBorder="1"/>
    <xf numFmtId="187" fontId="4" fillId="0" borderId="4" xfId="0" applyNumberFormat="1" applyFont="1" applyBorder="1"/>
    <xf numFmtId="187" fontId="4" fillId="0" borderId="5" xfId="1" applyNumberFormat="1" applyFont="1" applyBorder="1"/>
    <xf numFmtId="0" fontId="2" fillId="0" borderId="8" xfId="0" applyFont="1" applyBorder="1"/>
    <xf numFmtId="187" fontId="4" fillId="0" borderId="3" xfId="1" applyNumberFormat="1" applyFont="1" applyBorder="1"/>
    <xf numFmtId="187" fontId="4" fillId="0" borderId="3" xfId="1" applyNumberFormat="1" applyFont="1" applyBorder="1" applyAlignment="1">
      <alignment horizontal="right"/>
    </xf>
    <xf numFmtId="187" fontId="4" fillId="0" borderId="14" xfId="1" applyNumberFormat="1" applyFont="1" applyBorder="1"/>
    <xf numFmtId="187" fontId="4" fillId="0" borderId="3" xfId="0" applyNumberFormat="1" applyFont="1" applyBorder="1"/>
    <xf numFmtId="187" fontId="4" fillId="0" borderId="11" xfId="1" applyNumberFormat="1" applyFont="1" applyBorder="1"/>
    <xf numFmtId="187" fontId="2" fillId="0" borderId="3" xfId="1" applyNumberFormat="1" applyFont="1" applyBorder="1"/>
    <xf numFmtId="0" fontId="2" fillId="0" borderId="4" xfId="0" applyFont="1" applyBorder="1"/>
    <xf numFmtId="0" fontId="3" fillId="0" borderId="1" xfId="0" applyFont="1" applyBorder="1" applyAlignment="1">
      <alignment horizontal="center"/>
    </xf>
    <xf numFmtId="187" fontId="2" fillId="0" borderId="1" xfId="1" applyNumberFormat="1" applyFont="1" applyBorder="1"/>
    <xf numFmtId="0" fontId="2" fillId="0" borderId="16" xfId="0" applyFont="1" applyBorder="1"/>
    <xf numFmtId="0" fontId="2" fillId="10" borderId="0" xfId="0" applyFont="1" applyFill="1" applyBorder="1"/>
    <xf numFmtId="0" fontId="2" fillId="10" borderId="4" xfId="0" applyFont="1" applyFill="1" applyBorder="1" applyAlignment="1">
      <alignment horizontal="center"/>
    </xf>
    <xf numFmtId="187" fontId="2" fillId="10" borderId="4" xfId="0" applyNumberFormat="1" applyFont="1" applyFill="1" applyBorder="1"/>
    <xf numFmtId="187" fontId="2" fillId="0" borderId="1" xfId="0" applyNumberFormat="1" applyFont="1" applyBorder="1" applyAlignment="1">
      <alignment horizontal="right"/>
    </xf>
    <xf numFmtId="0" fontId="2" fillId="7" borderId="9" xfId="0" applyFont="1" applyFill="1" applyBorder="1" applyAlignment="1">
      <alignment horizontal="center" wrapText="1"/>
    </xf>
    <xf numFmtId="0" fontId="2" fillId="7" borderId="14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1" xfId="0" applyFont="1" applyFill="1" applyBorder="1" applyAlignment="1">
      <alignment horizontal="center" wrapText="1"/>
    </xf>
    <xf numFmtId="0" fontId="2" fillId="9" borderId="1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1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topLeftCell="A349" zoomScale="71" zoomScaleNormal="115" workbookViewId="0">
      <selection activeCell="D369" sqref="D369"/>
    </sheetView>
  </sheetViews>
  <sheetFormatPr defaultColWidth="8.8984375" defaultRowHeight="24.6" x14ac:dyDescent="0.7"/>
  <cols>
    <col min="1" max="1" width="11.59765625" style="1" customWidth="1"/>
    <col min="2" max="2" width="17.59765625" style="11" customWidth="1"/>
    <col min="3" max="3" width="8.8984375" style="11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23" customWidth="1"/>
    <col min="11" max="11" width="21.3984375" style="1" customWidth="1"/>
    <col min="12" max="12" width="19.8984375" style="1" customWidth="1"/>
    <col min="13" max="13" width="19.796875" style="1" customWidth="1"/>
    <col min="14" max="14" width="20.59765625" style="20" customWidth="1"/>
    <col min="15" max="15" width="21.69921875" style="1" customWidth="1"/>
    <col min="16" max="16384" width="8.8984375" style="1"/>
  </cols>
  <sheetData>
    <row r="1" spans="1:15" x14ac:dyDescent="0.7">
      <c r="A1" s="64" t="s">
        <v>0</v>
      </c>
      <c r="B1" s="64" t="s">
        <v>1</v>
      </c>
      <c r="C1" s="64" t="s">
        <v>2</v>
      </c>
      <c r="D1" s="66" t="s">
        <v>3</v>
      </c>
      <c r="E1" s="68" t="s">
        <v>4</v>
      </c>
      <c r="F1" s="62" t="s">
        <v>5</v>
      </c>
      <c r="G1" s="56" t="s">
        <v>6</v>
      </c>
      <c r="H1" s="56" t="s">
        <v>7</v>
      </c>
      <c r="I1" s="58" t="s">
        <v>8</v>
      </c>
      <c r="J1" s="60" t="s">
        <v>9</v>
      </c>
      <c r="K1" s="60" t="s">
        <v>10</v>
      </c>
      <c r="L1" s="60" t="s">
        <v>11</v>
      </c>
      <c r="M1" s="51" t="s">
        <v>12</v>
      </c>
      <c r="N1" s="53" t="s">
        <v>13</v>
      </c>
      <c r="O1" s="54" t="s">
        <v>14</v>
      </c>
    </row>
    <row r="2" spans="1:15" s="20" customFormat="1" ht="34.799999999999997" customHeight="1" x14ac:dyDescent="0.7">
      <c r="A2" s="65"/>
      <c r="B2" s="65"/>
      <c r="C2" s="65"/>
      <c r="D2" s="67"/>
      <c r="E2" s="69"/>
      <c r="F2" s="63"/>
      <c r="G2" s="57"/>
      <c r="H2" s="57"/>
      <c r="I2" s="59"/>
      <c r="J2" s="61"/>
      <c r="K2" s="61"/>
      <c r="L2" s="61"/>
      <c r="M2" s="52"/>
      <c r="N2" s="53"/>
      <c r="O2" s="55"/>
    </row>
    <row r="3" spans="1:15" s="20" customFormat="1" x14ac:dyDescent="0.7">
      <c r="A3" s="44">
        <v>2556</v>
      </c>
      <c r="B3" s="5" t="s">
        <v>15</v>
      </c>
      <c r="C3" s="5">
        <v>1</v>
      </c>
      <c r="D3" s="6">
        <v>9.1910000000000007</v>
      </c>
      <c r="E3" s="6">
        <v>0</v>
      </c>
      <c r="F3" s="6">
        <v>9.1910000000000007</v>
      </c>
      <c r="G3" s="45">
        <f>F3*86400</f>
        <v>794102.4</v>
      </c>
      <c r="H3" s="13">
        <f>G3/1000000</f>
        <v>0.79410239999999999</v>
      </c>
      <c r="I3" s="13">
        <f>H3*1000000*0.045</f>
        <v>35734.608</v>
      </c>
      <c r="J3" s="21">
        <f>I3/1000000</f>
        <v>3.5734608000000001E-2</v>
      </c>
      <c r="K3" s="13">
        <f>I3*0.12</f>
        <v>4288.1529599999994</v>
      </c>
      <c r="L3" s="13">
        <f>K3/1000000</f>
        <v>4.2881529599999996E-3</v>
      </c>
      <c r="M3" s="27">
        <f>J3+L3</f>
        <v>4.0022760960000001E-2</v>
      </c>
      <c r="N3" s="29">
        <f>H3*0.1</f>
        <v>7.9410240000000007E-2</v>
      </c>
      <c r="O3" s="28">
        <f>H3-M3-N3</f>
        <v>0.67466939904000001</v>
      </c>
    </row>
    <row r="4" spans="1:15" x14ac:dyDescent="0.7">
      <c r="A4" s="2"/>
      <c r="B4" s="2"/>
      <c r="C4" s="2">
        <v>2</v>
      </c>
      <c r="D4" s="3">
        <v>9.1349999999999998</v>
      </c>
      <c r="E4" s="6">
        <v>0</v>
      </c>
      <c r="F4" s="3">
        <v>9.1349999999999998</v>
      </c>
      <c r="G4" s="12">
        <f t="shared" ref="G4:G61" si="0">F4*86400</f>
        <v>789264</v>
      </c>
      <c r="H4" s="14">
        <f t="shared" ref="H4:H61" si="1">G4/1000000</f>
        <v>0.78926399999999997</v>
      </c>
      <c r="I4" s="14">
        <f t="shared" ref="I4:I67" si="2">H4*1000000*0.045</f>
        <v>35516.879999999997</v>
      </c>
      <c r="J4" s="26">
        <f t="shared" ref="J4:J67" si="3">I4/1000000</f>
        <v>3.5516880000000001E-2</v>
      </c>
      <c r="K4" s="14">
        <f t="shared" ref="K4:K67" si="4">I4*0.12</f>
        <v>4262.0255999999999</v>
      </c>
      <c r="L4" s="14">
        <f t="shared" ref="L4:L67" si="5">K4/1000000</f>
        <v>4.2620256000000002E-3</v>
      </c>
      <c r="M4" s="30">
        <f t="shared" ref="M4:M67" si="6">J4+L4</f>
        <v>3.9778905599999997E-2</v>
      </c>
      <c r="N4" s="29">
        <f t="shared" ref="N4:N67" si="7">H4*0.1</f>
        <v>7.8926400000000008E-2</v>
      </c>
      <c r="O4" s="32">
        <f t="shared" ref="O4:O67" si="8">H4-M4-N4</f>
        <v>0.67055869439999993</v>
      </c>
    </row>
    <row r="5" spans="1:15" x14ac:dyDescent="0.7">
      <c r="A5" s="5"/>
      <c r="B5" s="5"/>
      <c r="C5" s="5">
        <v>3</v>
      </c>
      <c r="D5" s="6">
        <v>9.0310000000000006</v>
      </c>
      <c r="E5" s="6">
        <v>0</v>
      </c>
      <c r="F5" s="6">
        <v>9.0310000000000006</v>
      </c>
      <c r="G5" s="12">
        <f t="shared" si="0"/>
        <v>780278.4</v>
      </c>
      <c r="H5" s="14">
        <f t="shared" si="1"/>
        <v>0.78027840000000004</v>
      </c>
      <c r="I5" s="13">
        <f t="shared" si="2"/>
        <v>35112.527999999998</v>
      </c>
      <c r="J5" s="21">
        <f t="shared" si="3"/>
        <v>3.5112527999999997E-2</v>
      </c>
      <c r="K5" s="13">
        <f t="shared" si="4"/>
        <v>4213.5033599999997</v>
      </c>
      <c r="L5" s="13">
        <f t="shared" si="5"/>
        <v>4.2135033599999998E-3</v>
      </c>
      <c r="M5" s="27">
        <f t="shared" si="6"/>
        <v>3.9326031359999999E-2</v>
      </c>
      <c r="N5" s="29">
        <f t="shared" si="7"/>
        <v>7.8027840000000015E-2</v>
      </c>
      <c r="O5" s="28">
        <f t="shared" si="8"/>
        <v>0.66292452864000007</v>
      </c>
    </row>
    <row r="6" spans="1:15" x14ac:dyDescent="0.7">
      <c r="A6" s="5"/>
      <c r="B6" s="5"/>
      <c r="C6" s="5">
        <v>4</v>
      </c>
      <c r="D6" s="6">
        <v>8.9369999999999994</v>
      </c>
      <c r="E6" s="6">
        <v>0</v>
      </c>
      <c r="F6" s="6">
        <v>8.9369999999999994</v>
      </c>
      <c r="G6" s="12">
        <f t="shared" si="0"/>
        <v>772156.79999999993</v>
      </c>
      <c r="H6" s="14">
        <f t="shared" si="1"/>
        <v>0.77215679999999998</v>
      </c>
      <c r="I6" s="13">
        <f t="shared" si="2"/>
        <v>34747.055999999997</v>
      </c>
      <c r="J6" s="21">
        <f t="shared" si="3"/>
        <v>3.4747055999999998E-2</v>
      </c>
      <c r="K6" s="13">
        <f t="shared" si="4"/>
        <v>4169.6467199999997</v>
      </c>
      <c r="L6" s="13">
        <f t="shared" si="5"/>
        <v>4.1696467199999997E-3</v>
      </c>
      <c r="M6" s="27">
        <f t="shared" si="6"/>
        <v>3.8916702720000002E-2</v>
      </c>
      <c r="N6" s="29">
        <f t="shared" si="7"/>
        <v>7.7215680000000009E-2</v>
      </c>
      <c r="O6" s="28">
        <f t="shared" si="8"/>
        <v>0.65602441727999994</v>
      </c>
    </row>
    <row r="7" spans="1:15" x14ac:dyDescent="0.7">
      <c r="A7" s="5"/>
      <c r="B7" s="5"/>
      <c r="C7" s="5">
        <v>5</v>
      </c>
      <c r="D7" s="6">
        <v>8.8870000000000005</v>
      </c>
      <c r="E7" s="6">
        <v>0</v>
      </c>
      <c r="F7" s="6">
        <v>8.8870000000000005</v>
      </c>
      <c r="G7" s="12">
        <f t="shared" si="0"/>
        <v>767836.8</v>
      </c>
      <c r="H7" s="14">
        <f t="shared" si="1"/>
        <v>0.7678368000000001</v>
      </c>
      <c r="I7" s="13">
        <f t="shared" si="2"/>
        <v>34552.656000000003</v>
      </c>
      <c r="J7" s="21">
        <f t="shared" si="3"/>
        <v>3.4552656000000001E-2</v>
      </c>
      <c r="K7" s="13">
        <f t="shared" si="4"/>
        <v>4146.3187200000002</v>
      </c>
      <c r="L7" s="13">
        <f t="shared" si="5"/>
        <v>4.1463187200000001E-3</v>
      </c>
      <c r="M7" s="27">
        <f t="shared" si="6"/>
        <v>3.8698974720000001E-2</v>
      </c>
      <c r="N7" s="29">
        <f t="shared" si="7"/>
        <v>7.6783680000000021E-2</v>
      </c>
      <c r="O7" s="28">
        <f t="shared" si="8"/>
        <v>0.65235414528000002</v>
      </c>
    </row>
    <row r="8" spans="1:15" x14ac:dyDescent="0.7">
      <c r="A8" s="5"/>
      <c r="B8" s="5"/>
      <c r="C8" s="5">
        <v>6</v>
      </c>
      <c r="D8" s="6">
        <v>8.8070000000000004</v>
      </c>
      <c r="E8" s="6">
        <v>0</v>
      </c>
      <c r="F8" s="6">
        <v>8.8070000000000004</v>
      </c>
      <c r="G8" s="12">
        <f t="shared" si="0"/>
        <v>760924.8</v>
      </c>
      <c r="H8" s="14">
        <f t="shared" si="1"/>
        <v>0.76092480000000007</v>
      </c>
      <c r="I8" s="13">
        <f t="shared" si="2"/>
        <v>34241.616000000002</v>
      </c>
      <c r="J8" s="21">
        <f t="shared" si="3"/>
        <v>3.4241616000000002E-2</v>
      </c>
      <c r="K8" s="13">
        <f t="shared" si="4"/>
        <v>4108.9939199999999</v>
      </c>
      <c r="L8" s="13">
        <f t="shared" si="5"/>
        <v>4.1089939199999998E-3</v>
      </c>
      <c r="M8" s="27">
        <f t="shared" si="6"/>
        <v>3.8350609920000001E-2</v>
      </c>
      <c r="N8" s="29">
        <f t="shared" si="7"/>
        <v>7.6092480000000018E-2</v>
      </c>
      <c r="O8" s="28">
        <f t="shared" si="8"/>
        <v>0.64648171007999999</v>
      </c>
    </row>
    <row r="9" spans="1:15" x14ac:dyDescent="0.7">
      <c r="A9" s="5"/>
      <c r="B9" s="5"/>
      <c r="C9" s="5">
        <v>7</v>
      </c>
      <c r="D9" s="6">
        <v>8.8070000000000004</v>
      </c>
      <c r="E9" s="6">
        <v>0</v>
      </c>
      <c r="F9" s="6">
        <v>8.8070000000000004</v>
      </c>
      <c r="G9" s="12">
        <f t="shared" si="0"/>
        <v>760924.8</v>
      </c>
      <c r="H9" s="14">
        <f t="shared" si="1"/>
        <v>0.76092480000000007</v>
      </c>
      <c r="I9" s="13">
        <f t="shared" si="2"/>
        <v>34241.616000000002</v>
      </c>
      <c r="J9" s="21">
        <f>I9/1000000</f>
        <v>3.4241616000000002E-2</v>
      </c>
      <c r="K9" s="13">
        <f t="shared" si="4"/>
        <v>4108.9939199999999</v>
      </c>
      <c r="L9" s="13">
        <f t="shared" si="5"/>
        <v>4.1089939199999998E-3</v>
      </c>
      <c r="M9" s="27">
        <f t="shared" si="6"/>
        <v>3.8350609920000001E-2</v>
      </c>
      <c r="N9" s="29">
        <f t="shared" si="7"/>
        <v>7.6092480000000018E-2</v>
      </c>
      <c r="O9" s="28">
        <f t="shared" si="8"/>
        <v>0.64648171007999999</v>
      </c>
    </row>
    <row r="10" spans="1:15" x14ac:dyDescent="0.7">
      <c r="A10" s="5"/>
      <c r="B10" s="5"/>
      <c r="C10" s="5">
        <v>8</v>
      </c>
      <c r="D10" s="6">
        <v>8.57</v>
      </c>
      <c r="E10" s="6">
        <v>0</v>
      </c>
      <c r="F10" s="6">
        <v>8.57</v>
      </c>
      <c r="G10" s="12">
        <f t="shared" si="0"/>
        <v>740448</v>
      </c>
      <c r="H10" s="14">
        <f t="shared" si="1"/>
        <v>0.740448</v>
      </c>
      <c r="I10" s="13">
        <f t="shared" si="2"/>
        <v>33320.159999999996</v>
      </c>
      <c r="J10" s="21">
        <f t="shared" si="3"/>
        <v>3.3320159999999995E-2</v>
      </c>
      <c r="K10" s="13">
        <f t="shared" si="4"/>
        <v>3998.4191999999994</v>
      </c>
      <c r="L10" s="13">
        <f t="shared" si="5"/>
        <v>3.9984191999999997E-3</v>
      </c>
      <c r="M10" s="27">
        <f t="shared" si="6"/>
        <v>3.7318579199999993E-2</v>
      </c>
      <c r="N10" s="29">
        <f t="shared" si="7"/>
        <v>7.4044800000000008E-2</v>
      </c>
      <c r="O10" s="28">
        <f t="shared" si="8"/>
        <v>0.62908462079999994</v>
      </c>
    </row>
    <row r="11" spans="1:15" x14ac:dyDescent="0.7">
      <c r="A11" s="5"/>
      <c r="B11" s="5"/>
      <c r="C11" s="5">
        <v>9</v>
      </c>
      <c r="D11" s="6">
        <v>8.57</v>
      </c>
      <c r="E11" s="6">
        <v>0</v>
      </c>
      <c r="F11" s="6">
        <v>8.57</v>
      </c>
      <c r="G11" s="12">
        <f t="shared" si="0"/>
        <v>740448</v>
      </c>
      <c r="H11" s="14">
        <f t="shared" si="1"/>
        <v>0.740448</v>
      </c>
      <c r="I11" s="13">
        <f t="shared" si="2"/>
        <v>33320.159999999996</v>
      </c>
      <c r="J11" s="21">
        <f t="shared" si="3"/>
        <v>3.3320159999999995E-2</v>
      </c>
      <c r="K11" s="13">
        <f t="shared" si="4"/>
        <v>3998.4191999999994</v>
      </c>
      <c r="L11" s="13">
        <f t="shared" si="5"/>
        <v>3.9984191999999997E-3</v>
      </c>
      <c r="M11" s="27">
        <f t="shared" si="6"/>
        <v>3.7318579199999993E-2</v>
      </c>
      <c r="N11" s="29">
        <f t="shared" si="7"/>
        <v>7.4044800000000008E-2</v>
      </c>
      <c r="O11" s="28">
        <f t="shared" si="8"/>
        <v>0.62908462079999994</v>
      </c>
    </row>
    <row r="12" spans="1:15" x14ac:dyDescent="0.7">
      <c r="A12" s="5"/>
      <c r="B12" s="5"/>
      <c r="C12" s="5">
        <v>10</v>
      </c>
      <c r="D12" s="6">
        <v>8.2629999999999999</v>
      </c>
      <c r="E12" s="6">
        <v>0</v>
      </c>
      <c r="F12" s="6">
        <v>8.2629999999999999</v>
      </c>
      <c r="G12" s="12">
        <f t="shared" si="0"/>
        <v>713923.2</v>
      </c>
      <c r="H12" s="14">
        <f t="shared" si="1"/>
        <v>0.71392319999999998</v>
      </c>
      <c r="I12" s="13">
        <f t="shared" si="2"/>
        <v>32126.543999999998</v>
      </c>
      <c r="J12" s="21">
        <f t="shared" si="3"/>
        <v>3.2126544E-2</v>
      </c>
      <c r="K12" s="13">
        <f t="shared" si="4"/>
        <v>3855.1852799999997</v>
      </c>
      <c r="L12" s="13">
        <f t="shared" si="5"/>
        <v>3.8551852799999999E-3</v>
      </c>
      <c r="M12" s="27">
        <f t="shared" si="6"/>
        <v>3.5981729279999999E-2</v>
      </c>
      <c r="N12" s="29">
        <f t="shared" si="7"/>
        <v>7.1392319999999995E-2</v>
      </c>
      <c r="O12" s="28">
        <f t="shared" si="8"/>
        <v>0.60654915072000004</v>
      </c>
    </row>
    <row r="13" spans="1:15" x14ac:dyDescent="0.7">
      <c r="A13" s="5"/>
      <c r="B13" s="5"/>
      <c r="C13" s="5">
        <v>11</v>
      </c>
      <c r="D13" s="6">
        <v>8.2629999999999999</v>
      </c>
      <c r="E13" s="6">
        <v>0</v>
      </c>
      <c r="F13" s="6">
        <v>8.2629999999999999</v>
      </c>
      <c r="G13" s="12">
        <f t="shared" si="0"/>
        <v>713923.2</v>
      </c>
      <c r="H13" s="14">
        <f t="shared" si="1"/>
        <v>0.71392319999999998</v>
      </c>
      <c r="I13" s="13">
        <f t="shared" si="2"/>
        <v>32126.543999999998</v>
      </c>
      <c r="J13" s="21">
        <f t="shared" si="3"/>
        <v>3.2126544E-2</v>
      </c>
      <c r="K13" s="13">
        <f t="shared" si="4"/>
        <v>3855.1852799999997</v>
      </c>
      <c r="L13" s="13">
        <f t="shared" si="5"/>
        <v>3.8551852799999999E-3</v>
      </c>
      <c r="M13" s="27">
        <f t="shared" si="6"/>
        <v>3.5981729279999999E-2</v>
      </c>
      <c r="N13" s="29">
        <f t="shared" si="7"/>
        <v>7.1392319999999995E-2</v>
      </c>
      <c r="O13" s="28">
        <f t="shared" si="8"/>
        <v>0.60654915072000004</v>
      </c>
    </row>
    <row r="14" spans="1:15" x14ac:dyDescent="0.7">
      <c r="A14" s="5"/>
      <c r="B14" s="5"/>
      <c r="C14" s="5">
        <v>12</v>
      </c>
      <c r="D14" s="6">
        <v>8.2089999999999996</v>
      </c>
      <c r="E14" s="6">
        <v>0</v>
      </c>
      <c r="F14" s="6">
        <v>8.2089999999999996</v>
      </c>
      <c r="G14" s="12">
        <f t="shared" si="0"/>
        <v>709257.6</v>
      </c>
      <c r="H14" s="14">
        <f t="shared" si="1"/>
        <v>0.70925759999999993</v>
      </c>
      <c r="I14" s="13">
        <f t="shared" si="2"/>
        <v>31916.591999999997</v>
      </c>
      <c r="J14" s="21">
        <f t="shared" si="3"/>
        <v>3.1916591999999994E-2</v>
      </c>
      <c r="K14" s="13">
        <f t="shared" si="4"/>
        <v>3829.9910399999994</v>
      </c>
      <c r="L14" s="13">
        <f t="shared" si="5"/>
        <v>3.8299910399999994E-3</v>
      </c>
      <c r="M14" s="27">
        <f t="shared" si="6"/>
        <v>3.5746583039999995E-2</v>
      </c>
      <c r="N14" s="29">
        <f t="shared" si="7"/>
        <v>7.092575999999999E-2</v>
      </c>
      <c r="O14" s="28">
        <f t="shared" si="8"/>
        <v>0.60258525695999998</v>
      </c>
    </row>
    <row r="15" spans="1:15" x14ac:dyDescent="0.7">
      <c r="A15" s="5"/>
      <c r="B15" s="5"/>
      <c r="C15" s="5">
        <v>13</v>
      </c>
      <c r="D15" s="6">
        <v>8.2089999999999996</v>
      </c>
      <c r="E15" s="6">
        <v>0</v>
      </c>
      <c r="F15" s="6">
        <v>8.2089999999999996</v>
      </c>
      <c r="G15" s="12">
        <f t="shared" si="0"/>
        <v>709257.6</v>
      </c>
      <c r="H15" s="14">
        <f t="shared" si="1"/>
        <v>0.70925759999999993</v>
      </c>
      <c r="I15" s="13">
        <f t="shared" si="2"/>
        <v>31916.591999999997</v>
      </c>
      <c r="J15" s="21">
        <f t="shared" si="3"/>
        <v>3.1916591999999994E-2</v>
      </c>
      <c r="K15" s="13">
        <f t="shared" si="4"/>
        <v>3829.9910399999994</v>
      </c>
      <c r="L15" s="13">
        <f t="shared" si="5"/>
        <v>3.8299910399999994E-3</v>
      </c>
      <c r="M15" s="27">
        <f t="shared" si="6"/>
        <v>3.5746583039999995E-2</v>
      </c>
      <c r="N15" s="29">
        <f t="shared" si="7"/>
        <v>7.092575999999999E-2</v>
      </c>
      <c r="O15" s="28">
        <f t="shared" si="8"/>
        <v>0.60258525695999998</v>
      </c>
    </row>
    <row r="16" spans="1:15" x14ac:dyDescent="0.7">
      <c r="A16" s="5"/>
      <c r="B16" s="5"/>
      <c r="C16" s="5">
        <v>14</v>
      </c>
      <c r="D16" s="6">
        <v>8.0960000000000001</v>
      </c>
      <c r="E16" s="6">
        <v>0</v>
      </c>
      <c r="F16" s="6">
        <v>8.0960000000000001</v>
      </c>
      <c r="G16" s="12">
        <f t="shared" si="0"/>
        <v>699494.40000000002</v>
      </c>
      <c r="H16" s="14">
        <f t="shared" si="1"/>
        <v>0.69949440000000007</v>
      </c>
      <c r="I16" s="13">
        <f t="shared" si="2"/>
        <v>31477.248</v>
      </c>
      <c r="J16" s="21">
        <f t="shared" si="3"/>
        <v>3.1477247999999999E-2</v>
      </c>
      <c r="K16" s="13">
        <f t="shared" si="4"/>
        <v>3777.2697599999997</v>
      </c>
      <c r="L16" s="13">
        <f t="shared" si="5"/>
        <v>3.7772697599999998E-3</v>
      </c>
      <c r="M16" s="27">
        <f t="shared" si="6"/>
        <v>3.525451776E-2</v>
      </c>
      <c r="N16" s="29">
        <f t="shared" si="7"/>
        <v>6.9949440000000015E-2</v>
      </c>
      <c r="O16" s="28">
        <f t="shared" si="8"/>
        <v>0.59429044224000005</v>
      </c>
    </row>
    <row r="17" spans="1:15" x14ac:dyDescent="0.7">
      <c r="A17" s="5"/>
      <c r="B17" s="5"/>
      <c r="C17" s="5">
        <v>15</v>
      </c>
      <c r="D17" s="6">
        <v>8.0180000000000007</v>
      </c>
      <c r="E17" s="6">
        <v>0</v>
      </c>
      <c r="F17" s="6">
        <v>8.0180000000000007</v>
      </c>
      <c r="G17" s="12">
        <f t="shared" si="0"/>
        <v>692755.20000000007</v>
      </c>
      <c r="H17" s="14">
        <f t="shared" si="1"/>
        <v>0.69275520000000002</v>
      </c>
      <c r="I17" s="13">
        <f t="shared" si="2"/>
        <v>31173.984</v>
      </c>
      <c r="J17" s="21">
        <f t="shared" si="3"/>
        <v>3.1173984000000002E-2</v>
      </c>
      <c r="K17" s="13">
        <f t="shared" si="4"/>
        <v>3740.87808</v>
      </c>
      <c r="L17" s="13">
        <f t="shared" si="5"/>
        <v>3.7408780800000001E-3</v>
      </c>
      <c r="M17" s="27">
        <f t="shared" si="6"/>
        <v>3.4914862080000005E-2</v>
      </c>
      <c r="N17" s="29">
        <f t="shared" si="7"/>
        <v>6.9275520000000007E-2</v>
      </c>
      <c r="O17" s="28">
        <f t="shared" si="8"/>
        <v>0.58856481791999993</v>
      </c>
    </row>
    <row r="18" spans="1:15" x14ac:dyDescent="0.7">
      <c r="A18" s="5"/>
      <c r="B18" s="5"/>
      <c r="C18" s="5">
        <v>16</v>
      </c>
      <c r="D18" s="6">
        <v>7.96</v>
      </c>
      <c r="E18" s="6">
        <v>0</v>
      </c>
      <c r="F18" s="6">
        <v>7.96</v>
      </c>
      <c r="G18" s="12">
        <f t="shared" si="0"/>
        <v>687744</v>
      </c>
      <c r="H18" s="14">
        <f t="shared" si="1"/>
        <v>0.68774400000000002</v>
      </c>
      <c r="I18" s="13">
        <f t="shared" si="2"/>
        <v>30948.48</v>
      </c>
      <c r="J18" s="21">
        <f t="shared" si="3"/>
        <v>3.094848E-2</v>
      </c>
      <c r="K18" s="13">
        <f t="shared" si="4"/>
        <v>3713.8175999999999</v>
      </c>
      <c r="L18" s="13">
        <f t="shared" si="5"/>
        <v>3.7138175999999997E-3</v>
      </c>
      <c r="M18" s="27">
        <f t="shared" si="6"/>
        <v>3.4662297600000003E-2</v>
      </c>
      <c r="N18" s="29">
        <f t="shared" si="7"/>
        <v>6.8774399999999999E-2</v>
      </c>
      <c r="O18" s="28">
        <f t="shared" si="8"/>
        <v>0.58430730239999995</v>
      </c>
    </row>
    <row r="19" spans="1:15" x14ac:dyDescent="0.7">
      <c r="A19" s="5"/>
      <c r="B19" s="5"/>
      <c r="C19" s="5">
        <v>17</v>
      </c>
      <c r="D19" s="6">
        <v>7.9020000000000001</v>
      </c>
      <c r="E19" s="6">
        <v>0</v>
      </c>
      <c r="F19" s="6">
        <v>7.9020000000000001</v>
      </c>
      <c r="G19" s="12">
        <f t="shared" si="0"/>
        <v>682732.8</v>
      </c>
      <c r="H19" s="14">
        <f t="shared" si="1"/>
        <v>0.68273280000000003</v>
      </c>
      <c r="I19" s="13">
        <f t="shared" si="2"/>
        <v>30722.976000000002</v>
      </c>
      <c r="J19" s="21">
        <f t="shared" si="3"/>
        <v>3.0722976000000003E-2</v>
      </c>
      <c r="K19" s="13">
        <f t="shared" si="4"/>
        <v>3686.7571200000002</v>
      </c>
      <c r="L19" s="13">
        <f t="shared" si="5"/>
        <v>3.6867571200000001E-3</v>
      </c>
      <c r="M19" s="27">
        <f t="shared" si="6"/>
        <v>3.4409733120000001E-2</v>
      </c>
      <c r="N19" s="29">
        <f t="shared" si="7"/>
        <v>6.8273280000000006E-2</v>
      </c>
      <c r="O19" s="28">
        <f t="shared" si="8"/>
        <v>0.58004978688000008</v>
      </c>
    </row>
    <row r="20" spans="1:15" x14ac:dyDescent="0.7">
      <c r="A20" s="5"/>
      <c r="B20" s="5"/>
      <c r="C20" s="5">
        <v>18</v>
      </c>
      <c r="D20" s="6">
        <v>7.9020000000000001</v>
      </c>
      <c r="E20" s="6">
        <v>0</v>
      </c>
      <c r="F20" s="6">
        <v>7.9020000000000001</v>
      </c>
      <c r="G20" s="12">
        <f t="shared" si="0"/>
        <v>682732.8</v>
      </c>
      <c r="H20" s="14">
        <f t="shared" si="1"/>
        <v>0.68273280000000003</v>
      </c>
      <c r="I20" s="13">
        <f t="shared" si="2"/>
        <v>30722.976000000002</v>
      </c>
      <c r="J20" s="21">
        <f t="shared" si="3"/>
        <v>3.0722976000000003E-2</v>
      </c>
      <c r="K20" s="13">
        <f t="shared" si="4"/>
        <v>3686.7571200000002</v>
      </c>
      <c r="L20" s="13">
        <f t="shared" si="5"/>
        <v>3.6867571200000001E-3</v>
      </c>
      <c r="M20" s="27">
        <f t="shared" si="6"/>
        <v>3.4409733120000001E-2</v>
      </c>
      <c r="N20" s="29">
        <f t="shared" si="7"/>
        <v>6.8273280000000006E-2</v>
      </c>
      <c r="O20" s="28">
        <f t="shared" si="8"/>
        <v>0.58004978688000008</v>
      </c>
    </row>
    <row r="21" spans="1:15" x14ac:dyDescent="0.7">
      <c r="A21" s="5"/>
      <c r="B21" s="5"/>
      <c r="C21" s="5">
        <v>19</v>
      </c>
      <c r="D21" s="6">
        <v>7.84</v>
      </c>
      <c r="E21" s="6">
        <v>0</v>
      </c>
      <c r="F21" s="6">
        <v>7.84</v>
      </c>
      <c r="G21" s="12">
        <f t="shared" si="0"/>
        <v>677376</v>
      </c>
      <c r="H21" s="14">
        <f t="shared" si="1"/>
        <v>0.67737599999999998</v>
      </c>
      <c r="I21" s="13">
        <f t="shared" si="2"/>
        <v>30481.919999999998</v>
      </c>
      <c r="J21" s="21">
        <f t="shared" si="3"/>
        <v>3.0481919999999999E-2</v>
      </c>
      <c r="K21" s="13">
        <f t="shared" si="4"/>
        <v>3657.8303999999998</v>
      </c>
      <c r="L21" s="13">
        <f t="shared" si="5"/>
        <v>3.6578303999999996E-3</v>
      </c>
      <c r="M21" s="27">
        <f t="shared" si="6"/>
        <v>3.4139750400000002E-2</v>
      </c>
      <c r="N21" s="29">
        <f t="shared" si="7"/>
        <v>6.7737599999999995E-2</v>
      </c>
      <c r="O21" s="28">
        <f t="shared" si="8"/>
        <v>0.57549864959999997</v>
      </c>
    </row>
    <row r="22" spans="1:15" x14ac:dyDescent="0.7">
      <c r="A22" s="5"/>
      <c r="B22" s="5"/>
      <c r="C22" s="5">
        <v>20</v>
      </c>
      <c r="D22" s="6">
        <v>7.84</v>
      </c>
      <c r="E22" s="6">
        <v>0</v>
      </c>
      <c r="F22" s="6">
        <v>7.84</v>
      </c>
      <c r="G22" s="12">
        <f t="shared" si="0"/>
        <v>677376</v>
      </c>
      <c r="H22" s="14">
        <f t="shared" si="1"/>
        <v>0.67737599999999998</v>
      </c>
      <c r="I22" s="13">
        <f t="shared" si="2"/>
        <v>30481.919999999998</v>
      </c>
      <c r="J22" s="21">
        <f t="shared" si="3"/>
        <v>3.0481919999999999E-2</v>
      </c>
      <c r="K22" s="13">
        <f t="shared" si="4"/>
        <v>3657.8303999999998</v>
      </c>
      <c r="L22" s="13">
        <f t="shared" si="5"/>
        <v>3.6578303999999996E-3</v>
      </c>
      <c r="M22" s="27">
        <f t="shared" si="6"/>
        <v>3.4139750400000002E-2</v>
      </c>
      <c r="N22" s="29">
        <f t="shared" si="7"/>
        <v>6.7737599999999995E-2</v>
      </c>
      <c r="O22" s="28">
        <f t="shared" si="8"/>
        <v>0.57549864959999997</v>
      </c>
    </row>
    <row r="23" spans="1:15" x14ac:dyDescent="0.7">
      <c r="A23" s="5"/>
      <c r="B23" s="5"/>
      <c r="C23" s="5">
        <v>21</v>
      </c>
      <c r="D23" s="6">
        <v>7.7240000000000002</v>
      </c>
      <c r="E23" s="6">
        <v>0</v>
      </c>
      <c r="F23" s="6">
        <v>7.7240000000000002</v>
      </c>
      <c r="G23" s="12">
        <f t="shared" si="0"/>
        <v>667353.59999999998</v>
      </c>
      <c r="H23" s="14">
        <f t="shared" si="1"/>
        <v>0.66735359999999999</v>
      </c>
      <c r="I23" s="13">
        <f t="shared" si="2"/>
        <v>30030.911999999997</v>
      </c>
      <c r="J23" s="21">
        <f t="shared" si="3"/>
        <v>3.0030911999999996E-2</v>
      </c>
      <c r="K23" s="13">
        <f t="shared" si="4"/>
        <v>3603.7094399999996</v>
      </c>
      <c r="L23" s="13">
        <f t="shared" si="5"/>
        <v>3.6037094399999996E-3</v>
      </c>
      <c r="M23" s="27">
        <f t="shared" si="6"/>
        <v>3.3634621439999998E-2</v>
      </c>
      <c r="N23" s="29">
        <f t="shared" si="7"/>
        <v>6.6735360000000007E-2</v>
      </c>
      <c r="O23" s="28">
        <f t="shared" si="8"/>
        <v>0.56698361856000001</v>
      </c>
    </row>
    <row r="24" spans="1:15" x14ac:dyDescent="0.7">
      <c r="A24" s="5"/>
      <c r="B24" s="5"/>
      <c r="C24" s="5">
        <v>22</v>
      </c>
      <c r="D24" s="6">
        <v>7.2359999999999998</v>
      </c>
      <c r="E24" s="6">
        <v>0</v>
      </c>
      <c r="F24" s="6">
        <v>7.2359999999999998</v>
      </c>
      <c r="G24" s="12">
        <f t="shared" si="0"/>
        <v>625190.40000000002</v>
      </c>
      <c r="H24" s="14">
        <f t="shared" si="1"/>
        <v>0.62519040000000003</v>
      </c>
      <c r="I24" s="13">
        <f t="shared" si="2"/>
        <v>28133.567999999999</v>
      </c>
      <c r="J24" s="21">
        <f t="shared" si="3"/>
        <v>2.8133567999999998E-2</v>
      </c>
      <c r="K24" s="13">
        <f t="shared" si="4"/>
        <v>3376.0281599999998</v>
      </c>
      <c r="L24" s="13">
        <f t="shared" si="5"/>
        <v>3.3760281599999999E-3</v>
      </c>
      <c r="M24" s="27">
        <f t="shared" si="6"/>
        <v>3.150959616E-2</v>
      </c>
      <c r="N24" s="29">
        <f t="shared" si="7"/>
        <v>6.2519040000000012E-2</v>
      </c>
      <c r="O24" s="28">
        <f t="shared" si="8"/>
        <v>0.53116176384000002</v>
      </c>
    </row>
    <row r="25" spans="1:15" x14ac:dyDescent="0.7">
      <c r="A25" s="5"/>
      <c r="B25" s="5"/>
      <c r="C25" s="5">
        <v>23</v>
      </c>
      <c r="D25" s="6">
        <v>7.0890000000000004</v>
      </c>
      <c r="E25" s="6">
        <v>0</v>
      </c>
      <c r="F25" s="6">
        <v>7.0890000000000004</v>
      </c>
      <c r="G25" s="12">
        <f t="shared" si="0"/>
        <v>612489.60000000009</v>
      </c>
      <c r="H25" s="14">
        <f t="shared" si="1"/>
        <v>0.61248960000000008</v>
      </c>
      <c r="I25" s="13">
        <f t="shared" si="2"/>
        <v>27562.032000000003</v>
      </c>
      <c r="J25" s="21">
        <f t="shared" si="3"/>
        <v>2.7562032000000004E-2</v>
      </c>
      <c r="K25" s="13">
        <f t="shared" si="4"/>
        <v>3307.4438400000004</v>
      </c>
      <c r="L25" s="13">
        <f t="shared" si="5"/>
        <v>3.3074438400000003E-3</v>
      </c>
      <c r="M25" s="27">
        <f t="shared" si="6"/>
        <v>3.0869475840000004E-2</v>
      </c>
      <c r="N25" s="29">
        <f t="shared" si="7"/>
        <v>6.1248960000000012E-2</v>
      </c>
      <c r="O25" s="28">
        <f t="shared" si="8"/>
        <v>0.52037116416000007</v>
      </c>
    </row>
    <row r="26" spans="1:15" x14ac:dyDescent="0.7">
      <c r="A26" s="5"/>
      <c r="B26" s="5"/>
      <c r="C26" s="5">
        <v>24</v>
      </c>
      <c r="D26" s="6">
        <v>6.9939999999999998</v>
      </c>
      <c r="E26" s="6">
        <v>0</v>
      </c>
      <c r="F26" s="6">
        <v>6.9939999999999998</v>
      </c>
      <c r="G26" s="12">
        <f t="shared" si="0"/>
        <v>604281.59999999998</v>
      </c>
      <c r="H26" s="14">
        <f t="shared" si="1"/>
        <v>0.60428159999999997</v>
      </c>
      <c r="I26" s="13">
        <f t="shared" si="2"/>
        <v>27192.671999999999</v>
      </c>
      <c r="J26" s="21">
        <f t="shared" si="3"/>
        <v>2.7192671999999998E-2</v>
      </c>
      <c r="K26" s="13">
        <f t="shared" si="4"/>
        <v>3263.1206399999996</v>
      </c>
      <c r="L26" s="13">
        <f t="shared" si="5"/>
        <v>3.2631206399999996E-3</v>
      </c>
      <c r="M26" s="27">
        <f t="shared" si="6"/>
        <v>3.0455792639999996E-2</v>
      </c>
      <c r="N26" s="29">
        <f t="shared" si="7"/>
        <v>6.0428160000000002E-2</v>
      </c>
      <c r="O26" s="28">
        <f t="shared" si="8"/>
        <v>0.51339764736000004</v>
      </c>
    </row>
    <row r="27" spans="1:15" x14ac:dyDescent="0.7">
      <c r="A27" s="5"/>
      <c r="B27" s="5"/>
      <c r="C27" s="5">
        <v>25</v>
      </c>
      <c r="D27" s="6">
        <v>6.9939999999999998</v>
      </c>
      <c r="E27" s="6">
        <v>0</v>
      </c>
      <c r="F27" s="6">
        <v>6.9939999999999998</v>
      </c>
      <c r="G27" s="12">
        <f t="shared" si="0"/>
        <v>604281.59999999998</v>
      </c>
      <c r="H27" s="14">
        <f t="shared" si="1"/>
        <v>0.60428159999999997</v>
      </c>
      <c r="I27" s="13">
        <f t="shared" si="2"/>
        <v>27192.671999999999</v>
      </c>
      <c r="J27" s="21">
        <f t="shared" si="3"/>
        <v>2.7192671999999998E-2</v>
      </c>
      <c r="K27" s="13">
        <f t="shared" si="4"/>
        <v>3263.1206399999996</v>
      </c>
      <c r="L27" s="13">
        <f t="shared" si="5"/>
        <v>3.2631206399999996E-3</v>
      </c>
      <c r="M27" s="27">
        <f t="shared" si="6"/>
        <v>3.0455792639999996E-2</v>
      </c>
      <c r="N27" s="29">
        <f t="shared" si="7"/>
        <v>6.0428160000000002E-2</v>
      </c>
      <c r="O27" s="28">
        <f t="shared" si="8"/>
        <v>0.51339764736000004</v>
      </c>
    </row>
    <row r="28" spans="1:15" x14ac:dyDescent="0.7">
      <c r="A28" s="5"/>
      <c r="B28" s="5"/>
      <c r="C28" s="5">
        <v>26</v>
      </c>
      <c r="D28" s="6">
        <v>6.7990000000000004</v>
      </c>
      <c r="E28" s="6">
        <v>0</v>
      </c>
      <c r="F28" s="6">
        <v>6.7990000000000004</v>
      </c>
      <c r="G28" s="12">
        <f t="shared" si="0"/>
        <v>587433.6</v>
      </c>
      <c r="H28" s="14">
        <f t="shared" si="1"/>
        <v>0.5874336</v>
      </c>
      <c r="I28" s="13">
        <f t="shared" si="2"/>
        <v>26434.511999999999</v>
      </c>
      <c r="J28" s="21">
        <f t="shared" si="3"/>
        <v>2.6434512E-2</v>
      </c>
      <c r="K28" s="13">
        <f t="shared" si="4"/>
        <v>3172.1414399999999</v>
      </c>
      <c r="L28" s="13">
        <f t="shared" si="5"/>
        <v>3.1721414399999998E-3</v>
      </c>
      <c r="M28" s="27">
        <f t="shared" si="6"/>
        <v>2.9606653439999998E-2</v>
      </c>
      <c r="N28" s="29">
        <f t="shared" si="7"/>
        <v>5.8743360000000001E-2</v>
      </c>
      <c r="O28" s="28">
        <f t="shared" si="8"/>
        <v>0.49908358655999996</v>
      </c>
    </row>
    <row r="29" spans="1:15" x14ac:dyDescent="0.7">
      <c r="A29" s="5"/>
      <c r="B29" s="5"/>
      <c r="C29" s="5">
        <v>27</v>
      </c>
      <c r="D29" s="6">
        <v>6.4080000000000004</v>
      </c>
      <c r="E29" s="6">
        <v>0</v>
      </c>
      <c r="F29" s="6">
        <v>6.4080000000000004</v>
      </c>
      <c r="G29" s="12">
        <f t="shared" si="0"/>
        <v>553651.20000000007</v>
      </c>
      <c r="H29" s="14">
        <f t="shared" si="1"/>
        <v>0.55365120000000012</v>
      </c>
      <c r="I29" s="13">
        <f t="shared" si="2"/>
        <v>24914.304000000004</v>
      </c>
      <c r="J29" s="21">
        <f t="shared" si="3"/>
        <v>2.4914304000000005E-2</v>
      </c>
      <c r="K29" s="13">
        <f t="shared" si="4"/>
        <v>2989.7164800000005</v>
      </c>
      <c r="L29" s="13">
        <f t="shared" si="5"/>
        <v>2.9897164800000006E-3</v>
      </c>
      <c r="M29" s="27">
        <f t="shared" si="6"/>
        <v>2.7904020480000007E-2</v>
      </c>
      <c r="N29" s="29">
        <f t="shared" si="7"/>
        <v>5.5365120000000018E-2</v>
      </c>
      <c r="O29" s="28">
        <f t="shared" si="8"/>
        <v>0.47038205952000012</v>
      </c>
    </row>
    <row r="30" spans="1:15" x14ac:dyDescent="0.7">
      <c r="A30" s="5"/>
      <c r="B30" s="5"/>
      <c r="C30" s="5">
        <v>28</v>
      </c>
      <c r="D30" s="6">
        <v>6.4080000000000004</v>
      </c>
      <c r="E30" s="6">
        <v>0</v>
      </c>
      <c r="F30" s="6">
        <v>6.4080000000000004</v>
      </c>
      <c r="G30" s="12">
        <f t="shared" si="0"/>
        <v>553651.20000000007</v>
      </c>
      <c r="H30" s="14">
        <f t="shared" si="1"/>
        <v>0.55365120000000012</v>
      </c>
      <c r="I30" s="13">
        <f t="shared" si="2"/>
        <v>24914.304000000004</v>
      </c>
      <c r="J30" s="21">
        <f t="shared" si="3"/>
        <v>2.4914304000000005E-2</v>
      </c>
      <c r="K30" s="13">
        <f t="shared" si="4"/>
        <v>2989.7164800000005</v>
      </c>
      <c r="L30" s="13">
        <f t="shared" si="5"/>
        <v>2.9897164800000006E-3</v>
      </c>
      <c r="M30" s="27">
        <f t="shared" si="6"/>
        <v>2.7904020480000007E-2</v>
      </c>
      <c r="N30" s="29">
        <f t="shared" si="7"/>
        <v>5.5365120000000018E-2</v>
      </c>
      <c r="O30" s="28">
        <f t="shared" si="8"/>
        <v>0.47038205952000012</v>
      </c>
    </row>
    <row r="31" spans="1:15" x14ac:dyDescent="0.7">
      <c r="A31" s="5"/>
      <c r="B31" s="5"/>
      <c r="C31" s="5">
        <v>29</v>
      </c>
      <c r="D31" s="6">
        <v>6.3540000000000001</v>
      </c>
      <c r="E31" s="6">
        <v>3.8</v>
      </c>
      <c r="F31" s="6">
        <v>6.3540000000000001</v>
      </c>
      <c r="G31" s="12">
        <f t="shared" si="0"/>
        <v>548985.59999999998</v>
      </c>
      <c r="H31" s="14">
        <f t="shared" si="1"/>
        <v>0.54898559999999996</v>
      </c>
      <c r="I31" s="13">
        <f t="shared" si="2"/>
        <v>24704.351999999999</v>
      </c>
      <c r="J31" s="21">
        <f t="shared" si="3"/>
        <v>2.4704351999999999E-2</v>
      </c>
      <c r="K31" s="13">
        <f t="shared" si="4"/>
        <v>2964.5222399999998</v>
      </c>
      <c r="L31" s="13">
        <f t="shared" si="5"/>
        <v>2.9645222399999997E-3</v>
      </c>
      <c r="M31" s="27">
        <f t="shared" si="6"/>
        <v>2.7668874239999999E-2</v>
      </c>
      <c r="N31" s="29">
        <f t="shared" si="7"/>
        <v>5.4898559999999999E-2</v>
      </c>
      <c r="O31" s="28">
        <f t="shared" si="8"/>
        <v>0.46641816576</v>
      </c>
    </row>
    <row r="32" spans="1:15" x14ac:dyDescent="0.7">
      <c r="A32" s="10"/>
      <c r="B32" s="10"/>
      <c r="C32" s="10">
        <v>30</v>
      </c>
      <c r="D32" s="16">
        <v>7.5460000000000003</v>
      </c>
      <c r="E32" s="6">
        <v>17.7</v>
      </c>
      <c r="F32" s="16">
        <v>7.5460000000000003</v>
      </c>
      <c r="G32" s="17">
        <f t="shared" si="0"/>
        <v>651974.40000000002</v>
      </c>
      <c r="H32" s="18">
        <f t="shared" si="1"/>
        <v>0.65197440000000006</v>
      </c>
      <c r="I32" s="37">
        <f t="shared" si="2"/>
        <v>29338.848000000002</v>
      </c>
      <c r="J32" s="38">
        <f t="shared" si="3"/>
        <v>2.9338848000000001E-2</v>
      </c>
      <c r="K32" s="37">
        <f t="shared" si="4"/>
        <v>3520.66176</v>
      </c>
      <c r="L32" s="37">
        <f t="shared" si="5"/>
        <v>3.52066176E-3</v>
      </c>
      <c r="M32" s="39">
        <f t="shared" si="6"/>
        <v>3.2859509760000002E-2</v>
      </c>
      <c r="N32" s="40">
        <f t="shared" si="7"/>
        <v>6.5197440000000009E-2</v>
      </c>
      <c r="O32" s="41">
        <f t="shared" si="8"/>
        <v>0.55391745024000005</v>
      </c>
    </row>
    <row r="33" spans="1:15" s="46" customFormat="1" ht="25.2" thickBot="1" x14ac:dyDescent="0.75">
      <c r="A33" s="8"/>
      <c r="B33" s="8" t="s">
        <v>15</v>
      </c>
      <c r="C33" s="8">
        <v>31</v>
      </c>
      <c r="D33" s="9">
        <v>9.1989999999999998</v>
      </c>
      <c r="E33" s="9">
        <v>0</v>
      </c>
      <c r="F33" s="9">
        <v>9.1989999999999998</v>
      </c>
      <c r="G33" s="19">
        <f t="shared" si="0"/>
        <v>794793.6</v>
      </c>
      <c r="H33" s="15">
        <f t="shared" si="1"/>
        <v>0.79479359999999999</v>
      </c>
      <c r="I33" s="15">
        <f t="shared" si="2"/>
        <v>35765.712</v>
      </c>
      <c r="J33" s="22">
        <f t="shared" si="3"/>
        <v>3.5765711999999998E-2</v>
      </c>
      <c r="K33" s="15">
        <f t="shared" si="4"/>
        <v>4291.88544</v>
      </c>
      <c r="L33" s="15">
        <f t="shared" si="5"/>
        <v>4.2918854399999996E-3</v>
      </c>
      <c r="M33" s="15">
        <f t="shared" si="6"/>
        <v>4.0057597439999995E-2</v>
      </c>
      <c r="N33" s="34">
        <f t="shared" si="7"/>
        <v>7.9479359999999999E-2</v>
      </c>
      <c r="O33" s="15">
        <f t="shared" si="8"/>
        <v>0.67525664255999995</v>
      </c>
    </row>
    <row r="34" spans="1:15" x14ac:dyDescent="0.7">
      <c r="A34" s="2"/>
      <c r="B34" s="2" t="s">
        <v>16</v>
      </c>
      <c r="C34" s="2">
        <v>1</v>
      </c>
      <c r="D34" s="3">
        <v>10.279</v>
      </c>
      <c r="E34" s="3">
        <v>5.4</v>
      </c>
      <c r="F34" s="3">
        <v>10.279</v>
      </c>
      <c r="G34" s="12">
        <f t="shared" si="0"/>
        <v>888105.6</v>
      </c>
      <c r="H34" s="14">
        <f t="shared" si="1"/>
        <v>0.88810559999999994</v>
      </c>
      <c r="I34" s="14">
        <f t="shared" si="2"/>
        <v>39964.752</v>
      </c>
      <c r="J34" s="26">
        <f t="shared" si="3"/>
        <v>3.9964751999999999E-2</v>
      </c>
      <c r="K34" s="14">
        <f t="shared" si="4"/>
        <v>4795.7702399999998</v>
      </c>
      <c r="L34" s="14">
        <f t="shared" si="5"/>
        <v>4.7957702399999995E-3</v>
      </c>
      <c r="M34" s="30">
        <f t="shared" si="6"/>
        <v>4.4760522239999996E-2</v>
      </c>
      <c r="N34" s="31">
        <f t="shared" si="7"/>
        <v>8.8810559999999997E-2</v>
      </c>
      <c r="O34" s="32">
        <f t="shared" si="8"/>
        <v>0.75453451775999991</v>
      </c>
    </row>
    <row r="35" spans="1:15" x14ac:dyDescent="0.7">
      <c r="A35" s="5"/>
      <c r="B35" s="5"/>
      <c r="C35" s="5">
        <v>2</v>
      </c>
      <c r="D35" s="6">
        <v>8.6329999999999991</v>
      </c>
      <c r="E35" s="6">
        <v>9.6</v>
      </c>
      <c r="F35" s="6">
        <v>8.6329999999999991</v>
      </c>
      <c r="G35" s="12">
        <f t="shared" si="0"/>
        <v>745891.2</v>
      </c>
      <c r="H35" s="14">
        <f t="shared" si="1"/>
        <v>0.74589119999999998</v>
      </c>
      <c r="I35" s="13">
        <f t="shared" si="2"/>
        <v>33565.103999999999</v>
      </c>
      <c r="J35" s="21">
        <f t="shared" si="3"/>
        <v>3.3565103999999998E-2</v>
      </c>
      <c r="K35" s="13">
        <f t="shared" si="4"/>
        <v>4027.8124799999996</v>
      </c>
      <c r="L35" s="13">
        <f t="shared" si="5"/>
        <v>4.0278124799999994E-3</v>
      </c>
      <c r="M35" s="27">
        <f t="shared" si="6"/>
        <v>3.7592916479999995E-2</v>
      </c>
      <c r="N35" s="29">
        <f t="shared" si="7"/>
        <v>7.4589119999999995E-2</v>
      </c>
      <c r="O35" s="28">
        <f t="shared" si="8"/>
        <v>0.63370916352000006</v>
      </c>
    </row>
    <row r="36" spans="1:15" x14ac:dyDescent="0.7">
      <c r="A36" s="5"/>
      <c r="B36" s="5"/>
      <c r="C36" s="5">
        <v>3</v>
      </c>
      <c r="D36" s="6">
        <v>8.8759999999999994</v>
      </c>
      <c r="E36" s="6">
        <v>0</v>
      </c>
      <c r="F36" s="6">
        <v>8.8759999999999994</v>
      </c>
      <c r="G36" s="12">
        <f t="shared" si="0"/>
        <v>766886.39999999991</v>
      </c>
      <c r="H36" s="14">
        <f t="shared" si="1"/>
        <v>0.76688639999999986</v>
      </c>
      <c r="I36" s="13">
        <f t="shared" si="2"/>
        <v>34509.887999999992</v>
      </c>
      <c r="J36" s="21">
        <f t="shared" si="3"/>
        <v>3.4509887999999989E-2</v>
      </c>
      <c r="K36" s="13">
        <f t="shared" si="4"/>
        <v>4141.1865599999992</v>
      </c>
      <c r="L36" s="13">
        <f t="shared" si="5"/>
        <v>4.1411865599999993E-3</v>
      </c>
      <c r="M36" s="27">
        <f t="shared" si="6"/>
        <v>3.8651074559999984E-2</v>
      </c>
      <c r="N36" s="29">
        <f t="shared" si="7"/>
        <v>7.6688639999999988E-2</v>
      </c>
      <c r="O36" s="28">
        <f t="shared" si="8"/>
        <v>0.65154668543999994</v>
      </c>
    </row>
    <row r="37" spans="1:15" x14ac:dyDescent="0.7">
      <c r="A37" s="5"/>
      <c r="B37" s="5"/>
      <c r="C37" s="5">
        <v>4</v>
      </c>
      <c r="D37" s="6">
        <v>10.459</v>
      </c>
      <c r="E37" s="6">
        <v>0</v>
      </c>
      <c r="F37" s="6">
        <v>10.459</v>
      </c>
      <c r="G37" s="12">
        <f t="shared" si="0"/>
        <v>903657.6</v>
      </c>
      <c r="H37" s="14">
        <f t="shared" si="1"/>
        <v>0.90365759999999995</v>
      </c>
      <c r="I37" s="13">
        <f t="shared" si="2"/>
        <v>40664.591999999997</v>
      </c>
      <c r="J37" s="21">
        <f t="shared" si="3"/>
        <v>4.0664591999999999E-2</v>
      </c>
      <c r="K37" s="13">
        <f t="shared" si="4"/>
        <v>4879.7510399999992</v>
      </c>
      <c r="L37" s="13">
        <f t="shared" si="5"/>
        <v>4.8797510399999989E-3</v>
      </c>
      <c r="M37" s="27">
        <f t="shared" si="6"/>
        <v>4.5544343039999997E-2</v>
      </c>
      <c r="N37" s="29">
        <f t="shared" si="7"/>
        <v>9.0365760000000003E-2</v>
      </c>
      <c r="O37" s="28">
        <f t="shared" si="8"/>
        <v>0.76774749696</v>
      </c>
    </row>
    <row r="38" spans="1:15" x14ac:dyDescent="0.7">
      <c r="A38" s="5"/>
      <c r="B38" s="5"/>
      <c r="C38" s="5">
        <v>5</v>
      </c>
      <c r="D38" s="6">
        <v>9.8309999999999995</v>
      </c>
      <c r="E38" s="6">
        <v>0</v>
      </c>
      <c r="F38" s="6">
        <v>9.8309999999999995</v>
      </c>
      <c r="G38" s="12">
        <f t="shared" si="0"/>
        <v>849398.39999999991</v>
      </c>
      <c r="H38" s="14">
        <f t="shared" si="1"/>
        <v>0.84939839999999989</v>
      </c>
      <c r="I38" s="13">
        <f t="shared" si="2"/>
        <v>38222.927999999993</v>
      </c>
      <c r="J38" s="21">
        <f t="shared" si="3"/>
        <v>3.8222927999999989E-2</v>
      </c>
      <c r="K38" s="13">
        <f t="shared" si="4"/>
        <v>4586.7513599999993</v>
      </c>
      <c r="L38" s="13">
        <f t="shared" si="5"/>
        <v>4.5867513599999995E-3</v>
      </c>
      <c r="M38" s="27">
        <f t="shared" si="6"/>
        <v>4.2809679359999991E-2</v>
      </c>
      <c r="N38" s="29">
        <f t="shared" si="7"/>
        <v>8.4939839999999989E-2</v>
      </c>
      <c r="O38" s="28">
        <f t="shared" si="8"/>
        <v>0.72164888063999988</v>
      </c>
    </row>
    <row r="39" spans="1:15" x14ac:dyDescent="0.7">
      <c r="A39" s="5"/>
      <c r="B39" s="5"/>
      <c r="C39" s="5">
        <v>6</v>
      </c>
      <c r="D39" s="6">
        <v>8.3740000000000006</v>
      </c>
      <c r="E39" s="6">
        <v>0</v>
      </c>
      <c r="F39" s="6">
        <v>8.3740000000000006</v>
      </c>
      <c r="G39" s="12">
        <f t="shared" si="0"/>
        <v>723513.60000000009</v>
      </c>
      <c r="H39" s="14">
        <f t="shared" si="1"/>
        <v>0.72351360000000009</v>
      </c>
      <c r="I39" s="13">
        <f t="shared" si="2"/>
        <v>32558.112000000005</v>
      </c>
      <c r="J39" s="21">
        <f t="shared" si="3"/>
        <v>3.2558112000000007E-2</v>
      </c>
      <c r="K39" s="13">
        <f t="shared" si="4"/>
        <v>3906.9734400000002</v>
      </c>
      <c r="L39" s="13">
        <f t="shared" si="5"/>
        <v>3.9069734400000002E-3</v>
      </c>
      <c r="M39" s="27">
        <f t="shared" si="6"/>
        <v>3.646508544000001E-2</v>
      </c>
      <c r="N39" s="29">
        <f t="shared" si="7"/>
        <v>7.2351360000000017E-2</v>
      </c>
      <c r="O39" s="28">
        <f t="shared" si="8"/>
        <v>0.61469715456000007</v>
      </c>
    </row>
    <row r="40" spans="1:15" x14ac:dyDescent="0.7">
      <c r="A40" s="5"/>
      <c r="B40" s="5"/>
      <c r="C40" s="5">
        <v>7</v>
      </c>
      <c r="D40" s="6">
        <v>7.84</v>
      </c>
      <c r="E40" s="6">
        <v>0</v>
      </c>
      <c r="F40" s="6">
        <v>7.84</v>
      </c>
      <c r="G40" s="12">
        <f t="shared" si="0"/>
        <v>677376</v>
      </c>
      <c r="H40" s="14">
        <f t="shared" si="1"/>
        <v>0.67737599999999998</v>
      </c>
      <c r="I40" s="13">
        <f t="shared" si="2"/>
        <v>30481.919999999998</v>
      </c>
      <c r="J40" s="21">
        <f t="shared" si="3"/>
        <v>3.0481919999999999E-2</v>
      </c>
      <c r="K40" s="13">
        <f t="shared" si="4"/>
        <v>3657.8303999999998</v>
      </c>
      <c r="L40" s="13">
        <f t="shared" si="5"/>
        <v>3.6578303999999996E-3</v>
      </c>
      <c r="M40" s="27">
        <f t="shared" si="6"/>
        <v>3.4139750400000002E-2</v>
      </c>
      <c r="N40" s="29">
        <f t="shared" si="7"/>
        <v>6.7737599999999995E-2</v>
      </c>
      <c r="O40" s="28">
        <f t="shared" si="8"/>
        <v>0.57549864959999997</v>
      </c>
    </row>
    <row r="41" spans="1:15" x14ac:dyDescent="0.7">
      <c r="A41" s="5"/>
      <c r="B41" s="5"/>
      <c r="C41" s="5">
        <v>8</v>
      </c>
      <c r="D41" s="6">
        <v>7.484</v>
      </c>
      <c r="E41" s="6">
        <v>0</v>
      </c>
      <c r="F41" s="6">
        <v>7.484</v>
      </c>
      <c r="G41" s="12">
        <f t="shared" si="0"/>
        <v>646617.59999999998</v>
      </c>
      <c r="H41" s="14">
        <f t="shared" si="1"/>
        <v>0.64661760000000001</v>
      </c>
      <c r="I41" s="13">
        <f t="shared" si="2"/>
        <v>29097.791999999998</v>
      </c>
      <c r="J41" s="21">
        <f t="shared" si="3"/>
        <v>2.9097791999999997E-2</v>
      </c>
      <c r="K41" s="13">
        <f t="shared" si="4"/>
        <v>3491.7350399999996</v>
      </c>
      <c r="L41" s="13">
        <f t="shared" si="5"/>
        <v>3.4917350399999996E-3</v>
      </c>
      <c r="M41" s="27">
        <f t="shared" si="6"/>
        <v>3.2589527039999996E-2</v>
      </c>
      <c r="N41" s="29">
        <f t="shared" si="7"/>
        <v>6.4661759999999999E-2</v>
      </c>
      <c r="O41" s="28">
        <f t="shared" si="8"/>
        <v>0.54936631296000005</v>
      </c>
    </row>
    <row r="42" spans="1:15" x14ac:dyDescent="0.7">
      <c r="A42" s="5"/>
      <c r="B42" s="5"/>
      <c r="C42" s="5">
        <v>9</v>
      </c>
      <c r="D42" s="6">
        <v>7.484</v>
      </c>
      <c r="E42" s="6">
        <v>0</v>
      </c>
      <c r="F42" s="6">
        <v>7.484</v>
      </c>
      <c r="G42" s="12">
        <f t="shared" si="0"/>
        <v>646617.59999999998</v>
      </c>
      <c r="H42" s="14">
        <f t="shared" si="1"/>
        <v>0.64661760000000001</v>
      </c>
      <c r="I42" s="13">
        <f t="shared" si="2"/>
        <v>29097.791999999998</v>
      </c>
      <c r="J42" s="21">
        <f t="shared" si="3"/>
        <v>2.9097791999999997E-2</v>
      </c>
      <c r="K42" s="13">
        <f t="shared" si="4"/>
        <v>3491.7350399999996</v>
      </c>
      <c r="L42" s="13">
        <f t="shared" si="5"/>
        <v>3.4917350399999996E-3</v>
      </c>
      <c r="M42" s="27">
        <f t="shared" si="6"/>
        <v>3.2589527039999996E-2</v>
      </c>
      <c r="N42" s="29">
        <f t="shared" si="7"/>
        <v>6.4661759999999999E-2</v>
      </c>
      <c r="O42" s="28">
        <f t="shared" si="8"/>
        <v>0.54936631296000005</v>
      </c>
    </row>
    <row r="43" spans="1:15" x14ac:dyDescent="0.7">
      <c r="A43" s="5"/>
      <c r="B43" s="5"/>
      <c r="C43" s="5">
        <v>10</v>
      </c>
      <c r="D43" s="6">
        <v>7.484</v>
      </c>
      <c r="E43" s="6">
        <v>0</v>
      </c>
      <c r="F43" s="6">
        <v>7.484</v>
      </c>
      <c r="G43" s="12">
        <f t="shared" si="0"/>
        <v>646617.59999999998</v>
      </c>
      <c r="H43" s="14">
        <f t="shared" si="1"/>
        <v>0.64661760000000001</v>
      </c>
      <c r="I43" s="13">
        <f t="shared" si="2"/>
        <v>29097.791999999998</v>
      </c>
      <c r="J43" s="21">
        <f t="shared" si="3"/>
        <v>2.9097791999999997E-2</v>
      </c>
      <c r="K43" s="13">
        <f t="shared" si="4"/>
        <v>3491.7350399999996</v>
      </c>
      <c r="L43" s="13">
        <f t="shared" si="5"/>
        <v>3.4917350399999996E-3</v>
      </c>
      <c r="M43" s="27">
        <f t="shared" si="6"/>
        <v>3.2589527039999996E-2</v>
      </c>
      <c r="N43" s="29">
        <f t="shared" si="7"/>
        <v>6.4661759999999999E-2</v>
      </c>
      <c r="O43" s="28">
        <f t="shared" si="8"/>
        <v>0.54936631296000005</v>
      </c>
    </row>
    <row r="44" spans="1:15" x14ac:dyDescent="0.7">
      <c r="A44" s="5"/>
      <c r="B44" s="5"/>
      <c r="C44" s="5">
        <v>11</v>
      </c>
      <c r="D44" s="6">
        <v>7.3040000000000003</v>
      </c>
      <c r="E44" s="6">
        <v>0</v>
      </c>
      <c r="F44" s="6">
        <v>7.3040000000000003</v>
      </c>
      <c r="G44" s="12">
        <f t="shared" si="0"/>
        <v>631065.59999999998</v>
      </c>
      <c r="H44" s="14">
        <f t="shared" si="1"/>
        <v>0.6310656</v>
      </c>
      <c r="I44" s="13">
        <f t="shared" si="2"/>
        <v>28397.951999999997</v>
      </c>
      <c r="J44" s="21">
        <f t="shared" si="3"/>
        <v>2.8397951999999997E-2</v>
      </c>
      <c r="K44" s="13">
        <f t="shared" si="4"/>
        <v>3407.7542399999998</v>
      </c>
      <c r="L44" s="13">
        <f t="shared" si="5"/>
        <v>3.4077542399999997E-3</v>
      </c>
      <c r="M44" s="27">
        <f t="shared" si="6"/>
        <v>3.1805706239999995E-2</v>
      </c>
      <c r="N44" s="29">
        <f t="shared" si="7"/>
        <v>6.3106560000000006E-2</v>
      </c>
      <c r="O44" s="28">
        <f t="shared" si="8"/>
        <v>0.53615333375999996</v>
      </c>
    </row>
    <row r="45" spans="1:15" x14ac:dyDescent="0.7">
      <c r="A45" s="5"/>
      <c r="B45" s="5"/>
      <c r="C45" s="5">
        <v>12</v>
      </c>
      <c r="D45" s="6">
        <v>7.25</v>
      </c>
      <c r="E45" s="6">
        <v>0</v>
      </c>
      <c r="F45" s="6">
        <v>7.25</v>
      </c>
      <c r="G45" s="12">
        <f t="shared" si="0"/>
        <v>626400</v>
      </c>
      <c r="H45" s="14">
        <f t="shared" si="1"/>
        <v>0.62639999999999996</v>
      </c>
      <c r="I45" s="13">
        <f t="shared" si="2"/>
        <v>28188</v>
      </c>
      <c r="J45" s="21">
        <f t="shared" si="3"/>
        <v>2.8188000000000001E-2</v>
      </c>
      <c r="K45" s="13">
        <f t="shared" si="4"/>
        <v>3382.56</v>
      </c>
      <c r="L45" s="13">
        <f t="shared" si="5"/>
        <v>3.3825599999999997E-3</v>
      </c>
      <c r="M45" s="27">
        <f t="shared" si="6"/>
        <v>3.1570559999999998E-2</v>
      </c>
      <c r="N45" s="29">
        <f t="shared" si="7"/>
        <v>6.2640000000000001E-2</v>
      </c>
      <c r="O45" s="28">
        <f t="shared" si="8"/>
        <v>0.5321894399999999</v>
      </c>
    </row>
    <row r="46" spans="1:15" x14ac:dyDescent="0.7">
      <c r="A46" s="5"/>
      <c r="B46" s="5"/>
      <c r="C46" s="5">
        <v>13</v>
      </c>
      <c r="D46" s="6">
        <v>7.13</v>
      </c>
      <c r="E46" s="6">
        <v>0</v>
      </c>
      <c r="F46" s="6">
        <v>7.13</v>
      </c>
      <c r="G46" s="12">
        <f t="shared" si="0"/>
        <v>616032</v>
      </c>
      <c r="H46" s="14">
        <f t="shared" si="1"/>
        <v>0.61603200000000002</v>
      </c>
      <c r="I46" s="13">
        <f t="shared" si="2"/>
        <v>27721.439999999999</v>
      </c>
      <c r="J46" s="21">
        <f t="shared" si="3"/>
        <v>2.772144E-2</v>
      </c>
      <c r="K46" s="13">
        <f t="shared" si="4"/>
        <v>3326.5727999999999</v>
      </c>
      <c r="L46" s="13">
        <f t="shared" si="5"/>
        <v>3.3265727999999997E-3</v>
      </c>
      <c r="M46" s="27">
        <f t="shared" si="6"/>
        <v>3.10480128E-2</v>
      </c>
      <c r="N46" s="29">
        <f t="shared" si="7"/>
        <v>6.1603200000000004E-2</v>
      </c>
      <c r="O46" s="28">
        <f t="shared" si="8"/>
        <v>0.52338078720000003</v>
      </c>
    </row>
    <row r="47" spans="1:15" x14ac:dyDescent="0.7">
      <c r="A47" s="5"/>
      <c r="B47" s="5"/>
      <c r="C47" s="5">
        <v>14</v>
      </c>
      <c r="D47" s="6">
        <v>8.6129999999999995</v>
      </c>
      <c r="E47" s="6">
        <v>0</v>
      </c>
      <c r="F47" s="6">
        <v>8.6129999999999995</v>
      </c>
      <c r="G47" s="12">
        <f t="shared" si="0"/>
        <v>744163.2</v>
      </c>
      <c r="H47" s="14">
        <f t="shared" si="1"/>
        <v>0.74416319999999991</v>
      </c>
      <c r="I47" s="13">
        <f t="shared" si="2"/>
        <v>33487.343999999997</v>
      </c>
      <c r="J47" s="21">
        <f t="shared" si="3"/>
        <v>3.3487343999999995E-2</v>
      </c>
      <c r="K47" s="13">
        <f t="shared" si="4"/>
        <v>4018.4812799999995</v>
      </c>
      <c r="L47" s="13">
        <f t="shared" si="5"/>
        <v>4.0184812799999997E-3</v>
      </c>
      <c r="M47" s="27">
        <f t="shared" si="6"/>
        <v>3.7505825279999995E-2</v>
      </c>
      <c r="N47" s="29">
        <f t="shared" si="7"/>
        <v>7.4416319999999994E-2</v>
      </c>
      <c r="O47" s="28">
        <f t="shared" si="8"/>
        <v>0.63224105471999992</v>
      </c>
    </row>
    <row r="48" spans="1:15" x14ac:dyDescent="0.7">
      <c r="A48" s="5"/>
      <c r="B48" s="5"/>
      <c r="C48" s="5">
        <v>15</v>
      </c>
      <c r="D48" s="6">
        <v>7.9649999999999999</v>
      </c>
      <c r="E48" s="6">
        <v>0</v>
      </c>
      <c r="F48" s="6">
        <v>7.9649999999999999</v>
      </c>
      <c r="G48" s="12">
        <f t="shared" si="0"/>
        <v>688176</v>
      </c>
      <c r="H48" s="14">
        <f t="shared" si="1"/>
        <v>0.68817600000000001</v>
      </c>
      <c r="I48" s="13">
        <f t="shared" si="2"/>
        <v>30967.919999999998</v>
      </c>
      <c r="J48" s="21">
        <f t="shared" si="3"/>
        <v>3.0967919999999999E-2</v>
      </c>
      <c r="K48" s="13">
        <f t="shared" si="4"/>
        <v>3716.1503999999995</v>
      </c>
      <c r="L48" s="13">
        <f t="shared" si="5"/>
        <v>3.7161503999999994E-3</v>
      </c>
      <c r="M48" s="27">
        <f t="shared" si="6"/>
        <v>3.4684070399999996E-2</v>
      </c>
      <c r="N48" s="29">
        <f t="shared" si="7"/>
        <v>6.8817600000000007E-2</v>
      </c>
      <c r="O48" s="28">
        <f t="shared" si="8"/>
        <v>0.58467432959999999</v>
      </c>
    </row>
    <row r="49" spans="1:15" x14ac:dyDescent="0.7">
      <c r="A49" s="5"/>
      <c r="B49" s="5"/>
      <c r="C49" s="5">
        <v>16</v>
      </c>
      <c r="D49" s="6">
        <v>7.5369999999999999</v>
      </c>
      <c r="E49" s="6">
        <v>0</v>
      </c>
      <c r="F49" s="6">
        <v>7.5369999999999999</v>
      </c>
      <c r="G49" s="12">
        <f t="shared" si="0"/>
        <v>651196.80000000005</v>
      </c>
      <c r="H49" s="14">
        <f t="shared" si="1"/>
        <v>0.65119680000000002</v>
      </c>
      <c r="I49" s="13">
        <f t="shared" si="2"/>
        <v>29303.856</v>
      </c>
      <c r="J49" s="21">
        <f t="shared" si="3"/>
        <v>2.9303856E-2</v>
      </c>
      <c r="K49" s="13">
        <f t="shared" si="4"/>
        <v>3516.46272</v>
      </c>
      <c r="L49" s="13">
        <f t="shared" si="5"/>
        <v>3.5164627199999999E-3</v>
      </c>
      <c r="M49" s="27">
        <f t="shared" si="6"/>
        <v>3.2820318719999998E-2</v>
      </c>
      <c r="N49" s="29">
        <f t="shared" si="7"/>
        <v>6.5119679999999999E-2</v>
      </c>
      <c r="O49" s="28">
        <f t="shared" si="8"/>
        <v>0.55325680127999999</v>
      </c>
    </row>
    <row r="50" spans="1:15" x14ac:dyDescent="0.7">
      <c r="A50" s="5"/>
      <c r="B50" s="5"/>
      <c r="C50" s="5">
        <v>17</v>
      </c>
      <c r="D50" s="6">
        <v>7.4729999999999999</v>
      </c>
      <c r="E50" s="6">
        <v>0.3</v>
      </c>
      <c r="F50" s="6">
        <v>7.4729999999999999</v>
      </c>
      <c r="G50" s="12">
        <f t="shared" si="0"/>
        <v>645667.19999999995</v>
      </c>
      <c r="H50" s="14">
        <f t="shared" si="1"/>
        <v>0.6456672</v>
      </c>
      <c r="I50" s="13">
        <f t="shared" si="2"/>
        <v>29055.023999999998</v>
      </c>
      <c r="J50" s="21">
        <f t="shared" si="3"/>
        <v>2.9055023999999999E-2</v>
      </c>
      <c r="K50" s="13">
        <f t="shared" si="4"/>
        <v>3486.6028799999995</v>
      </c>
      <c r="L50" s="13">
        <f t="shared" si="5"/>
        <v>3.4866028799999996E-3</v>
      </c>
      <c r="M50" s="27">
        <f t="shared" si="6"/>
        <v>3.2541626880000001E-2</v>
      </c>
      <c r="N50" s="29">
        <f t="shared" si="7"/>
        <v>6.4566720000000008E-2</v>
      </c>
      <c r="O50" s="28">
        <f t="shared" si="8"/>
        <v>0.54855885312000008</v>
      </c>
    </row>
    <row r="51" spans="1:15" x14ac:dyDescent="0.7">
      <c r="A51" s="5"/>
      <c r="B51" s="5"/>
      <c r="C51" s="5">
        <v>18</v>
      </c>
      <c r="D51" s="6">
        <v>7.2910000000000004</v>
      </c>
      <c r="E51" s="6">
        <v>0</v>
      </c>
      <c r="F51" s="6">
        <v>7.2910000000000004</v>
      </c>
      <c r="G51" s="12">
        <f t="shared" si="0"/>
        <v>629942.4</v>
      </c>
      <c r="H51" s="14">
        <f t="shared" si="1"/>
        <v>0.62994240000000001</v>
      </c>
      <c r="I51" s="13">
        <f t="shared" si="2"/>
        <v>28347.407999999999</v>
      </c>
      <c r="J51" s="21">
        <f t="shared" si="3"/>
        <v>2.8347408000000001E-2</v>
      </c>
      <c r="K51" s="13">
        <f t="shared" si="4"/>
        <v>3401.68896</v>
      </c>
      <c r="L51" s="13">
        <f t="shared" si="5"/>
        <v>3.40168896E-3</v>
      </c>
      <c r="M51" s="27">
        <f t="shared" si="6"/>
        <v>3.1749096960000001E-2</v>
      </c>
      <c r="N51" s="29">
        <f t="shared" si="7"/>
        <v>6.2994240000000007E-2</v>
      </c>
      <c r="O51" s="28">
        <f t="shared" si="8"/>
        <v>0.53519906303999998</v>
      </c>
    </row>
    <row r="52" spans="1:15" x14ac:dyDescent="0.7">
      <c r="A52" s="5"/>
      <c r="B52" s="5"/>
      <c r="C52" s="5">
        <v>19</v>
      </c>
      <c r="D52" s="6">
        <v>7.2320000000000002</v>
      </c>
      <c r="E52" s="6">
        <v>0</v>
      </c>
      <c r="F52" s="6">
        <v>7.2320000000000002</v>
      </c>
      <c r="G52" s="12">
        <f t="shared" si="0"/>
        <v>624844.80000000005</v>
      </c>
      <c r="H52" s="14">
        <f t="shared" si="1"/>
        <v>0.62484480000000009</v>
      </c>
      <c r="I52" s="13">
        <f t="shared" si="2"/>
        <v>28118.016</v>
      </c>
      <c r="J52" s="21">
        <f t="shared" si="3"/>
        <v>2.8118015999999999E-2</v>
      </c>
      <c r="K52" s="13">
        <f t="shared" si="4"/>
        <v>3374.16192</v>
      </c>
      <c r="L52" s="13">
        <f t="shared" si="5"/>
        <v>3.3741619199999999E-3</v>
      </c>
      <c r="M52" s="27">
        <f t="shared" si="6"/>
        <v>3.1492177919999996E-2</v>
      </c>
      <c r="N52" s="29">
        <f t="shared" si="7"/>
        <v>6.2484480000000009E-2</v>
      </c>
      <c r="O52" s="28">
        <f t="shared" si="8"/>
        <v>0.5308681420800001</v>
      </c>
    </row>
    <row r="53" spans="1:15" x14ac:dyDescent="0.7">
      <c r="A53" s="5"/>
      <c r="B53" s="5"/>
      <c r="C53" s="5">
        <v>20</v>
      </c>
      <c r="D53" s="6">
        <v>7.2320000000000002</v>
      </c>
      <c r="E53" s="6">
        <v>0</v>
      </c>
      <c r="F53" s="6">
        <v>7.2320000000000002</v>
      </c>
      <c r="G53" s="12">
        <f t="shared" si="0"/>
        <v>624844.80000000005</v>
      </c>
      <c r="H53" s="14">
        <f t="shared" si="1"/>
        <v>0.62484480000000009</v>
      </c>
      <c r="I53" s="13">
        <f t="shared" si="2"/>
        <v>28118.016</v>
      </c>
      <c r="J53" s="21">
        <f t="shared" si="3"/>
        <v>2.8118015999999999E-2</v>
      </c>
      <c r="K53" s="13">
        <f t="shared" si="4"/>
        <v>3374.16192</v>
      </c>
      <c r="L53" s="13">
        <f t="shared" si="5"/>
        <v>3.3741619199999999E-3</v>
      </c>
      <c r="M53" s="27">
        <f t="shared" si="6"/>
        <v>3.1492177919999996E-2</v>
      </c>
      <c r="N53" s="29">
        <f t="shared" si="7"/>
        <v>6.2484480000000009E-2</v>
      </c>
      <c r="O53" s="28">
        <f t="shared" si="8"/>
        <v>0.5308681420800001</v>
      </c>
    </row>
    <row r="54" spans="1:15" x14ac:dyDescent="0.7">
      <c r="A54" s="5"/>
      <c r="B54" s="5"/>
      <c r="C54" s="5">
        <v>21</v>
      </c>
      <c r="D54" s="6">
        <v>7.0990000000000002</v>
      </c>
      <c r="E54" s="6">
        <v>0</v>
      </c>
      <c r="F54" s="6">
        <v>7.0990000000000002</v>
      </c>
      <c r="G54" s="12">
        <f t="shared" si="0"/>
        <v>613353.6</v>
      </c>
      <c r="H54" s="14">
        <f t="shared" si="1"/>
        <v>0.61335359999999994</v>
      </c>
      <c r="I54" s="13">
        <f t="shared" si="2"/>
        <v>27600.911999999997</v>
      </c>
      <c r="J54" s="21">
        <f t="shared" si="3"/>
        <v>2.7600911999999998E-2</v>
      </c>
      <c r="K54" s="13">
        <f t="shared" si="4"/>
        <v>3312.1094399999993</v>
      </c>
      <c r="L54" s="13">
        <f t="shared" si="5"/>
        <v>3.3121094399999993E-3</v>
      </c>
      <c r="M54" s="27">
        <f t="shared" si="6"/>
        <v>3.0913021439999997E-2</v>
      </c>
      <c r="N54" s="29">
        <f t="shared" si="7"/>
        <v>6.1335359999999998E-2</v>
      </c>
      <c r="O54" s="28">
        <f t="shared" si="8"/>
        <v>0.52110521856000003</v>
      </c>
    </row>
    <row r="55" spans="1:15" x14ac:dyDescent="0.7">
      <c r="A55" s="5"/>
      <c r="B55" s="5"/>
      <c r="C55" s="5">
        <v>22</v>
      </c>
      <c r="D55" s="6">
        <v>6.8639999999999999</v>
      </c>
      <c r="E55" s="6">
        <v>0</v>
      </c>
      <c r="F55" s="6">
        <v>6.8639999999999999</v>
      </c>
      <c r="G55" s="12">
        <f t="shared" si="0"/>
        <v>593049.59999999998</v>
      </c>
      <c r="H55" s="14">
        <f t="shared" si="1"/>
        <v>0.59304959999999995</v>
      </c>
      <c r="I55" s="13">
        <f t="shared" si="2"/>
        <v>26687.231999999996</v>
      </c>
      <c r="J55" s="21">
        <f t="shared" si="3"/>
        <v>2.6687231999999995E-2</v>
      </c>
      <c r="K55" s="13">
        <f t="shared" si="4"/>
        <v>3202.4678399999993</v>
      </c>
      <c r="L55" s="13">
        <f t="shared" si="5"/>
        <v>3.2024678399999993E-3</v>
      </c>
      <c r="M55" s="27">
        <f t="shared" si="6"/>
        <v>2.9889699839999995E-2</v>
      </c>
      <c r="N55" s="29">
        <f t="shared" si="7"/>
        <v>5.9304959999999997E-2</v>
      </c>
      <c r="O55" s="28">
        <f t="shared" si="8"/>
        <v>0.50385494015999999</v>
      </c>
    </row>
    <row r="56" spans="1:15" x14ac:dyDescent="0.7">
      <c r="A56" s="5"/>
      <c r="B56" s="5"/>
      <c r="C56" s="5">
        <v>23</v>
      </c>
      <c r="D56" s="6">
        <v>6.8639999999999999</v>
      </c>
      <c r="E56" s="6">
        <v>0</v>
      </c>
      <c r="F56" s="6">
        <v>6.8639999999999999</v>
      </c>
      <c r="G56" s="12">
        <f t="shared" si="0"/>
        <v>593049.59999999998</v>
      </c>
      <c r="H56" s="14">
        <f t="shared" si="1"/>
        <v>0.59304959999999995</v>
      </c>
      <c r="I56" s="13">
        <f t="shared" si="2"/>
        <v>26687.231999999996</v>
      </c>
      <c r="J56" s="21">
        <f t="shared" si="3"/>
        <v>2.6687231999999995E-2</v>
      </c>
      <c r="K56" s="13">
        <f t="shared" si="4"/>
        <v>3202.4678399999993</v>
      </c>
      <c r="L56" s="13">
        <f t="shared" si="5"/>
        <v>3.2024678399999993E-3</v>
      </c>
      <c r="M56" s="27">
        <f t="shared" si="6"/>
        <v>2.9889699839999995E-2</v>
      </c>
      <c r="N56" s="29">
        <f t="shared" si="7"/>
        <v>5.9304959999999997E-2</v>
      </c>
      <c r="O56" s="28">
        <f t="shared" si="8"/>
        <v>0.50385494015999999</v>
      </c>
    </row>
    <row r="57" spans="1:15" x14ac:dyDescent="0.7">
      <c r="A57" s="5"/>
      <c r="B57" s="5"/>
      <c r="C57" s="5">
        <v>24</v>
      </c>
      <c r="D57" s="6">
        <v>6.7830000000000004</v>
      </c>
      <c r="E57" s="6">
        <v>0</v>
      </c>
      <c r="F57" s="6">
        <v>6.7830000000000004</v>
      </c>
      <c r="G57" s="12">
        <f t="shared" si="0"/>
        <v>586051.20000000007</v>
      </c>
      <c r="H57" s="14">
        <f t="shared" si="1"/>
        <v>0.58605120000000011</v>
      </c>
      <c r="I57" s="13">
        <f t="shared" si="2"/>
        <v>26372.304000000004</v>
      </c>
      <c r="J57" s="21">
        <f t="shared" si="3"/>
        <v>2.6372304000000003E-2</v>
      </c>
      <c r="K57" s="13">
        <f t="shared" si="4"/>
        <v>3164.6764800000005</v>
      </c>
      <c r="L57" s="13">
        <f t="shared" si="5"/>
        <v>3.1646764800000006E-3</v>
      </c>
      <c r="M57" s="27">
        <f t="shared" si="6"/>
        <v>2.9536980480000002E-2</v>
      </c>
      <c r="N57" s="29">
        <f t="shared" si="7"/>
        <v>5.8605120000000011E-2</v>
      </c>
      <c r="O57" s="28">
        <f t="shared" si="8"/>
        <v>0.49790909952000012</v>
      </c>
    </row>
    <row r="58" spans="1:15" x14ac:dyDescent="0.7">
      <c r="A58" s="5"/>
      <c r="B58" s="5"/>
      <c r="C58" s="5">
        <v>25</v>
      </c>
      <c r="D58" s="6">
        <v>6.73</v>
      </c>
      <c r="E58" s="6">
        <v>0</v>
      </c>
      <c r="F58" s="6">
        <v>6.73</v>
      </c>
      <c r="G58" s="12">
        <f t="shared" si="0"/>
        <v>581472</v>
      </c>
      <c r="H58" s="14">
        <f t="shared" si="1"/>
        <v>0.58147199999999999</v>
      </c>
      <c r="I58" s="13">
        <f t="shared" si="2"/>
        <v>26166.239999999998</v>
      </c>
      <c r="J58" s="21">
        <f t="shared" si="3"/>
        <v>2.6166239999999997E-2</v>
      </c>
      <c r="K58" s="13">
        <f t="shared" si="4"/>
        <v>3139.9487999999997</v>
      </c>
      <c r="L58" s="13">
        <f t="shared" si="5"/>
        <v>3.1399487999999995E-3</v>
      </c>
      <c r="M58" s="27">
        <f t="shared" si="6"/>
        <v>2.9306188799999997E-2</v>
      </c>
      <c r="N58" s="29">
        <f t="shared" si="7"/>
        <v>5.8147200000000003E-2</v>
      </c>
      <c r="O58" s="28">
        <f t="shared" si="8"/>
        <v>0.49401861119999996</v>
      </c>
    </row>
    <row r="59" spans="1:15" x14ac:dyDescent="0.7">
      <c r="A59" s="5"/>
      <c r="B59" s="5"/>
      <c r="C59" s="5">
        <v>26</v>
      </c>
      <c r="D59" s="6">
        <v>6.4480000000000004</v>
      </c>
      <c r="E59" s="6">
        <v>0</v>
      </c>
      <c r="F59" s="6">
        <v>6.4480000000000004</v>
      </c>
      <c r="G59" s="12">
        <f t="shared" si="0"/>
        <v>557107.20000000007</v>
      </c>
      <c r="H59" s="14">
        <f t="shared" si="1"/>
        <v>0.55710720000000002</v>
      </c>
      <c r="I59" s="13">
        <f t="shared" si="2"/>
        <v>25069.824000000001</v>
      </c>
      <c r="J59" s="21">
        <f t="shared" si="3"/>
        <v>2.5069824000000001E-2</v>
      </c>
      <c r="K59" s="13">
        <f t="shared" si="4"/>
        <v>3008.3788799999998</v>
      </c>
      <c r="L59" s="13">
        <f t="shared" si="5"/>
        <v>3.0083788799999999E-3</v>
      </c>
      <c r="M59" s="27">
        <f t="shared" si="6"/>
        <v>2.807820288E-2</v>
      </c>
      <c r="N59" s="29">
        <f t="shared" si="7"/>
        <v>5.5710720000000005E-2</v>
      </c>
      <c r="O59" s="28">
        <f t="shared" si="8"/>
        <v>0.47331827712000007</v>
      </c>
    </row>
    <row r="60" spans="1:15" x14ac:dyDescent="0.7">
      <c r="A60" s="10"/>
      <c r="B60" s="10"/>
      <c r="C60" s="10">
        <v>27</v>
      </c>
      <c r="D60" s="16">
        <v>6.1029999999999998</v>
      </c>
      <c r="E60" s="6">
        <v>0</v>
      </c>
      <c r="F60" s="16">
        <v>6.1029999999999998</v>
      </c>
      <c r="G60" s="17">
        <f t="shared" si="0"/>
        <v>527299.19999999995</v>
      </c>
      <c r="H60" s="18">
        <f t="shared" si="1"/>
        <v>0.52729919999999997</v>
      </c>
      <c r="I60" s="37">
        <f t="shared" si="2"/>
        <v>23728.463999999996</v>
      </c>
      <c r="J60" s="38">
        <f t="shared" si="3"/>
        <v>2.3728463999999998E-2</v>
      </c>
      <c r="K60" s="37">
        <f t="shared" si="4"/>
        <v>2847.4156799999996</v>
      </c>
      <c r="L60" s="37">
        <f t="shared" si="5"/>
        <v>2.8474156799999997E-3</v>
      </c>
      <c r="M60" s="39">
        <f t="shared" si="6"/>
        <v>2.6575879679999997E-2</v>
      </c>
      <c r="N60" s="40">
        <f t="shared" si="7"/>
        <v>5.272992E-2</v>
      </c>
      <c r="O60" s="41">
        <f t="shared" si="8"/>
        <v>0.44799340032000001</v>
      </c>
    </row>
    <row r="61" spans="1:15" s="46" customFormat="1" ht="25.2" thickBot="1" x14ac:dyDescent="0.75">
      <c r="A61" s="8"/>
      <c r="B61" s="8" t="s">
        <v>16</v>
      </c>
      <c r="C61" s="8">
        <v>28</v>
      </c>
      <c r="D61" s="9">
        <v>5.9880000000000004</v>
      </c>
      <c r="E61" s="9">
        <v>0</v>
      </c>
      <c r="F61" s="9">
        <v>5.9880000000000004</v>
      </c>
      <c r="G61" s="19">
        <f t="shared" si="0"/>
        <v>517363.20000000001</v>
      </c>
      <c r="H61" s="15">
        <f t="shared" si="1"/>
        <v>0.51736320000000002</v>
      </c>
      <c r="I61" s="15">
        <f t="shared" si="2"/>
        <v>23281.344000000001</v>
      </c>
      <c r="J61" s="22">
        <f t="shared" si="3"/>
        <v>2.3281344000000002E-2</v>
      </c>
      <c r="K61" s="15">
        <f t="shared" si="4"/>
        <v>2793.7612800000002</v>
      </c>
      <c r="L61" s="15">
        <f t="shared" si="5"/>
        <v>2.7937612800000003E-3</v>
      </c>
      <c r="M61" s="15">
        <f t="shared" si="6"/>
        <v>2.6075105280000004E-2</v>
      </c>
      <c r="N61" s="34">
        <f t="shared" si="7"/>
        <v>5.1736320000000002E-2</v>
      </c>
      <c r="O61" s="15">
        <f t="shared" si="8"/>
        <v>0.43955177472000001</v>
      </c>
    </row>
    <row r="62" spans="1:15" x14ac:dyDescent="0.7">
      <c r="A62" s="2"/>
      <c r="B62" s="2" t="s">
        <v>17</v>
      </c>
      <c r="C62" s="2">
        <v>1</v>
      </c>
      <c r="D62" s="3">
        <v>5.88</v>
      </c>
      <c r="E62" s="3">
        <v>0</v>
      </c>
      <c r="F62" s="3">
        <v>5.88</v>
      </c>
      <c r="G62" s="12">
        <f t="shared" ref="G62" si="9">F62*86400</f>
        <v>508032</v>
      </c>
      <c r="H62" s="14">
        <f t="shared" ref="H62" si="10">G62/1000000</f>
        <v>0.50803200000000004</v>
      </c>
      <c r="I62" s="14">
        <f t="shared" si="2"/>
        <v>22861.440000000002</v>
      </c>
      <c r="J62" s="26">
        <f t="shared" si="3"/>
        <v>2.2861440000000004E-2</v>
      </c>
      <c r="K62" s="14">
        <f t="shared" si="4"/>
        <v>2743.3728000000001</v>
      </c>
      <c r="L62" s="14">
        <f t="shared" si="5"/>
        <v>2.7433728000000003E-3</v>
      </c>
      <c r="M62" s="30">
        <f t="shared" si="6"/>
        <v>2.5604812800000005E-2</v>
      </c>
      <c r="N62" s="31">
        <f t="shared" si="7"/>
        <v>5.0803200000000007E-2</v>
      </c>
      <c r="O62" s="32">
        <f t="shared" si="8"/>
        <v>0.43162398720000006</v>
      </c>
    </row>
    <row r="63" spans="1:15" x14ac:dyDescent="0.7">
      <c r="A63" s="5"/>
      <c r="B63" s="5"/>
      <c r="C63" s="5">
        <v>2</v>
      </c>
      <c r="D63" s="6">
        <v>5.8769999999999998</v>
      </c>
      <c r="E63" s="6">
        <v>0</v>
      </c>
      <c r="F63" s="6">
        <v>5.8769999999999998</v>
      </c>
      <c r="G63" s="12">
        <f t="shared" ref="G63" si="11">F63*86400</f>
        <v>507772.8</v>
      </c>
      <c r="H63" s="14">
        <f t="shared" ref="H63" si="12">G63/1000000</f>
        <v>0.50777280000000002</v>
      </c>
      <c r="I63" s="13">
        <f t="shared" si="2"/>
        <v>22849.776000000002</v>
      </c>
      <c r="J63" s="21">
        <f t="shared" si="3"/>
        <v>2.2849776000000002E-2</v>
      </c>
      <c r="K63" s="13">
        <f t="shared" si="4"/>
        <v>2741.9731200000001</v>
      </c>
      <c r="L63" s="13">
        <f t="shared" si="5"/>
        <v>2.7419731199999999E-3</v>
      </c>
      <c r="M63" s="27">
        <f t="shared" si="6"/>
        <v>2.5591749120000003E-2</v>
      </c>
      <c r="N63" s="29">
        <f t="shared" si="7"/>
        <v>5.0777280000000008E-2</v>
      </c>
      <c r="O63" s="28">
        <f t="shared" si="8"/>
        <v>0.43140377088000004</v>
      </c>
    </row>
    <row r="64" spans="1:15" x14ac:dyDescent="0.7">
      <c r="A64" s="5"/>
      <c r="B64" s="5"/>
      <c r="C64" s="5">
        <v>3</v>
      </c>
      <c r="D64" s="6">
        <v>5.9</v>
      </c>
      <c r="E64" s="50">
        <v>18.2</v>
      </c>
      <c r="F64" s="6">
        <v>5.9</v>
      </c>
      <c r="G64" s="12">
        <f t="shared" ref="G64" si="13">F64*86400</f>
        <v>509760.00000000006</v>
      </c>
      <c r="H64" s="14">
        <f t="shared" ref="H64" si="14">G64/1000000</f>
        <v>0.5097600000000001</v>
      </c>
      <c r="I64" s="13">
        <f t="shared" si="2"/>
        <v>22939.200000000004</v>
      </c>
      <c r="J64" s="21">
        <f t="shared" si="3"/>
        <v>2.2939200000000003E-2</v>
      </c>
      <c r="K64" s="13">
        <f t="shared" si="4"/>
        <v>2752.7040000000006</v>
      </c>
      <c r="L64" s="13">
        <f t="shared" si="5"/>
        <v>2.7527040000000008E-3</v>
      </c>
      <c r="M64" s="27">
        <f t="shared" si="6"/>
        <v>2.5691904000000005E-2</v>
      </c>
      <c r="N64" s="29">
        <f t="shared" si="7"/>
        <v>5.0976000000000014E-2</v>
      </c>
      <c r="O64" s="28">
        <f t="shared" si="8"/>
        <v>0.43309209600000009</v>
      </c>
    </row>
    <row r="65" spans="1:15" x14ac:dyDescent="0.7">
      <c r="A65" s="5"/>
      <c r="B65" s="5"/>
      <c r="C65" s="5">
        <v>4</v>
      </c>
      <c r="D65" s="6">
        <v>8.9139999999999997</v>
      </c>
      <c r="E65" s="50">
        <v>6.6</v>
      </c>
      <c r="F65" s="6">
        <v>8.9139999999999997</v>
      </c>
      <c r="G65" s="12">
        <f t="shared" ref="G65" si="15">F65*86400</f>
        <v>770169.6</v>
      </c>
      <c r="H65" s="14">
        <f t="shared" ref="H65" si="16">G65/1000000</f>
        <v>0.77016960000000001</v>
      </c>
      <c r="I65" s="13">
        <f t="shared" si="2"/>
        <v>34657.631999999998</v>
      </c>
      <c r="J65" s="21">
        <f t="shared" si="3"/>
        <v>3.4657632000000001E-2</v>
      </c>
      <c r="K65" s="13">
        <f t="shared" si="4"/>
        <v>4158.9158399999997</v>
      </c>
      <c r="L65" s="13">
        <f t="shared" si="5"/>
        <v>4.1589158399999993E-3</v>
      </c>
      <c r="M65" s="27">
        <f t="shared" si="6"/>
        <v>3.881654784E-2</v>
      </c>
      <c r="N65" s="29">
        <f t="shared" si="7"/>
        <v>7.7016960000000009E-2</v>
      </c>
      <c r="O65" s="28">
        <f t="shared" si="8"/>
        <v>0.65433609215999999</v>
      </c>
    </row>
    <row r="66" spans="1:15" x14ac:dyDescent="0.7">
      <c r="A66" s="5"/>
      <c r="B66" s="5"/>
      <c r="C66" s="5">
        <v>5</v>
      </c>
      <c r="D66" s="6">
        <v>11.993</v>
      </c>
      <c r="E66" s="6">
        <v>0</v>
      </c>
      <c r="F66" s="6">
        <v>11.993</v>
      </c>
      <c r="G66" s="12">
        <f t="shared" ref="G66" si="17">F66*86400</f>
        <v>1036195.2000000001</v>
      </c>
      <c r="H66" s="14">
        <f t="shared" ref="H66" si="18">G66/1000000</f>
        <v>1.0361952000000001</v>
      </c>
      <c r="I66" s="13">
        <f t="shared" si="2"/>
        <v>46628.784</v>
      </c>
      <c r="J66" s="21">
        <f t="shared" si="3"/>
        <v>4.6628784E-2</v>
      </c>
      <c r="K66" s="13">
        <f t="shared" si="4"/>
        <v>5595.4540799999995</v>
      </c>
      <c r="L66" s="13">
        <f t="shared" si="5"/>
        <v>5.5954540799999994E-3</v>
      </c>
      <c r="M66" s="27">
        <f t="shared" si="6"/>
        <v>5.2224238079999999E-2</v>
      </c>
      <c r="N66" s="29">
        <f t="shared" si="7"/>
        <v>0.10361952000000002</v>
      </c>
      <c r="O66" s="28">
        <f t="shared" si="8"/>
        <v>0.88035144192000003</v>
      </c>
    </row>
    <row r="67" spans="1:15" x14ac:dyDescent="0.7">
      <c r="A67" s="5"/>
      <c r="B67" s="5"/>
      <c r="C67" s="5">
        <v>6</v>
      </c>
      <c r="D67" s="6">
        <v>10.608000000000001</v>
      </c>
      <c r="E67" s="6">
        <v>0</v>
      </c>
      <c r="F67" s="6">
        <v>10.608000000000001</v>
      </c>
      <c r="G67" s="12">
        <f t="shared" ref="G67" si="19">F67*86400</f>
        <v>916531.20000000007</v>
      </c>
      <c r="H67" s="14">
        <f t="shared" ref="H67" si="20">G67/1000000</f>
        <v>0.9165312000000001</v>
      </c>
      <c r="I67" s="13">
        <f t="shared" si="2"/>
        <v>41243.904000000002</v>
      </c>
      <c r="J67" s="21">
        <f t="shared" si="3"/>
        <v>4.1243904000000005E-2</v>
      </c>
      <c r="K67" s="13">
        <f t="shared" si="4"/>
        <v>4949.2684799999997</v>
      </c>
      <c r="L67" s="13">
        <f t="shared" si="5"/>
        <v>4.9492684799999995E-3</v>
      </c>
      <c r="M67" s="27">
        <f t="shared" si="6"/>
        <v>4.6193172480000003E-2</v>
      </c>
      <c r="N67" s="29">
        <f t="shared" si="7"/>
        <v>9.1653120000000018E-2</v>
      </c>
      <c r="O67" s="28">
        <f t="shared" si="8"/>
        <v>0.77868490752000008</v>
      </c>
    </row>
    <row r="68" spans="1:15" x14ac:dyDescent="0.7">
      <c r="A68" s="5"/>
      <c r="B68" s="5"/>
      <c r="C68" s="5">
        <v>7</v>
      </c>
      <c r="D68" s="6">
        <v>9.4640000000000004</v>
      </c>
      <c r="E68" s="6">
        <v>0</v>
      </c>
      <c r="F68" s="6">
        <v>9.4640000000000004</v>
      </c>
      <c r="G68" s="12">
        <f t="shared" ref="G68" si="21">F68*86400</f>
        <v>817689.60000000009</v>
      </c>
      <c r="H68" s="14">
        <f t="shared" ref="H68" si="22">G68/1000000</f>
        <v>0.81768960000000013</v>
      </c>
      <c r="I68" s="13">
        <f t="shared" ref="I68:I131" si="23">H68*1000000*0.045</f>
        <v>36796.031999999999</v>
      </c>
      <c r="J68" s="21">
        <f t="shared" ref="J68:J131" si="24">I68/1000000</f>
        <v>3.6796031999999999E-2</v>
      </c>
      <c r="K68" s="13">
        <f t="shared" ref="K68:K131" si="25">I68*0.12</f>
        <v>4415.5238399999998</v>
      </c>
      <c r="L68" s="13">
        <f t="shared" ref="L68:L131" si="26">K68/1000000</f>
        <v>4.4155238399999994E-3</v>
      </c>
      <c r="M68" s="27">
        <f t="shared" ref="M68:M131" si="27">J68+L68</f>
        <v>4.1211555839999997E-2</v>
      </c>
      <c r="N68" s="29">
        <f t="shared" ref="N68:N131" si="28">H68*0.1</f>
        <v>8.1768960000000016E-2</v>
      </c>
      <c r="O68" s="28">
        <f t="shared" ref="O68:O131" si="29">H68-M68-N68</f>
        <v>0.6947090841600001</v>
      </c>
    </row>
    <row r="69" spans="1:15" x14ac:dyDescent="0.7">
      <c r="A69" s="5"/>
      <c r="B69" s="5"/>
      <c r="C69" s="5">
        <v>8</v>
      </c>
      <c r="D69" s="6">
        <v>8.7759999999999998</v>
      </c>
      <c r="E69" s="6">
        <v>0.1</v>
      </c>
      <c r="F69" s="6">
        <v>8.7759999999999998</v>
      </c>
      <c r="G69" s="12">
        <f t="shared" ref="G69" si="30">F69*86400</f>
        <v>758246.40000000002</v>
      </c>
      <c r="H69" s="14">
        <f t="shared" ref="H69" si="31">G69/1000000</f>
        <v>0.75824639999999999</v>
      </c>
      <c r="I69" s="13">
        <f t="shared" si="23"/>
        <v>34121.088000000003</v>
      </c>
      <c r="J69" s="21">
        <f t="shared" si="24"/>
        <v>3.4121088000000001E-2</v>
      </c>
      <c r="K69" s="13">
        <f t="shared" si="25"/>
        <v>4094.5305600000002</v>
      </c>
      <c r="L69" s="13">
        <f t="shared" si="26"/>
        <v>4.0945305600000002E-3</v>
      </c>
      <c r="M69" s="27">
        <f t="shared" si="27"/>
        <v>3.8215618559999998E-2</v>
      </c>
      <c r="N69" s="29">
        <f t="shared" si="28"/>
        <v>7.5824639999999999E-2</v>
      </c>
      <c r="O69" s="28">
        <f t="shared" si="29"/>
        <v>0.64420614143999999</v>
      </c>
    </row>
    <row r="70" spans="1:15" x14ac:dyDescent="0.7">
      <c r="A70" s="5"/>
      <c r="B70" s="5"/>
      <c r="C70" s="5">
        <v>9</v>
      </c>
      <c r="D70" s="6">
        <v>12.557</v>
      </c>
      <c r="E70" s="6">
        <v>0</v>
      </c>
      <c r="F70" s="6">
        <v>12.557</v>
      </c>
      <c r="G70" s="12">
        <f t="shared" ref="G70" si="32">F70*86400</f>
        <v>1084924.8</v>
      </c>
      <c r="H70" s="14">
        <f t="shared" ref="H70" si="33">G70/1000000</f>
        <v>1.0849248</v>
      </c>
      <c r="I70" s="13">
        <f t="shared" si="23"/>
        <v>48821.616000000002</v>
      </c>
      <c r="J70" s="21">
        <f t="shared" si="24"/>
        <v>4.8821616000000005E-2</v>
      </c>
      <c r="K70" s="13">
        <f t="shared" si="25"/>
        <v>5858.5939200000003</v>
      </c>
      <c r="L70" s="13">
        <f t="shared" si="26"/>
        <v>5.8585939200000003E-3</v>
      </c>
      <c r="M70" s="27">
        <f t="shared" si="27"/>
        <v>5.4680209920000007E-2</v>
      </c>
      <c r="N70" s="29">
        <f t="shared" si="28"/>
        <v>0.10849248</v>
      </c>
      <c r="O70" s="28">
        <f t="shared" si="29"/>
        <v>0.92175211007999991</v>
      </c>
    </row>
    <row r="71" spans="1:15" x14ac:dyDescent="0.7">
      <c r="A71" s="5"/>
      <c r="B71" s="5"/>
      <c r="C71" s="5">
        <v>10</v>
      </c>
      <c r="D71" s="6">
        <v>10.029999999999999</v>
      </c>
      <c r="E71" s="6">
        <v>0</v>
      </c>
      <c r="F71" s="6">
        <v>10.029999999999999</v>
      </c>
      <c r="G71" s="12">
        <f t="shared" ref="G71" si="34">F71*86400</f>
        <v>866592</v>
      </c>
      <c r="H71" s="14">
        <f t="shared" ref="H71" si="35">G71/1000000</f>
        <v>0.86659200000000003</v>
      </c>
      <c r="I71" s="13">
        <f t="shared" si="23"/>
        <v>38996.639999999999</v>
      </c>
      <c r="J71" s="21">
        <f t="shared" si="24"/>
        <v>3.8996639999999999E-2</v>
      </c>
      <c r="K71" s="13">
        <f t="shared" si="25"/>
        <v>4679.5967999999993</v>
      </c>
      <c r="L71" s="13">
        <f t="shared" si="26"/>
        <v>4.6795967999999997E-3</v>
      </c>
      <c r="M71" s="27">
        <f t="shared" si="27"/>
        <v>4.3676236799999997E-2</v>
      </c>
      <c r="N71" s="29">
        <f t="shared" si="28"/>
        <v>8.6659200000000006E-2</v>
      </c>
      <c r="O71" s="28">
        <f t="shared" si="29"/>
        <v>0.73625656319999999</v>
      </c>
    </row>
    <row r="72" spans="1:15" x14ac:dyDescent="0.7">
      <c r="A72" s="5"/>
      <c r="B72" s="5"/>
      <c r="C72" s="5">
        <v>11</v>
      </c>
      <c r="D72" s="6">
        <v>8.0749999999999993</v>
      </c>
      <c r="E72" s="6">
        <v>0</v>
      </c>
      <c r="F72" s="6">
        <v>8.0749999999999993</v>
      </c>
      <c r="G72" s="12">
        <f t="shared" ref="G72" si="36">F72*86400</f>
        <v>697679.99999999988</v>
      </c>
      <c r="H72" s="14">
        <f t="shared" ref="H72" si="37">G72/1000000</f>
        <v>0.69767999999999986</v>
      </c>
      <c r="I72" s="13">
        <f t="shared" si="23"/>
        <v>31395.599999999995</v>
      </c>
      <c r="J72" s="21">
        <f t="shared" si="24"/>
        <v>3.1395599999999996E-2</v>
      </c>
      <c r="K72" s="13">
        <f t="shared" si="25"/>
        <v>3767.4719999999993</v>
      </c>
      <c r="L72" s="13">
        <f t="shared" si="26"/>
        <v>3.7674719999999991E-3</v>
      </c>
      <c r="M72" s="27">
        <f t="shared" si="27"/>
        <v>3.5163071999999997E-2</v>
      </c>
      <c r="N72" s="29">
        <f t="shared" si="28"/>
        <v>6.9767999999999983E-2</v>
      </c>
      <c r="O72" s="28">
        <f t="shared" si="29"/>
        <v>0.5927489279999999</v>
      </c>
    </row>
    <row r="73" spans="1:15" x14ac:dyDescent="0.7">
      <c r="A73" s="5"/>
      <c r="B73" s="5"/>
      <c r="C73" s="5">
        <v>12</v>
      </c>
      <c r="D73" s="6">
        <v>7.8970000000000002</v>
      </c>
      <c r="E73" s="6">
        <v>0</v>
      </c>
      <c r="F73" s="6">
        <v>7.8970000000000002</v>
      </c>
      <c r="G73" s="12">
        <f t="shared" ref="G73" si="38">F73*86400</f>
        <v>682300.8</v>
      </c>
      <c r="H73" s="14">
        <f t="shared" ref="H73" si="39">G73/1000000</f>
        <v>0.68230080000000004</v>
      </c>
      <c r="I73" s="13">
        <f t="shared" si="23"/>
        <v>30703.536</v>
      </c>
      <c r="J73" s="21">
        <f t="shared" si="24"/>
        <v>3.0703536E-2</v>
      </c>
      <c r="K73" s="13">
        <f t="shared" si="25"/>
        <v>3684.4243200000001</v>
      </c>
      <c r="L73" s="13">
        <f t="shared" si="26"/>
        <v>3.68442432E-3</v>
      </c>
      <c r="M73" s="27">
        <f t="shared" si="27"/>
        <v>3.4387960320000001E-2</v>
      </c>
      <c r="N73" s="29">
        <f t="shared" si="28"/>
        <v>6.8230080000000012E-2</v>
      </c>
      <c r="O73" s="28">
        <f t="shared" si="29"/>
        <v>0.57968275968000005</v>
      </c>
    </row>
    <row r="74" spans="1:15" x14ac:dyDescent="0.7">
      <c r="A74" s="5"/>
      <c r="B74" s="5"/>
      <c r="C74" s="5">
        <v>13</v>
      </c>
      <c r="D74" s="6">
        <v>7.8970000000000002</v>
      </c>
      <c r="E74" s="6">
        <v>0</v>
      </c>
      <c r="F74" s="6">
        <v>7.8970000000000002</v>
      </c>
      <c r="G74" s="12">
        <f t="shared" ref="G74" si="40">F74*86400</f>
        <v>682300.8</v>
      </c>
      <c r="H74" s="14">
        <f t="shared" ref="H74" si="41">G74/1000000</f>
        <v>0.68230080000000004</v>
      </c>
      <c r="I74" s="13">
        <f t="shared" si="23"/>
        <v>30703.536</v>
      </c>
      <c r="J74" s="21">
        <f t="shared" si="24"/>
        <v>3.0703536E-2</v>
      </c>
      <c r="K74" s="13">
        <f t="shared" si="25"/>
        <v>3684.4243200000001</v>
      </c>
      <c r="L74" s="13">
        <f t="shared" si="26"/>
        <v>3.68442432E-3</v>
      </c>
      <c r="M74" s="27">
        <f t="shared" si="27"/>
        <v>3.4387960320000001E-2</v>
      </c>
      <c r="N74" s="29">
        <f t="shared" si="28"/>
        <v>6.8230080000000012E-2</v>
      </c>
      <c r="O74" s="28">
        <f t="shared" si="29"/>
        <v>0.57968275968000005</v>
      </c>
    </row>
    <row r="75" spans="1:15" x14ac:dyDescent="0.7">
      <c r="A75" s="5"/>
      <c r="B75" s="5"/>
      <c r="C75" s="5">
        <v>14</v>
      </c>
      <c r="D75" s="6">
        <v>7.36</v>
      </c>
      <c r="E75" s="6">
        <v>0</v>
      </c>
      <c r="F75" s="6">
        <v>7.36</v>
      </c>
      <c r="G75" s="12">
        <f t="shared" ref="G75" si="42">F75*86400</f>
        <v>635904</v>
      </c>
      <c r="H75" s="14">
        <f t="shared" ref="H75" si="43">G75/1000000</f>
        <v>0.63590400000000002</v>
      </c>
      <c r="I75" s="13">
        <f t="shared" si="23"/>
        <v>28615.68</v>
      </c>
      <c r="J75" s="21">
        <f t="shared" si="24"/>
        <v>2.8615680000000001E-2</v>
      </c>
      <c r="K75" s="13">
        <f t="shared" si="25"/>
        <v>3433.8815999999997</v>
      </c>
      <c r="L75" s="13">
        <f t="shared" si="26"/>
        <v>3.4338815999999995E-3</v>
      </c>
      <c r="M75" s="27">
        <f t="shared" si="27"/>
        <v>3.2049561599999998E-2</v>
      </c>
      <c r="N75" s="29">
        <f t="shared" si="28"/>
        <v>6.3590400000000005E-2</v>
      </c>
      <c r="O75" s="28">
        <f t="shared" si="29"/>
        <v>0.54026403839999992</v>
      </c>
    </row>
    <row r="76" spans="1:15" x14ac:dyDescent="0.7">
      <c r="A76" s="5"/>
      <c r="B76" s="5"/>
      <c r="C76" s="5">
        <v>15</v>
      </c>
      <c r="D76" s="6">
        <v>7.3049999999999997</v>
      </c>
      <c r="E76" s="6">
        <v>0</v>
      </c>
      <c r="F76" s="6">
        <v>7.3049999999999997</v>
      </c>
      <c r="G76" s="12">
        <f t="shared" ref="G76" si="44">F76*86400</f>
        <v>631152</v>
      </c>
      <c r="H76" s="14">
        <f t="shared" ref="H76" si="45">G76/1000000</f>
        <v>0.63115200000000005</v>
      </c>
      <c r="I76" s="13">
        <f t="shared" si="23"/>
        <v>28401.84</v>
      </c>
      <c r="J76" s="21">
        <f t="shared" si="24"/>
        <v>2.8401840000000001E-2</v>
      </c>
      <c r="K76" s="13">
        <f t="shared" si="25"/>
        <v>3408.2208000000001</v>
      </c>
      <c r="L76" s="13">
        <f t="shared" si="26"/>
        <v>3.4082207999999998E-3</v>
      </c>
      <c r="M76" s="27">
        <f t="shared" si="27"/>
        <v>3.1810060799999998E-2</v>
      </c>
      <c r="N76" s="29">
        <f t="shared" si="28"/>
        <v>6.311520000000001E-2</v>
      </c>
      <c r="O76" s="28">
        <f t="shared" si="29"/>
        <v>0.53622673919999997</v>
      </c>
    </row>
    <row r="77" spans="1:15" x14ac:dyDescent="0.7">
      <c r="A77" s="5"/>
      <c r="B77" s="5"/>
      <c r="C77" s="5">
        <v>16</v>
      </c>
      <c r="D77" s="6">
        <v>7.3049999999999997</v>
      </c>
      <c r="E77" s="6">
        <v>0</v>
      </c>
      <c r="F77" s="6">
        <v>7.3049999999999997</v>
      </c>
      <c r="G77" s="12">
        <f t="shared" ref="G77" si="46">F77*86400</f>
        <v>631152</v>
      </c>
      <c r="H77" s="14">
        <f t="shared" ref="H77" si="47">G77/1000000</f>
        <v>0.63115200000000005</v>
      </c>
      <c r="I77" s="13">
        <f t="shared" si="23"/>
        <v>28401.84</v>
      </c>
      <c r="J77" s="21">
        <f t="shared" si="24"/>
        <v>2.8401840000000001E-2</v>
      </c>
      <c r="K77" s="13">
        <f t="shared" si="25"/>
        <v>3408.2208000000001</v>
      </c>
      <c r="L77" s="13">
        <f t="shared" si="26"/>
        <v>3.4082207999999998E-3</v>
      </c>
      <c r="M77" s="27">
        <f t="shared" si="27"/>
        <v>3.1810060799999998E-2</v>
      </c>
      <c r="N77" s="29">
        <f t="shared" si="28"/>
        <v>6.311520000000001E-2</v>
      </c>
      <c r="O77" s="28">
        <f t="shared" si="29"/>
        <v>0.53622673919999997</v>
      </c>
    </row>
    <row r="78" spans="1:15" x14ac:dyDescent="0.7">
      <c r="A78" s="5"/>
      <c r="B78" s="5"/>
      <c r="C78" s="5">
        <v>17</v>
      </c>
      <c r="D78" s="6">
        <v>6.3</v>
      </c>
      <c r="E78" s="6">
        <v>0</v>
      </c>
      <c r="F78" s="6">
        <v>6.3</v>
      </c>
      <c r="G78" s="12">
        <f t="shared" ref="G78" si="48">F78*86400</f>
        <v>544320</v>
      </c>
      <c r="H78" s="14">
        <f t="shared" ref="H78" si="49">G78/1000000</f>
        <v>0.54432000000000003</v>
      </c>
      <c r="I78" s="13">
        <f t="shared" si="23"/>
        <v>24494.399999999998</v>
      </c>
      <c r="J78" s="21">
        <f t="shared" si="24"/>
        <v>2.44944E-2</v>
      </c>
      <c r="K78" s="13">
        <f t="shared" si="25"/>
        <v>2939.3279999999995</v>
      </c>
      <c r="L78" s="13">
        <f t="shared" si="26"/>
        <v>2.9393279999999997E-3</v>
      </c>
      <c r="M78" s="27">
        <f t="shared" si="27"/>
        <v>2.7433727999999998E-2</v>
      </c>
      <c r="N78" s="29">
        <f t="shared" si="28"/>
        <v>5.4432000000000008E-2</v>
      </c>
      <c r="O78" s="28">
        <f t="shared" si="29"/>
        <v>0.462454272</v>
      </c>
    </row>
    <row r="79" spans="1:15" x14ac:dyDescent="0.7">
      <c r="A79" s="5"/>
      <c r="B79" s="5"/>
      <c r="C79" s="5">
        <v>18</v>
      </c>
      <c r="D79" s="6">
        <v>6.3049999999999997</v>
      </c>
      <c r="E79" s="6">
        <v>0</v>
      </c>
      <c r="F79" s="6">
        <v>6.3049999999999997</v>
      </c>
      <c r="G79" s="12">
        <f t="shared" ref="G79" si="50">F79*86400</f>
        <v>544752</v>
      </c>
      <c r="H79" s="14">
        <f t="shared" ref="H79" si="51">G79/1000000</f>
        <v>0.54475200000000001</v>
      </c>
      <c r="I79" s="13">
        <f t="shared" si="23"/>
        <v>24513.84</v>
      </c>
      <c r="J79" s="21">
        <f t="shared" si="24"/>
        <v>2.4513839999999999E-2</v>
      </c>
      <c r="K79" s="13">
        <f t="shared" si="25"/>
        <v>2941.6608000000001</v>
      </c>
      <c r="L79" s="13">
        <f t="shared" si="26"/>
        <v>2.9416608000000003E-3</v>
      </c>
      <c r="M79" s="27">
        <f t="shared" si="27"/>
        <v>2.7455500799999998E-2</v>
      </c>
      <c r="N79" s="29">
        <f t="shared" si="28"/>
        <v>5.4475200000000001E-2</v>
      </c>
      <c r="O79" s="28">
        <f t="shared" si="29"/>
        <v>0.46282129919999998</v>
      </c>
    </row>
    <row r="80" spans="1:15" x14ac:dyDescent="0.7">
      <c r="A80" s="5"/>
      <c r="B80" s="5"/>
      <c r="C80" s="5">
        <v>19</v>
      </c>
      <c r="D80" s="6">
        <v>6.3049999999999997</v>
      </c>
      <c r="E80" s="6">
        <v>0</v>
      </c>
      <c r="F80" s="6">
        <v>6.3049999999999997</v>
      </c>
      <c r="G80" s="12">
        <f t="shared" ref="G80" si="52">F80*86400</f>
        <v>544752</v>
      </c>
      <c r="H80" s="14">
        <f t="shared" ref="H80" si="53">G80/1000000</f>
        <v>0.54475200000000001</v>
      </c>
      <c r="I80" s="13">
        <f t="shared" si="23"/>
        <v>24513.84</v>
      </c>
      <c r="J80" s="21">
        <f t="shared" si="24"/>
        <v>2.4513839999999999E-2</v>
      </c>
      <c r="K80" s="13">
        <f t="shared" si="25"/>
        <v>2941.6608000000001</v>
      </c>
      <c r="L80" s="13">
        <f t="shared" si="26"/>
        <v>2.9416608000000003E-3</v>
      </c>
      <c r="M80" s="27">
        <f t="shared" si="27"/>
        <v>2.7455500799999998E-2</v>
      </c>
      <c r="N80" s="29">
        <f t="shared" si="28"/>
        <v>5.4475200000000001E-2</v>
      </c>
      <c r="O80" s="28">
        <f t="shared" si="29"/>
        <v>0.46282129919999998</v>
      </c>
    </row>
    <row r="81" spans="1:15" x14ac:dyDescent="0.7">
      <c r="A81" s="5"/>
      <c r="B81" s="5"/>
      <c r="C81" s="5">
        <v>20</v>
      </c>
      <c r="D81" s="6">
        <v>6.1859999999999999</v>
      </c>
      <c r="E81" s="6">
        <v>0</v>
      </c>
      <c r="F81" s="6">
        <v>6.1859999999999999</v>
      </c>
      <c r="G81" s="12">
        <f t="shared" ref="G81" si="54">F81*86400</f>
        <v>534470.40000000002</v>
      </c>
      <c r="H81" s="14">
        <f t="shared" ref="H81" si="55">G81/1000000</f>
        <v>0.53447040000000001</v>
      </c>
      <c r="I81" s="13">
        <f t="shared" si="23"/>
        <v>24051.168000000001</v>
      </c>
      <c r="J81" s="21">
        <f t="shared" si="24"/>
        <v>2.4051168000000001E-2</v>
      </c>
      <c r="K81" s="13">
        <f t="shared" si="25"/>
        <v>2886.1401599999999</v>
      </c>
      <c r="L81" s="13">
        <f t="shared" si="26"/>
        <v>2.8861401599999999E-3</v>
      </c>
      <c r="M81" s="27">
        <f t="shared" si="27"/>
        <v>2.6937308159999999E-2</v>
      </c>
      <c r="N81" s="29">
        <f t="shared" si="28"/>
        <v>5.3447040000000001E-2</v>
      </c>
      <c r="O81" s="28">
        <f t="shared" si="29"/>
        <v>0.45408605184000006</v>
      </c>
    </row>
    <row r="82" spans="1:15" x14ac:dyDescent="0.7">
      <c r="A82" s="5"/>
      <c r="B82" s="5"/>
      <c r="C82" s="5">
        <v>21</v>
      </c>
      <c r="D82" s="6">
        <v>6.1859999999999999</v>
      </c>
      <c r="E82" s="6">
        <v>0</v>
      </c>
      <c r="F82" s="6">
        <v>6.1859999999999999</v>
      </c>
      <c r="G82" s="12">
        <f t="shared" ref="G82" si="56">F82*86400</f>
        <v>534470.40000000002</v>
      </c>
      <c r="H82" s="14">
        <f t="shared" ref="H82" si="57">G82/1000000</f>
        <v>0.53447040000000001</v>
      </c>
      <c r="I82" s="13">
        <f t="shared" si="23"/>
        <v>24051.168000000001</v>
      </c>
      <c r="J82" s="21">
        <f t="shared" si="24"/>
        <v>2.4051168000000001E-2</v>
      </c>
      <c r="K82" s="13">
        <f t="shared" si="25"/>
        <v>2886.1401599999999</v>
      </c>
      <c r="L82" s="13">
        <f t="shared" si="26"/>
        <v>2.8861401599999999E-3</v>
      </c>
      <c r="M82" s="27">
        <f t="shared" si="27"/>
        <v>2.6937308159999999E-2</v>
      </c>
      <c r="N82" s="29">
        <f t="shared" si="28"/>
        <v>5.3447040000000001E-2</v>
      </c>
      <c r="O82" s="28">
        <f t="shared" si="29"/>
        <v>0.45408605184000006</v>
      </c>
    </row>
    <row r="83" spans="1:15" x14ac:dyDescent="0.7">
      <c r="A83" s="5"/>
      <c r="B83" s="5"/>
      <c r="C83" s="5">
        <v>22</v>
      </c>
      <c r="D83" s="6">
        <v>5.718</v>
      </c>
      <c r="E83" s="6">
        <v>0</v>
      </c>
      <c r="F83" s="6">
        <v>5.718</v>
      </c>
      <c r="G83" s="12">
        <f t="shared" ref="G83" si="58">F83*86400</f>
        <v>494035.20000000001</v>
      </c>
      <c r="H83" s="14">
        <f t="shared" ref="H83" si="59">G83/1000000</f>
        <v>0.49403520000000001</v>
      </c>
      <c r="I83" s="13">
        <f t="shared" si="23"/>
        <v>22231.583999999999</v>
      </c>
      <c r="J83" s="21">
        <f t="shared" si="24"/>
        <v>2.2231583999999999E-2</v>
      </c>
      <c r="K83" s="13">
        <f t="shared" si="25"/>
        <v>2667.7900799999998</v>
      </c>
      <c r="L83" s="13">
        <f t="shared" si="26"/>
        <v>2.6677900799999999E-3</v>
      </c>
      <c r="M83" s="27">
        <f t="shared" si="27"/>
        <v>2.4899374079999998E-2</v>
      </c>
      <c r="N83" s="29">
        <f t="shared" si="28"/>
        <v>4.9403520000000006E-2</v>
      </c>
      <c r="O83" s="28">
        <f t="shared" si="29"/>
        <v>0.41973230591999999</v>
      </c>
    </row>
    <row r="84" spans="1:15" x14ac:dyDescent="0.7">
      <c r="A84" s="5"/>
      <c r="B84" s="5"/>
      <c r="C84" s="5">
        <v>23</v>
      </c>
      <c r="D84" s="6">
        <v>5.718</v>
      </c>
      <c r="E84" s="6">
        <v>0</v>
      </c>
      <c r="F84" s="6">
        <v>5.718</v>
      </c>
      <c r="G84" s="12">
        <f t="shared" ref="G84" si="60">F84*86400</f>
        <v>494035.20000000001</v>
      </c>
      <c r="H84" s="14">
        <f t="shared" ref="H84" si="61">G84/1000000</f>
        <v>0.49403520000000001</v>
      </c>
      <c r="I84" s="13">
        <f t="shared" si="23"/>
        <v>22231.583999999999</v>
      </c>
      <c r="J84" s="21">
        <f t="shared" si="24"/>
        <v>2.2231583999999999E-2</v>
      </c>
      <c r="K84" s="13">
        <f t="shared" si="25"/>
        <v>2667.7900799999998</v>
      </c>
      <c r="L84" s="13">
        <f t="shared" si="26"/>
        <v>2.6677900799999999E-3</v>
      </c>
      <c r="M84" s="27">
        <f t="shared" si="27"/>
        <v>2.4899374079999998E-2</v>
      </c>
      <c r="N84" s="29">
        <f t="shared" si="28"/>
        <v>4.9403520000000006E-2</v>
      </c>
      <c r="O84" s="28">
        <f t="shared" si="29"/>
        <v>0.41973230591999999</v>
      </c>
    </row>
    <row r="85" spans="1:15" x14ac:dyDescent="0.7">
      <c r="A85" s="5"/>
      <c r="B85" s="5"/>
      <c r="C85" s="5">
        <v>24</v>
      </c>
      <c r="D85" s="6">
        <v>5.5339999999999998</v>
      </c>
      <c r="E85" s="6">
        <v>0</v>
      </c>
      <c r="F85" s="6">
        <v>5.5339999999999998</v>
      </c>
      <c r="G85" s="12">
        <f t="shared" ref="G85" si="62">F85*86400</f>
        <v>478137.59999999998</v>
      </c>
      <c r="H85" s="14">
        <f t="shared" ref="H85" si="63">G85/1000000</f>
        <v>0.4781376</v>
      </c>
      <c r="I85" s="13">
        <f t="shared" si="23"/>
        <v>21516.191999999999</v>
      </c>
      <c r="J85" s="21">
        <f t="shared" si="24"/>
        <v>2.1516192E-2</v>
      </c>
      <c r="K85" s="13">
        <f t="shared" si="25"/>
        <v>2581.9430399999997</v>
      </c>
      <c r="L85" s="13">
        <f t="shared" si="26"/>
        <v>2.5819430399999996E-3</v>
      </c>
      <c r="M85" s="27">
        <f t="shared" si="27"/>
        <v>2.409813504E-2</v>
      </c>
      <c r="N85" s="29">
        <f t="shared" si="28"/>
        <v>4.7813760000000004E-2</v>
      </c>
      <c r="O85" s="28">
        <f t="shared" si="29"/>
        <v>0.40622570495999999</v>
      </c>
    </row>
    <row r="86" spans="1:15" x14ac:dyDescent="0.7">
      <c r="A86" s="5"/>
      <c r="B86" s="5"/>
      <c r="C86" s="5">
        <v>25</v>
      </c>
      <c r="D86" s="6">
        <v>5.5339999999999998</v>
      </c>
      <c r="E86" s="6">
        <v>0</v>
      </c>
      <c r="F86" s="6">
        <v>5.5339999999999998</v>
      </c>
      <c r="G86" s="12">
        <f t="shared" ref="G86" si="64">F86*86400</f>
        <v>478137.59999999998</v>
      </c>
      <c r="H86" s="14">
        <f t="shared" ref="H86" si="65">G86/1000000</f>
        <v>0.4781376</v>
      </c>
      <c r="I86" s="13">
        <f t="shared" si="23"/>
        <v>21516.191999999999</v>
      </c>
      <c r="J86" s="21">
        <f t="shared" si="24"/>
        <v>2.1516192E-2</v>
      </c>
      <c r="K86" s="13">
        <f t="shared" si="25"/>
        <v>2581.9430399999997</v>
      </c>
      <c r="L86" s="13">
        <f t="shared" si="26"/>
        <v>2.5819430399999996E-3</v>
      </c>
      <c r="M86" s="27">
        <f t="shared" si="27"/>
        <v>2.409813504E-2</v>
      </c>
      <c r="N86" s="29">
        <f t="shared" si="28"/>
        <v>4.7813760000000004E-2</v>
      </c>
      <c r="O86" s="28">
        <f t="shared" si="29"/>
        <v>0.40622570495999999</v>
      </c>
    </row>
    <row r="87" spans="1:15" x14ac:dyDescent="0.7">
      <c r="A87" s="5"/>
      <c r="B87" s="5"/>
      <c r="C87" s="5">
        <v>26</v>
      </c>
      <c r="D87" s="6">
        <v>5.476</v>
      </c>
      <c r="E87" s="6">
        <v>0</v>
      </c>
      <c r="F87" s="6">
        <v>5.476</v>
      </c>
      <c r="G87" s="12">
        <f t="shared" ref="G87" si="66">F87*86400</f>
        <v>473126.40000000002</v>
      </c>
      <c r="H87" s="14">
        <f t="shared" ref="H87" si="67">G87/1000000</f>
        <v>0.4731264</v>
      </c>
      <c r="I87" s="13">
        <f t="shared" si="23"/>
        <v>21290.688000000002</v>
      </c>
      <c r="J87" s="21">
        <f t="shared" si="24"/>
        <v>2.1290688000000002E-2</v>
      </c>
      <c r="K87" s="13">
        <f t="shared" si="25"/>
        <v>2554.88256</v>
      </c>
      <c r="L87" s="13">
        <f t="shared" si="26"/>
        <v>2.55488256E-3</v>
      </c>
      <c r="M87" s="27">
        <f t="shared" si="27"/>
        <v>2.3845570560000001E-2</v>
      </c>
      <c r="N87" s="29">
        <f t="shared" si="28"/>
        <v>4.7312640000000003E-2</v>
      </c>
      <c r="O87" s="28">
        <f t="shared" si="29"/>
        <v>0.40196818944000001</v>
      </c>
    </row>
    <row r="88" spans="1:15" x14ac:dyDescent="0.7">
      <c r="A88" s="5"/>
      <c r="B88" s="5"/>
      <c r="C88" s="5">
        <v>27</v>
      </c>
      <c r="D88" s="6">
        <v>5.3780000000000001</v>
      </c>
      <c r="E88" s="6">
        <v>0</v>
      </c>
      <c r="F88" s="6">
        <v>5.3780000000000001</v>
      </c>
      <c r="G88" s="12">
        <f t="shared" ref="G88" si="68">F88*86400</f>
        <v>464659.20000000001</v>
      </c>
      <c r="H88" s="14">
        <f t="shared" ref="H88" si="69">G88/1000000</f>
        <v>0.46465919999999999</v>
      </c>
      <c r="I88" s="13">
        <f t="shared" si="23"/>
        <v>20909.664000000001</v>
      </c>
      <c r="J88" s="21">
        <f t="shared" si="24"/>
        <v>2.0909664000000001E-2</v>
      </c>
      <c r="K88" s="13">
        <f t="shared" si="25"/>
        <v>2509.1596800000002</v>
      </c>
      <c r="L88" s="13">
        <f t="shared" si="26"/>
        <v>2.5091596800000003E-3</v>
      </c>
      <c r="M88" s="27">
        <f t="shared" si="27"/>
        <v>2.3418823680000003E-2</v>
      </c>
      <c r="N88" s="29">
        <f t="shared" si="28"/>
        <v>4.6465920000000001E-2</v>
      </c>
      <c r="O88" s="28">
        <f t="shared" si="29"/>
        <v>0.39477445632000002</v>
      </c>
    </row>
    <row r="89" spans="1:15" x14ac:dyDescent="0.7">
      <c r="A89" s="5"/>
      <c r="B89" s="5"/>
      <c r="C89" s="5">
        <v>28</v>
      </c>
      <c r="D89" s="6">
        <v>5.306</v>
      </c>
      <c r="E89" s="6">
        <v>0</v>
      </c>
      <c r="F89" s="6">
        <v>5.306</v>
      </c>
      <c r="G89" s="12">
        <f t="shared" ref="G89" si="70">F89*86400</f>
        <v>458438.40000000002</v>
      </c>
      <c r="H89" s="14">
        <f t="shared" ref="H89" si="71">G89/1000000</f>
        <v>0.45843840000000002</v>
      </c>
      <c r="I89" s="13">
        <f t="shared" si="23"/>
        <v>20629.727999999999</v>
      </c>
      <c r="J89" s="21">
        <f t="shared" si="24"/>
        <v>2.0629728E-2</v>
      </c>
      <c r="K89" s="13">
        <f t="shared" si="25"/>
        <v>2475.56736</v>
      </c>
      <c r="L89" s="13">
        <f t="shared" si="26"/>
        <v>2.47556736E-3</v>
      </c>
      <c r="M89" s="27">
        <f t="shared" si="27"/>
        <v>2.310529536E-2</v>
      </c>
      <c r="N89" s="29">
        <f t="shared" si="28"/>
        <v>4.5843840000000004E-2</v>
      </c>
      <c r="O89" s="28">
        <f t="shared" si="29"/>
        <v>0.38948926464</v>
      </c>
    </row>
    <row r="90" spans="1:15" x14ac:dyDescent="0.7">
      <c r="A90" s="10"/>
      <c r="B90" s="10"/>
      <c r="C90" s="10">
        <v>29</v>
      </c>
      <c r="D90" s="16">
        <v>5.2919999999999998</v>
      </c>
      <c r="E90" s="6">
        <v>0</v>
      </c>
      <c r="F90" s="16">
        <v>5.2919999999999998</v>
      </c>
      <c r="G90" s="17">
        <f t="shared" ref="G90" si="72">F90*86400</f>
        <v>457228.79999999999</v>
      </c>
      <c r="H90" s="18">
        <f t="shared" ref="H90" si="73">G90/1000000</f>
        <v>0.45722879999999999</v>
      </c>
      <c r="I90" s="13">
        <f t="shared" si="23"/>
        <v>20575.295999999998</v>
      </c>
      <c r="J90" s="21">
        <f t="shared" si="24"/>
        <v>2.0575296E-2</v>
      </c>
      <c r="K90" s="13">
        <f t="shared" si="25"/>
        <v>2469.0355199999999</v>
      </c>
      <c r="L90" s="13">
        <f t="shared" si="26"/>
        <v>2.4690355199999997E-3</v>
      </c>
      <c r="M90" s="27">
        <f t="shared" si="27"/>
        <v>2.3044331519999999E-2</v>
      </c>
      <c r="N90" s="29">
        <f t="shared" si="28"/>
        <v>4.572288E-2</v>
      </c>
      <c r="O90" s="28">
        <f t="shared" si="29"/>
        <v>0.38846158847999995</v>
      </c>
    </row>
    <row r="91" spans="1:15" s="20" customFormat="1" x14ac:dyDescent="0.7">
      <c r="A91" s="10"/>
      <c r="B91" s="10"/>
      <c r="C91" s="10">
        <v>30</v>
      </c>
      <c r="D91" s="16">
        <v>4.9089999999999998</v>
      </c>
      <c r="E91" s="6">
        <v>0</v>
      </c>
      <c r="F91" s="16">
        <v>4.9089999999999998</v>
      </c>
      <c r="G91" s="42">
        <f t="shared" ref="G91" si="74">F91*86400</f>
        <v>424137.6</v>
      </c>
      <c r="H91" s="37">
        <f t="shared" ref="H91" si="75">G91/1000000</f>
        <v>0.4241376</v>
      </c>
      <c r="I91" s="37">
        <f t="shared" si="23"/>
        <v>19086.191999999999</v>
      </c>
      <c r="J91" s="38">
        <f t="shared" si="24"/>
        <v>1.9086191999999998E-2</v>
      </c>
      <c r="K91" s="37">
        <f t="shared" si="25"/>
        <v>2290.3430399999997</v>
      </c>
      <c r="L91" s="37">
        <f t="shared" si="26"/>
        <v>2.2903430399999996E-3</v>
      </c>
      <c r="M91" s="39">
        <f t="shared" si="27"/>
        <v>2.1376535039999998E-2</v>
      </c>
      <c r="N91" s="40">
        <f t="shared" si="28"/>
        <v>4.2413760000000002E-2</v>
      </c>
      <c r="O91" s="41">
        <f t="shared" si="29"/>
        <v>0.36034730496</v>
      </c>
    </row>
    <row r="92" spans="1:15" s="46" customFormat="1" ht="25.2" thickBot="1" x14ac:dyDescent="0.75">
      <c r="A92" s="8"/>
      <c r="B92" s="8" t="s">
        <v>17</v>
      </c>
      <c r="C92" s="8">
        <v>31</v>
      </c>
      <c r="D92" s="9">
        <v>4.7530000000000001</v>
      </c>
      <c r="E92" s="9">
        <v>0</v>
      </c>
      <c r="F92" s="9">
        <v>4.7530000000000001</v>
      </c>
      <c r="G92" s="19">
        <f t="shared" ref="G92" si="76">F92*86400</f>
        <v>410659.2</v>
      </c>
      <c r="H92" s="15">
        <f t="shared" ref="H92" si="77">G92/1000000</f>
        <v>0.4106592</v>
      </c>
      <c r="I92" s="15">
        <f t="shared" si="23"/>
        <v>18479.664000000001</v>
      </c>
      <c r="J92" s="22">
        <f t="shared" si="24"/>
        <v>1.8479664E-2</v>
      </c>
      <c r="K92" s="15">
        <f t="shared" si="25"/>
        <v>2217.5596799999998</v>
      </c>
      <c r="L92" s="15">
        <f t="shared" si="26"/>
        <v>2.2175596799999999E-3</v>
      </c>
      <c r="M92" s="15">
        <f t="shared" si="27"/>
        <v>2.0697223680000001E-2</v>
      </c>
      <c r="N92" s="34">
        <f t="shared" si="28"/>
        <v>4.1065920000000006E-2</v>
      </c>
      <c r="O92" s="15">
        <f t="shared" si="29"/>
        <v>0.34889605631999998</v>
      </c>
    </row>
    <row r="93" spans="1:15" x14ac:dyDescent="0.7">
      <c r="A93" s="2"/>
      <c r="B93" s="2" t="s">
        <v>18</v>
      </c>
      <c r="C93" s="2">
        <v>1</v>
      </c>
      <c r="D93" s="3">
        <v>4.5659999999999998</v>
      </c>
      <c r="E93" s="3">
        <v>0</v>
      </c>
      <c r="F93" s="3">
        <v>4.5659999999999998</v>
      </c>
      <c r="G93" s="12">
        <f t="shared" ref="G93" si="78">F93*86400</f>
        <v>394502.39999999997</v>
      </c>
      <c r="H93" s="14">
        <f t="shared" ref="H93" si="79">G93/1000000</f>
        <v>0.39450239999999998</v>
      </c>
      <c r="I93" s="14">
        <f t="shared" si="23"/>
        <v>17752.607999999997</v>
      </c>
      <c r="J93" s="26">
        <f t="shared" si="24"/>
        <v>1.7752607999999996E-2</v>
      </c>
      <c r="K93" s="14">
        <f t="shared" si="25"/>
        <v>2130.3129599999993</v>
      </c>
      <c r="L93" s="14">
        <f t="shared" si="26"/>
        <v>2.1303129599999993E-3</v>
      </c>
      <c r="M93" s="30">
        <f t="shared" si="27"/>
        <v>1.9882920959999995E-2</v>
      </c>
      <c r="N93" s="31">
        <f t="shared" si="28"/>
        <v>3.9450239999999998E-2</v>
      </c>
      <c r="O93" s="32">
        <f t="shared" si="29"/>
        <v>0.33516923903999996</v>
      </c>
    </row>
    <row r="94" spans="1:15" x14ac:dyDescent="0.7">
      <c r="A94" s="5"/>
      <c r="B94" s="5"/>
      <c r="C94" s="5">
        <v>2</v>
      </c>
      <c r="D94" s="6">
        <v>4.5659999999999998</v>
      </c>
      <c r="E94" s="6">
        <v>0</v>
      </c>
      <c r="F94" s="6">
        <v>4.5659999999999998</v>
      </c>
      <c r="G94" s="12">
        <f t="shared" ref="G94" si="80">F94*86400</f>
        <v>394502.39999999997</v>
      </c>
      <c r="H94" s="14">
        <f t="shared" ref="H94" si="81">G94/1000000</f>
        <v>0.39450239999999998</v>
      </c>
      <c r="I94" s="13">
        <f t="shared" si="23"/>
        <v>17752.607999999997</v>
      </c>
      <c r="J94" s="21">
        <f t="shared" si="24"/>
        <v>1.7752607999999996E-2</v>
      </c>
      <c r="K94" s="13">
        <f t="shared" si="25"/>
        <v>2130.3129599999993</v>
      </c>
      <c r="L94" s="13">
        <f t="shared" si="26"/>
        <v>2.1303129599999993E-3</v>
      </c>
      <c r="M94" s="27">
        <f t="shared" si="27"/>
        <v>1.9882920959999995E-2</v>
      </c>
      <c r="N94" s="29">
        <f t="shared" si="28"/>
        <v>3.9450239999999998E-2</v>
      </c>
      <c r="O94" s="28">
        <f t="shared" si="29"/>
        <v>0.33516923903999996</v>
      </c>
    </row>
    <row r="95" spans="1:15" x14ac:dyDescent="0.7">
      <c r="A95" s="5"/>
      <c r="B95" s="5"/>
      <c r="C95" s="5">
        <v>3</v>
      </c>
      <c r="D95" s="6">
        <v>4.4880000000000004</v>
      </c>
      <c r="E95" s="6">
        <v>0</v>
      </c>
      <c r="F95" s="6">
        <v>4.4880000000000004</v>
      </c>
      <c r="G95" s="12">
        <f t="shared" ref="G95" si="82">F95*86400</f>
        <v>387763.20000000001</v>
      </c>
      <c r="H95" s="14">
        <f t="shared" ref="H95" si="83">G95/1000000</f>
        <v>0.38776320000000003</v>
      </c>
      <c r="I95" s="13">
        <f t="shared" si="23"/>
        <v>17449.344000000001</v>
      </c>
      <c r="J95" s="21">
        <f t="shared" si="24"/>
        <v>1.7449344000000002E-2</v>
      </c>
      <c r="K95" s="13">
        <f t="shared" si="25"/>
        <v>2093.92128</v>
      </c>
      <c r="L95" s="13">
        <f t="shared" si="26"/>
        <v>2.0939212800000001E-3</v>
      </c>
      <c r="M95" s="27">
        <f t="shared" si="27"/>
        <v>1.9543265280000003E-2</v>
      </c>
      <c r="N95" s="29">
        <f t="shared" si="28"/>
        <v>3.8776320000000003E-2</v>
      </c>
      <c r="O95" s="28">
        <f t="shared" si="29"/>
        <v>0.32944361472000006</v>
      </c>
    </row>
    <row r="96" spans="1:15" x14ac:dyDescent="0.7">
      <c r="A96" s="5"/>
      <c r="B96" s="5"/>
      <c r="C96" s="5">
        <v>4</v>
      </c>
      <c r="D96" s="6">
        <v>4.4429999999999996</v>
      </c>
      <c r="E96" s="6">
        <v>0</v>
      </c>
      <c r="F96" s="6">
        <v>4.4429999999999996</v>
      </c>
      <c r="G96" s="12">
        <f t="shared" ref="G96" si="84">F96*86400</f>
        <v>383875.19999999995</v>
      </c>
      <c r="H96" s="14">
        <f t="shared" ref="H96" si="85">G96/1000000</f>
        <v>0.38387519999999997</v>
      </c>
      <c r="I96" s="13">
        <f t="shared" si="23"/>
        <v>17274.383999999998</v>
      </c>
      <c r="J96" s="21">
        <f t="shared" si="24"/>
        <v>1.7274383999999997E-2</v>
      </c>
      <c r="K96" s="13">
        <f t="shared" si="25"/>
        <v>2072.9260799999997</v>
      </c>
      <c r="L96" s="13">
        <f t="shared" si="26"/>
        <v>2.0729260799999998E-3</v>
      </c>
      <c r="M96" s="27">
        <f t="shared" si="27"/>
        <v>1.9347310079999996E-2</v>
      </c>
      <c r="N96" s="29">
        <f t="shared" si="28"/>
        <v>3.8387520000000001E-2</v>
      </c>
      <c r="O96" s="28">
        <f t="shared" si="29"/>
        <v>0.32614036991999995</v>
      </c>
    </row>
    <row r="97" spans="1:15" x14ac:dyDescent="0.7">
      <c r="A97" s="5"/>
      <c r="B97" s="5"/>
      <c r="C97" s="5">
        <v>5</v>
      </c>
      <c r="D97" s="6">
        <v>4.3949999999999996</v>
      </c>
      <c r="E97" s="6">
        <v>0</v>
      </c>
      <c r="F97" s="6">
        <v>4.3949999999999996</v>
      </c>
      <c r="G97" s="12">
        <f t="shared" ref="G97" si="86">F97*86400</f>
        <v>379727.99999999994</v>
      </c>
      <c r="H97" s="14">
        <f t="shared" ref="H97" si="87">G97/1000000</f>
        <v>0.37972799999999995</v>
      </c>
      <c r="I97" s="13">
        <f t="shared" si="23"/>
        <v>17087.759999999998</v>
      </c>
      <c r="J97" s="21">
        <f t="shared" si="24"/>
        <v>1.7087759999999997E-2</v>
      </c>
      <c r="K97" s="13">
        <f t="shared" si="25"/>
        <v>2050.5311999999999</v>
      </c>
      <c r="L97" s="13">
        <f t="shared" si="26"/>
        <v>2.0505312E-3</v>
      </c>
      <c r="M97" s="27">
        <f t="shared" si="27"/>
        <v>1.9138291199999997E-2</v>
      </c>
      <c r="N97" s="29">
        <f t="shared" si="28"/>
        <v>3.7972800000000001E-2</v>
      </c>
      <c r="O97" s="28">
        <f t="shared" si="29"/>
        <v>0.32261690879999994</v>
      </c>
    </row>
    <row r="98" spans="1:15" x14ac:dyDescent="0.7">
      <c r="A98" s="5"/>
      <c r="B98" s="5"/>
      <c r="C98" s="5">
        <v>6</v>
      </c>
      <c r="D98" s="6">
        <v>4.165</v>
      </c>
      <c r="E98" s="6">
        <v>0</v>
      </c>
      <c r="F98" s="6">
        <v>4.165</v>
      </c>
      <c r="G98" s="12">
        <f t="shared" ref="G98" si="88">F98*86400</f>
        <v>359856</v>
      </c>
      <c r="H98" s="14">
        <f t="shared" ref="H98" si="89">G98/1000000</f>
        <v>0.35985600000000001</v>
      </c>
      <c r="I98" s="13">
        <f t="shared" si="23"/>
        <v>16193.519999999999</v>
      </c>
      <c r="J98" s="21">
        <f t="shared" si="24"/>
        <v>1.6193519999999999E-2</v>
      </c>
      <c r="K98" s="13">
        <f t="shared" si="25"/>
        <v>1943.2223999999997</v>
      </c>
      <c r="L98" s="13">
        <f t="shared" si="26"/>
        <v>1.9432223999999996E-3</v>
      </c>
      <c r="M98" s="27">
        <f t="shared" si="27"/>
        <v>1.8136742399999999E-2</v>
      </c>
      <c r="N98" s="29">
        <f t="shared" si="28"/>
        <v>3.59856E-2</v>
      </c>
      <c r="O98" s="28">
        <f t="shared" si="29"/>
        <v>0.30573365759999999</v>
      </c>
    </row>
    <row r="99" spans="1:15" x14ac:dyDescent="0.7">
      <c r="A99" s="5"/>
      <c r="B99" s="5"/>
      <c r="C99" s="5">
        <v>7</v>
      </c>
      <c r="D99" s="6">
        <v>4.0289999999999999</v>
      </c>
      <c r="E99" s="6">
        <v>0</v>
      </c>
      <c r="F99" s="6">
        <v>4.0289999999999999</v>
      </c>
      <c r="G99" s="12">
        <f t="shared" ref="G99" si="90">F99*86400</f>
        <v>348105.6</v>
      </c>
      <c r="H99" s="14">
        <f t="shared" ref="H99" si="91">G99/1000000</f>
        <v>0.34810559999999996</v>
      </c>
      <c r="I99" s="13">
        <f t="shared" si="23"/>
        <v>15664.751999999999</v>
      </c>
      <c r="J99" s="21">
        <f t="shared" si="24"/>
        <v>1.5664751999999997E-2</v>
      </c>
      <c r="K99" s="13">
        <f t="shared" si="25"/>
        <v>1879.7702399999998</v>
      </c>
      <c r="L99" s="13">
        <f t="shared" si="26"/>
        <v>1.8797702399999999E-3</v>
      </c>
      <c r="M99" s="27">
        <f t="shared" si="27"/>
        <v>1.7544522239999995E-2</v>
      </c>
      <c r="N99" s="29">
        <f t="shared" si="28"/>
        <v>3.4810559999999997E-2</v>
      </c>
      <c r="O99" s="28">
        <f t="shared" si="29"/>
        <v>0.29575051776</v>
      </c>
    </row>
    <row r="100" spans="1:15" x14ac:dyDescent="0.7">
      <c r="A100" s="5"/>
      <c r="B100" s="5"/>
      <c r="C100" s="5">
        <v>8</v>
      </c>
      <c r="D100" s="6">
        <v>4.0289999999999999</v>
      </c>
      <c r="E100" s="6">
        <v>0</v>
      </c>
      <c r="F100" s="6">
        <v>4.0289999999999999</v>
      </c>
      <c r="G100" s="12">
        <f t="shared" ref="G100" si="92">F100*86400</f>
        <v>348105.6</v>
      </c>
      <c r="H100" s="14">
        <f t="shared" ref="H100" si="93">G100/1000000</f>
        <v>0.34810559999999996</v>
      </c>
      <c r="I100" s="13">
        <f t="shared" si="23"/>
        <v>15664.751999999999</v>
      </c>
      <c r="J100" s="21">
        <f t="shared" si="24"/>
        <v>1.5664751999999997E-2</v>
      </c>
      <c r="K100" s="13">
        <f t="shared" si="25"/>
        <v>1879.7702399999998</v>
      </c>
      <c r="L100" s="13">
        <f t="shared" si="26"/>
        <v>1.8797702399999999E-3</v>
      </c>
      <c r="M100" s="27">
        <f t="shared" si="27"/>
        <v>1.7544522239999995E-2</v>
      </c>
      <c r="N100" s="29">
        <f t="shared" si="28"/>
        <v>3.4810559999999997E-2</v>
      </c>
      <c r="O100" s="28">
        <f t="shared" si="29"/>
        <v>0.29575051776</v>
      </c>
    </row>
    <row r="101" spans="1:15" x14ac:dyDescent="0.7">
      <c r="A101" s="5"/>
      <c r="B101" s="5"/>
      <c r="C101" s="5">
        <v>9</v>
      </c>
      <c r="D101" s="6">
        <v>4.0289999999999999</v>
      </c>
      <c r="E101" s="6">
        <v>0</v>
      </c>
      <c r="F101" s="6">
        <v>4.0289999999999999</v>
      </c>
      <c r="G101" s="12">
        <f t="shared" ref="G101" si="94">F101*86400</f>
        <v>348105.6</v>
      </c>
      <c r="H101" s="14">
        <f t="shared" ref="H101" si="95">G101/1000000</f>
        <v>0.34810559999999996</v>
      </c>
      <c r="I101" s="13">
        <f t="shared" si="23"/>
        <v>15664.751999999999</v>
      </c>
      <c r="J101" s="21">
        <f t="shared" si="24"/>
        <v>1.5664751999999997E-2</v>
      </c>
      <c r="K101" s="13">
        <f t="shared" si="25"/>
        <v>1879.7702399999998</v>
      </c>
      <c r="L101" s="13">
        <f t="shared" si="26"/>
        <v>1.8797702399999999E-3</v>
      </c>
      <c r="M101" s="27">
        <f t="shared" si="27"/>
        <v>1.7544522239999995E-2</v>
      </c>
      <c r="N101" s="29">
        <f t="shared" si="28"/>
        <v>3.4810559999999997E-2</v>
      </c>
      <c r="O101" s="28">
        <f t="shared" si="29"/>
        <v>0.29575051776</v>
      </c>
    </row>
    <row r="102" spans="1:15" x14ac:dyDescent="0.7">
      <c r="A102" s="5"/>
      <c r="B102" s="5"/>
      <c r="C102" s="5">
        <v>10</v>
      </c>
      <c r="D102" s="6">
        <v>3.984</v>
      </c>
      <c r="E102" s="6">
        <v>0</v>
      </c>
      <c r="F102" s="6">
        <v>3.984</v>
      </c>
      <c r="G102" s="12">
        <f t="shared" ref="G102" si="96">F102*86400</f>
        <v>344217.59999999998</v>
      </c>
      <c r="H102" s="14">
        <f t="shared" ref="H102" si="97">G102/1000000</f>
        <v>0.34421759999999996</v>
      </c>
      <c r="I102" s="13">
        <f t="shared" si="23"/>
        <v>15489.791999999998</v>
      </c>
      <c r="J102" s="21">
        <f t="shared" si="24"/>
        <v>1.5489791999999997E-2</v>
      </c>
      <c r="K102" s="13">
        <f t="shared" si="25"/>
        <v>1858.7750399999995</v>
      </c>
      <c r="L102" s="13">
        <f t="shared" si="26"/>
        <v>1.8587750399999996E-3</v>
      </c>
      <c r="M102" s="27">
        <f t="shared" si="27"/>
        <v>1.7348567039999995E-2</v>
      </c>
      <c r="N102" s="29">
        <f t="shared" si="28"/>
        <v>3.4421759999999996E-2</v>
      </c>
      <c r="O102" s="28">
        <f t="shared" si="29"/>
        <v>0.29244727295999995</v>
      </c>
    </row>
    <row r="103" spans="1:15" x14ac:dyDescent="0.7">
      <c r="A103" s="5"/>
      <c r="B103" s="5"/>
      <c r="C103" s="5">
        <v>11</v>
      </c>
      <c r="D103" s="6">
        <v>3.8</v>
      </c>
      <c r="E103" s="6">
        <v>0</v>
      </c>
      <c r="F103" s="6">
        <v>3.8</v>
      </c>
      <c r="G103" s="12">
        <f t="shared" ref="G103" si="98">F103*86400</f>
        <v>328320</v>
      </c>
      <c r="H103" s="14">
        <f t="shared" ref="H103" si="99">G103/1000000</f>
        <v>0.32832</v>
      </c>
      <c r="I103" s="13">
        <f t="shared" si="23"/>
        <v>14774.4</v>
      </c>
      <c r="J103" s="21">
        <f t="shared" si="24"/>
        <v>1.47744E-2</v>
      </c>
      <c r="K103" s="13">
        <f t="shared" si="25"/>
        <v>1772.9279999999999</v>
      </c>
      <c r="L103" s="13">
        <f t="shared" si="26"/>
        <v>1.7729279999999998E-3</v>
      </c>
      <c r="M103" s="27">
        <f t="shared" si="27"/>
        <v>1.6547328E-2</v>
      </c>
      <c r="N103" s="29">
        <f t="shared" si="28"/>
        <v>3.2832E-2</v>
      </c>
      <c r="O103" s="28">
        <f t="shared" si="29"/>
        <v>0.27894067200000006</v>
      </c>
    </row>
    <row r="104" spans="1:15" x14ac:dyDescent="0.7">
      <c r="A104" s="5"/>
      <c r="B104" s="5"/>
      <c r="C104" s="5">
        <v>12</v>
      </c>
      <c r="D104" s="6">
        <v>3.8</v>
      </c>
      <c r="E104" s="6">
        <v>0</v>
      </c>
      <c r="F104" s="6">
        <v>3.8</v>
      </c>
      <c r="G104" s="12">
        <f t="shared" ref="G104" si="100">F104*86400</f>
        <v>328320</v>
      </c>
      <c r="H104" s="14">
        <f t="shared" ref="H104" si="101">G104/1000000</f>
        <v>0.32832</v>
      </c>
      <c r="I104" s="13">
        <f t="shared" si="23"/>
        <v>14774.4</v>
      </c>
      <c r="J104" s="21">
        <f t="shared" si="24"/>
        <v>1.47744E-2</v>
      </c>
      <c r="K104" s="13">
        <f t="shared" si="25"/>
        <v>1772.9279999999999</v>
      </c>
      <c r="L104" s="13">
        <f t="shared" si="26"/>
        <v>1.7729279999999998E-3</v>
      </c>
      <c r="M104" s="27">
        <f t="shared" si="27"/>
        <v>1.6547328E-2</v>
      </c>
      <c r="N104" s="29">
        <f t="shared" si="28"/>
        <v>3.2832E-2</v>
      </c>
      <c r="O104" s="28">
        <f t="shared" si="29"/>
        <v>0.27894067200000006</v>
      </c>
    </row>
    <row r="105" spans="1:15" x14ac:dyDescent="0.7">
      <c r="A105" s="5"/>
      <c r="B105" s="5"/>
      <c r="C105" s="5">
        <v>13</v>
      </c>
      <c r="D105" s="6">
        <v>3.8</v>
      </c>
      <c r="E105" s="6">
        <v>0</v>
      </c>
      <c r="F105" s="6">
        <v>3.8</v>
      </c>
      <c r="G105" s="12">
        <f t="shared" ref="G105" si="102">F105*86400</f>
        <v>328320</v>
      </c>
      <c r="H105" s="14">
        <f t="shared" ref="H105" si="103">G105/1000000</f>
        <v>0.32832</v>
      </c>
      <c r="I105" s="13">
        <f t="shared" si="23"/>
        <v>14774.4</v>
      </c>
      <c r="J105" s="21">
        <f t="shared" si="24"/>
        <v>1.47744E-2</v>
      </c>
      <c r="K105" s="13">
        <f t="shared" si="25"/>
        <v>1772.9279999999999</v>
      </c>
      <c r="L105" s="13">
        <f t="shared" si="26"/>
        <v>1.7729279999999998E-3</v>
      </c>
      <c r="M105" s="27">
        <f t="shared" si="27"/>
        <v>1.6547328E-2</v>
      </c>
      <c r="N105" s="29">
        <f t="shared" si="28"/>
        <v>3.2832E-2</v>
      </c>
      <c r="O105" s="28">
        <f t="shared" si="29"/>
        <v>0.27894067200000006</v>
      </c>
    </row>
    <row r="106" spans="1:15" x14ac:dyDescent="0.7">
      <c r="A106" s="5"/>
      <c r="B106" s="5"/>
      <c r="C106" s="5">
        <v>14</v>
      </c>
      <c r="D106" s="6">
        <v>3.8</v>
      </c>
      <c r="E106" s="6">
        <v>0</v>
      </c>
      <c r="F106" s="6">
        <v>3.8</v>
      </c>
      <c r="G106" s="12">
        <f t="shared" ref="G106" si="104">F106*86400</f>
        <v>328320</v>
      </c>
      <c r="H106" s="14">
        <f t="shared" ref="H106" si="105">G106/1000000</f>
        <v>0.32832</v>
      </c>
      <c r="I106" s="13">
        <f t="shared" si="23"/>
        <v>14774.4</v>
      </c>
      <c r="J106" s="21">
        <f t="shared" si="24"/>
        <v>1.47744E-2</v>
      </c>
      <c r="K106" s="13">
        <f t="shared" si="25"/>
        <v>1772.9279999999999</v>
      </c>
      <c r="L106" s="13">
        <f t="shared" si="26"/>
        <v>1.7729279999999998E-3</v>
      </c>
      <c r="M106" s="27">
        <f t="shared" si="27"/>
        <v>1.6547328E-2</v>
      </c>
      <c r="N106" s="29">
        <f t="shared" si="28"/>
        <v>3.2832E-2</v>
      </c>
      <c r="O106" s="28">
        <f t="shared" si="29"/>
        <v>0.27894067200000006</v>
      </c>
    </row>
    <row r="107" spans="1:15" x14ac:dyDescent="0.7">
      <c r="A107" s="5"/>
      <c r="B107" s="5"/>
      <c r="C107" s="5">
        <v>15</v>
      </c>
      <c r="D107" s="6">
        <v>3.8</v>
      </c>
      <c r="E107" s="6">
        <v>0</v>
      </c>
      <c r="F107" s="6">
        <v>3.8</v>
      </c>
      <c r="G107" s="12">
        <f t="shared" ref="G107" si="106">F107*86400</f>
        <v>328320</v>
      </c>
      <c r="H107" s="14">
        <f t="shared" ref="H107" si="107">G107/1000000</f>
        <v>0.32832</v>
      </c>
      <c r="I107" s="13">
        <f t="shared" si="23"/>
        <v>14774.4</v>
      </c>
      <c r="J107" s="21">
        <f t="shared" si="24"/>
        <v>1.47744E-2</v>
      </c>
      <c r="K107" s="13">
        <f t="shared" si="25"/>
        <v>1772.9279999999999</v>
      </c>
      <c r="L107" s="13">
        <f t="shared" si="26"/>
        <v>1.7729279999999998E-3</v>
      </c>
      <c r="M107" s="27">
        <f t="shared" si="27"/>
        <v>1.6547328E-2</v>
      </c>
      <c r="N107" s="29">
        <f t="shared" si="28"/>
        <v>3.2832E-2</v>
      </c>
      <c r="O107" s="28">
        <f t="shared" si="29"/>
        <v>0.27894067200000006</v>
      </c>
    </row>
    <row r="108" spans="1:15" x14ac:dyDescent="0.7">
      <c r="A108" s="5"/>
      <c r="B108" s="5"/>
      <c r="C108" s="5">
        <v>16</v>
      </c>
      <c r="D108" s="6">
        <v>3.8</v>
      </c>
      <c r="E108" s="6">
        <v>0</v>
      </c>
      <c r="F108" s="6">
        <v>3.8</v>
      </c>
      <c r="G108" s="12">
        <f t="shared" ref="G108" si="108">F108*86400</f>
        <v>328320</v>
      </c>
      <c r="H108" s="14">
        <f t="shared" ref="H108" si="109">G108/1000000</f>
        <v>0.32832</v>
      </c>
      <c r="I108" s="13">
        <f t="shared" si="23"/>
        <v>14774.4</v>
      </c>
      <c r="J108" s="21">
        <f t="shared" si="24"/>
        <v>1.47744E-2</v>
      </c>
      <c r="K108" s="13">
        <f t="shared" si="25"/>
        <v>1772.9279999999999</v>
      </c>
      <c r="L108" s="13">
        <f t="shared" si="26"/>
        <v>1.7729279999999998E-3</v>
      </c>
      <c r="M108" s="27">
        <f t="shared" si="27"/>
        <v>1.6547328E-2</v>
      </c>
      <c r="N108" s="29">
        <f t="shared" si="28"/>
        <v>3.2832E-2</v>
      </c>
      <c r="O108" s="28">
        <f t="shared" si="29"/>
        <v>0.27894067200000006</v>
      </c>
    </row>
    <row r="109" spans="1:15" x14ac:dyDescent="0.7">
      <c r="A109" s="5"/>
      <c r="B109" s="5"/>
      <c r="C109" s="5">
        <v>17</v>
      </c>
      <c r="D109" s="6">
        <v>3.8</v>
      </c>
      <c r="E109" s="6">
        <v>0</v>
      </c>
      <c r="F109" s="6">
        <v>3.8</v>
      </c>
      <c r="G109" s="12">
        <f t="shared" ref="G109" si="110">F109*86400</f>
        <v>328320</v>
      </c>
      <c r="H109" s="14">
        <f t="shared" ref="H109" si="111">G109/1000000</f>
        <v>0.32832</v>
      </c>
      <c r="I109" s="13">
        <f t="shared" si="23"/>
        <v>14774.4</v>
      </c>
      <c r="J109" s="21">
        <f t="shared" si="24"/>
        <v>1.47744E-2</v>
      </c>
      <c r="K109" s="13">
        <f t="shared" si="25"/>
        <v>1772.9279999999999</v>
      </c>
      <c r="L109" s="13">
        <f t="shared" si="26"/>
        <v>1.7729279999999998E-3</v>
      </c>
      <c r="M109" s="27">
        <f t="shared" si="27"/>
        <v>1.6547328E-2</v>
      </c>
      <c r="N109" s="29">
        <f t="shared" si="28"/>
        <v>3.2832E-2</v>
      </c>
      <c r="O109" s="28">
        <f t="shared" si="29"/>
        <v>0.27894067200000006</v>
      </c>
    </row>
    <row r="110" spans="1:15" x14ac:dyDescent="0.7">
      <c r="A110" s="5"/>
      <c r="B110" s="5"/>
      <c r="C110" s="5">
        <v>18</v>
      </c>
      <c r="D110" s="6">
        <v>3.7530000000000001</v>
      </c>
      <c r="E110" s="6">
        <v>0</v>
      </c>
      <c r="F110" s="6">
        <v>3.7530000000000001</v>
      </c>
      <c r="G110" s="12">
        <f t="shared" ref="G110" si="112">F110*86400</f>
        <v>324259.20000000001</v>
      </c>
      <c r="H110" s="14">
        <f t="shared" ref="H110" si="113">G110/1000000</f>
        <v>0.32425920000000003</v>
      </c>
      <c r="I110" s="13">
        <f t="shared" si="23"/>
        <v>14591.664000000001</v>
      </c>
      <c r="J110" s="21">
        <f t="shared" si="24"/>
        <v>1.4591664000000001E-2</v>
      </c>
      <c r="K110" s="13">
        <f t="shared" si="25"/>
        <v>1750.9996800000001</v>
      </c>
      <c r="L110" s="13">
        <f t="shared" si="26"/>
        <v>1.7509996800000001E-3</v>
      </c>
      <c r="M110" s="27">
        <f t="shared" si="27"/>
        <v>1.6342663680000001E-2</v>
      </c>
      <c r="N110" s="29">
        <f t="shared" si="28"/>
        <v>3.2425920000000004E-2</v>
      </c>
      <c r="O110" s="28">
        <f t="shared" si="29"/>
        <v>0.27549061632000005</v>
      </c>
    </row>
    <row r="111" spans="1:15" x14ac:dyDescent="0.7">
      <c r="A111" s="5"/>
      <c r="B111" s="5"/>
      <c r="C111" s="5">
        <v>19</v>
      </c>
      <c r="D111" s="6">
        <v>3.661</v>
      </c>
      <c r="E111" s="6">
        <v>0</v>
      </c>
      <c r="F111" s="6">
        <v>3.661</v>
      </c>
      <c r="G111" s="12">
        <f t="shared" ref="G111" si="114">F111*86400</f>
        <v>316310.40000000002</v>
      </c>
      <c r="H111" s="14">
        <f t="shared" ref="H111" si="115">G111/1000000</f>
        <v>0.31631040000000005</v>
      </c>
      <c r="I111" s="13">
        <f t="shared" si="23"/>
        <v>14233.968000000001</v>
      </c>
      <c r="J111" s="21">
        <f t="shared" si="24"/>
        <v>1.4233968000000001E-2</v>
      </c>
      <c r="K111" s="13">
        <f t="shared" si="25"/>
        <v>1708.0761600000001</v>
      </c>
      <c r="L111" s="13">
        <f t="shared" si="26"/>
        <v>1.70807616E-3</v>
      </c>
      <c r="M111" s="27">
        <f t="shared" si="27"/>
        <v>1.5942044160000002E-2</v>
      </c>
      <c r="N111" s="29">
        <f t="shared" si="28"/>
        <v>3.1631040000000006E-2</v>
      </c>
      <c r="O111" s="28">
        <f t="shared" si="29"/>
        <v>0.26873731584000005</v>
      </c>
    </row>
    <row r="112" spans="1:15" x14ac:dyDescent="0.7">
      <c r="A112" s="5"/>
      <c r="B112" s="5"/>
      <c r="C112" s="5">
        <v>20</v>
      </c>
      <c r="D112" s="6">
        <v>3.4990000000000001</v>
      </c>
      <c r="E112" s="6">
        <v>0</v>
      </c>
      <c r="F112" s="6">
        <v>3.4990000000000001</v>
      </c>
      <c r="G112" s="12">
        <f t="shared" ref="G112" si="116">F112*86400</f>
        <v>302313.60000000003</v>
      </c>
      <c r="H112" s="14">
        <f t="shared" ref="H112" si="117">G112/1000000</f>
        <v>0.30231360000000002</v>
      </c>
      <c r="I112" s="13">
        <f t="shared" si="23"/>
        <v>13604.112000000001</v>
      </c>
      <c r="J112" s="21">
        <f t="shared" si="24"/>
        <v>1.3604112000000002E-2</v>
      </c>
      <c r="K112" s="13">
        <f t="shared" si="25"/>
        <v>1632.49344</v>
      </c>
      <c r="L112" s="13">
        <f t="shared" si="26"/>
        <v>1.63249344E-3</v>
      </c>
      <c r="M112" s="27">
        <f t="shared" si="27"/>
        <v>1.5236605440000002E-2</v>
      </c>
      <c r="N112" s="29">
        <f t="shared" si="28"/>
        <v>3.0231360000000002E-2</v>
      </c>
      <c r="O112" s="28">
        <f t="shared" si="29"/>
        <v>0.25684563456000004</v>
      </c>
    </row>
    <row r="113" spans="1:15" x14ac:dyDescent="0.7">
      <c r="A113" s="5"/>
      <c r="B113" s="5"/>
      <c r="C113" s="5">
        <v>21</v>
      </c>
      <c r="D113" s="6">
        <v>3.198</v>
      </c>
      <c r="E113" s="6">
        <v>0</v>
      </c>
      <c r="F113" s="6">
        <v>3.198</v>
      </c>
      <c r="G113" s="12">
        <f t="shared" ref="G113" si="118">F113*86400</f>
        <v>276307.20000000001</v>
      </c>
      <c r="H113" s="14">
        <f t="shared" ref="H113" si="119">G113/1000000</f>
        <v>0.27630720000000003</v>
      </c>
      <c r="I113" s="13">
        <f t="shared" si="23"/>
        <v>12433.824000000001</v>
      </c>
      <c r="J113" s="21">
        <f t="shared" si="24"/>
        <v>1.2433824000000001E-2</v>
      </c>
      <c r="K113" s="13">
        <f t="shared" si="25"/>
        <v>1492.05888</v>
      </c>
      <c r="L113" s="13">
        <f t="shared" si="26"/>
        <v>1.4920588800000001E-3</v>
      </c>
      <c r="M113" s="27">
        <f t="shared" si="27"/>
        <v>1.392588288E-2</v>
      </c>
      <c r="N113" s="29">
        <f t="shared" si="28"/>
        <v>2.7630720000000004E-2</v>
      </c>
      <c r="O113" s="28">
        <f t="shared" si="29"/>
        <v>0.23475059712000002</v>
      </c>
    </row>
    <row r="114" spans="1:15" x14ac:dyDescent="0.7">
      <c r="A114" s="5"/>
      <c r="B114" s="5"/>
      <c r="C114" s="5">
        <v>22</v>
      </c>
      <c r="D114" s="6">
        <v>3.198</v>
      </c>
      <c r="E114" s="6">
        <v>0</v>
      </c>
      <c r="F114" s="6">
        <v>3.198</v>
      </c>
      <c r="G114" s="12">
        <f t="shared" ref="G114" si="120">F114*86400</f>
        <v>276307.20000000001</v>
      </c>
      <c r="H114" s="14">
        <f t="shared" ref="H114" si="121">G114/1000000</f>
        <v>0.27630720000000003</v>
      </c>
      <c r="I114" s="13">
        <f t="shared" si="23"/>
        <v>12433.824000000001</v>
      </c>
      <c r="J114" s="21">
        <f t="shared" si="24"/>
        <v>1.2433824000000001E-2</v>
      </c>
      <c r="K114" s="13">
        <f t="shared" si="25"/>
        <v>1492.05888</v>
      </c>
      <c r="L114" s="13">
        <f t="shared" si="26"/>
        <v>1.4920588800000001E-3</v>
      </c>
      <c r="M114" s="27">
        <f t="shared" si="27"/>
        <v>1.392588288E-2</v>
      </c>
      <c r="N114" s="29">
        <f t="shared" si="28"/>
        <v>2.7630720000000004E-2</v>
      </c>
      <c r="O114" s="28">
        <f t="shared" si="29"/>
        <v>0.23475059712000002</v>
      </c>
    </row>
    <row r="115" spans="1:15" x14ac:dyDescent="0.7">
      <c r="A115" s="5"/>
      <c r="B115" s="5"/>
      <c r="C115" s="5">
        <v>23</v>
      </c>
      <c r="D115" s="6">
        <v>3.5219999999999998</v>
      </c>
      <c r="E115" s="6">
        <v>0</v>
      </c>
      <c r="F115" s="6">
        <v>3.5219999999999998</v>
      </c>
      <c r="G115" s="12">
        <f t="shared" ref="G115" si="122">F115*86400</f>
        <v>304300.79999999999</v>
      </c>
      <c r="H115" s="14">
        <f t="shared" ref="H115" si="123">G115/1000000</f>
        <v>0.30430079999999998</v>
      </c>
      <c r="I115" s="13">
        <f t="shared" si="23"/>
        <v>13693.535999999998</v>
      </c>
      <c r="J115" s="21">
        <f t="shared" si="24"/>
        <v>1.3693535999999997E-2</v>
      </c>
      <c r="K115" s="13">
        <f t="shared" si="25"/>
        <v>1643.2243199999998</v>
      </c>
      <c r="L115" s="13">
        <f t="shared" si="26"/>
        <v>1.6432243199999998E-3</v>
      </c>
      <c r="M115" s="27">
        <f t="shared" si="27"/>
        <v>1.5336760319999997E-2</v>
      </c>
      <c r="N115" s="29">
        <f t="shared" si="28"/>
        <v>3.0430079999999998E-2</v>
      </c>
      <c r="O115" s="28">
        <f t="shared" si="29"/>
        <v>0.25853395968000004</v>
      </c>
    </row>
    <row r="116" spans="1:15" x14ac:dyDescent="0.7">
      <c r="A116" s="5"/>
      <c r="B116" s="5"/>
      <c r="C116" s="5">
        <v>24</v>
      </c>
      <c r="D116" s="6">
        <v>3.5920000000000001</v>
      </c>
      <c r="E116" s="6">
        <v>13.6</v>
      </c>
      <c r="F116" s="6">
        <v>3.5920000000000001</v>
      </c>
      <c r="G116" s="12">
        <f t="shared" ref="G116" si="124">F116*86400</f>
        <v>310348.79999999999</v>
      </c>
      <c r="H116" s="14">
        <f t="shared" ref="H116" si="125">G116/1000000</f>
        <v>0.31034879999999998</v>
      </c>
      <c r="I116" s="13">
        <f t="shared" si="23"/>
        <v>13965.695999999998</v>
      </c>
      <c r="J116" s="21">
        <f t="shared" si="24"/>
        <v>1.3965695999999998E-2</v>
      </c>
      <c r="K116" s="13">
        <f t="shared" si="25"/>
        <v>1675.8835199999996</v>
      </c>
      <c r="L116" s="13">
        <f t="shared" si="26"/>
        <v>1.6758835199999996E-3</v>
      </c>
      <c r="M116" s="27">
        <f t="shared" si="27"/>
        <v>1.5641579519999997E-2</v>
      </c>
      <c r="N116" s="29">
        <f t="shared" si="28"/>
        <v>3.1034880000000001E-2</v>
      </c>
      <c r="O116" s="28">
        <f t="shared" si="29"/>
        <v>0.26367234047999999</v>
      </c>
    </row>
    <row r="117" spans="1:15" x14ac:dyDescent="0.7">
      <c r="A117" s="5"/>
      <c r="B117" s="5"/>
      <c r="C117" s="5">
        <v>25</v>
      </c>
      <c r="D117" s="6">
        <v>3.8919999999999999</v>
      </c>
      <c r="E117" s="6">
        <v>0</v>
      </c>
      <c r="F117" s="6">
        <v>3.8919999999999999</v>
      </c>
      <c r="G117" s="12">
        <f t="shared" ref="G117" si="126">F117*86400</f>
        <v>336268.79999999999</v>
      </c>
      <c r="H117" s="14">
        <f t="shared" ref="H117" si="127">G117/1000000</f>
        <v>0.33626879999999998</v>
      </c>
      <c r="I117" s="13">
        <f t="shared" si="23"/>
        <v>15132.096</v>
      </c>
      <c r="J117" s="21">
        <f t="shared" si="24"/>
        <v>1.5132095999999999E-2</v>
      </c>
      <c r="K117" s="13">
        <f t="shared" si="25"/>
        <v>1815.8515199999999</v>
      </c>
      <c r="L117" s="13">
        <f t="shared" si="26"/>
        <v>1.8158515199999999E-3</v>
      </c>
      <c r="M117" s="27">
        <f t="shared" si="27"/>
        <v>1.6947947519999999E-2</v>
      </c>
      <c r="N117" s="29">
        <f t="shared" si="28"/>
        <v>3.3626879999999998E-2</v>
      </c>
      <c r="O117" s="28">
        <f t="shared" si="29"/>
        <v>0.28569397247999995</v>
      </c>
    </row>
    <row r="118" spans="1:15" x14ac:dyDescent="0.7">
      <c r="A118" s="5"/>
      <c r="B118" s="5"/>
      <c r="C118" s="5">
        <v>26</v>
      </c>
      <c r="D118" s="6">
        <v>3.661</v>
      </c>
      <c r="E118" s="6">
        <v>0</v>
      </c>
      <c r="F118" s="6">
        <v>3.661</v>
      </c>
      <c r="G118" s="12">
        <f t="shared" ref="G118" si="128">F118*86400</f>
        <v>316310.40000000002</v>
      </c>
      <c r="H118" s="14">
        <f t="shared" ref="H118" si="129">G118/1000000</f>
        <v>0.31631040000000005</v>
      </c>
      <c r="I118" s="13">
        <f t="shared" si="23"/>
        <v>14233.968000000001</v>
      </c>
      <c r="J118" s="21">
        <f t="shared" si="24"/>
        <v>1.4233968000000001E-2</v>
      </c>
      <c r="K118" s="13">
        <f t="shared" si="25"/>
        <v>1708.0761600000001</v>
      </c>
      <c r="L118" s="13">
        <f t="shared" si="26"/>
        <v>1.70807616E-3</v>
      </c>
      <c r="M118" s="27">
        <f t="shared" si="27"/>
        <v>1.5942044160000002E-2</v>
      </c>
      <c r="N118" s="29">
        <f t="shared" si="28"/>
        <v>3.1631040000000006E-2</v>
      </c>
      <c r="O118" s="28">
        <f t="shared" si="29"/>
        <v>0.26873731584000005</v>
      </c>
    </row>
    <row r="119" spans="1:15" x14ac:dyDescent="0.7">
      <c r="A119" s="5"/>
      <c r="B119" s="5"/>
      <c r="C119" s="5">
        <v>27</v>
      </c>
      <c r="D119" s="6">
        <v>3.57</v>
      </c>
      <c r="E119" s="6">
        <v>0</v>
      </c>
      <c r="F119" s="6">
        <v>3.57</v>
      </c>
      <c r="G119" s="12">
        <f t="shared" ref="G119" si="130">F119*86400</f>
        <v>308448</v>
      </c>
      <c r="H119" s="14">
        <f t="shared" ref="H119" si="131">G119/1000000</f>
        <v>0.308448</v>
      </c>
      <c r="I119" s="13">
        <f t="shared" si="23"/>
        <v>13880.16</v>
      </c>
      <c r="J119" s="21">
        <f t="shared" si="24"/>
        <v>1.3880159999999999E-2</v>
      </c>
      <c r="K119" s="13">
        <f t="shared" si="25"/>
        <v>1665.6191999999999</v>
      </c>
      <c r="L119" s="13">
        <f t="shared" si="26"/>
        <v>1.6656191999999998E-3</v>
      </c>
      <c r="M119" s="27">
        <f t="shared" si="27"/>
        <v>1.5545779199999998E-2</v>
      </c>
      <c r="N119" s="29">
        <f t="shared" si="28"/>
        <v>3.0844800000000002E-2</v>
      </c>
      <c r="O119" s="28">
        <f t="shared" si="29"/>
        <v>0.2620574208</v>
      </c>
    </row>
    <row r="120" spans="1:15" x14ac:dyDescent="0.7">
      <c r="A120" s="10"/>
      <c r="B120" s="10"/>
      <c r="C120" s="10">
        <v>28</v>
      </c>
      <c r="D120" s="16">
        <v>3.57</v>
      </c>
      <c r="E120" s="6">
        <v>0</v>
      </c>
      <c r="F120" s="16">
        <v>3.57</v>
      </c>
      <c r="G120" s="17">
        <f t="shared" ref="G120" si="132">F120*86400</f>
        <v>308448</v>
      </c>
      <c r="H120" s="18">
        <f t="shared" ref="H120" si="133">G120/1000000</f>
        <v>0.308448</v>
      </c>
      <c r="I120" s="13">
        <f t="shared" si="23"/>
        <v>13880.16</v>
      </c>
      <c r="J120" s="21">
        <f t="shared" si="24"/>
        <v>1.3880159999999999E-2</v>
      </c>
      <c r="K120" s="13">
        <f t="shared" si="25"/>
        <v>1665.6191999999999</v>
      </c>
      <c r="L120" s="13">
        <f t="shared" si="26"/>
        <v>1.6656191999999998E-3</v>
      </c>
      <c r="M120" s="27">
        <f t="shared" si="27"/>
        <v>1.5545779199999998E-2</v>
      </c>
      <c r="N120" s="29">
        <f t="shared" si="28"/>
        <v>3.0844800000000002E-2</v>
      </c>
      <c r="O120" s="28">
        <f t="shared" si="29"/>
        <v>0.2620574208</v>
      </c>
    </row>
    <row r="121" spans="1:15" s="20" customFormat="1" x14ac:dyDescent="0.7">
      <c r="A121" s="10"/>
      <c r="B121" s="10"/>
      <c r="C121" s="10">
        <v>29</v>
      </c>
      <c r="D121" s="16">
        <v>3.4649999999999999</v>
      </c>
      <c r="E121" s="6">
        <v>0</v>
      </c>
      <c r="F121" s="16">
        <v>3.4649999999999999</v>
      </c>
      <c r="G121" s="42">
        <f t="shared" ref="G121" si="134">F121*86400</f>
        <v>299376</v>
      </c>
      <c r="H121" s="37">
        <f t="shared" ref="H121" si="135">G121/1000000</f>
        <v>0.29937599999999998</v>
      </c>
      <c r="I121" s="37">
        <f t="shared" si="23"/>
        <v>13471.92</v>
      </c>
      <c r="J121" s="38">
        <f t="shared" si="24"/>
        <v>1.347192E-2</v>
      </c>
      <c r="K121" s="37">
        <f t="shared" si="25"/>
        <v>1616.6304</v>
      </c>
      <c r="L121" s="37">
        <f t="shared" si="26"/>
        <v>1.6166304000000001E-3</v>
      </c>
      <c r="M121" s="39">
        <f t="shared" si="27"/>
        <v>1.5088550400000001E-2</v>
      </c>
      <c r="N121" s="40">
        <f t="shared" si="28"/>
        <v>2.9937599999999998E-2</v>
      </c>
      <c r="O121" s="41">
        <f t="shared" si="29"/>
        <v>0.25434984959999996</v>
      </c>
    </row>
    <row r="122" spans="1:15" s="46" customFormat="1" ht="25.2" thickBot="1" x14ac:dyDescent="0.75">
      <c r="A122" s="8"/>
      <c r="B122" s="8" t="s">
        <v>18</v>
      </c>
      <c r="C122" s="8">
        <v>30</v>
      </c>
      <c r="D122" s="9">
        <v>3.4649999999999999</v>
      </c>
      <c r="E122" s="9">
        <v>1.4</v>
      </c>
      <c r="F122" s="9">
        <v>3.4649999999999999</v>
      </c>
      <c r="G122" s="19">
        <f t="shared" ref="G122" si="136">F122*86400</f>
        <v>299376</v>
      </c>
      <c r="H122" s="15">
        <f t="shared" ref="H122" si="137">G122/1000000</f>
        <v>0.29937599999999998</v>
      </c>
      <c r="I122" s="15">
        <f t="shared" si="23"/>
        <v>13471.92</v>
      </c>
      <c r="J122" s="22">
        <f t="shared" si="24"/>
        <v>1.347192E-2</v>
      </c>
      <c r="K122" s="15">
        <f t="shared" si="25"/>
        <v>1616.6304</v>
      </c>
      <c r="L122" s="15">
        <f t="shared" si="26"/>
        <v>1.6166304000000001E-3</v>
      </c>
      <c r="M122" s="15">
        <f t="shared" si="27"/>
        <v>1.5088550400000001E-2</v>
      </c>
      <c r="N122" s="34">
        <f t="shared" si="28"/>
        <v>2.9937599999999998E-2</v>
      </c>
      <c r="O122" s="15">
        <f t="shared" si="29"/>
        <v>0.25434984959999996</v>
      </c>
    </row>
    <row r="123" spans="1:15" x14ac:dyDescent="0.7">
      <c r="A123" s="2"/>
      <c r="B123" s="2" t="s">
        <v>19</v>
      </c>
      <c r="C123" s="2">
        <v>1</v>
      </c>
      <c r="D123" s="3">
        <v>3.5609999999999999</v>
      </c>
      <c r="E123" s="3">
        <v>0</v>
      </c>
      <c r="F123" s="3">
        <v>3.5609999999999999</v>
      </c>
      <c r="G123" s="12">
        <f t="shared" ref="G123" si="138">F123*86400</f>
        <v>307670.40000000002</v>
      </c>
      <c r="H123" s="14">
        <f t="shared" ref="H123" si="139">G123/1000000</f>
        <v>0.30767040000000001</v>
      </c>
      <c r="I123" s="14">
        <f t="shared" si="23"/>
        <v>13845.168</v>
      </c>
      <c r="J123" s="26">
        <f t="shared" si="24"/>
        <v>1.3845168E-2</v>
      </c>
      <c r="K123" s="14">
        <f t="shared" si="25"/>
        <v>1661.4201599999999</v>
      </c>
      <c r="L123" s="14">
        <f t="shared" si="26"/>
        <v>1.6614201599999998E-3</v>
      </c>
      <c r="M123" s="30">
        <f t="shared" si="27"/>
        <v>1.5506588159999999E-2</v>
      </c>
      <c r="N123" s="31">
        <f t="shared" si="28"/>
        <v>3.0767040000000002E-2</v>
      </c>
      <c r="O123" s="32">
        <f t="shared" si="29"/>
        <v>0.26139677183999999</v>
      </c>
    </row>
    <row r="124" spans="1:15" x14ac:dyDescent="0.7">
      <c r="A124" s="5"/>
      <c r="B124" s="2"/>
      <c r="C124" s="5">
        <v>2</v>
      </c>
      <c r="D124" s="6">
        <v>3.512</v>
      </c>
      <c r="E124" s="6">
        <v>9.6999999999999993</v>
      </c>
      <c r="F124" s="6">
        <v>3.512</v>
      </c>
      <c r="G124" s="12">
        <f t="shared" ref="G124" si="140">F124*86400</f>
        <v>303436.79999999999</v>
      </c>
      <c r="H124" s="14">
        <f t="shared" ref="H124" si="141">G124/1000000</f>
        <v>0.30343680000000001</v>
      </c>
      <c r="I124" s="13">
        <f t="shared" si="23"/>
        <v>13654.655999999999</v>
      </c>
      <c r="J124" s="21">
        <f t="shared" si="24"/>
        <v>1.3654655999999999E-2</v>
      </c>
      <c r="K124" s="13">
        <f t="shared" si="25"/>
        <v>1638.5587199999998</v>
      </c>
      <c r="L124" s="13">
        <f t="shared" si="26"/>
        <v>1.6385587199999998E-3</v>
      </c>
      <c r="M124" s="27">
        <f t="shared" si="27"/>
        <v>1.529321472E-2</v>
      </c>
      <c r="N124" s="29">
        <f t="shared" si="28"/>
        <v>3.0343680000000001E-2</v>
      </c>
      <c r="O124" s="28">
        <f t="shared" si="29"/>
        <v>0.25779990528000002</v>
      </c>
    </row>
    <row r="125" spans="1:15" x14ac:dyDescent="0.7">
      <c r="A125" s="5"/>
      <c r="B125" s="5"/>
      <c r="C125" s="5">
        <v>3</v>
      </c>
      <c r="D125" s="6">
        <v>3.512</v>
      </c>
      <c r="E125" s="6">
        <v>5.3</v>
      </c>
      <c r="F125" s="6">
        <v>3.512</v>
      </c>
      <c r="G125" s="12">
        <f t="shared" ref="G125" si="142">F125*86400</f>
        <v>303436.79999999999</v>
      </c>
      <c r="H125" s="14">
        <f t="shared" ref="H125" si="143">G125/1000000</f>
        <v>0.30343680000000001</v>
      </c>
      <c r="I125" s="13">
        <f t="shared" si="23"/>
        <v>13654.655999999999</v>
      </c>
      <c r="J125" s="21">
        <f t="shared" si="24"/>
        <v>1.3654655999999999E-2</v>
      </c>
      <c r="K125" s="13">
        <f t="shared" si="25"/>
        <v>1638.5587199999998</v>
      </c>
      <c r="L125" s="13">
        <f t="shared" si="26"/>
        <v>1.6385587199999998E-3</v>
      </c>
      <c r="M125" s="27">
        <f t="shared" si="27"/>
        <v>1.529321472E-2</v>
      </c>
      <c r="N125" s="29">
        <f t="shared" si="28"/>
        <v>3.0343680000000001E-2</v>
      </c>
      <c r="O125" s="28">
        <f t="shared" si="29"/>
        <v>0.25779990528000002</v>
      </c>
    </row>
    <row r="126" spans="1:15" x14ac:dyDescent="0.7">
      <c r="A126" s="5"/>
      <c r="B126" s="5"/>
      <c r="C126" s="5">
        <v>4</v>
      </c>
      <c r="D126" s="6">
        <v>5.9029999999999996</v>
      </c>
      <c r="E126" s="6">
        <v>0.2</v>
      </c>
      <c r="F126" s="6">
        <v>5.9029999999999996</v>
      </c>
      <c r="G126" s="12">
        <f t="shared" ref="G126" si="144">F126*86400</f>
        <v>510019.19999999995</v>
      </c>
      <c r="H126" s="14">
        <f t="shared" ref="H126" si="145">G126/1000000</f>
        <v>0.51001920000000001</v>
      </c>
      <c r="I126" s="13">
        <f t="shared" si="23"/>
        <v>22950.864000000001</v>
      </c>
      <c r="J126" s="21">
        <f t="shared" si="24"/>
        <v>2.2950864000000001E-2</v>
      </c>
      <c r="K126" s="13">
        <f t="shared" si="25"/>
        <v>2754.1036800000002</v>
      </c>
      <c r="L126" s="13">
        <f t="shared" si="26"/>
        <v>2.7541036800000003E-3</v>
      </c>
      <c r="M126" s="27">
        <f t="shared" si="27"/>
        <v>2.5704967680000003E-2</v>
      </c>
      <c r="N126" s="29">
        <f t="shared" si="28"/>
        <v>5.1001920000000006E-2</v>
      </c>
      <c r="O126" s="28">
        <f t="shared" si="29"/>
        <v>0.43331231232</v>
      </c>
    </row>
    <row r="127" spans="1:15" x14ac:dyDescent="0.7">
      <c r="A127" s="5"/>
      <c r="B127" s="5"/>
      <c r="C127" s="5">
        <v>5</v>
      </c>
      <c r="D127" s="6">
        <v>5.1269999999999998</v>
      </c>
      <c r="E127" s="6">
        <v>4.4000000000000004</v>
      </c>
      <c r="F127" s="6">
        <v>5.1269999999999998</v>
      </c>
      <c r="G127" s="12">
        <f t="shared" ref="G127" si="146">F127*86400</f>
        <v>442972.8</v>
      </c>
      <c r="H127" s="14">
        <f t="shared" ref="H127" si="147">G127/1000000</f>
        <v>0.4429728</v>
      </c>
      <c r="I127" s="13">
        <f t="shared" si="23"/>
        <v>19933.775999999998</v>
      </c>
      <c r="J127" s="21">
        <f t="shared" si="24"/>
        <v>1.9933775999999997E-2</v>
      </c>
      <c r="K127" s="13">
        <f t="shared" si="25"/>
        <v>2392.0531199999996</v>
      </c>
      <c r="L127" s="13">
        <f t="shared" si="26"/>
        <v>2.3920531199999994E-3</v>
      </c>
      <c r="M127" s="27">
        <f t="shared" si="27"/>
        <v>2.2325829119999994E-2</v>
      </c>
      <c r="N127" s="29">
        <f t="shared" si="28"/>
        <v>4.4297280000000001E-2</v>
      </c>
      <c r="O127" s="28">
        <f t="shared" si="29"/>
        <v>0.37634969088000003</v>
      </c>
    </row>
    <row r="128" spans="1:15" x14ac:dyDescent="0.7">
      <c r="A128" s="5"/>
      <c r="B128" s="5"/>
      <c r="C128" s="5">
        <v>6</v>
      </c>
      <c r="D128" s="6">
        <v>5.1269999999999998</v>
      </c>
      <c r="E128" s="6">
        <v>38.799999999999997</v>
      </c>
      <c r="F128" s="6">
        <v>5.1269999999999998</v>
      </c>
      <c r="G128" s="12">
        <f t="shared" ref="G128" si="148">F128*86400</f>
        <v>442972.8</v>
      </c>
      <c r="H128" s="14">
        <f t="shared" ref="H128" si="149">G128/1000000</f>
        <v>0.4429728</v>
      </c>
      <c r="I128" s="13">
        <f t="shared" si="23"/>
        <v>19933.775999999998</v>
      </c>
      <c r="J128" s="21">
        <f t="shared" si="24"/>
        <v>1.9933775999999997E-2</v>
      </c>
      <c r="K128" s="13">
        <f t="shared" si="25"/>
        <v>2392.0531199999996</v>
      </c>
      <c r="L128" s="13">
        <f t="shared" si="26"/>
        <v>2.3920531199999994E-3</v>
      </c>
      <c r="M128" s="27">
        <f t="shared" si="27"/>
        <v>2.2325829119999994E-2</v>
      </c>
      <c r="N128" s="29">
        <f t="shared" si="28"/>
        <v>4.4297280000000001E-2</v>
      </c>
      <c r="O128" s="28">
        <f t="shared" si="29"/>
        <v>0.37634969088000003</v>
      </c>
    </row>
    <row r="129" spans="1:15" x14ac:dyDescent="0.7">
      <c r="A129" s="5"/>
      <c r="B129" s="5"/>
      <c r="C129" s="5">
        <v>7</v>
      </c>
      <c r="D129" s="6">
        <v>5.9820000000000002</v>
      </c>
      <c r="E129" s="6">
        <v>22.1</v>
      </c>
      <c r="F129" s="6">
        <v>5.9820000000000002</v>
      </c>
      <c r="G129" s="12">
        <f t="shared" ref="G129" si="150">F129*86400</f>
        <v>516844.80000000005</v>
      </c>
      <c r="H129" s="14">
        <f t="shared" ref="H129" si="151">G129/1000000</f>
        <v>0.51684479999999999</v>
      </c>
      <c r="I129" s="13">
        <f t="shared" si="23"/>
        <v>23258.016</v>
      </c>
      <c r="J129" s="21">
        <f t="shared" si="24"/>
        <v>2.3258015999999999E-2</v>
      </c>
      <c r="K129" s="13">
        <f t="shared" si="25"/>
        <v>2790.9619199999997</v>
      </c>
      <c r="L129" s="13">
        <f t="shared" si="26"/>
        <v>2.7909619199999996E-3</v>
      </c>
      <c r="M129" s="27">
        <f t="shared" si="27"/>
        <v>2.6048977920000001E-2</v>
      </c>
      <c r="N129" s="29">
        <f t="shared" si="28"/>
        <v>5.1684480000000005E-2</v>
      </c>
      <c r="O129" s="28">
        <f t="shared" si="29"/>
        <v>0.43911134208000002</v>
      </c>
    </row>
    <row r="130" spans="1:15" x14ac:dyDescent="0.7">
      <c r="A130" s="5"/>
      <c r="B130" s="5"/>
      <c r="C130" s="5">
        <v>8</v>
      </c>
      <c r="D130" s="6">
        <v>5.71</v>
      </c>
      <c r="E130" s="6">
        <v>0</v>
      </c>
      <c r="F130" s="6">
        <v>5.71</v>
      </c>
      <c r="G130" s="12">
        <f t="shared" ref="G130" si="152">F130*86400</f>
        <v>493344</v>
      </c>
      <c r="H130" s="14">
        <f t="shared" ref="H130" si="153">G130/1000000</f>
        <v>0.493344</v>
      </c>
      <c r="I130" s="13">
        <f t="shared" si="23"/>
        <v>22200.48</v>
      </c>
      <c r="J130" s="21">
        <f t="shared" si="24"/>
        <v>2.2200479999999998E-2</v>
      </c>
      <c r="K130" s="13">
        <f t="shared" si="25"/>
        <v>2664.0575999999996</v>
      </c>
      <c r="L130" s="13">
        <f t="shared" si="26"/>
        <v>2.6640575999999998E-3</v>
      </c>
      <c r="M130" s="27">
        <f t="shared" si="27"/>
        <v>2.4864537599999997E-2</v>
      </c>
      <c r="N130" s="29">
        <f t="shared" si="28"/>
        <v>4.93344E-2</v>
      </c>
      <c r="O130" s="28">
        <f t="shared" si="29"/>
        <v>0.41914506239999999</v>
      </c>
    </row>
    <row r="131" spans="1:15" x14ac:dyDescent="0.7">
      <c r="A131" s="5"/>
      <c r="B131" s="5"/>
      <c r="C131" s="5">
        <v>9</v>
      </c>
      <c r="D131" s="6">
        <v>5.71</v>
      </c>
      <c r="E131" s="6">
        <v>0</v>
      </c>
      <c r="F131" s="6">
        <v>5.71</v>
      </c>
      <c r="G131" s="12">
        <f t="shared" ref="G131" si="154">F131*86400</f>
        <v>493344</v>
      </c>
      <c r="H131" s="14">
        <f t="shared" ref="H131" si="155">G131/1000000</f>
        <v>0.493344</v>
      </c>
      <c r="I131" s="13">
        <f t="shared" si="23"/>
        <v>22200.48</v>
      </c>
      <c r="J131" s="21">
        <f t="shared" si="24"/>
        <v>2.2200479999999998E-2</v>
      </c>
      <c r="K131" s="13">
        <f t="shared" si="25"/>
        <v>2664.0575999999996</v>
      </c>
      <c r="L131" s="13">
        <f t="shared" si="26"/>
        <v>2.6640575999999998E-3</v>
      </c>
      <c r="M131" s="27">
        <f t="shared" si="27"/>
        <v>2.4864537599999997E-2</v>
      </c>
      <c r="N131" s="29">
        <f t="shared" si="28"/>
        <v>4.93344E-2</v>
      </c>
      <c r="O131" s="28">
        <f t="shared" si="29"/>
        <v>0.41914506239999999</v>
      </c>
    </row>
    <row r="132" spans="1:15" x14ac:dyDescent="0.7">
      <c r="A132" s="5"/>
      <c r="B132" s="5"/>
      <c r="C132" s="5">
        <v>10</v>
      </c>
      <c r="D132" s="6">
        <v>8.5730000000000004</v>
      </c>
      <c r="E132" s="6">
        <v>14</v>
      </c>
      <c r="F132" s="6">
        <v>8.5730000000000004</v>
      </c>
      <c r="G132" s="12">
        <f t="shared" ref="G132" si="156">F132*86400</f>
        <v>740707.20000000007</v>
      </c>
      <c r="H132" s="14">
        <f t="shared" ref="H132" si="157">G132/1000000</f>
        <v>0.74070720000000012</v>
      </c>
      <c r="I132" s="13">
        <f t="shared" ref="I132:I195" si="158">H132*1000000*0.045</f>
        <v>33331.824000000001</v>
      </c>
      <c r="J132" s="21">
        <f t="shared" ref="J132:J195" si="159">I132/1000000</f>
        <v>3.3331824000000003E-2</v>
      </c>
      <c r="K132" s="13">
        <f t="shared" ref="K132:K195" si="160">I132*0.12</f>
        <v>3999.8188799999998</v>
      </c>
      <c r="L132" s="13">
        <f t="shared" ref="L132:L195" si="161">K132/1000000</f>
        <v>3.9998188799999996E-3</v>
      </c>
      <c r="M132" s="27">
        <f t="shared" ref="M132:M195" si="162">J132+L132</f>
        <v>3.7331642880000002E-2</v>
      </c>
      <c r="N132" s="29">
        <f t="shared" ref="N132:N195" si="163">H132*0.1</f>
        <v>7.407072000000002E-2</v>
      </c>
      <c r="O132" s="28">
        <f t="shared" ref="O132:O195" si="164">H132-M132-N132</f>
        <v>0.62930483712000007</v>
      </c>
    </row>
    <row r="133" spans="1:15" x14ac:dyDescent="0.7">
      <c r="A133" s="5"/>
      <c r="B133" s="5"/>
      <c r="C133" s="5">
        <v>11</v>
      </c>
      <c r="D133" s="6">
        <v>6.9429999999999996</v>
      </c>
      <c r="E133" s="6">
        <v>0</v>
      </c>
      <c r="F133" s="6">
        <v>6.9429999999999996</v>
      </c>
      <c r="G133" s="12">
        <f t="shared" ref="G133" si="165">F133*86400</f>
        <v>599875.19999999995</v>
      </c>
      <c r="H133" s="14">
        <f t="shared" ref="H133" si="166">G133/1000000</f>
        <v>0.59987519999999994</v>
      </c>
      <c r="I133" s="13">
        <f t="shared" si="158"/>
        <v>26994.383999999998</v>
      </c>
      <c r="J133" s="21">
        <f t="shared" si="159"/>
        <v>2.6994384E-2</v>
      </c>
      <c r="K133" s="13">
        <f t="shared" si="160"/>
        <v>3239.3260799999998</v>
      </c>
      <c r="L133" s="13">
        <f t="shared" si="161"/>
        <v>3.23932608E-3</v>
      </c>
      <c r="M133" s="27">
        <f t="shared" si="162"/>
        <v>3.023371008E-2</v>
      </c>
      <c r="N133" s="29">
        <f t="shared" si="163"/>
        <v>5.9987519999999996E-2</v>
      </c>
      <c r="O133" s="28">
        <f t="shared" si="164"/>
        <v>0.50965396992000001</v>
      </c>
    </row>
    <row r="134" spans="1:15" x14ac:dyDescent="0.7">
      <c r="A134" s="5"/>
      <c r="B134" s="5"/>
      <c r="C134" s="5">
        <v>12</v>
      </c>
      <c r="D134" s="6">
        <v>6.0309999999999997</v>
      </c>
      <c r="E134" s="6">
        <v>0</v>
      </c>
      <c r="F134" s="6">
        <v>6.0309999999999997</v>
      </c>
      <c r="G134" s="12">
        <f t="shared" ref="G134" si="167">F134*86400</f>
        <v>521078.39999999997</v>
      </c>
      <c r="H134" s="14">
        <f t="shared" ref="H134" si="168">G134/1000000</f>
        <v>0.52107839999999994</v>
      </c>
      <c r="I134" s="13">
        <f t="shared" si="158"/>
        <v>23448.527999999998</v>
      </c>
      <c r="J134" s="21">
        <f t="shared" si="159"/>
        <v>2.3448528E-2</v>
      </c>
      <c r="K134" s="13">
        <f t="shared" si="160"/>
        <v>2813.8233599999999</v>
      </c>
      <c r="L134" s="13">
        <f t="shared" si="161"/>
        <v>2.8138233599999999E-3</v>
      </c>
      <c r="M134" s="27">
        <f t="shared" si="162"/>
        <v>2.6262351359999998E-2</v>
      </c>
      <c r="N134" s="29">
        <f t="shared" si="163"/>
        <v>5.2107839999999996E-2</v>
      </c>
      <c r="O134" s="28">
        <f t="shared" si="164"/>
        <v>0.44270820863999993</v>
      </c>
    </row>
    <row r="135" spans="1:15" x14ac:dyDescent="0.7">
      <c r="A135" s="5"/>
      <c r="B135" s="5"/>
      <c r="C135" s="5">
        <v>13</v>
      </c>
      <c r="D135" s="6">
        <v>6.0309999999999997</v>
      </c>
      <c r="E135" s="6">
        <v>0</v>
      </c>
      <c r="F135" s="6">
        <v>6.0309999999999997</v>
      </c>
      <c r="G135" s="12">
        <f t="shared" ref="G135" si="169">F135*86400</f>
        <v>521078.39999999997</v>
      </c>
      <c r="H135" s="14">
        <f t="shared" ref="H135" si="170">G135/1000000</f>
        <v>0.52107839999999994</v>
      </c>
      <c r="I135" s="13">
        <f t="shared" si="158"/>
        <v>23448.527999999998</v>
      </c>
      <c r="J135" s="21">
        <f t="shared" si="159"/>
        <v>2.3448528E-2</v>
      </c>
      <c r="K135" s="13">
        <f t="shared" si="160"/>
        <v>2813.8233599999999</v>
      </c>
      <c r="L135" s="13">
        <f t="shared" si="161"/>
        <v>2.8138233599999999E-3</v>
      </c>
      <c r="M135" s="27">
        <f t="shared" si="162"/>
        <v>2.6262351359999998E-2</v>
      </c>
      <c r="N135" s="29">
        <f t="shared" si="163"/>
        <v>5.2107839999999996E-2</v>
      </c>
      <c r="O135" s="28">
        <f t="shared" si="164"/>
        <v>0.44270820863999993</v>
      </c>
    </row>
    <row r="136" spans="1:15" x14ac:dyDescent="0.7">
      <c r="A136" s="5"/>
      <c r="B136" s="5"/>
      <c r="C136" s="5">
        <v>14</v>
      </c>
      <c r="D136" s="6">
        <v>6.1260000000000003</v>
      </c>
      <c r="E136" s="6">
        <v>0</v>
      </c>
      <c r="F136" s="6">
        <v>6.1260000000000003</v>
      </c>
      <c r="G136" s="12">
        <f t="shared" ref="G136" si="171">F136*86400</f>
        <v>529286.40000000002</v>
      </c>
      <c r="H136" s="14">
        <f t="shared" ref="H136" si="172">G136/1000000</f>
        <v>0.52928640000000005</v>
      </c>
      <c r="I136" s="13">
        <f t="shared" si="158"/>
        <v>23817.887999999999</v>
      </c>
      <c r="J136" s="21">
        <f t="shared" si="159"/>
        <v>2.3817887999999999E-2</v>
      </c>
      <c r="K136" s="13">
        <f t="shared" si="160"/>
        <v>2858.1465599999997</v>
      </c>
      <c r="L136" s="13">
        <f t="shared" si="161"/>
        <v>2.8581465599999997E-3</v>
      </c>
      <c r="M136" s="27">
        <f t="shared" si="162"/>
        <v>2.6676034559999999E-2</v>
      </c>
      <c r="N136" s="29">
        <f t="shared" si="163"/>
        <v>5.2928640000000006E-2</v>
      </c>
      <c r="O136" s="28">
        <f t="shared" si="164"/>
        <v>0.44968172544000001</v>
      </c>
    </row>
    <row r="137" spans="1:15" x14ac:dyDescent="0.7">
      <c r="A137" s="5"/>
      <c r="B137" s="5"/>
      <c r="C137" s="5">
        <v>15</v>
      </c>
      <c r="D137" s="6">
        <v>4.718</v>
      </c>
      <c r="E137" s="6">
        <v>0</v>
      </c>
      <c r="F137" s="6">
        <v>4.718</v>
      </c>
      <c r="G137" s="12">
        <f t="shared" ref="G137" si="173">F137*86400</f>
        <v>407635.20000000001</v>
      </c>
      <c r="H137" s="14">
        <f t="shared" ref="H137" si="174">G137/1000000</f>
        <v>0.40763520000000003</v>
      </c>
      <c r="I137" s="13">
        <f t="shared" si="158"/>
        <v>18343.583999999999</v>
      </c>
      <c r="J137" s="21">
        <f t="shared" si="159"/>
        <v>1.8343584E-2</v>
      </c>
      <c r="K137" s="13">
        <f t="shared" si="160"/>
        <v>2201.2300799999998</v>
      </c>
      <c r="L137" s="13">
        <f t="shared" si="161"/>
        <v>2.2012300799999999E-3</v>
      </c>
      <c r="M137" s="27">
        <f t="shared" si="162"/>
        <v>2.0544814080000001E-2</v>
      </c>
      <c r="N137" s="29">
        <f t="shared" si="163"/>
        <v>4.0763520000000004E-2</v>
      </c>
      <c r="O137" s="28">
        <f t="shared" si="164"/>
        <v>0.34632686592</v>
      </c>
    </row>
    <row r="138" spans="1:15" x14ac:dyDescent="0.7">
      <c r="A138" s="5"/>
      <c r="B138" s="5"/>
      <c r="C138" s="5">
        <v>16</v>
      </c>
      <c r="D138" s="6">
        <v>5.1950000000000003</v>
      </c>
      <c r="E138" s="6">
        <v>0.5</v>
      </c>
      <c r="F138" s="6">
        <v>5.1950000000000003</v>
      </c>
      <c r="G138" s="12">
        <f t="shared" ref="G138" si="175">F138*86400</f>
        <v>448848</v>
      </c>
      <c r="H138" s="14">
        <f t="shared" ref="H138" si="176">G138/1000000</f>
        <v>0.44884800000000002</v>
      </c>
      <c r="I138" s="13">
        <f t="shared" si="158"/>
        <v>20198.16</v>
      </c>
      <c r="J138" s="21">
        <f t="shared" si="159"/>
        <v>2.019816E-2</v>
      </c>
      <c r="K138" s="13">
        <f t="shared" si="160"/>
        <v>2423.7791999999999</v>
      </c>
      <c r="L138" s="13">
        <f t="shared" si="161"/>
        <v>2.4237792000000001E-3</v>
      </c>
      <c r="M138" s="27">
        <f t="shared" si="162"/>
        <v>2.26219392E-2</v>
      </c>
      <c r="N138" s="29">
        <f t="shared" si="163"/>
        <v>4.4884800000000002E-2</v>
      </c>
      <c r="O138" s="28">
        <f t="shared" si="164"/>
        <v>0.38134126080000003</v>
      </c>
    </row>
    <row r="139" spans="1:15" x14ac:dyDescent="0.7">
      <c r="A139" s="5"/>
      <c r="B139" s="5"/>
      <c r="C139" s="5">
        <v>17</v>
      </c>
      <c r="D139" s="6">
        <v>6.1689999999999996</v>
      </c>
      <c r="E139" s="6">
        <v>0</v>
      </c>
      <c r="F139" s="6">
        <v>6.1689999999999996</v>
      </c>
      <c r="G139" s="12">
        <f t="shared" ref="G139" si="177">F139*86400</f>
        <v>533001.6</v>
      </c>
      <c r="H139" s="14">
        <f t="shared" ref="H139" si="178">G139/1000000</f>
        <v>0.53300159999999996</v>
      </c>
      <c r="I139" s="13">
        <f t="shared" si="158"/>
        <v>23985.071999999996</v>
      </c>
      <c r="J139" s="21">
        <f t="shared" si="159"/>
        <v>2.3985071999999996E-2</v>
      </c>
      <c r="K139" s="13">
        <f t="shared" si="160"/>
        <v>2878.2086399999994</v>
      </c>
      <c r="L139" s="13">
        <f t="shared" si="161"/>
        <v>2.8782086399999993E-3</v>
      </c>
      <c r="M139" s="27">
        <f t="shared" si="162"/>
        <v>2.6863280639999994E-2</v>
      </c>
      <c r="N139" s="29">
        <f t="shared" si="163"/>
        <v>5.3300159999999999E-2</v>
      </c>
      <c r="O139" s="28">
        <f t="shared" si="164"/>
        <v>0.45283815935999999</v>
      </c>
    </row>
    <row r="140" spans="1:15" x14ac:dyDescent="0.7">
      <c r="A140" s="5"/>
      <c r="B140" s="5"/>
      <c r="C140" s="5">
        <v>18</v>
      </c>
      <c r="D140" s="6">
        <v>5.6340000000000003</v>
      </c>
      <c r="E140" s="6">
        <v>0</v>
      </c>
      <c r="F140" s="6">
        <v>5.6340000000000003</v>
      </c>
      <c r="G140" s="12">
        <f t="shared" ref="G140" si="179">F140*86400</f>
        <v>486777.60000000003</v>
      </c>
      <c r="H140" s="14">
        <f t="shared" ref="H140" si="180">G140/1000000</f>
        <v>0.48677760000000003</v>
      </c>
      <c r="I140" s="13">
        <f t="shared" si="158"/>
        <v>21904.992000000002</v>
      </c>
      <c r="J140" s="21">
        <f t="shared" si="159"/>
        <v>2.1904992000000002E-2</v>
      </c>
      <c r="K140" s="13">
        <f t="shared" si="160"/>
        <v>2628.5990400000001</v>
      </c>
      <c r="L140" s="13">
        <f t="shared" si="161"/>
        <v>2.62859904E-3</v>
      </c>
      <c r="M140" s="27">
        <f t="shared" si="162"/>
        <v>2.453359104E-2</v>
      </c>
      <c r="N140" s="29">
        <f t="shared" si="163"/>
        <v>4.8677760000000007E-2</v>
      </c>
      <c r="O140" s="28">
        <f t="shared" si="164"/>
        <v>0.41356624895999999</v>
      </c>
    </row>
    <row r="141" spans="1:15" x14ac:dyDescent="0.7">
      <c r="A141" s="5"/>
      <c r="B141" s="5"/>
      <c r="C141" s="5">
        <v>19</v>
      </c>
      <c r="D141" s="6">
        <v>4.5410000000000004</v>
      </c>
      <c r="E141" s="6">
        <v>6.7</v>
      </c>
      <c r="F141" s="6">
        <v>4.5410000000000004</v>
      </c>
      <c r="G141" s="12">
        <f t="shared" ref="G141" si="181">F141*86400</f>
        <v>392342.4</v>
      </c>
      <c r="H141" s="14">
        <f t="shared" ref="H141" si="182">G141/1000000</f>
        <v>0.39234240000000004</v>
      </c>
      <c r="I141" s="13">
        <f t="shared" si="158"/>
        <v>17655.407999999999</v>
      </c>
      <c r="J141" s="21">
        <f t="shared" si="159"/>
        <v>1.7655408000000001E-2</v>
      </c>
      <c r="K141" s="13">
        <f t="shared" si="160"/>
        <v>2118.64896</v>
      </c>
      <c r="L141" s="13">
        <f t="shared" si="161"/>
        <v>2.11864896E-3</v>
      </c>
      <c r="M141" s="27">
        <f t="shared" si="162"/>
        <v>1.9774056960000001E-2</v>
      </c>
      <c r="N141" s="29">
        <f t="shared" si="163"/>
        <v>3.9234240000000004E-2</v>
      </c>
      <c r="O141" s="28">
        <f t="shared" si="164"/>
        <v>0.33333410304</v>
      </c>
    </row>
    <row r="142" spans="1:15" x14ac:dyDescent="0.7">
      <c r="A142" s="5"/>
      <c r="B142" s="5"/>
      <c r="C142" s="5">
        <v>20</v>
      </c>
      <c r="D142" s="6">
        <v>5.4219999999999997</v>
      </c>
      <c r="E142" s="6">
        <v>6.3</v>
      </c>
      <c r="F142" s="6">
        <v>5.4219999999999997</v>
      </c>
      <c r="G142" s="12">
        <f t="shared" ref="G142" si="183">F142*86400</f>
        <v>468460.79999999999</v>
      </c>
      <c r="H142" s="14">
        <f t="shared" ref="H142" si="184">G142/1000000</f>
        <v>0.46846080000000001</v>
      </c>
      <c r="I142" s="13">
        <f t="shared" si="158"/>
        <v>21080.735999999997</v>
      </c>
      <c r="J142" s="21">
        <f t="shared" si="159"/>
        <v>2.1080735999999996E-2</v>
      </c>
      <c r="K142" s="13">
        <f t="shared" si="160"/>
        <v>2529.6883199999997</v>
      </c>
      <c r="L142" s="13">
        <f t="shared" si="161"/>
        <v>2.5296883199999996E-3</v>
      </c>
      <c r="M142" s="27">
        <f t="shared" si="162"/>
        <v>2.3610424319999997E-2</v>
      </c>
      <c r="N142" s="29">
        <f t="shared" si="163"/>
        <v>4.6846080000000005E-2</v>
      </c>
      <c r="O142" s="28">
        <f t="shared" si="164"/>
        <v>0.39800429568000001</v>
      </c>
    </row>
    <row r="143" spans="1:15" x14ac:dyDescent="0.7">
      <c r="A143" s="5"/>
      <c r="B143" s="5"/>
      <c r="C143" s="5">
        <v>21</v>
      </c>
      <c r="D143" s="6">
        <v>5.3230000000000004</v>
      </c>
      <c r="E143" s="6">
        <v>0</v>
      </c>
      <c r="F143" s="6">
        <v>5.3230000000000004</v>
      </c>
      <c r="G143" s="12">
        <f t="shared" ref="G143" si="185">F143*86400</f>
        <v>459907.2</v>
      </c>
      <c r="H143" s="14">
        <f t="shared" ref="H143" si="186">G143/1000000</f>
        <v>0.45990720000000002</v>
      </c>
      <c r="I143" s="13">
        <f t="shared" si="158"/>
        <v>20695.824000000001</v>
      </c>
      <c r="J143" s="21">
        <f t="shared" si="159"/>
        <v>2.0695824000000002E-2</v>
      </c>
      <c r="K143" s="13">
        <f t="shared" si="160"/>
        <v>2483.4988800000001</v>
      </c>
      <c r="L143" s="13">
        <f t="shared" si="161"/>
        <v>2.4834988800000002E-3</v>
      </c>
      <c r="M143" s="27">
        <f t="shared" si="162"/>
        <v>2.3179322880000002E-2</v>
      </c>
      <c r="N143" s="29">
        <f t="shared" si="163"/>
        <v>4.5990720000000006E-2</v>
      </c>
      <c r="O143" s="28">
        <f t="shared" si="164"/>
        <v>0.39073715712000001</v>
      </c>
    </row>
    <row r="144" spans="1:15" x14ac:dyDescent="0.7">
      <c r="A144" s="5"/>
      <c r="B144" s="5"/>
      <c r="C144" s="5">
        <v>22</v>
      </c>
      <c r="D144" s="6">
        <v>4.1400000000000006</v>
      </c>
      <c r="E144" s="6">
        <v>0</v>
      </c>
      <c r="F144" s="6">
        <v>4.1400000000000006</v>
      </c>
      <c r="G144" s="12">
        <f t="shared" ref="G144" si="187">F144*86400</f>
        <v>357696.00000000006</v>
      </c>
      <c r="H144" s="14">
        <f t="shared" ref="H144" si="188">G144/1000000</f>
        <v>0.35769600000000007</v>
      </c>
      <c r="I144" s="13">
        <f t="shared" si="158"/>
        <v>16096.320000000002</v>
      </c>
      <c r="J144" s="21">
        <f t="shared" si="159"/>
        <v>1.6096320000000001E-2</v>
      </c>
      <c r="K144" s="13">
        <f t="shared" si="160"/>
        <v>1931.5584000000001</v>
      </c>
      <c r="L144" s="13">
        <f t="shared" si="161"/>
        <v>1.9315584E-3</v>
      </c>
      <c r="M144" s="27">
        <f t="shared" si="162"/>
        <v>1.8027878400000003E-2</v>
      </c>
      <c r="N144" s="29">
        <f t="shared" si="163"/>
        <v>3.5769600000000006E-2</v>
      </c>
      <c r="O144" s="28">
        <f t="shared" si="164"/>
        <v>0.30389852160000003</v>
      </c>
    </row>
    <row r="145" spans="1:15" x14ac:dyDescent="0.7">
      <c r="A145" s="5"/>
      <c r="B145" s="5"/>
      <c r="C145" s="5">
        <v>23</v>
      </c>
      <c r="D145" s="6">
        <v>4.5</v>
      </c>
      <c r="E145" s="6">
        <v>0</v>
      </c>
      <c r="F145" s="6">
        <v>4.5</v>
      </c>
      <c r="G145" s="12">
        <f t="shared" ref="G145" si="189">F145*86400</f>
        <v>388800</v>
      </c>
      <c r="H145" s="14">
        <f t="shared" ref="H145" si="190">G145/1000000</f>
        <v>0.38879999999999998</v>
      </c>
      <c r="I145" s="13">
        <f t="shared" si="158"/>
        <v>17496</v>
      </c>
      <c r="J145" s="21">
        <f t="shared" si="159"/>
        <v>1.7496000000000001E-2</v>
      </c>
      <c r="K145" s="13">
        <f t="shared" si="160"/>
        <v>2099.52</v>
      </c>
      <c r="L145" s="13">
        <f t="shared" si="161"/>
        <v>2.0995200000000001E-3</v>
      </c>
      <c r="M145" s="27">
        <f t="shared" si="162"/>
        <v>1.9595520000000002E-2</v>
      </c>
      <c r="N145" s="29">
        <f t="shared" si="163"/>
        <v>3.8879999999999998E-2</v>
      </c>
      <c r="O145" s="28">
        <f t="shared" si="164"/>
        <v>0.33032448000000003</v>
      </c>
    </row>
    <row r="146" spans="1:15" x14ac:dyDescent="0.7">
      <c r="A146" s="5"/>
      <c r="B146" s="5"/>
      <c r="C146" s="5">
        <v>24</v>
      </c>
      <c r="D146" s="6">
        <v>4.5</v>
      </c>
      <c r="E146" s="6">
        <v>0</v>
      </c>
      <c r="F146" s="6">
        <v>4.5</v>
      </c>
      <c r="G146" s="12">
        <f t="shared" ref="G146" si="191">F146*86400</f>
        <v>388800</v>
      </c>
      <c r="H146" s="14">
        <f t="shared" ref="H146" si="192">G146/1000000</f>
        <v>0.38879999999999998</v>
      </c>
      <c r="I146" s="13">
        <f t="shared" si="158"/>
        <v>17496</v>
      </c>
      <c r="J146" s="21">
        <f t="shared" si="159"/>
        <v>1.7496000000000001E-2</v>
      </c>
      <c r="K146" s="13">
        <f t="shared" si="160"/>
        <v>2099.52</v>
      </c>
      <c r="L146" s="13">
        <f t="shared" si="161"/>
        <v>2.0995200000000001E-3</v>
      </c>
      <c r="M146" s="27">
        <f t="shared" si="162"/>
        <v>1.9595520000000002E-2</v>
      </c>
      <c r="N146" s="29">
        <f t="shared" si="163"/>
        <v>3.8879999999999998E-2</v>
      </c>
      <c r="O146" s="28">
        <f t="shared" si="164"/>
        <v>0.33032448000000003</v>
      </c>
    </row>
    <row r="147" spans="1:15" x14ac:dyDescent="0.7">
      <c r="A147" s="5"/>
      <c r="B147" s="5"/>
      <c r="C147" s="5">
        <v>25</v>
      </c>
      <c r="D147" s="6">
        <v>5.37</v>
      </c>
      <c r="E147" s="6">
        <v>0</v>
      </c>
      <c r="F147" s="6">
        <v>5.37</v>
      </c>
      <c r="G147" s="12">
        <f t="shared" ref="G147" si="193">F147*86400</f>
        <v>463968</v>
      </c>
      <c r="H147" s="14">
        <f t="shared" ref="H147" si="194">G147/1000000</f>
        <v>0.46396799999999999</v>
      </c>
      <c r="I147" s="13">
        <f t="shared" si="158"/>
        <v>20878.559999999998</v>
      </c>
      <c r="J147" s="21">
        <f t="shared" si="159"/>
        <v>2.0878559999999997E-2</v>
      </c>
      <c r="K147" s="13">
        <f t="shared" si="160"/>
        <v>2505.4271999999996</v>
      </c>
      <c r="L147" s="13">
        <f t="shared" si="161"/>
        <v>2.5054271999999998E-3</v>
      </c>
      <c r="M147" s="27">
        <f t="shared" si="162"/>
        <v>2.3383987199999998E-2</v>
      </c>
      <c r="N147" s="29">
        <f t="shared" si="163"/>
        <v>4.6396800000000002E-2</v>
      </c>
      <c r="O147" s="28">
        <f t="shared" si="164"/>
        <v>0.39418721279999996</v>
      </c>
    </row>
    <row r="148" spans="1:15" x14ac:dyDescent="0.7">
      <c r="A148" s="5"/>
      <c r="B148" s="5"/>
      <c r="C148" s="5">
        <v>26</v>
      </c>
      <c r="D148" s="6">
        <v>5.37</v>
      </c>
      <c r="E148" s="6">
        <v>4.4000000000000004</v>
      </c>
      <c r="F148" s="6">
        <v>5.37</v>
      </c>
      <c r="G148" s="12">
        <f t="shared" ref="G148" si="195">F148*86400</f>
        <v>463968</v>
      </c>
      <c r="H148" s="14">
        <f t="shared" ref="H148" si="196">G148/1000000</f>
        <v>0.46396799999999999</v>
      </c>
      <c r="I148" s="13">
        <f t="shared" si="158"/>
        <v>20878.559999999998</v>
      </c>
      <c r="J148" s="21">
        <f t="shared" si="159"/>
        <v>2.0878559999999997E-2</v>
      </c>
      <c r="K148" s="13">
        <f t="shared" si="160"/>
        <v>2505.4271999999996</v>
      </c>
      <c r="L148" s="13">
        <f t="shared" si="161"/>
        <v>2.5054271999999998E-3</v>
      </c>
      <c r="M148" s="27">
        <f t="shared" si="162"/>
        <v>2.3383987199999998E-2</v>
      </c>
      <c r="N148" s="29">
        <f t="shared" si="163"/>
        <v>4.6396800000000002E-2</v>
      </c>
      <c r="O148" s="28">
        <f t="shared" si="164"/>
        <v>0.39418721279999996</v>
      </c>
    </row>
    <row r="149" spans="1:15" x14ac:dyDescent="0.7">
      <c r="A149" s="5"/>
      <c r="B149" s="5"/>
      <c r="C149" s="5">
        <v>27</v>
      </c>
      <c r="D149" s="6">
        <v>5.37</v>
      </c>
      <c r="E149" s="6">
        <v>0</v>
      </c>
      <c r="F149" s="6">
        <v>5.37</v>
      </c>
      <c r="G149" s="12">
        <f t="shared" ref="G149" si="197">F149*86400</f>
        <v>463968</v>
      </c>
      <c r="H149" s="14">
        <f t="shared" ref="H149" si="198">G149/1000000</f>
        <v>0.46396799999999999</v>
      </c>
      <c r="I149" s="13">
        <f t="shared" si="158"/>
        <v>20878.559999999998</v>
      </c>
      <c r="J149" s="21">
        <f t="shared" si="159"/>
        <v>2.0878559999999997E-2</v>
      </c>
      <c r="K149" s="13">
        <f t="shared" si="160"/>
        <v>2505.4271999999996</v>
      </c>
      <c r="L149" s="13">
        <f t="shared" si="161"/>
        <v>2.5054271999999998E-3</v>
      </c>
      <c r="M149" s="27">
        <f t="shared" si="162"/>
        <v>2.3383987199999998E-2</v>
      </c>
      <c r="N149" s="29">
        <f t="shared" si="163"/>
        <v>4.6396800000000002E-2</v>
      </c>
      <c r="O149" s="28">
        <f t="shared" si="164"/>
        <v>0.39418721279999996</v>
      </c>
    </row>
    <row r="150" spans="1:15" x14ac:dyDescent="0.7">
      <c r="A150" s="5"/>
      <c r="B150" s="5"/>
      <c r="C150" s="5">
        <v>28</v>
      </c>
      <c r="D150" s="6">
        <v>5.37</v>
      </c>
      <c r="E150" s="6">
        <v>16</v>
      </c>
      <c r="F150" s="6">
        <v>5.37</v>
      </c>
      <c r="G150" s="12">
        <f t="shared" ref="G150" si="199">F150*86400</f>
        <v>463968</v>
      </c>
      <c r="H150" s="14">
        <f t="shared" ref="H150" si="200">G150/1000000</f>
        <v>0.46396799999999999</v>
      </c>
      <c r="I150" s="13">
        <f t="shared" si="158"/>
        <v>20878.559999999998</v>
      </c>
      <c r="J150" s="21">
        <f t="shared" si="159"/>
        <v>2.0878559999999997E-2</v>
      </c>
      <c r="K150" s="13">
        <f t="shared" si="160"/>
        <v>2505.4271999999996</v>
      </c>
      <c r="L150" s="13">
        <f t="shared" si="161"/>
        <v>2.5054271999999998E-3</v>
      </c>
      <c r="M150" s="27">
        <f t="shared" si="162"/>
        <v>2.3383987199999998E-2</v>
      </c>
      <c r="N150" s="29">
        <f t="shared" si="163"/>
        <v>4.6396800000000002E-2</v>
      </c>
      <c r="O150" s="28">
        <f t="shared" si="164"/>
        <v>0.39418721279999996</v>
      </c>
    </row>
    <row r="151" spans="1:15" x14ac:dyDescent="0.7">
      <c r="A151" s="10"/>
      <c r="B151" s="10"/>
      <c r="C151" s="10">
        <v>29</v>
      </c>
      <c r="D151" s="16">
        <v>5.37</v>
      </c>
      <c r="E151" s="6">
        <v>3.5</v>
      </c>
      <c r="F151" s="16">
        <v>5.37</v>
      </c>
      <c r="G151" s="17">
        <f t="shared" ref="G151" si="201">F151*86400</f>
        <v>463968</v>
      </c>
      <c r="H151" s="18">
        <f t="shared" ref="H151" si="202">G151/1000000</f>
        <v>0.46396799999999999</v>
      </c>
      <c r="I151" s="13">
        <f t="shared" si="158"/>
        <v>20878.559999999998</v>
      </c>
      <c r="J151" s="21">
        <f t="shared" si="159"/>
        <v>2.0878559999999997E-2</v>
      </c>
      <c r="K151" s="13">
        <f t="shared" si="160"/>
        <v>2505.4271999999996</v>
      </c>
      <c r="L151" s="13">
        <f t="shared" si="161"/>
        <v>2.5054271999999998E-3</v>
      </c>
      <c r="M151" s="27">
        <f t="shared" si="162"/>
        <v>2.3383987199999998E-2</v>
      </c>
      <c r="N151" s="29">
        <f t="shared" si="163"/>
        <v>4.6396800000000002E-2</v>
      </c>
      <c r="O151" s="28">
        <f t="shared" si="164"/>
        <v>0.39418721279999996</v>
      </c>
    </row>
    <row r="152" spans="1:15" s="20" customFormat="1" x14ac:dyDescent="0.7">
      <c r="A152" s="10"/>
      <c r="B152" s="10"/>
      <c r="C152" s="10">
        <v>30</v>
      </c>
      <c r="D152" s="16">
        <v>5.37</v>
      </c>
      <c r="E152" s="6">
        <v>0</v>
      </c>
      <c r="F152" s="16">
        <v>5.37</v>
      </c>
      <c r="G152" s="42">
        <f t="shared" ref="G152" si="203">F152*86400</f>
        <v>463968</v>
      </c>
      <c r="H152" s="37">
        <f t="shared" ref="H152" si="204">G152/1000000</f>
        <v>0.46396799999999999</v>
      </c>
      <c r="I152" s="37">
        <f t="shared" si="158"/>
        <v>20878.559999999998</v>
      </c>
      <c r="J152" s="38">
        <f t="shared" si="159"/>
        <v>2.0878559999999997E-2</v>
      </c>
      <c r="K152" s="37">
        <f t="shared" si="160"/>
        <v>2505.4271999999996</v>
      </c>
      <c r="L152" s="37">
        <f t="shared" si="161"/>
        <v>2.5054271999999998E-3</v>
      </c>
      <c r="M152" s="39">
        <f t="shared" si="162"/>
        <v>2.3383987199999998E-2</v>
      </c>
      <c r="N152" s="40">
        <f t="shared" si="163"/>
        <v>4.6396800000000002E-2</v>
      </c>
      <c r="O152" s="41">
        <f t="shared" si="164"/>
        <v>0.39418721279999996</v>
      </c>
    </row>
    <row r="153" spans="1:15" s="46" customFormat="1" ht="25.2" thickBot="1" x14ac:dyDescent="0.75">
      <c r="A153" s="8"/>
      <c r="B153" s="8" t="s">
        <v>19</v>
      </c>
      <c r="C153" s="8">
        <v>31</v>
      </c>
      <c r="D153" s="9">
        <v>5.37</v>
      </c>
      <c r="E153" s="9">
        <v>0.7</v>
      </c>
      <c r="F153" s="9">
        <v>5.37</v>
      </c>
      <c r="G153" s="19">
        <f t="shared" ref="G153" si="205">F153*86400</f>
        <v>463968</v>
      </c>
      <c r="H153" s="15">
        <f t="shared" ref="H153" si="206">G153/1000000</f>
        <v>0.46396799999999999</v>
      </c>
      <c r="I153" s="15">
        <f t="shared" si="158"/>
        <v>20878.559999999998</v>
      </c>
      <c r="J153" s="22">
        <f t="shared" si="159"/>
        <v>2.0878559999999997E-2</v>
      </c>
      <c r="K153" s="15">
        <f t="shared" si="160"/>
        <v>2505.4271999999996</v>
      </c>
      <c r="L153" s="15">
        <f t="shared" si="161"/>
        <v>2.5054271999999998E-3</v>
      </c>
      <c r="M153" s="15">
        <f t="shared" si="162"/>
        <v>2.3383987199999998E-2</v>
      </c>
      <c r="N153" s="34">
        <f t="shared" si="163"/>
        <v>4.6396800000000002E-2</v>
      </c>
      <c r="O153" s="15">
        <f t="shared" si="164"/>
        <v>0.39418721279999996</v>
      </c>
    </row>
    <row r="154" spans="1:15" x14ac:dyDescent="0.7">
      <c r="A154" s="2"/>
      <c r="B154" s="2" t="s">
        <v>20</v>
      </c>
      <c r="C154" s="2">
        <v>1</v>
      </c>
      <c r="D154" s="3">
        <v>5.093</v>
      </c>
      <c r="E154" s="3">
        <v>0</v>
      </c>
      <c r="F154" s="3">
        <v>5.093</v>
      </c>
      <c r="G154" s="12">
        <f t="shared" ref="G154" si="207">F154*86400</f>
        <v>440035.2</v>
      </c>
      <c r="H154" s="14">
        <f t="shared" ref="H154" si="208">G154/1000000</f>
        <v>0.44003520000000002</v>
      </c>
      <c r="I154" s="14">
        <f t="shared" si="158"/>
        <v>19801.583999999999</v>
      </c>
      <c r="J154" s="26">
        <f t="shared" si="159"/>
        <v>1.9801584000000001E-2</v>
      </c>
      <c r="K154" s="14">
        <f t="shared" si="160"/>
        <v>2376.1900799999999</v>
      </c>
      <c r="L154" s="14">
        <f t="shared" si="161"/>
        <v>2.3761900799999999E-3</v>
      </c>
      <c r="M154" s="30">
        <f t="shared" si="162"/>
        <v>2.217777408E-2</v>
      </c>
      <c r="N154" s="31">
        <f t="shared" si="163"/>
        <v>4.4003520000000004E-2</v>
      </c>
      <c r="O154" s="32">
        <f t="shared" si="164"/>
        <v>0.37385390592000001</v>
      </c>
    </row>
    <row r="155" spans="1:15" x14ac:dyDescent="0.7">
      <c r="A155" s="5"/>
      <c r="B155" s="5"/>
      <c r="C155" s="5">
        <v>2</v>
      </c>
      <c r="D155" s="6">
        <v>4.6020000000000003</v>
      </c>
      <c r="E155" s="6">
        <v>14.2</v>
      </c>
      <c r="F155" s="6">
        <v>4.6020000000000003</v>
      </c>
      <c r="G155" s="12">
        <f t="shared" ref="G155" si="209">F155*86400</f>
        <v>397612.80000000005</v>
      </c>
      <c r="H155" s="14">
        <f t="shared" ref="H155" si="210">G155/1000000</f>
        <v>0.39761280000000004</v>
      </c>
      <c r="I155" s="13">
        <f t="shared" si="158"/>
        <v>17892.576000000001</v>
      </c>
      <c r="J155" s="21">
        <f t="shared" si="159"/>
        <v>1.7892576E-2</v>
      </c>
      <c r="K155" s="13">
        <f t="shared" si="160"/>
        <v>2147.1091200000001</v>
      </c>
      <c r="L155" s="13">
        <f t="shared" si="161"/>
        <v>2.1471091199999999E-3</v>
      </c>
      <c r="M155" s="27">
        <f t="shared" si="162"/>
        <v>2.0039685120000001E-2</v>
      </c>
      <c r="N155" s="29">
        <f t="shared" si="163"/>
        <v>3.976128000000001E-2</v>
      </c>
      <c r="O155" s="28">
        <f t="shared" si="164"/>
        <v>0.33781183488000005</v>
      </c>
    </row>
    <row r="156" spans="1:15" x14ac:dyDescent="0.7">
      <c r="A156" s="5"/>
      <c r="B156" s="5"/>
      <c r="C156" s="5">
        <v>3</v>
      </c>
      <c r="D156" s="6">
        <v>5.391</v>
      </c>
      <c r="E156" s="6">
        <v>1</v>
      </c>
      <c r="F156" s="6">
        <v>5.391</v>
      </c>
      <c r="G156" s="12">
        <f t="shared" ref="G156" si="211">F156*86400</f>
        <v>465782.4</v>
      </c>
      <c r="H156" s="14">
        <f t="shared" ref="H156" si="212">G156/1000000</f>
        <v>0.46578240000000004</v>
      </c>
      <c r="I156" s="13">
        <f t="shared" si="158"/>
        <v>20960.207999999999</v>
      </c>
      <c r="J156" s="21">
        <f t="shared" si="159"/>
        <v>2.0960207999999998E-2</v>
      </c>
      <c r="K156" s="13">
        <f t="shared" si="160"/>
        <v>2515.2249599999996</v>
      </c>
      <c r="L156" s="13">
        <f t="shared" si="161"/>
        <v>2.5152249599999996E-3</v>
      </c>
      <c r="M156" s="27">
        <f t="shared" si="162"/>
        <v>2.3475432959999997E-2</v>
      </c>
      <c r="N156" s="29">
        <f t="shared" si="163"/>
        <v>4.6578240000000007E-2</v>
      </c>
      <c r="O156" s="28">
        <f t="shared" si="164"/>
        <v>0.39572872704000006</v>
      </c>
    </row>
    <row r="157" spans="1:15" x14ac:dyDescent="0.7">
      <c r="A157" s="5"/>
      <c r="B157" s="5"/>
      <c r="C157" s="2">
        <v>4</v>
      </c>
      <c r="D157" s="6">
        <v>6.8289999999999997</v>
      </c>
      <c r="E157" s="6">
        <v>2.1</v>
      </c>
      <c r="F157" s="6">
        <v>6.8289999999999997</v>
      </c>
      <c r="G157" s="12">
        <f t="shared" ref="G157" si="213">F157*86400</f>
        <v>590025.6</v>
      </c>
      <c r="H157" s="14">
        <f t="shared" ref="H157" si="214">G157/1000000</f>
        <v>0.59002559999999993</v>
      </c>
      <c r="I157" s="13">
        <f t="shared" si="158"/>
        <v>26551.151999999998</v>
      </c>
      <c r="J157" s="21">
        <f t="shared" si="159"/>
        <v>2.6551151999999998E-2</v>
      </c>
      <c r="K157" s="13">
        <f t="shared" si="160"/>
        <v>3186.1382399999998</v>
      </c>
      <c r="L157" s="13">
        <f t="shared" si="161"/>
        <v>3.1861382399999997E-3</v>
      </c>
      <c r="M157" s="27">
        <f t="shared" si="162"/>
        <v>2.9737290239999999E-2</v>
      </c>
      <c r="N157" s="29">
        <f t="shared" si="163"/>
        <v>5.9002559999999996E-2</v>
      </c>
      <c r="O157" s="28">
        <f t="shared" si="164"/>
        <v>0.50128574975999984</v>
      </c>
    </row>
    <row r="158" spans="1:15" x14ac:dyDescent="0.7">
      <c r="A158" s="5"/>
      <c r="B158" s="5"/>
      <c r="C158" s="5">
        <v>5</v>
      </c>
      <c r="D158" s="6">
        <v>6.4</v>
      </c>
      <c r="E158" s="6">
        <v>14.5</v>
      </c>
      <c r="F158" s="6">
        <v>6.4</v>
      </c>
      <c r="G158" s="12">
        <f t="shared" ref="G158" si="215">F158*86400</f>
        <v>552960</v>
      </c>
      <c r="H158" s="14">
        <f t="shared" ref="H158" si="216">G158/1000000</f>
        <v>0.55296000000000001</v>
      </c>
      <c r="I158" s="13">
        <f t="shared" si="158"/>
        <v>24883.200000000001</v>
      </c>
      <c r="J158" s="21">
        <f t="shared" si="159"/>
        <v>2.4883200000000001E-2</v>
      </c>
      <c r="K158" s="13">
        <f t="shared" si="160"/>
        <v>2985.9839999999999</v>
      </c>
      <c r="L158" s="13">
        <f t="shared" si="161"/>
        <v>2.9859840000000001E-3</v>
      </c>
      <c r="M158" s="27">
        <f t="shared" si="162"/>
        <v>2.7869184000000002E-2</v>
      </c>
      <c r="N158" s="29">
        <f t="shared" si="163"/>
        <v>5.5296000000000005E-2</v>
      </c>
      <c r="O158" s="28">
        <f t="shared" si="164"/>
        <v>0.46979481599999995</v>
      </c>
    </row>
    <row r="159" spans="1:15" x14ac:dyDescent="0.7">
      <c r="A159" s="5"/>
      <c r="B159" s="5"/>
      <c r="C159" s="5">
        <v>6</v>
      </c>
      <c r="D159" s="6">
        <v>7.3</v>
      </c>
      <c r="E159" s="6">
        <v>0.4</v>
      </c>
      <c r="F159" s="6">
        <v>7.3</v>
      </c>
      <c r="G159" s="12">
        <f t="shared" ref="G159" si="217">F159*86400</f>
        <v>630720</v>
      </c>
      <c r="H159" s="14">
        <f t="shared" ref="H159" si="218">G159/1000000</f>
        <v>0.63071999999999995</v>
      </c>
      <c r="I159" s="13">
        <f t="shared" si="158"/>
        <v>28382.399999999998</v>
      </c>
      <c r="J159" s="21">
        <f t="shared" si="159"/>
        <v>2.8382399999999999E-2</v>
      </c>
      <c r="K159" s="13">
        <f t="shared" si="160"/>
        <v>3405.8879999999995</v>
      </c>
      <c r="L159" s="13">
        <f t="shared" si="161"/>
        <v>3.4058879999999993E-3</v>
      </c>
      <c r="M159" s="27">
        <f t="shared" si="162"/>
        <v>3.1788287999999998E-2</v>
      </c>
      <c r="N159" s="29">
        <f t="shared" si="163"/>
        <v>6.3072000000000003E-2</v>
      </c>
      <c r="O159" s="28">
        <f t="shared" si="164"/>
        <v>0.53585971199999993</v>
      </c>
    </row>
    <row r="160" spans="1:15" x14ac:dyDescent="0.7">
      <c r="A160" s="5"/>
      <c r="B160" s="5"/>
      <c r="C160" s="2">
        <v>7</v>
      </c>
      <c r="D160" s="6">
        <v>7.7190000000000003</v>
      </c>
      <c r="E160" s="6">
        <v>0</v>
      </c>
      <c r="F160" s="6">
        <v>7.7190000000000003</v>
      </c>
      <c r="G160" s="12">
        <f t="shared" ref="G160" si="219">F160*86400</f>
        <v>666921.6</v>
      </c>
      <c r="H160" s="14">
        <f t="shared" ref="H160" si="220">G160/1000000</f>
        <v>0.6669216</v>
      </c>
      <c r="I160" s="13">
        <f t="shared" si="158"/>
        <v>30011.471999999998</v>
      </c>
      <c r="J160" s="21">
        <f t="shared" si="159"/>
        <v>3.0011471999999997E-2</v>
      </c>
      <c r="K160" s="13">
        <f t="shared" si="160"/>
        <v>3601.3766399999995</v>
      </c>
      <c r="L160" s="13">
        <f t="shared" si="161"/>
        <v>3.6013766399999995E-3</v>
      </c>
      <c r="M160" s="27">
        <f t="shared" si="162"/>
        <v>3.3612848639999998E-2</v>
      </c>
      <c r="N160" s="29">
        <f t="shared" si="163"/>
        <v>6.669216E-2</v>
      </c>
      <c r="O160" s="28">
        <f t="shared" si="164"/>
        <v>0.56661659135999998</v>
      </c>
    </row>
    <row r="161" spans="1:15" x14ac:dyDescent="0.7">
      <c r="A161" s="5"/>
      <c r="B161" s="5"/>
      <c r="C161" s="5">
        <v>8</v>
      </c>
      <c r="D161" s="6">
        <v>7.7190000000000003</v>
      </c>
      <c r="E161" s="6">
        <v>0</v>
      </c>
      <c r="F161" s="6">
        <v>7.7190000000000003</v>
      </c>
      <c r="G161" s="12">
        <f t="shared" ref="G161" si="221">F161*86400</f>
        <v>666921.6</v>
      </c>
      <c r="H161" s="14">
        <f t="shared" ref="H161" si="222">G161/1000000</f>
        <v>0.6669216</v>
      </c>
      <c r="I161" s="13">
        <f t="shared" si="158"/>
        <v>30011.471999999998</v>
      </c>
      <c r="J161" s="21">
        <f t="shared" si="159"/>
        <v>3.0011471999999997E-2</v>
      </c>
      <c r="K161" s="13">
        <f t="shared" si="160"/>
        <v>3601.3766399999995</v>
      </c>
      <c r="L161" s="13">
        <f t="shared" si="161"/>
        <v>3.6013766399999995E-3</v>
      </c>
      <c r="M161" s="27">
        <f t="shared" si="162"/>
        <v>3.3612848639999998E-2</v>
      </c>
      <c r="N161" s="29">
        <f t="shared" si="163"/>
        <v>6.669216E-2</v>
      </c>
      <c r="O161" s="28">
        <f t="shared" si="164"/>
        <v>0.56661659135999998</v>
      </c>
    </row>
    <row r="162" spans="1:15" x14ac:dyDescent="0.7">
      <c r="A162" s="5"/>
      <c r="B162" s="5"/>
      <c r="C162" s="5">
        <v>9</v>
      </c>
      <c r="D162" s="6">
        <v>6.6219999999999999</v>
      </c>
      <c r="E162" s="6">
        <v>0.9</v>
      </c>
      <c r="F162" s="6">
        <v>6.6219999999999999</v>
      </c>
      <c r="G162" s="12">
        <f t="shared" ref="G162" si="223">F162*86400</f>
        <v>572140.80000000005</v>
      </c>
      <c r="H162" s="14">
        <f t="shared" ref="H162" si="224">G162/1000000</f>
        <v>0.5721408</v>
      </c>
      <c r="I162" s="13">
        <f t="shared" si="158"/>
        <v>25746.335999999999</v>
      </c>
      <c r="J162" s="21">
        <f t="shared" si="159"/>
        <v>2.5746335999999998E-2</v>
      </c>
      <c r="K162" s="13">
        <f t="shared" si="160"/>
        <v>3089.5603199999996</v>
      </c>
      <c r="L162" s="13">
        <f t="shared" si="161"/>
        <v>3.0895603199999995E-3</v>
      </c>
      <c r="M162" s="27">
        <f t="shared" si="162"/>
        <v>2.8835896319999998E-2</v>
      </c>
      <c r="N162" s="29">
        <f t="shared" si="163"/>
        <v>5.721408E-2</v>
      </c>
      <c r="O162" s="28">
        <f t="shared" si="164"/>
        <v>0.48609082367999995</v>
      </c>
    </row>
    <row r="163" spans="1:15" x14ac:dyDescent="0.7">
      <c r="A163" s="5"/>
      <c r="B163" s="5"/>
      <c r="C163" s="2">
        <v>10</v>
      </c>
      <c r="D163" s="6">
        <v>5.718</v>
      </c>
      <c r="E163" s="6">
        <v>25.1</v>
      </c>
      <c r="F163" s="6">
        <v>5.718</v>
      </c>
      <c r="G163" s="12">
        <f t="shared" ref="G163" si="225">F163*86400</f>
        <v>494035.20000000001</v>
      </c>
      <c r="H163" s="14">
        <f t="shared" ref="H163" si="226">G163/1000000</f>
        <v>0.49403520000000001</v>
      </c>
      <c r="I163" s="13">
        <f t="shared" si="158"/>
        <v>22231.583999999999</v>
      </c>
      <c r="J163" s="21">
        <f t="shared" si="159"/>
        <v>2.2231583999999999E-2</v>
      </c>
      <c r="K163" s="13">
        <f t="shared" si="160"/>
        <v>2667.7900799999998</v>
      </c>
      <c r="L163" s="13">
        <f t="shared" si="161"/>
        <v>2.6677900799999999E-3</v>
      </c>
      <c r="M163" s="27">
        <f t="shared" si="162"/>
        <v>2.4899374079999998E-2</v>
      </c>
      <c r="N163" s="29">
        <f t="shared" si="163"/>
        <v>4.9403520000000006E-2</v>
      </c>
      <c r="O163" s="28">
        <f t="shared" si="164"/>
        <v>0.41973230591999999</v>
      </c>
    </row>
    <row r="164" spans="1:15" x14ac:dyDescent="0.7">
      <c r="A164" s="5"/>
      <c r="B164" s="5"/>
      <c r="C164" s="5">
        <v>11</v>
      </c>
      <c r="D164" s="6">
        <v>6.2</v>
      </c>
      <c r="E164" s="6">
        <v>0</v>
      </c>
      <c r="F164" s="6">
        <v>6.2</v>
      </c>
      <c r="G164" s="12">
        <f t="shared" ref="G164" si="227">F164*86400</f>
        <v>535680</v>
      </c>
      <c r="H164" s="14">
        <f t="shared" ref="H164" si="228">G164/1000000</f>
        <v>0.53568000000000005</v>
      </c>
      <c r="I164" s="13">
        <f t="shared" si="158"/>
        <v>24105.599999999999</v>
      </c>
      <c r="J164" s="21">
        <f t="shared" si="159"/>
        <v>2.4105599999999998E-2</v>
      </c>
      <c r="K164" s="13">
        <f t="shared" si="160"/>
        <v>2892.6719999999996</v>
      </c>
      <c r="L164" s="13">
        <f t="shared" si="161"/>
        <v>2.8926719999999998E-3</v>
      </c>
      <c r="M164" s="27">
        <f t="shared" si="162"/>
        <v>2.6998271999999997E-2</v>
      </c>
      <c r="N164" s="29">
        <f t="shared" si="163"/>
        <v>5.3568000000000005E-2</v>
      </c>
      <c r="O164" s="28">
        <f t="shared" si="164"/>
        <v>0.455113728</v>
      </c>
    </row>
    <row r="165" spans="1:15" x14ac:dyDescent="0.7">
      <c r="A165" s="5"/>
      <c r="B165" s="5"/>
      <c r="C165" s="5">
        <v>12</v>
      </c>
      <c r="D165" s="6">
        <v>14.2</v>
      </c>
      <c r="E165" s="6">
        <v>0</v>
      </c>
      <c r="F165" s="6">
        <v>14.2</v>
      </c>
      <c r="G165" s="12">
        <f t="shared" ref="G165" si="229">F165*86400</f>
        <v>1226880</v>
      </c>
      <c r="H165" s="14">
        <f t="shared" ref="H165" si="230">G165/1000000</f>
        <v>1.22688</v>
      </c>
      <c r="I165" s="13">
        <f t="shared" si="158"/>
        <v>55209.599999999999</v>
      </c>
      <c r="J165" s="21">
        <f t="shared" si="159"/>
        <v>5.5209599999999998E-2</v>
      </c>
      <c r="K165" s="13">
        <f t="shared" si="160"/>
        <v>6625.1519999999991</v>
      </c>
      <c r="L165" s="13">
        <f t="shared" si="161"/>
        <v>6.6251519999999987E-3</v>
      </c>
      <c r="M165" s="27">
        <f t="shared" si="162"/>
        <v>6.1834751999999993E-2</v>
      </c>
      <c r="N165" s="29">
        <f t="shared" si="163"/>
        <v>0.12268800000000001</v>
      </c>
      <c r="O165" s="28">
        <f t="shared" si="164"/>
        <v>1.0423572480000001</v>
      </c>
    </row>
    <row r="166" spans="1:15" x14ac:dyDescent="0.7">
      <c r="A166" s="5"/>
      <c r="B166" s="5"/>
      <c r="C166" s="2">
        <v>13</v>
      </c>
      <c r="D166" s="6">
        <v>11.959</v>
      </c>
      <c r="E166" s="6">
        <v>0</v>
      </c>
      <c r="F166" s="6">
        <v>11.959</v>
      </c>
      <c r="G166" s="12">
        <f t="shared" ref="G166" si="231">F166*86400</f>
        <v>1033257.6</v>
      </c>
      <c r="H166" s="14">
        <f t="shared" ref="H166" si="232">G166/1000000</f>
        <v>1.0332576</v>
      </c>
      <c r="I166" s="13">
        <f t="shared" si="158"/>
        <v>46496.591999999997</v>
      </c>
      <c r="J166" s="21">
        <f t="shared" si="159"/>
        <v>4.6496591999999996E-2</v>
      </c>
      <c r="K166" s="13">
        <f t="shared" si="160"/>
        <v>5579.5910399999993</v>
      </c>
      <c r="L166" s="13">
        <f t="shared" si="161"/>
        <v>5.579591039999999E-3</v>
      </c>
      <c r="M166" s="27">
        <f t="shared" si="162"/>
        <v>5.2076183039999994E-2</v>
      </c>
      <c r="N166" s="29">
        <f t="shared" si="163"/>
        <v>0.10332576</v>
      </c>
      <c r="O166" s="28">
        <f t="shared" si="164"/>
        <v>0.87785565696000001</v>
      </c>
    </row>
    <row r="167" spans="1:15" x14ac:dyDescent="0.7">
      <c r="A167" s="5"/>
      <c r="B167" s="5"/>
      <c r="C167" s="5">
        <v>14</v>
      </c>
      <c r="D167" s="6">
        <v>6.8780000000000001</v>
      </c>
      <c r="E167" s="6">
        <v>0</v>
      </c>
      <c r="F167" s="6">
        <v>6.8780000000000001</v>
      </c>
      <c r="G167" s="12">
        <f t="shared" ref="G167" si="233">F167*86400</f>
        <v>594259.19999999995</v>
      </c>
      <c r="H167" s="14">
        <f t="shared" ref="H167" si="234">G167/1000000</f>
        <v>0.59425919999999999</v>
      </c>
      <c r="I167" s="13">
        <f t="shared" si="158"/>
        <v>26741.663999999997</v>
      </c>
      <c r="J167" s="21">
        <f t="shared" si="159"/>
        <v>2.6741663999999998E-2</v>
      </c>
      <c r="K167" s="13">
        <f t="shared" si="160"/>
        <v>3208.9996799999994</v>
      </c>
      <c r="L167" s="13">
        <f t="shared" si="161"/>
        <v>3.2089996799999996E-3</v>
      </c>
      <c r="M167" s="27">
        <f t="shared" si="162"/>
        <v>2.9950663679999996E-2</v>
      </c>
      <c r="N167" s="29">
        <f t="shared" si="163"/>
        <v>5.942592E-2</v>
      </c>
      <c r="O167" s="28">
        <f t="shared" si="164"/>
        <v>0.50488261631999998</v>
      </c>
    </row>
    <row r="168" spans="1:15" x14ac:dyDescent="0.7">
      <c r="A168" s="5"/>
      <c r="B168" s="5"/>
      <c r="C168" s="5">
        <v>15</v>
      </c>
      <c r="D168" s="6">
        <v>6.1520000000000001</v>
      </c>
      <c r="E168" s="6">
        <v>0</v>
      </c>
      <c r="F168" s="6">
        <v>6.1520000000000001</v>
      </c>
      <c r="G168" s="12">
        <f t="shared" ref="G168" si="235">F168*86400</f>
        <v>531532.80000000005</v>
      </c>
      <c r="H168" s="14">
        <f t="shared" ref="H168" si="236">G168/1000000</f>
        <v>0.53153280000000003</v>
      </c>
      <c r="I168" s="13">
        <f t="shared" si="158"/>
        <v>23918.976000000002</v>
      </c>
      <c r="J168" s="21">
        <f t="shared" si="159"/>
        <v>2.3918976000000002E-2</v>
      </c>
      <c r="K168" s="13">
        <f t="shared" si="160"/>
        <v>2870.2771200000002</v>
      </c>
      <c r="L168" s="13">
        <f t="shared" si="161"/>
        <v>2.87027712E-3</v>
      </c>
      <c r="M168" s="27">
        <f t="shared" si="162"/>
        <v>2.6789253120000002E-2</v>
      </c>
      <c r="N168" s="29">
        <f t="shared" si="163"/>
        <v>5.3153280000000004E-2</v>
      </c>
      <c r="O168" s="28">
        <f t="shared" si="164"/>
        <v>0.45159026687999998</v>
      </c>
    </row>
    <row r="169" spans="1:15" x14ac:dyDescent="0.7">
      <c r="A169" s="5"/>
      <c r="B169" s="5"/>
      <c r="C169" s="2">
        <v>16</v>
      </c>
      <c r="D169" s="6">
        <v>5.1269999999999998</v>
      </c>
      <c r="E169" s="6">
        <v>0</v>
      </c>
      <c r="F169" s="6">
        <v>5.1269999999999998</v>
      </c>
      <c r="G169" s="12">
        <f t="shared" ref="G169" si="237">F169*86400</f>
        <v>442972.8</v>
      </c>
      <c r="H169" s="14">
        <f t="shared" ref="H169" si="238">G169/1000000</f>
        <v>0.4429728</v>
      </c>
      <c r="I169" s="13">
        <f t="shared" si="158"/>
        <v>19933.775999999998</v>
      </c>
      <c r="J169" s="21">
        <f t="shared" si="159"/>
        <v>1.9933775999999997E-2</v>
      </c>
      <c r="K169" s="13">
        <f t="shared" si="160"/>
        <v>2392.0531199999996</v>
      </c>
      <c r="L169" s="13">
        <f t="shared" si="161"/>
        <v>2.3920531199999994E-3</v>
      </c>
      <c r="M169" s="27">
        <f t="shared" si="162"/>
        <v>2.2325829119999994E-2</v>
      </c>
      <c r="N169" s="29">
        <f t="shared" si="163"/>
        <v>4.4297280000000001E-2</v>
      </c>
      <c r="O169" s="28">
        <f t="shared" si="164"/>
        <v>0.37634969088000003</v>
      </c>
    </row>
    <row r="170" spans="1:15" x14ac:dyDescent="0.7">
      <c r="A170" s="5"/>
      <c r="B170" s="5"/>
      <c r="C170" s="5">
        <v>17</v>
      </c>
      <c r="D170" s="6">
        <v>4.8319999999999999</v>
      </c>
      <c r="E170" s="6">
        <v>0</v>
      </c>
      <c r="F170" s="6">
        <v>4.8319999999999999</v>
      </c>
      <c r="G170" s="12">
        <f t="shared" ref="G170" si="239">F170*86400</f>
        <v>417484.79999999999</v>
      </c>
      <c r="H170" s="14">
        <f t="shared" ref="H170" si="240">G170/1000000</f>
        <v>0.41748479999999999</v>
      </c>
      <c r="I170" s="13">
        <f t="shared" si="158"/>
        <v>18786.815999999999</v>
      </c>
      <c r="J170" s="21">
        <f t="shared" si="159"/>
        <v>1.8786815999999998E-2</v>
      </c>
      <c r="K170" s="13">
        <f t="shared" si="160"/>
        <v>2254.4179199999999</v>
      </c>
      <c r="L170" s="13">
        <f t="shared" si="161"/>
        <v>2.2544179199999997E-3</v>
      </c>
      <c r="M170" s="27">
        <f t="shared" si="162"/>
        <v>2.1041233919999999E-2</v>
      </c>
      <c r="N170" s="29">
        <f t="shared" si="163"/>
        <v>4.1748480000000004E-2</v>
      </c>
      <c r="O170" s="28">
        <f t="shared" si="164"/>
        <v>0.35469508608</v>
      </c>
    </row>
    <row r="171" spans="1:15" x14ac:dyDescent="0.7">
      <c r="A171" s="5"/>
      <c r="B171" s="5"/>
      <c r="C171" s="5">
        <v>18</v>
      </c>
      <c r="D171" s="6">
        <v>4.657</v>
      </c>
      <c r="E171" s="6">
        <v>0</v>
      </c>
      <c r="F171" s="6">
        <v>4.657</v>
      </c>
      <c r="G171" s="12">
        <f t="shared" ref="G171" si="241">F171*86400</f>
        <v>402364.8</v>
      </c>
      <c r="H171" s="14">
        <f t="shared" ref="H171" si="242">G171/1000000</f>
        <v>0.40236479999999997</v>
      </c>
      <c r="I171" s="13">
        <f t="shared" si="158"/>
        <v>18106.415999999997</v>
      </c>
      <c r="J171" s="21">
        <f t="shared" si="159"/>
        <v>1.8106415999999997E-2</v>
      </c>
      <c r="K171" s="13">
        <f t="shared" si="160"/>
        <v>2172.7699199999997</v>
      </c>
      <c r="L171" s="13">
        <f t="shared" si="161"/>
        <v>2.1727699199999995E-3</v>
      </c>
      <c r="M171" s="27">
        <f t="shared" si="162"/>
        <v>2.0279185919999998E-2</v>
      </c>
      <c r="N171" s="29">
        <f t="shared" si="163"/>
        <v>4.0236479999999998E-2</v>
      </c>
      <c r="O171" s="28">
        <f t="shared" si="164"/>
        <v>0.34184913407999995</v>
      </c>
    </row>
    <row r="172" spans="1:15" x14ac:dyDescent="0.7">
      <c r="A172" s="5"/>
      <c r="B172" s="5"/>
      <c r="C172" s="2">
        <v>19</v>
      </c>
      <c r="D172" s="6">
        <v>5.069</v>
      </c>
      <c r="E172" s="6">
        <v>0</v>
      </c>
      <c r="F172" s="6">
        <v>5.069</v>
      </c>
      <c r="G172" s="12">
        <f t="shared" ref="G172" si="243">F172*86400</f>
        <v>437961.6</v>
      </c>
      <c r="H172" s="14">
        <f t="shared" ref="H172" si="244">G172/1000000</f>
        <v>0.43796159999999995</v>
      </c>
      <c r="I172" s="13">
        <f t="shared" si="158"/>
        <v>19708.271999999997</v>
      </c>
      <c r="J172" s="21">
        <f t="shared" si="159"/>
        <v>1.9708271999999999E-2</v>
      </c>
      <c r="K172" s="13">
        <f t="shared" si="160"/>
        <v>2364.9926399999995</v>
      </c>
      <c r="L172" s="13">
        <f t="shared" si="161"/>
        <v>2.3649926399999994E-3</v>
      </c>
      <c r="M172" s="27">
        <f t="shared" si="162"/>
        <v>2.207326464E-2</v>
      </c>
      <c r="N172" s="29">
        <f t="shared" si="163"/>
        <v>4.3796160000000001E-2</v>
      </c>
      <c r="O172" s="28">
        <f t="shared" si="164"/>
        <v>0.37209217535999994</v>
      </c>
    </row>
    <row r="173" spans="1:15" x14ac:dyDescent="0.7">
      <c r="A173" s="5"/>
      <c r="B173" s="5"/>
      <c r="C173" s="5">
        <v>20</v>
      </c>
      <c r="D173" s="6">
        <v>5.5679999999999996</v>
      </c>
      <c r="E173" s="6">
        <v>0</v>
      </c>
      <c r="F173" s="6">
        <v>5.5679999999999996</v>
      </c>
      <c r="G173" s="12">
        <f t="shared" ref="G173" si="245">F173*86400</f>
        <v>481075.19999999995</v>
      </c>
      <c r="H173" s="14">
        <f t="shared" ref="H173" si="246">G173/1000000</f>
        <v>0.48107519999999998</v>
      </c>
      <c r="I173" s="13">
        <f t="shared" si="158"/>
        <v>21648.383999999998</v>
      </c>
      <c r="J173" s="21">
        <f t="shared" si="159"/>
        <v>2.1648384E-2</v>
      </c>
      <c r="K173" s="13">
        <f t="shared" si="160"/>
        <v>2597.8060799999998</v>
      </c>
      <c r="L173" s="13">
        <f t="shared" si="161"/>
        <v>2.5978060799999999E-3</v>
      </c>
      <c r="M173" s="27">
        <f t="shared" si="162"/>
        <v>2.424619008E-2</v>
      </c>
      <c r="N173" s="29">
        <f t="shared" si="163"/>
        <v>4.8107520000000001E-2</v>
      </c>
      <c r="O173" s="28">
        <f t="shared" si="164"/>
        <v>0.40872148991999996</v>
      </c>
    </row>
    <row r="174" spans="1:15" x14ac:dyDescent="0.7">
      <c r="A174" s="5"/>
      <c r="B174" s="5"/>
      <c r="C174" s="5">
        <v>21</v>
      </c>
      <c r="D174" s="6">
        <v>5.3490000000000002</v>
      </c>
      <c r="E174" s="6">
        <v>0</v>
      </c>
      <c r="F174" s="6">
        <v>5.3490000000000002</v>
      </c>
      <c r="G174" s="12">
        <f t="shared" ref="G174" si="247">F174*86400</f>
        <v>462153.60000000003</v>
      </c>
      <c r="H174" s="14">
        <f t="shared" ref="H174" si="248">G174/1000000</f>
        <v>0.46215360000000005</v>
      </c>
      <c r="I174" s="13">
        <f t="shared" si="158"/>
        <v>20796.912</v>
      </c>
      <c r="J174" s="21">
        <f t="shared" si="159"/>
        <v>2.0796912000000001E-2</v>
      </c>
      <c r="K174" s="13">
        <f t="shared" si="160"/>
        <v>2495.6294400000002</v>
      </c>
      <c r="L174" s="13">
        <f t="shared" si="161"/>
        <v>2.4956294400000001E-3</v>
      </c>
      <c r="M174" s="27">
        <f t="shared" si="162"/>
        <v>2.3292541440000002E-2</v>
      </c>
      <c r="N174" s="29">
        <f t="shared" si="163"/>
        <v>4.6215360000000011E-2</v>
      </c>
      <c r="O174" s="28">
        <f t="shared" si="164"/>
        <v>0.39264569856000009</v>
      </c>
    </row>
    <row r="175" spans="1:15" x14ac:dyDescent="0.7">
      <c r="A175" s="5"/>
      <c r="B175" s="5"/>
      <c r="C175" s="2">
        <v>22</v>
      </c>
      <c r="D175" s="6">
        <v>6.1689999999999996</v>
      </c>
      <c r="E175" s="6">
        <v>0</v>
      </c>
      <c r="F175" s="6">
        <v>6.1689999999999996</v>
      </c>
      <c r="G175" s="12">
        <f t="shared" ref="G175" si="249">F175*86400</f>
        <v>533001.6</v>
      </c>
      <c r="H175" s="14">
        <f t="shared" ref="H175" si="250">G175/1000000</f>
        <v>0.53300159999999996</v>
      </c>
      <c r="I175" s="13">
        <f t="shared" si="158"/>
        <v>23985.071999999996</v>
      </c>
      <c r="J175" s="21">
        <f t="shared" si="159"/>
        <v>2.3985071999999996E-2</v>
      </c>
      <c r="K175" s="13">
        <f t="shared" si="160"/>
        <v>2878.2086399999994</v>
      </c>
      <c r="L175" s="13">
        <f t="shared" si="161"/>
        <v>2.8782086399999993E-3</v>
      </c>
      <c r="M175" s="27">
        <f t="shared" si="162"/>
        <v>2.6863280639999994E-2</v>
      </c>
      <c r="N175" s="29">
        <f t="shared" si="163"/>
        <v>5.3300159999999999E-2</v>
      </c>
      <c r="O175" s="28">
        <f t="shared" si="164"/>
        <v>0.45283815935999999</v>
      </c>
    </row>
    <row r="176" spans="1:15" x14ac:dyDescent="0.7">
      <c r="A176" s="5"/>
      <c r="B176" s="5"/>
      <c r="C176" s="5">
        <v>23</v>
      </c>
      <c r="D176" s="6">
        <v>6.1689999999999996</v>
      </c>
      <c r="E176" s="6">
        <v>29.5</v>
      </c>
      <c r="F176" s="6">
        <v>6.1689999999999996</v>
      </c>
      <c r="G176" s="12">
        <f t="shared" ref="G176" si="251">F176*86400</f>
        <v>533001.6</v>
      </c>
      <c r="H176" s="14">
        <f t="shared" ref="H176" si="252">G176/1000000</f>
        <v>0.53300159999999996</v>
      </c>
      <c r="I176" s="13">
        <f t="shared" si="158"/>
        <v>23985.071999999996</v>
      </c>
      <c r="J176" s="21">
        <f t="shared" si="159"/>
        <v>2.3985071999999996E-2</v>
      </c>
      <c r="K176" s="13">
        <f t="shared" si="160"/>
        <v>2878.2086399999994</v>
      </c>
      <c r="L176" s="13">
        <f t="shared" si="161"/>
        <v>2.8782086399999993E-3</v>
      </c>
      <c r="M176" s="27">
        <f t="shared" si="162"/>
        <v>2.6863280639999994E-2</v>
      </c>
      <c r="N176" s="29">
        <f t="shared" si="163"/>
        <v>5.3300159999999999E-2</v>
      </c>
      <c r="O176" s="28">
        <f t="shared" si="164"/>
        <v>0.45283815935999999</v>
      </c>
    </row>
    <row r="177" spans="1:15" x14ac:dyDescent="0.7">
      <c r="A177" s="5"/>
      <c r="B177" s="5"/>
      <c r="C177" s="5">
        <v>24</v>
      </c>
      <c r="D177" s="6">
        <v>6.6</v>
      </c>
      <c r="E177" s="6">
        <v>0</v>
      </c>
      <c r="F177" s="6">
        <v>6.6</v>
      </c>
      <c r="G177" s="12">
        <f t="shared" ref="G177" si="253">F177*86400</f>
        <v>570240</v>
      </c>
      <c r="H177" s="14">
        <f t="shared" ref="H177" si="254">G177/1000000</f>
        <v>0.57023999999999997</v>
      </c>
      <c r="I177" s="13">
        <f t="shared" si="158"/>
        <v>25660.799999999999</v>
      </c>
      <c r="J177" s="21">
        <f t="shared" si="159"/>
        <v>2.5660800000000001E-2</v>
      </c>
      <c r="K177" s="13">
        <f t="shared" si="160"/>
        <v>3079.2959999999998</v>
      </c>
      <c r="L177" s="13">
        <f t="shared" si="161"/>
        <v>3.079296E-3</v>
      </c>
      <c r="M177" s="27">
        <f t="shared" si="162"/>
        <v>2.8740096E-2</v>
      </c>
      <c r="N177" s="29">
        <f t="shared" si="163"/>
        <v>5.7023999999999998E-2</v>
      </c>
      <c r="O177" s="28">
        <f t="shared" si="164"/>
        <v>0.4844759039999999</v>
      </c>
    </row>
    <row r="178" spans="1:15" x14ac:dyDescent="0.7">
      <c r="A178" s="5"/>
      <c r="B178" s="5"/>
      <c r="C178" s="2">
        <v>25</v>
      </c>
      <c r="D178" s="6">
        <v>6.0110000000000001</v>
      </c>
      <c r="E178" s="6">
        <v>27.3</v>
      </c>
      <c r="F178" s="6">
        <v>6.0110000000000001</v>
      </c>
      <c r="G178" s="12">
        <f t="shared" ref="G178" si="255">F178*86400</f>
        <v>519350.4</v>
      </c>
      <c r="H178" s="14">
        <f t="shared" ref="H178" si="256">G178/1000000</f>
        <v>0.51935039999999999</v>
      </c>
      <c r="I178" s="13">
        <f t="shared" si="158"/>
        <v>23370.767999999996</v>
      </c>
      <c r="J178" s="21">
        <f t="shared" si="159"/>
        <v>2.3370767999999997E-2</v>
      </c>
      <c r="K178" s="13">
        <f t="shared" si="160"/>
        <v>2804.4921599999993</v>
      </c>
      <c r="L178" s="13">
        <f t="shared" si="161"/>
        <v>2.8044921599999994E-3</v>
      </c>
      <c r="M178" s="27">
        <f t="shared" si="162"/>
        <v>2.6175260159999995E-2</v>
      </c>
      <c r="N178" s="29">
        <f t="shared" si="163"/>
        <v>5.1935040000000002E-2</v>
      </c>
      <c r="O178" s="28">
        <f t="shared" si="164"/>
        <v>0.44124009984000001</v>
      </c>
    </row>
    <row r="179" spans="1:15" x14ac:dyDescent="0.7">
      <c r="A179" s="5"/>
      <c r="B179" s="5"/>
      <c r="C179" s="5">
        <v>26</v>
      </c>
      <c r="D179" s="6">
        <v>4.8010000000000002</v>
      </c>
      <c r="E179" s="6">
        <v>1</v>
      </c>
      <c r="F179" s="6">
        <v>4.8010000000000002</v>
      </c>
      <c r="G179" s="12">
        <f t="shared" ref="G179" si="257">F179*86400</f>
        <v>414806.4</v>
      </c>
      <c r="H179" s="14">
        <f t="shared" ref="H179" si="258">G179/1000000</f>
        <v>0.41480640000000002</v>
      </c>
      <c r="I179" s="13">
        <f t="shared" si="158"/>
        <v>18666.288</v>
      </c>
      <c r="J179" s="21">
        <f t="shared" si="159"/>
        <v>1.8666288E-2</v>
      </c>
      <c r="K179" s="13">
        <f t="shared" si="160"/>
        <v>2239.9545600000001</v>
      </c>
      <c r="L179" s="13">
        <f t="shared" si="161"/>
        <v>2.2399545600000001E-3</v>
      </c>
      <c r="M179" s="27">
        <f t="shared" si="162"/>
        <v>2.090624256E-2</v>
      </c>
      <c r="N179" s="29">
        <f t="shared" si="163"/>
        <v>4.1480640000000006E-2</v>
      </c>
      <c r="O179" s="28">
        <f t="shared" si="164"/>
        <v>0.35241951744</v>
      </c>
    </row>
    <row r="180" spans="1:15" x14ac:dyDescent="0.7">
      <c r="A180" s="5"/>
      <c r="B180" s="5"/>
      <c r="C180" s="5">
        <v>27</v>
      </c>
      <c r="D180" s="6">
        <v>4.8010000000000002</v>
      </c>
      <c r="E180" s="6">
        <v>1.9</v>
      </c>
      <c r="F180" s="6">
        <v>4.8010000000000002</v>
      </c>
      <c r="G180" s="12">
        <f t="shared" ref="G180" si="259">F180*86400</f>
        <v>414806.4</v>
      </c>
      <c r="H180" s="14">
        <f t="shared" ref="H180" si="260">G180/1000000</f>
        <v>0.41480640000000002</v>
      </c>
      <c r="I180" s="13">
        <f t="shared" si="158"/>
        <v>18666.288</v>
      </c>
      <c r="J180" s="21">
        <f t="shared" si="159"/>
        <v>1.8666288E-2</v>
      </c>
      <c r="K180" s="13">
        <f t="shared" si="160"/>
        <v>2239.9545600000001</v>
      </c>
      <c r="L180" s="13">
        <f t="shared" si="161"/>
        <v>2.2399545600000001E-3</v>
      </c>
      <c r="M180" s="27">
        <f t="shared" si="162"/>
        <v>2.090624256E-2</v>
      </c>
      <c r="N180" s="29">
        <f t="shared" si="163"/>
        <v>4.1480640000000006E-2</v>
      </c>
      <c r="O180" s="28">
        <f t="shared" si="164"/>
        <v>0.35241951744</v>
      </c>
    </row>
    <row r="181" spans="1:15" x14ac:dyDescent="0.7">
      <c r="A181" s="10"/>
      <c r="B181" s="10"/>
      <c r="C181" s="24">
        <v>28</v>
      </c>
      <c r="D181" s="16">
        <v>4.8010000000000002</v>
      </c>
      <c r="E181" s="6">
        <v>0</v>
      </c>
      <c r="F181" s="16">
        <v>4.8010000000000002</v>
      </c>
      <c r="G181" s="17">
        <f t="shared" ref="G181" si="261">F181*86400</f>
        <v>414806.4</v>
      </c>
      <c r="H181" s="18">
        <f t="shared" ref="H181" si="262">G181/1000000</f>
        <v>0.41480640000000002</v>
      </c>
      <c r="I181" s="13">
        <f t="shared" si="158"/>
        <v>18666.288</v>
      </c>
      <c r="J181" s="21">
        <f t="shared" si="159"/>
        <v>1.8666288E-2</v>
      </c>
      <c r="K181" s="13">
        <f t="shared" si="160"/>
        <v>2239.9545600000001</v>
      </c>
      <c r="L181" s="13">
        <f t="shared" si="161"/>
        <v>2.2399545600000001E-3</v>
      </c>
      <c r="M181" s="27">
        <f t="shared" si="162"/>
        <v>2.090624256E-2</v>
      </c>
      <c r="N181" s="29">
        <f t="shared" si="163"/>
        <v>4.1480640000000006E-2</v>
      </c>
      <c r="O181" s="28">
        <f t="shared" si="164"/>
        <v>0.35241951744</v>
      </c>
    </row>
    <row r="182" spans="1:15" s="20" customFormat="1" x14ac:dyDescent="0.7">
      <c r="A182" s="10"/>
      <c r="B182" s="10"/>
      <c r="C182" s="10">
        <v>29</v>
      </c>
      <c r="D182" s="16">
        <v>4.8010000000000002</v>
      </c>
      <c r="E182" s="6">
        <v>5.2</v>
      </c>
      <c r="F182" s="16">
        <v>4.8010000000000002</v>
      </c>
      <c r="G182" s="42">
        <f t="shared" ref="G182" si="263">F182*86400</f>
        <v>414806.4</v>
      </c>
      <c r="H182" s="37">
        <f t="shared" ref="H182" si="264">G182/1000000</f>
        <v>0.41480640000000002</v>
      </c>
      <c r="I182" s="37">
        <f t="shared" si="158"/>
        <v>18666.288</v>
      </c>
      <c r="J182" s="38">
        <f t="shared" si="159"/>
        <v>1.8666288E-2</v>
      </c>
      <c r="K182" s="37">
        <f t="shared" si="160"/>
        <v>2239.9545600000001</v>
      </c>
      <c r="L182" s="37">
        <f t="shared" si="161"/>
        <v>2.2399545600000001E-3</v>
      </c>
      <c r="M182" s="39">
        <f t="shared" si="162"/>
        <v>2.090624256E-2</v>
      </c>
      <c r="N182" s="40">
        <f t="shared" si="163"/>
        <v>4.1480640000000006E-2</v>
      </c>
      <c r="O182" s="41">
        <f t="shared" si="164"/>
        <v>0.35241951744</v>
      </c>
    </row>
    <row r="183" spans="1:15" s="46" customFormat="1" ht="25.2" thickBot="1" x14ac:dyDescent="0.75">
      <c r="A183" s="8"/>
      <c r="B183" s="8" t="s">
        <v>20</v>
      </c>
      <c r="C183" s="8">
        <v>30</v>
      </c>
      <c r="D183" s="9">
        <v>4.8010000000000002</v>
      </c>
      <c r="E183" s="9">
        <v>2.2999999999999998</v>
      </c>
      <c r="F183" s="9">
        <v>4.8010000000000002</v>
      </c>
      <c r="G183" s="19">
        <f t="shared" ref="G183" si="265">F183*86400</f>
        <v>414806.4</v>
      </c>
      <c r="H183" s="15">
        <f t="shared" ref="H183" si="266">G183/1000000</f>
        <v>0.41480640000000002</v>
      </c>
      <c r="I183" s="15">
        <f t="shared" si="158"/>
        <v>18666.288</v>
      </c>
      <c r="J183" s="22">
        <f t="shared" si="159"/>
        <v>1.8666288E-2</v>
      </c>
      <c r="K183" s="15">
        <f t="shared" si="160"/>
        <v>2239.9545600000001</v>
      </c>
      <c r="L183" s="15">
        <f t="shared" si="161"/>
        <v>2.2399545600000001E-3</v>
      </c>
      <c r="M183" s="15">
        <f t="shared" si="162"/>
        <v>2.090624256E-2</v>
      </c>
      <c r="N183" s="34">
        <f t="shared" si="163"/>
        <v>4.1480640000000006E-2</v>
      </c>
      <c r="O183" s="15">
        <f t="shared" si="164"/>
        <v>0.35241951744</v>
      </c>
    </row>
    <row r="184" spans="1:15" x14ac:dyDescent="0.7">
      <c r="A184" s="2"/>
      <c r="B184" s="2" t="s">
        <v>21</v>
      </c>
      <c r="C184" s="2">
        <v>1</v>
      </c>
      <c r="D184" s="3">
        <v>4.8010000000000002</v>
      </c>
      <c r="E184" s="3">
        <v>0</v>
      </c>
      <c r="F184" s="3">
        <v>4.8010000000000002</v>
      </c>
      <c r="G184" s="12">
        <f t="shared" ref="G184" si="267">F184*86400</f>
        <v>414806.4</v>
      </c>
      <c r="H184" s="14">
        <f t="shared" ref="H184" si="268">G184/1000000</f>
        <v>0.41480640000000002</v>
      </c>
      <c r="I184" s="14">
        <f t="shared" si="158"/>
        <v>18666.288</v>
      </c>
      <c r="J184" s="26">
        <f t="shared" si="159"/>
        <v>1.8666288E-2</v>
      </c>
      <c r="K184" s="14">
        <f t="shared" si="160"/>
        <v>2239.9545600000001</v>
      </c>
      <c r="L184" s="14">
        <f t="shared" si="161"/>
        <v>2.2399545600000001E-3</v>
      </c>
      <c r="M184" s="30">
        <f t="shared" si="162"/>
        <v>2.090624256E-2</v>
      </c>
      <c r="N184" s="31">
        <f t="shared" si="163"/>
        <v>4.1480640000000006E-2</v>
      </c>
      <c r="O184" s="32">
        <f t="shared" si="164"/>
        <v>0.35241951744</v>
      </c>
    </row>
    <row r="185" spans="1:15" x14ac:dyDescent="0.7">
      <c r="A185" s="5"/>
      <c r="B185" s="5"/>
      <c r="C185" s="5">
        <v>2</v>
      </c>
      <c r="D185" s="6">
        <v>4.8010000000000002</v>
      </c>
      <c r="E185" s="6">
        <v>0</v>
      </c>
      <c r="F185" s="6">
        <v>4.8010000000000002</v>
      </c>
      <c r="G185" s="12">
        <f t="shared" ref="G185" si="269">F185*86400</f>
        <v>414806.4</v>
      </c>
      <c r="H185" s="14">
        <f t="shared" ref="H185" si="270">G185/1000000</f>
        <v>0.41480640000000002</v>
      </c>
      <c r="I185" s="13">
        <f t="shared" si="158"/>
        <v>18666.288</v>
      </c>
      <c r="J185" s="21">
        <f t="shared" si="159"/>
        <v>1.8666288E-2</v>
      </c>
      <c r="K185" s="13">
        <f t="shared" si="160"/>
        <v>2239.9545600000001</v>
      </c>
      <c r="L185" s="13">
        <f t="shared" si="161"/>
        <v>2.2399545600000001E-3</v>
      </c>
      <c r="M185" s="27">
        <f t="shared" si="162"/>
        <v>2.090624256E-2</v>
      </c>
      <c r="N185" s="29">
        <f t="shared" si="163"/>
        <v>4.1480640000000006E-2</v>
      </c>
      <c r="O185" s="28">
        <f t="shared" si="164"/>
        <v>0.35241951744</v>
      </c>
    </row>
    <row r="186" spans="1:15" x14ac:dyDescent="0.7">
      <c r="A186" s="5"/>
      <c r="B186" s="5"/>
      <c r="C186" s="5">
        <v>3</v>
      </c>
      <c r="D186" s="6">
        <v>4.5410000000000004</v>
      </c>
      <c r="E186" s="6">
        <v>1</v>
      </c>
      <c r="F186" s="6">
        <v>4.5410000000000004</v>
      </c>
      <c r="G186" s="12">
        <f t="shared" ref="G186" si="271">F186*86400</f>
        <v>392342.4</v>
      </c>
      <c r="H186" s="14">
        <f t="shared" ref="H186" si="272">G186/1000000</f>
        <v>0.39234240000000004</v>
      </c>
      <c r="I186" s="13">
        <f t="shared" si="158"/>
        <v>17655.407999999999</v>
      </c>
      <c r="J186" s="21">
        <f t="shared" si="159"/>
        <v>1.7655408000000001E-2</v>
      </c>
      <c r="K186" s="13">
        <f t="shared" si="160"/>
        <v>2118.64896</v>
      </c>
      <c r="L186" s="13">
        <f t="shared" si="161"/>
        <v>2.11864896E-3</v>
      </c>
      <c r="M186" s="27">
        <f t="shared" si="162"/>
        <v>1.9774056960000001E-2</v>
      </c>
      <c r="N186" s="29">
        <f t="shared" si="163"/>
        <v>3.9234240000000004E-2</v>
      </c>
      <c r="O186" s="28">
        <f t="shared" si="164"/>
        <v>0.33333410304</v>
      </c>
    </row>
    <row r="187" spans="1:15" x14ac:dyDescent="0.7">
      <c r="A187" s="5"/>
      <c r="B187" s="5"/>
      <c r="C187" s="2">
        <v>4</v>
      </c>
      <c r="D187" s="6">
        <v>4.8010000000000002</v>
      </c>
      <c r="E187" s="6">
        <v>0</v>
      </c>
      <c r="F187" s="6">
        <v>4.8010000000000002</v>
      </c>
      <c r="G187" s="12">
        <f t="shared" ref="G187" si="273">F187*86400</f>
        <v>414806.4</v>
      </c>
      <c r="H187" s="14">
        <f t="shared" ref="H187" si="274">G187/1000000</f>
        <v>0.41480640000000002</v>
      </c>
      <c r="I187" s="13">
        <f t="shared" si="158"/>
        <v>18666.288</v>
      </c>
      <c r="J187" s="21">
        <f t="shared" si="159"/>
        <v>1.8666288E-2</v>
      </c>
      <c r="K187" s="13">
        <f t="shared" si="160"/>
        <v>2239.9545600000001</v>
      </c>
      <c r="L187" s="13">
        <f t="shared" si="161"/>
        <v>2.2399545600000001E-3</v>
      </c>
      <c r="M187" s="27">
        <f t="shared" si="162"/>
        <v>2.090624256E-2</v>
      </c>
      <c r="N187" s="29">
        <f t="shared" si="163"/>
        <v>4.1480640000000006E-2</v>
      </c>
      <c r="O187" s="28">
        <f t="shared" si="164"/>
        <v>0.35241951744</v>
      </c>
    </row>
    <row r="188" spans="1:15" x14ac:dyDescent="0.7">
      <c r="A188" s="5"/>
      <c r="B188" s="5"/>
      <c r="C188" s="5">
        <v>5</v>
      </c>
      <c r="D188" s="6">
        <v>7.7190000000000003</v>
      </c>
      <c r="E188" s="6">
        <v>0</v>
      </c>
      <c r="F188" s="6">
        <v>7.7190000000000003</v>
      </c>
      <c r="G188" s="12">
        <f t="shared" ref="G188" si="275">F188*86400</f>
        <v>666921.6</v>
      </c>
      <c r="H188" s="14">
        <f t="shared" ref="H188" si="276">G188/1000000</f>
        <v>0.6669216</v>
      </c>
      <c r="I188" s="13">
        <f t="shared" si="158"/>
        <v>30011.471999999998</v>
      </c>
      <c r="J188" s="21">
        <f t="shared" si="159"/>
        <v>3.0011471999999997E-2</v>
      </c>
      <c r="K188" s="13">
        <f t="shared" si="160"/>
        <v>3601.3766399999995</v>
      </c>
      <c r="L188" s="13">
        <f t="shared" si="161"/>
        <v>3.6013766399999995E-3</v>
      </c>
      <c r="M188" s="27">
        <f t="shared" si="162"/>
        <v>3.3612848639999998E-2</v>
      </c>
      <c r="N188" s="29">
        <f t="shared" si="163"/>
        <v>6.669216E-2</v>
      </c>
      <c r="O188" s="28">
        <f t="shared" si="164"/>
        <v>0.56661659135999998</v>
      </c>
    </row>
    <row r="189" spans="1:15" x14ac:dyDescent="0.7">
      <c r="A189" s="5"/>
      <c r="B189" s="5"/>
      <c r="C189" s="5">
        <v>6</v>
      </c>
      <c r="D189" s="6">
        <v>7.7190000000000003</v>
      </c>
      <c r="E189" s="6">
        <v>0.6</v>
      </c>
      <c r="F189" s="6">
        <v>7.7190000000000003</v>
      </c>
      <c r="G189" s="12">
        <f t="shared" ref="G189" si="277">F189*86400</f>
        <v>666921.6</v>
      </c>
      <c r="H189" s="14">
        <f t="shared" ref="H189" si="278">G189/1000000</f>
        <v>0.6669216</v>
      </c>
      <c r="I189" s="13">
        <f t="shared" si="158"/>
        <v>30011.471999999998</v>
      </c>
      <c r="J189" s="21">
        <f t="shared" si="159"/>
        <v>3.0011471999999997E-2</v>
      </c>
      <c r="K189" s="13">
        <f t="shared" si="160"/>
        <v>3601.3766399999995</v>
      </c>
      <c r="L189" s="13">
        <f t="shared" si="161"/>
        <v>3.6013766399999995E-3</v>
      </c>
      <c r="M189" s="27">
        <f t="shared" si="162"/>
        <v>3.3612848639999998E-2</v>
      </c>
      <c r="N189" s="29">
        <f t="shared" si="163"/>
        <v>6.669216E-2</v>
      </c>
      <c r="O189" s="28">
        <f t="shared" si="164"/>
        <v>0.56661659135999998</v>
      </c>
    </row>
    <row r="190" spans="1:15" x14ac:dyDescent="0.7">
      <c r="A190" s="5"/>
      <c r="B190" s="5"/>
      <c r="C190" s="2">
        <v>7</v>
      </c>
      <c r="D190" s="6">
        <v>8.9139999999999997</v>
      </c>
      <c r="E190" s="6">
        <v>0</v>
      </c>
      <c r="F190" s="6">
        <v>8.9139999999999997</v>
      </c>
      <c r="G190" s="12">
        <f t="shared" ref="G190" si="279">F190*86400</f>
        <v>770169.6</v>
      </c>
      <c r="H190" s="14">
        <f t="shared" ref="H190" si="280">G190/1000000</f>
        <v>0.77016960000000001</v>
      </c>
      <c r="I190" s="13">
        <f t="shared" si="158"/>
        <v>34657.631999999998</v>
      </c>
      <c r="J190" s="21">
        <f t="shared" si="159"/>
        <v>3.4657632000000001E-2</v>
      </c>
      <c r="K190" s="13">
        <f t="shared" si="160"/>
        <v>4158.9158399999997</v>
      </c>
      <c r="L190" s="13">
        <f t="shared" si="161"/>
        <v>4.1589158399999993E-3</v>
      </c>
      <c r="M190" s="27">
        <f t="shared" si="162"/>
        <v>3.881654784E-2</v>
      </c>
      <c r="N190" s="29">
        <f t="shared" si="163"/>
        <v>7.7016960000000009E-2</v>
      </c>
      <c r="O190" s="28">
        <f t="shared" si="164"/>
        <v>0.65433609215999999</v>
      </c>
    </row>
    <row r="191" spans="1:15" x14ac:dyDescent="0.7">
      <c r="A191" s="5"/>
      <c r="B191" s="5"/>
      <c r="C191" s="5">
        <v>8</v>
      </c>
      <c r="D191" s="6">
        <v>8.4559999999999995</v>
      </c>
      <c r="E191" s="6">
        <v>0.2</v>
      </c>
      <c r="F191" s="6">
        <v>8.4559999999999995</v>
      </c>
      <c r="G191" s="12">
        <f t="shared" ref="G191" si="281">F191*86400</f>
        <v>730598.39999999991</v>
      </c>
      <c r="H191" s="14">
        <f t="shared" ref="H191" si="282">G191/1000000</f>
        <v>0.73059839999999987</v>
      </c>
      <c r="I191" s="13">
        <f t="shared" si="158"/>
        <v>32876.927999999993</v>
      </c>
      <c r="J191" s="21">
        <f t="shared" si="159"/>
        <v>3.2876927999999993E-2</v>
      </c>
      <c r="K191" s="13">
        <f t="shared" si="160"/>
        <v>3945.2313599999989</v>
      </c>
      <c r="L191" s="13">
        <f t="shared" si="161"/>
        <v>3.945231359999999E-3</v>
      </c>
      <c r="M191" s="27">
        <f t="shared" si="162"/>
        <v>3.6822159359999995E-2</v>
      </c>
      <c r="N191" s="29">
        <f t="shared" si="163"/>
        <v>7.3059839999999987E-2</v>
      </c>
      <c r="O191" s="28">
        <f t="shared" si="164"/>
        <v>0.62071640063999989</v>
      </c>
    </row>
    <row r="192" spans="1:15" x14ac:dyDescent="0.7">
      <c r="A192" s="5"/>
      <c r="B192" s="5"/>
      <c r="C192" s="5">
        <v>9</v>
      </c>
      <c r="D192" s="6">
        <v>7.9729999999999999</v>
      </c>
      <c r="E192" s="6">
        <v>0</v>
      </c>
      <c r="F192" s="6">
        <v>7.9729999999999999</v>
      </c>
      <c r="G192" s="12">
        <f t="shared" ref="G192" si="283">F192*86400</f>
        <v>688867.2</v>
      </c>
      <c r="H192" s="14">
        <f t="shared" ref="H192" si="284">G192/1000000</f>
        <v>0.6888671999999999</v>
      </c>
      <c r="I192" s="13">
        <f t="shared" si="158"/>
        <v>30999.023999999998</v>
      </c>
      <c r="J192" s="21">
        <f t="shared" si="159"/>
        <v>3.0999023999999997E-2</v>
      </c>
      <c r="K192" s="13">
        <f t="shared" si="160"/>
        <v>3719.8828799999997</v>
      </c>
      <c r="L192" s="13">
        <f t="shared" si="161"/>
        <v>3.7198828799999998E-3</v>
      </c>
      <c r="M192" s="27">
        <f t="shared" si="162"/>
        <v>3.4718906879999997E-2</v>
      </c>
      <c r="N192" s="29">
        <f t="shared" si="163"/>
        <v>6.8886719999999999E-2</v>
      </c>
      <c r="O192" s="28">
        <f t="shared" si="164"/>
        <v>0.58526157311999993</v>
      </c>
    </row>
    <row r="193" spans="1:15" x14ac:dyDescent="0.7">
      <c r="A193" s="5"/>
      <c r="B193" s="5"/>
      <c r="C193" s="2">
        <v>10</v>
      </c>
      <c r="D193" s="6">
        <v>8.5730000000000004</v>
      </c>
      <c r="E193" s="6">
        <v>34.5</v>
      </c>
      <c r="F193" s="6">
        <v>8.5730000000000004</v>
      </c>
      <c r="G193" s="12">
        <f t="shared" ref="G193" si="285">F193*86400</f>
        <v>740707.20000000007</v>
      </c>
      <c r="H193" s="14">
        <f t="shared" ref="H193" si="286">G193/1000000</f>
        <v>0.74070720000000012</v>
      </c>
      <c r="I193" s="13">
        <f t="shared" si="158"/>
        <v>33331.824000000001</v>
      </c>
      <c r="J193" s="21">
        <f t="shared" si="159"/>
        <v>3.3331824000000003E-2</v>
      </c>
      <c r="K193" s="13">
        <f t="shared" si="160"/>
        <v>3999.8188799999998</v>
      </c>
      <c r="L193" s="13">
        <f t="shared" si="161"/>
        <v>3.9998188799999996E-3</v>
      </c>
      <c r="M193" s="27">
        <f t="shared" si="162"/>
        <v>3.7331642880000002E-2</v>
      </c>
      <c r="N193" s="29">
        <f t="shared" si="163"/>
        <v>7.407072000000002E-2</v>
      </c>
      <c r="O193" s="28">
        <f t="shared" si="164"/>
        <v>0.62930483712000007</v>
      </c>
    </row>
    <row r="194" spans="1:15" x14ac:dyDescent="0.7">
      <c r="A194" s="5"/>
      <c r="B194" s="5"/>
      <c r="C194" s="5">
        <v>11</v>
      </c>
      <c r="D194" s="6">
        <v>9.1539999999999999</v>
      </c>
      <c r="E194" s="6">
        <v>3.2</v>
      </c>
      <c r="F194" s="6">
        <v>9.1539999999999999</v>
      </c>
      <c r="G194" s="12">
        <f t="shared" ref="G194" si="287">F194*86400</f>
        <v>790905.6</v>
      </c>
      <c r="H194" s="14">
        <f t="shared" ref="H194" si="288">G194/1000000</f>
        <v>0.79090559999999999</v>
      </c>
      <c r="I194" s="13">
        <f t="shared" si="158"/>
        <v>35590.752</v>
      </c>
      <c r="J194" s="21">
        <f t="shared" si="159"/>
        <v>3.5590752000000003E-2</v>
      </c>
      <c r="K194" s="13">
        <f t="shared" si="160"/>
        <v>4270.8902399999997</v>
      </c>
      <c r="L194" s="13">
        <f t="shared" si="161"/>
        <v>4.2708902399999993E-3</v>
      </c>
      <c r="M194" s="27">
        <f t="shared" si="162"/>
        <v>3.9861642240000002E-2</v>
      </c>
      <c r="N194" s="29">
        <f t="shared" si="163"/>
        <v>7.9090560000000004E-2</v>
      </c>
      <c r="O194" s="28">
        <f t="shared" si="164"/>
        <v>0.67195339775999996</v>
      </c>
    </row>
    <row r="195" spans="1:15" x14ac:dyDescent="0.7">
      <c r="A195" s="5"/>
      <c r="B195" s="5"/>
      <c r="C195" s="5">
        <v>12</v>
      </c>
      <c r="D195" s="6">
        <v>10.651999999999999</v>
      </c>
      <c r="E195" s="6">
        <v>0.3</v>
      </c>
      <c r="F195" s="6">
        <v>10.651999999999999</v>
      </c>
      <c r="G195" s="12">
        <f t="shared" ref="G195" si="289">F195*86400</f>
        <v>920332.79999999993</v>
      </c>
      <c r="H195" s="14">
        <f t="shared" ref="H195" si="290">G195/1000000</f>
        <v>0.92033279999999995</v>
      </c>
      <c r="I195" s="13">
        <f t="shared" si="158"/>
        <v>41414.975999999995</v>
      </c>
      <c r="J195" s="21">
        <f t="shared" si="159"/>
        <v>4.1414975999999992E-2</v>
      </c>
      <c r="K195" s="13">
        <f t="shared" si="160"/>
        <v>4969.7971199999993</v>
      </c>
      <c r="L195" s="13">
        <f t="shared" si="161"/>
        <v>4.9697971199999993E-3</v>
      </c>
      <c r="M195" s="27">
        <f t="shared" si="162"/>
        <v>4.6384773119999993E-2</v>
      </c>
      <c r="N195" s="29">
        <f t="shared" si="163"/>
        <v>9.2033279999999995E-2</v>
      </c>
      <c r="O195" s="28">
        <f t="shared" si="164"/>
        <v>0.78191474687999996</v>
      </c>
    </row>
    <row r="196" spans="1:15" x14ac:dyDescent="0.7">
      <c r="A196" s="5"/>
      <c r="B196" s="5"/>
      <c r="C196" s="2">
        <v>13</v>
      </c>
      <c r="D196" s="6">
        <v>9.3629999999999995</v>
      </c>
      <c r="E196" s="6">
        <v>0</v>
      </c>
      <c r="F196" s="6">
        <v>9.3629999999999995</v>
      </c>
      <c r="G196" s="12">
        <f t="shared" ref="G196" si="291">F196*86400</f>
        <v>808963.2</v>
      </c>
      <c r="H196" s="14">
        <f t="shared" ref="H196" si="292">G196/1000000</f>
        <v>0.80896319999999999</v>
      </c>
      <c r="I196" s="13">
        <f t="shared" ref="I196:I259" si="293">H196*1000000*0.045</f>
        <v>36403.343999999997</v>
      </c>
      <c r="J196" s="21">
        <f t="shared" ref="J196:J259" si="294">I196/1000000</f>
        <v>3.6403343999999997E-2</v>
      </c>
      <c r="K196" s="13">
        <f t="shared" ref="K196:K259" si="295">I196*0.12</f>
        <v>4368.4012799999991</v>
      </c>
      <c r="L196" s="13">
        <f t="shared" ref="L196:L259" si="296">K196/1000000</f>
        <v>4.3684012799999989E-3</v>
      </c>
      <c r="M196" s="27">
        <f t="shared" ref="M196:M259" si="297">J196+L196</f>
        <v>4.0771745279999994E-2</v>
      </c>
      <c r="N196" s="29">
        <f t="shared" ref="N196:N259" si="298">H196*0.1</f>
        <v>8.0896320000000008E-2</v>
      </c>
      <c r="O196" s="28">
        <f t="shared" ref="O196:O259" si="299">H196-M196-N196</f>
        <v>0.68729513471999992</v>
      </c>
    </row>
    <row r="197" spans="1:15" x14ac:dyDescent="0.7">
      <c r="A197" s="5"/>
      <c r="B197" s="5"/>
      <c r="C197" s="5">
        <v>14</v>
      </c>
      <c r="D197" s="6">
        <v>7.556</v>
      </c>
      <c r="E197" s="6">
        <v>2.7</v>
      </c>
      <c r="F197" s="6">
        <v>7.556</v>
      </c>
      <c r="G197" s="12">
        <f t="shared" ref="G197" si="300">F197*86400</f>
        <v>652838.40000000002</v>
      </c>
      <c r="H197" s="14">
        <f t="shared" ref="H197" si="301">G197/1000000</f>
        <v>0.65283840000000004</v>
      </c>
      <c r="I197" s="13">
        <f t="shared" si="293"/>
        <v>29377.727999999999</v>
      </c>
      <c r="J197" s="21">
        <f t="shared" si="294"/>
        <v>2.9377727999999999E-2</v>
      </c>
      <c r="K197" s="13">
        <f t="shared" si="295"/>
        <v>3525.3273599999998</v>
      </c>
      <c r="L197" s="13">
        <f t="shared" si="296"/>
        <v>3.5253273599999998E-3</v>
      </c>
      <c r="M197" s="27">
        <f t="shared" si="297"/>
        <v>3.2903055359999996E-2</v>
      </c>
      <c r="N197" s="29">
        <f t="shared" si="298"/>
        <v>6.528384000000001E-2</v>
      </c>
      <c r="O197" s="28">
        <f t="shared" si="299"/>
        <v>0.55465150464000001</v>
      </c>
    </row>
    <row r="198" spans="1:15" x14ac:dyDescent="0.7">
      <c r="A198" s="5"/>
      <c r="B198" s="5"/>
      <c r="C198" s="5">
        <v>15</v>
      </c>
      <c r="D198" s="6">
        <v>7.35</v>
      </c>
      <c r="E198" s="6">
        <v>0</v>
      </c>
      <c r="F198" s="6">
        <v>7.35</v>
      </c>
      <c r="G198" s="12">
        <f t="shared" ref="G198" si="302">F198*86400</f>
        <v>635040</v>
      </c>
      <c r="H198" s="14">
        <f t="shared" ref="H198" si="303">G198/1000000</f>
        <v>0.63504000000000005</v>
      </c>
      <c r="I198" s="13">
        <f t="shared" si="293"/>
        <v>28576.799999999999</v>
      </c>
      <c r="J198" s="21">
        <f t="shared" si="294"/>
        <v>2.8576799999999999E-2</v>
      </c>
      <c r="K198" s="13">
        <f t="shared" si="295"/>
        <v>3429.2159999999999</v>
      </c>
      <c r="L198" s="13">
        <f t="shared" si="296"/>
        <v>3.4292159999999997E-3</v>
      </c>
      <c r="M198" s="27">
        <f t="shared" si="297"/>
        <v>3.2006015999999998E-2</v>
      </c>
      <c r="N198" s="29">
        <f t="shared" si="298"/>
        <v>6.3504000000000005E-2</v>
      </c>
      <c r="O198" s="28">
        <f t="shared" si="299"/>
        <v>0.53952998400000007</v>
      </c>
    </row>
    <row r="199" spans="1:15" x14ac:dyDescent="0.7">
      <c r="A199" s="5"/>
      <c r="B199" s="5"/>
      <c r="C199" s="2">
        <v>16</v>
      </c>
      <c r="D199" s="6">
        <v>9.3629999999999995</v>
      </c>
      <c r="E199" s="6">
        <v>8.3000000000000007</v>
      </c>
      <c r="F199" s="6">
        <v>9.3629999999999995</v>
      </c>
      <c r="G199" s="12">
        <f t="shared" ref="G199" si="304">F199*86400</f>
        <v>808963.2</v>
      </c>
      <c r="H199" s="14">
        <f t="shared" ref="H199" si="305">G199/1000000</f>
        <v>0.80896319999999999</v>
      </c>
      <c r="I199" s="13">
        <f t="shared" si="293"/>
        <v>36403.343999999997</v>
      </c>
      <c r="J199" s="21">
        <f t="shared" si="294"/>
        <v>3.6403343999999997E-2</v>
      </c>
      <c r="K199" s="13">
        <f t="shared" si="295"/>
        <v>4368.4012799999991</v>
      </c>
      <c r="L199" s="13">
        <f t="shared" si="296"/>
        <v>4.3684012799999989E-3</v>
      </c>
      <c r="M199" s="27">
        <f t="shared" si="297"/>
        <v>4.0771745279999994E-2</v>
      </c>
      <c r="N199" s="29">
        <f t="shared" si="298"/>
        <v>8.0896320000000008E-2</v>
      </c>
      <c r="O199" s="28">
        <f t="shared" si="299"/>
        <v>0.68729513471999992</v>
      </c>
    </row>
    <row r="200" spans="1:15" x14ac:dyDescent="0.7">
      <c r="A200" s="5"/>
      <c r="B200" s="5"/>
      <c r="C200" s="5">
        <v>17</v>
      </c>
      <c r="D200" s="6">
        <v>9.3629999999999995</v>
      </c>
      <c r="E200" s="6">
        <v>14.8</v>
      </c>
      <c r="F200" s="6">
        <v>9.3629999999999995</v>
      </c>
      <c r="G200" s="12">
        <f t="shared" ref="G200" si="306">F200*86400</f>
        <v>808963.2</v>
      </c>
      <c r="H200" s="14">
        <f t="shared" ref="H200" si="307">G200/1000000</f>
        <v>0.80896319999999999</v>
      </c>
      <c r="I200" s="13">
        <f t="shared" si="293"/>
        <v>36403.343999999997</v>
      </c>
      <c r="J200" s="21">
        <f t="shared" si="294"/>
        <v>3.6403343999999997E-2</v>
      </c>
      <c r="K200" s="13">
        <f t="shared" si="295"/>
        <v>4368.4012799999991</v>
      </c>
      <c r="L200" s="13">
        <f t="shared" si="296"/>
        <v>4.3684012799999989E-3</v>
      </c>
      <c r="M200" s="27">
        <f t="shared" si="297"/>
        <v>4.0771745279999994E-2</v>
      </c>
      <c r="N200" s="29">
        <f t="shared" si="298"/>
        <v>8.0896320000000008E-2</v>
      </c>
      <c r="O200" s="28">
        <f t="shared" si="299"/>
        <v>0.68729513471999992</v>
      </c>
    </row>
    <row r="201" spans="1:15" x14ac:dyDescent="0.7">
      <c r="A201" s="5"/>
      <c r="B201" s="5"/>
      <c r="C201" s="5">
        <v>18</v>
      </c>
      <c r="D201" s="6">
        <v>11.006</v>
      </c>
      <c r="E201" s="6">
        <v>0.4</v>
      </c>
      <c r="F201" s="6">
        <v>11.006</v>
      </c>
      <c r="G201" s="12">
        <f t="shared" ref="G201" si="308">F201*86400</f>
        <v>950918.4</v>
      </c>
      <c r="H201" s="14">
        <f t="shared" ref="H201" si="309">G201/1000000</f>
        <v>0.95091840000000005</v>
      </c>
      <c r="I201" s="13">
        <f t="shared" si="293"/>
        <v>42791.328000000001</v>
      </c>
      <c r="J201" s="21">
        <f t="shared" si="294"/>
        <v>4.2791328000000003E-2</v>
      </c>
      <c r="K201" s="13">
        <f t="shared" si="295"/>
        <v>5134.9593599999998</v>
      </c>
      <c r="L201" s="13">
        <f t="shared" si="296"/>
        <v>5.13495936E-3</v>
      </c>
      <c r="M201" s="27">
        <f t="shared" si="297"/>
        <v>4.792628736E-2</v>
      </c>
      <c r="N201" s="29">
        <f t="shared" si="298"/>
        <v>9.5091840000000011E-2</v>
      </c>
      <c r="O201" s="28">
        <f t="shared" si="299"/>
        <v>0.80790027263999997</v>
      </c>
    </row>
    <row r="202" spans="1:15" x14ac:dyDescent="0.7">
      <c r="A202" s="5"/>
      <c r="B202" s="5"/>
      <c r="C202" s="2">
        <v>19</v>
      </c>
      <c r="D202" s="6">
        <v>7.7190000000000003</v>
      </c>
      <c r="E202" s="6">
        <v>0</v>
      </c>
      <c r="F202" s="6">
        <v>7.7190000000000003</v>
      </c>
      <c r="G202" s="12">
        <f t="shared" ref="G202" si="310">F202*86400</f>
        <v>666921.6</v>
      </c>
      <c r="H202" s="14">
        <f t="shared" ref="H202" si="311">G202/1000000</f>
        <v>0.6669216</v>
      </c>
      <c r="I202" s="13">
        <f t="shared" si="293"/>
        <v>30011.471999999998</v>
      </c>
      <c r="J202" s="21">
        <f t="shared" si="294"/>
        <v>3.0011471999999997E-2</v>
      </c>
      <c r="K202" s="13">
        <f t="shared" si="295"/>
        <v>3601.3766399999995</v>
      </c>
      <c r="L202" s="13">
        <f t="shared" si="296"/>
        <v>3.6013766399999995E-3</v>
      </c>
      <c r="M202" s="27">
        <f t="shared" si="297"/>
        <v>3.3612848639999998E-2</v>
      </c>
      <c r="N202" s="29">
        <f t="shared" si="298"/>
        <v>6.669216E-2</v>
      </c>
      <c r="O202" s="28">
        <f t="shared" si="299"/>
        <v>0.56661659135999998</v>
      </c>
    </row>
    <row r="203" spans="1:15" x14ac:dyDescent="0.7">
      <c r="A203" s="5"/>
      <c r="B203" s="5"/>
      <c r="C203" s="5">
        <v>20</v>
      </c>
      <c r="D203" s="6">
        <v>7.42</v>
      </c>
      <c r="E203" s="6">
        <v>0</v>
      </c>
      <c r="F203" s="6">
        <v>7.42</v>
      </c>
      <c r="G203" s="12">
        <f t="shared" ref="G203" si="312">F203*86400</f>
        <v>641088</v>
      </c>
      <c r="H203" s="14">
        <f t="shared" ref="H203" si="313">G203/1000000</f>
        <v>0.64108799999999999</v>
      </c>
      <c r="I203" s="13">
        <f t="shared" si="293"/>
        <v>28848.959999999999</v>
      </c>
      <c r="J203" s="21">
        <f t="shared" si="294"/>
        <v>2.884896E-2</v>
      </c>
      <c r="K203" s="13">
        <f t="shared" si="295"/>
        <v>3461.8751999999999</v>
      </c>
      <c r="L203" s="13">
        <f t="shared" si="296"/>
        <v>3.4618751999999997E-3</v>
      </c>
      <c r="M203" s="27">
        <f t="shared" si="297"/>
        <v>3.2310835199999999E-2</v>
      </c>
      <c r="N203" s="29">
        <f t="shared" si="298"/>
        <v>6.4108800000000007E-2</v>
      </c>
      <c r="O203" s="28">
        <f t="shared" si="299"/>
        <v>0.54466836480000003</v>
      </c>
    </row>
    <row r="204" spans="1:15" x14ac:dyDescent="0.7">
      <c r="A204" s="5"/>
      <c r="B204" s="5"/>
      <c r="C204" s="5">
        <v>21</v>
      </c>
      <c r="D204" s="6">
        <v>6.8780000000000001</v>
      </c>
      <c r="E204" s="6">
        <v>20</v>
      </c>
      <c r="F204" s="6">
        <v>6.8780000000000001</v>
      </c>
      <c r="G204" s="12">
        <f t="shared" ref="G204" si="314">F204*86400</f>
        <v>594259.19999999995</v>
      </c>
      <c r="H204" s="14">
        <f t="shared" ref="H204" si="315">G204/1000000</f>
        <v>0.59425919999999999</v>
      </c>
      <c r="I204" s="13">
        <f t="shared" si="293"/>
        <v>26741.663999999997</v>
      </c>
      <c r="J204" s="21">
        <f t="shared" si="294"/>
        <v>2.6741663999999998E-2</v>
      </c>
      <c r="K204" s="13">
        <f t="shared" si="295"/>
        <v>3208.9996799999994</v>
      </c>
      <c r="L204" s="13">
        <f t="shared" si="296"/>
        <v>3.2089996799999996E-3</v>
      </c>
      <c r="M204" s="27">
        <f t="shared" si="297"/>
        <v>2.9950663679999996E-2</v>
      </c>
      <c r="N204" s="29">
        <f t="shared" si="298"/>
        <v>5.942592E-2</v>
      </c>
      <c r="O204" s="28">
        <f t="shared" si="299"/>
        <v>0.50488261631999998</v>
      </c>
    </row>
    <row r="205" spans="1:15" x14ac:dyDescent="0.7">
      <c r="A205" s="5"/>
      <c r="B205" s="5"/>
      <c r="C205" s="2">
        <v>22</v>
      </c>
      <c r="D205" s="6">
        <v>7.8650000000000002</v>
      </c>
      <c r="E205" s="6">
        <v>2.2000000000000002</v>
      </c>
      <c r="F205" s="6">
        <v>7.8650000000000002</v>
      </c>
      <c r="G205" s="12">
        <f t="shared" ref="G205" si="316">F205*86400</f>
        <v>679536</v>
      </c>
      <c r="H205" s="14">
        <f t="shared" ref="H205" si="317">G205/1000000</f>
        <v>0.67953600000000003</v>
      </c>
      <c r="I205" s="13">
        <f t="shared" si="293"/>
        <v>30579.119999999999</v>
      </c>
      <c r="J205" s="21">
        <f t="shared" si="294"/>
        <v>3.0579119999999998E-2</v>
      </c>
      <c r="K205" s="13">
        <f t="shared" si="295"/>
        <v>3669.4943999999996</v>
      </c>
      <c r="L205" s="13">
        <f t="shared" si="296"/>
        <v>3.6694943999999994E-3</v>
      </c>
      <c r="M205" s="27">
        <f t="shared" si="297"/>
        <v>3.4248614399999995E-2</v>
      </c>
      <c r="N205" s="29">
        <f t="shared" si="298"/>
        <v>6.7953600000000003E-2</v>
      </c>
      <c r="O205" s="28">
        <f t="shared" si="299"/>
        <v>0.57733378560000004</v>
      </c>
    </row>
    <row r="206" spans="1:15" x14ac:dyDescent="0.7">
      <c r="A206" s="5"/>
      <c r="B206" s="5"/>
      <c r="C206" s="5">
        <v>23</v>
      </c>
      <c r="D206" s="6">
        <v>8.2829999999999995</v>
      </c>
      <c r="E206" s="6">
        <v>43.7</v>
      </c>
      <c r="F206" s="6">
        <v>8.2829999999999995</v>
      </c>
      <c r="G206" s="12">
        <f t="shared" ref="G206" si="318">F206*86400</f>
        <v>715651.2</v>
      </c>
      <c r="H206" s="14">
        <f t="shared" ref="H206" si="319">G206/1000000</f>
        <v>0.71565119999999993</v>
      </c>
      <c r="I206" s="13">
        <f t="shared" si="293"/>
        <v>32204.303999999996</v>
      </c>
      <c r="J206" s="21">
        <f t="shared" si="294"/>
        <v>3.2204303999999996E-2</v>
      </c>
      <c r="K206" s="13">
        <f t="shared" si="295"/>
        <v>3864.5164799999993</v>
      </c>
      <c r="L206" s="13">
        <f t="shared" si="296"/>
        <v>3.8645164799999995E-3</v>
      </c>
      <c r="M206" s="27">
        <f t="shared" si="297"/>
        <v>3.6068820479999993E-2</v>
      </c>
      <c r="N206" s="29">
        <f t="shared" si="298"/>
        <v>7.1565119999999996E-2</v>
      </c>
      <c r="O206" s="28">
        <f t="shared" si="299"/>
        <v>0.60801725951999985</v>
      </c>
    </row>
    <row r="207" spans="1:15" x14ac:dyDescent="0.7">
      <c r="A207" s="5"/>
      <c r="B207" s="5"/>
      <c r="C207" s="5">
        <v>24</v>
      </c>
      <c r="D207" s="6">
        <v>13.586</v>
      </c>
      <c r="E207" s="6">
        <v>1.9</v>
      </c>
      <c r="F207" s="6">
        <v>13.586</v>
      </c>
      <c r="G207" s="12">
        <f t="shared" ref="G207" si="320">F207*86400</f>
        <v>1173830.4000000001</v>
      </c>
      <c r="H207" s="14">
        <f t="shared" ref="H207" si="321">G207/1000000</f>
        <v>1.1738304000000002</v>
      </c>
      <c r="I207" s="13">
        <f t="shared" si="293"/>
        <v>52822.368000000002</v>
      </c>
      <c r="J207" s="21">
        <f t="shared" si="294"/>
        <v>5.2822368000000001E-2</v>
      </c>
      <c r="K207" s="13">
        <f t="shared" si="295"/>
        <v>6338.6841599999998</v>
      </c>
      <c r="L207" s="13">
        <f t="shared" si="296"/>
        <v>6.33868416E-3</v>
      </c>
      <c r="M207" s="27">
        <f t="shared" si="297"/>
        <v>5.9161052160000005E-2</v>
      </c>
      <c r="N207" s="29">
        <f t="shared" si="298"/>
        <v>0.11738304000000002</v>
      </c>
      <c r="O207" s="28">
        <f t="shared" si="299"/>
        <v>0.99728630784000005</v>
      </c>
    </row>
    <row r="208" spans="1:15" x14ac:dyDescent="0.7">
      <c r="A208" s="5"/>
      <c r="B208" s="5"/>
      <c r="C208" s="2">
        <v>25</v>
      </c>
      <c r="D208" s="6">
        <v>15.5</v>
      </c>
      <c r="E208" s="6">
        <v>0.1</v>
      </c>
      <c r="F208" s="6">
        <v>15.5</v>
      </c>
      <c r="G208" s="12">
        <f t="shared" ref="G208" si="322">F208*86400</f>
        <v>1339200</v>
      </c>
      <c r="H208" s="14">
        <f t="shared" ref="H208" si="323">G208/1000000</f>
        <v>1.3391999999999999</v>
      </c>
      <c r="I208" s="13">
        <f t="shared" si="293"/>
        <v>60264</v>
      </c>
      <c r="J208" s="21">
        <f t="shared" si="294"/>
        <v>6.0263999999999998E-2</v>
      </c>
      <c r="K208" s="13">
        <f t="shared" si="295"/>
        <v>7231.6799999999994</v>
      </c>
      <c r="L208" s="13">
        <f t="shared" si="296"/>
        <v>7.231679999999999E-3</v>
      </c>
      <c r="M208" s="27">
        <f t="shared" si="297"/>
        <v>6.7495680000000002E-2</v>
      </c>
      <c r="N208" s="29">
        <f t="shared" si="298"/>
        <v>0.13392000000000001</v>
      </c>
      <c r="O208" s="28">
        <f t="shared" si="299"/>
        <v>1.13778432</v>
      </c>
    </row>
    <row r="209" spans="1:15" x14ac:dyDescent="0.7">
      <c r="A209" s="5"/>
      <c r="B209" s="5"/>
      <c r="C209" s="5">
        <v>26</v>
      </c>
      <c r="D209" s="6">
        <v>11.042</v>
      </c>
      <c r="E209" s="6">
        <v>1.9</v>
      </c>
      <c r="F209" s="6">
        <v>11.042</v>
      </c>
      <c r="G209" s="12">
        <f t="shared" ref="G209" si="324">F209*86400</f>
        <v>954028.79999999993</v>
      </c>
      <c r="H209" s="14">
        <f t="shared" ref="H209" si="325">G209/1000000</f>
        <v>0.9540287999999999</v>
      </c>
      <c r="I209" s="13">
        <f t="shared" si="293"/>
        <v>42931.295999999995</v>
      </c>
      <c r="J209" s="21">
        <f t="shared" si="294"/>
        <v>4.2931295999999994E-2</v>
      </c>
      <c r="K209" s="13">
        <f t="shared" si="295"/>
        <v>5151.7555199999988</v>
      </c>
      <c r="L209" s="13">
        <f t="shared" si="296"/>
        <v>5.1517555199999988E-3</v>
      </c>
      <c r="M209" s="27">
        <f t="shared" si="297"/>
        <v>4.8083051519999989E-2</v>
      </c>
      <c r="N209" s="29">
        <f t="shared" si="298"/>
        <v>9.5402879999999995E-2</v>
      </c>
      <c r="O209" s="28">
        <f t="shared" si="299"/>
        <v>0.8105428684799999</v>
      </c>
    </row>
    <row r="210" spans="1:15" x14ac:dyDescent="0.7">
      <c r="A210" s="5"/>
      <c r="B210" s="5"/>
      <c r="C210" s="5">
        <v>27</v>
      </c>
      <c r="D210" s="6">
        <v>9.7899999999999991</v>
      </c>
      <c r="E210" s="6">
        <v>5.2</v>
      </c>
      <c r="F210" s="6">
        <v>9.7899999999999991</v>
      </c>
      <c r="G210" s="12">
        <f t="shared" ref="G210" si="326">F210*86400</f>
        <v>845855.99999999988</v>
      </c>
      <c r="H210" s="14">
        <f t="shared" ref="H210" si="327">G210/1000000</f>
        <v>0.84585599999999983</v>
      </c>
      <c r="I210" s="13">
        <f t="shared" si="293"/>
        <v>38063.519999999997</v>
      </c>
      <c r="J210" s="21">
        <f t="shared" si="294"/>
        <v>3.8063519999999997E-2</v>
      </c>
      <c r="K210" s="13">
        <f t="shared" si="295"/>
        <v>4567.6223999999993</v>
      </c>
      <c r="L210" s="13">
        <f t="shared" si="296"/>
        <v>4.5676223999999996E-3</v>
      </c>
      <c r="M210" s="27">
        <f t="shared" si="297"/>
        <v>4.2631142399999995E-2</v>
      </c>
      <c r="N210" s="29">
        <f t="shared" si="298"/>
        <v>8.4585599999999983E-2</v>
      </c>
      <c r="O210" s="28">
        <f t="shared" si="299"/>
        <v>0.7186392575999998</v>
      </c>
    </row>
    <row r="211" spans="1:15" x14ac:dyDescent="0.7">
      <c r="A211" s="5"/>
      <c r="B211" s="5"/>
      <c r="C211" s="2">
        <v>28</v>
      </c>
      <c r="D211" s="6">
        <v>9.65</v>
      </c>
      <c r="E211" s="6">
        <v>12.3</v>
      </c>
      <c r="F211" s="6">
        <v>9.65</v>
      </c>
      <c r="G211" s="12">
        <f t="shared" ref="G211" si="328">F211*86400</f>
        <v>833760</v>
      </c>
      <c r="H211" s="14">
        <f t="shared" ref="H211" si="329">G211/1000000</f>
        <v>0.83375999999999995</v>
      </c>
      <c r="I211" s="13">
        <f t="shared" si="293"/>
        <v>37519.199999999997</v>
      </c>
      <c r="J211" s="21">
        <f t="shared" si="294"/>
        <v>3.7519199999999996E-2</v>
      </c>
      <c r="K211" s="13">
        <f t="shared" si="295"/>
        <v>4502.3039999999992</v>
      </c>
      <c r="L211" s="13">
        <f t="shared" si="296"/>
        <v>4.5023039999999995E-3</v>
      </c>
      <c r="M211" s="27">
        <f t="shared" si="297"/>
        <v>4.2021503999999994E-2</v>
      </c>
      <c r="N211" s="29">
        <f t="shared" si="298"/>
        <v>8.3376000000000006E-2</v>
      </c>
      <c r="O211" s="28">
        <f t="shared" si="299"/>
        <v>0.7083624959999999</v>
      </c>
    </row>
    <row r="212" spans="1:15" x14ac:dyDescent="0.7">
      <c r="A212" s="10"/>
      <c r="B212" s="10"/>
      <c r="C212" s="10">
        <v>29</v>
      </c>
      <c r="D212" s="16">
        <v>9.77</v>
      </c>
      <c r="E212" s="6">
        <v>13.1</v>
      </c>
      <c r="F212" s="16">
        <v>9.77</v>
      </c>
      <c r="G212" s="17">
        <f t="shared" ref="G212" si="330">F212*86400</f>
        <v>844128</v>
      </c>
      <c r="H212" s="18">
        <f t="shared" ref="H212" si="331">G212/1000000</f>
        <v>0.84412799999999999</v>
      </c>
      <c r="I212" s="13">
        <f t="shared" si="293"/>
        <v>37985.760000000002</v>
      </c>
      <c r="J212" s="21">
        <f t="shared" si="294"/>
        <v>3.798576E-2</v>
      </c>
      <c r="K212" s="13">
        <f t="shared" si="295"/>
        <v>4558.2911999999997</v>
      </c>
      <c r="L212" s="13">
        <f t="shared" si="296"/>
        <v>4.5582912E-3</v>
      </c>
      <c r="M212" s="27">
        <f t="shared" si="297"/>
        <v>4.2544051200000002E-2</v>
      </c>
      <c r="N212" s="29">
        <f t="shared" si="298"/>
        <v>8.441280000000001E-2</v>
      </c>
      <c r="O212" s="28">
        <f t="shared" si="299"/>
        <v>0.71717114879999988</v>
      </c>
    </row>
    <row r="213" spans="1:15" s="20" customFormat="1" x14ac:dyDescent="0.7">
      <c r="A213" s="10"/>
      <c r="B213" s="10"/>
      <c r="C213" s="10">
        <v>30</v>
      </c>
      <c r="D213" s="16">
        <v>14.246</v>
      </c>
      <c r="E213" s="6">
        <v>0.5</v>
      </c>
      <c r="F213" s="16">
        <v>14.246</v>
      </c>
      <c r="G213" s="42">
        <f t="shared" ref="G213" si="332">F213*86400</f>
        <v>1230854.4000000001</v>
      </c>
      <c r="H213" s="37">
        <f t="shared" ref="H213" si="333">G213/1000000</f>
        <v>1.2308544000000001</v>
      </c>
      <c r="I213" s="37">
        <f t="shared" si="293"/>
        <v>55388.448000000004</v>
      </c>
      <c r="J213" s="38">
        <f t="shared" si="294"/>
        <v>5.5388448000000007E-2</v>
      </c>
      <c r="K213" s="37">
        <f t="shared" si="295"/>
        <v>6646.6137600000002</v>
      </c>
      <c r="L213" s="37">
        <f t="shared" si="296"/>
        <v>6.6466137600000004E-3</v>
      </c>
      <c r="M213" s="39">
        <f t="shared" si="297"/>
        <v>6.203506176000001E-2</v>
      </c>
      <c r="N213" s="29">
        <f t="shared" si="298"/>
        <v>0.12308544000000002</v>
      </c>
      <c r="O213" s="41">
        <f t="shared" si="299"/>
        <v>1.04573389824</v>
      </c>
    </row>
    <row r="214" spans="1:15" s="36" customFormat="1" ht="25.2" thickBot="1" x14ac:dyDescent="0.75">
      <c r="A214" s="8"/>
      <c r="B214" s="8" t="s">
        <v>21</v>
      </c>
      <c r="C214" s="8">
        <v>31</v>
      </c>
      <c r="D214" s="9">
        <v>20.152000000000001</v>
      </c>
      <c r="E214" s="9">
        <v>12.7</v>
      </c>
      <c r="F214" s="9">
        <v>20.152000000000001</v>
      </c>
      <c r="G214" s="19">
        <f t="shared" ref="G214" si="334">F214*86400</f>
        <v>1741132.8</v>
      </c>
      <c r="H214" s="15">
        <f t="shared" ref="H214" si="335">G214/1000000</f>
        <v>1.7411328000000001</v>
      </c>
      <c r="I214" s="15">
        <f t="shared" si="293"/>
        <v>78350.975999999995</v>
      </c>
      <c r="J214" s="22">
        <f t="shared" si="294"/>
        <v>7.8350975999999989E-2</v>
      </c>
      <c r="K214" s="15">
        <f t="shared" si="295"/>
        <v>9402.117119999999</v>
      </c>
      <c r="L214" s="15">
        <f t="shared" si="296"/>
        <v>9.4021171199999993E-3</v>
      </c>
      <c r="M214" s="33">
        <f t="shared" si="297"/>
        <v>8.7753093119999986E-2</v>
      </c>
      <c r="N214" s="34">
        <f t="shared" si="298"/>
        <v>0.17411328000000004</v>
      </c>
      <c r="O214" s="35">
        <f t="shared" si="299"/>
        <v>1.4792664268800002</v>
      </c>
    </row>
    <row r="215" spans="1:15" x14ac:dyDescent="0.7">
      <c r="A215" s="2"/>
      <c r="B215" s="2" t="s">
        <v>22</v>
      </c>
      <c r="C215" s="2">
        <v>1</v>
      </c>
      <c r="D215" s="3">
        <v>19.213999999999999</v>
      </c>
      <c r="E215" s="3">
        <v>34.200000000000003</v>
      </c>
      <c r="F215" s="3">
        <v>19.213999999999999</v>
      </c>
      <c r="G215" s="12">
        <f t="shared" ref="G215" si="336">F215*86400</f>
        <v>1660089.5999999999</v>
      </c>
      <c r="H215" s="14">
        <f t="shared" ref="H215" si="337">G215/1000000</f>
        <v>1.6600895999999998</v>
      </c>
      <c r="I215" s="14">
        <f t="shared" si="293"/>
        <v>74704.031999999992</v>
      </c>
      <c r="J215" s="26">
        <f t="shared" si="294"/>
        <v>7.470403199999999E-2</v>
      </c>
      <c r="K215" s="14">
        <f t="shared" si="295"/>
        <v>8964.483839999999</v>
      </c>
      <c r="L215" s="14">
        <f t="shared" si="296"/>
        <v>8.9644838399999989E-3</v>
      </c>
      <c r="M215" s="30">
        <f t="shared" si="297"/>
        <v>8.3668515839999985E-2</v>
      </c>
      <c r="N215" s="31">
        <f t="shared" si="298"/>
        <v>0.16600895999999998</v>
      </c>
      <c r="O215" s="32">
        <f t="shared" si="299"/>
        <v>1.4104121241600001</v>
      </c>
    </row>
    <row r="216" spans="1:15" x14ac:dyDescent="0.7">
      <c r="A216" s="5"/>
      <c r="B216" s="5"/>
      <c r="C216" s="5">
        <v>2</v>
      </c>
      <c r="D216" s="6">
        <v>13.672000000000001</v>
      </c>
      <c r="E216" s="6">
        <v>0.3</v>
      </c>
      <c r="F216" s="6">
        <v>13.672000000000001</v>
      </c>
      <c r="G216" s="12">
        <f t="shared" ref="G216" si="338">F216*86400</f>
        <v>1181260.8</v>
      </c>
      <c r="H216" s="14">
        <f t="shared" ref="H216" si="339">G216/1000000</f>
        <v>1.1812608</v>
      </c>
      <c r="I216" s="13">
        <f t="shared" si="293"/>
        <v>53156.735999999997</v>
      </c>
      <c r="J216" s="21">
        <f t="shared" si="294"/>
        <v>5.3156735999999996E-2</v>
      </c>
      <c r="K216" s="13">
        <f t="shared" si="295"/>
        <v>6378.8083199999992</v>
      </c>
      <c r="L216" s="13">
        <f t="shared" si="296"/>
        <v>6.3788083199999993E-3</v>
      </c>
      <c r="M216" s="27">
        <f t="shared" si="297"/>
        <v>5.9535544319999995E-2</v>
      </c>
      <c r="N216" s="29">
        <f t="shared" si="298"/>
        <v>0.11812608000000001</v>
      </c>
      <c r="O216" s="28">
        <f t="shared" si="299"/>
        <v>1.00359917568</v>
      </c>
    </row>
    <row r="217" spans="1:15" x14ac:dyDescent="0.7">
      <c r="A217" s="5"/>
      <c r="B217" s="5"/>
      <c r="C217" s="5">
        <v>3</v>
      </c>
      <c r="D217" s="6">
        <v>11.343</v>
      </c>
      <c r="E217" s="6">
        <v>0.5</v>
      </c>
      <c r="F217" s="6">
        <v>11.343</v>
      </c>
      <c r="G217" s="12">
        <f t="shared" ref="G217" si="340">F217*86400</f>
        <v>980035.2</v>
      </c>
      <c r="H217" s="14">
        <f t="shared" ref="H217" si="341">G217/1000000</f>
        <v>0.9800352</v>
      </c>
      <c r="I217" s="13">
        <f t="shared" si="293"/>
        <v>44101.583999999995</v>
      </c>
      <c r="J217" s="21">
        <f t="shared" si="294"/>
        <v>4.4101583999999992E-2</v>
      </c>
      <c r="K217" s="13">
        <f t="shared" si="295"/>
        <v>5292.1900799999994</v>
      </c>
      <c r="L217" s="13">
        <f t="shared" si="296"/>
        <v>5.2921900799999992E-3</v>
      </c>
      <c r="M217" s="27">
        <f t="shared" si="297"/>
        <v>4.9393774079999994E-2</v>
      </c>
      <c r="N217" s="29">
        <f t="shared" si="298"/>
        <v>9.8003520000000011E-2</v>
      </c>
      <c r="O217" s="28">
        <f t="shared" si="299"/>
        <v>0.83263790591999998</v>
      </c>
    </row>
    <row r="218" spans="1:15" x14ac:dyDescent="0.7">
      <c r="A218" s="5"/>
      <c r="B218" s="5"/>
      <c r="C218" s="2">
        <v>4</v>
      </c>
      <c r="D218" s="6">
        <v>11.032</v>
      </c>
      <c r="E218" s="6">
        <v>8.8000000000000007</v>
      </c>
      <c r="F218" s="6">
        <v>11.032</v>
      </c>
      <c r="G218" s="12">
        <f t="shared" ref="G218" si="342">F218*86400</f>
        <v>953164.80000000005</v>
      </c>
      <c r="H218" s="14">
        <f t="shared" ref="H218" si="343">G218/1000000</f>
        <v>0.95316480000000003</v>
      </c>
      <c r="I218" s="13">
        <f t="shared" si="293"/>
        <v>42892.415999999997</v>
      </c>
      <c r="J218" s="21">
        <f t="shared" si="294"/>
        <v>4.2892415999999996E-2</v>
      </c>
      <c r="K218" s="13">
        <f t="shared" si="295"/>
        <v>5147.0899199999994</v>
      </c>
      <c r="L218" s="13">
        <f t="shared" si="296"/>
        <v>5.1470899199999995E-3</v>
      </c>
      <c r="M218" s="27">
        <f t="shared" si="297"/>
        <v>4.8039505919999996E-2</v>
      </c>
      <c r="N218" s="29">
        <f t="shared" si="298"/>
        <v>9.5316480000000009E-2</v>
      </c>
      <c r="O218" s="28">
        <f t="shared" si="299"/>
        <v>0.80980881408000005</v>
      </c>
    </row>
    <row r="219" spans="1:15" x14ac:dyDescent="0.7">
      <c r="A219" s="5"/>
      <c r="B219" s="5"/>
      <c r="C219" s="5">
        <v>5</v>
      </c>
      <c r="D219" s="6">
        <v>13.253</v>
      </c>
      <c r="E219" s="6">
        <v>10.3</v>
      </c>
      <c r="F219" s="6">
        <v>13.253</v>
      </c>
      <c r="G219" s="12">
        <f t="shared" ref="G219" si="344">F219*86400</f>
        <v>1145059.2</v>
      </c>
      <c r="H219" s="14">
        <f t="shared" ref="H219" si="345">G219/1000000</f>
        <v>1.1450591999999999</v>
      </c>
      <c r="I219" s="13">
        <f t="shared" si="293"/>
        <v>51527.663999999997</v>
      </c>
      <c r="J219" s="21">
        <f t="shared" si="294"/>
        <v>5.1527663999999994E-2</v>
      </c>
      <c r="K219" s="13">
        <f t="shared" si="295"/>
        <v>6183.3196799999996</v>
      </c>
      <c r="L219" s="13">
        <f t="shared" si="296"/>
        <v>6.1833196799999995E-3</v>
      </c>
      <c r="M219" s="27">
        <f t="shared" si="297"/>
        <v>5.7710983679999994E-2</v>
      </c>
      <c r="N219" s="29">
        <f t="shared" si="298"/>
        <v>0.11450592</v>
      </c>
      <c r="O219" s="28">
        <f t="shared" si="299"/>
        <v>0.97284229631999986</v>
      </c>
    </row>
    <row r="220" spans="1:15" x14ac:dyDescent="0.7">
      <c r="A220" s="5"/>
      <c r="B220" s="5"/>
      <c r="C220" s="5">
        <v>6</v>
      </c>
      <c r="D220" s="6">
        <v>12.4</v>
      </c>
      <c r="E220" s="6">
        <v>1.1000000000000001</v>
      </c>
      <c r="F220" s="6">
        <v>12.4</v>
      </c>
      <c r="G220" s="12">
        <f t="shared" ref="G220" si="346">F220*86400</f>
        <v>1071360</v>
      </c>
      <c r="H220" s="14">
        <f t="shared" ref="H220" si="347">G220/1000000</f>
        <v>1.0713600000000001</v>
      </c>
      <c r="I220" s="13">
        <f t="shared" si="293"/>
        <v>48211.199999999997</v>
      </c>
      <c r="J220" s="21">
        <f t="shared" si="294"/>
        <v>4.8211199999999996E-2</v>
      </c>
      <c r="K220" s="13">
        <f t="shared" si="295"/>
        <v>5785.3439999999991</v>
      </c>
      <c r="L220" s="13">
        <f t="shared" si="296"/>
        <v>5.7853439999999996E-3</v>
      </c>
      <c r="M220" s="27">
        <f t="shared" si="297"/>
        <v>5.3996543999999994E-2</v>
      </c>
      <c r="N220" s="29">
        <f t="shared" si="298"/>
        <v>0.10713600000000001</v>
      </c>
      <c r="O220" s="28">
        <f t="shared" si="299"/>
        <v>0.91022745599999999</v>
      </c>
    </row>
    <row r="221" spans="1:15" x14ac:dyDescent="0.7">
      <c r="A221" s="5"/>
      <c r="B221" s="5"/>
      <c r="C221" s="2">
        <v>7</v>
      </c>
      <c r="D221" s="6">
        <v>10.608000000000001</v>
      </c>
      <c r="E221" s="6">
        <v>11.9</v>
      </c>
      <c r="F221" s="6">
        <v>10.608000000000001</v>
      </c>
      <c r="G221" s="12">
        <f t="shared" ref="G221" si="348">F221*86400</f>
        <v>916531.20000000007</v>
      </c>
      <c r="H221" s="14">
        <f t="shared" ref="H221" si="349">G221/1000000</f>
        <v>0.9165312000000001</v>
      </c>
      <c r="I221" s="13">
        <f t="shared" si="293"/>
        <v>41243.904000000002</v>
      </c>
      <c r="J221" s="21">
        <f t="shared" si="294"/>
        <v>4.1243904000000005E-2</v>
      </c>
      <c r="K221" s="13">
        <f t="shared" si="295"/>
        <v>4949.2684799999997</v>
      </c>
      <c r="L221" s="13">
        <f t="shared" si="296"/>
        <v>4.9492684799999995E-3</v>
      </c>
      <c r="M221" s="27">
        <f t="shared" si="297"/>
        <v>4.6193172480000003E-2</v>
      </c>
      <c r="N221" s="29">
        <f t="shared" si="298"/>
        <v>9.1653120000000018E-2</v>
      </c>
      <c r="O221" s="28">
        <f t="shared" si="299"/>
        <v>0.77868490752000008</v>
      </c>
    </row>
    <row r="222" spans="1:15" x14ac:dyDescent="0.7">
      <c r="A222" s="5"/>
      <c r="B222" s="5"/>
      <c r="C222" s="5">
        <v>8</v>
      </c>
      <c r="D222" s="6">
        <v>9.5980000000000008</v>
      </c>
      <c r="E222" s="6">
        <v>10.8</v>
      </c>
      <c r="F222" s="6">
        <v>9.5980000000000008</v>
      </c>
      <c r="G222" s="12">
        <f t="shared" ref="G222" si="350">F222*86400</f>
        <v>829267.20000000007</v>
      </c>
      <c r="H222" s="14">
        <f t="shared" ref="H222" si="351">G222/1000000</f>
        <v>0.82926720000000009</v>
      </c>
      <c r="I222" s="13">
        <f t="shared" si="293"/>
        <v>37317.024000000005</v>
      </c>
      <c r="J222" s="21">
        <f t="shared" si="294"/>
        <v>3.7317024000000004E-2</v>
      </c>
      <c r="K222" s="13">
        <f t="shared" si="295"/>
        <v>4478.04288</v>
      </c>
      <c r="L222" s="13">
        <f t="shared" si="296"/>
        <v>4.4780428799999997E-3</v>
      </c>
      <c r="M222" s="27">
        <f t="shared" si="297"/>
        <v>4.1795066880000002E-2</v>
      </c>
      <c r="N222" s="29">
        <f t="shared" si="298"/>
        <v>8.2926720000000009E-2</v>
      </c>
      <c r="O222" s="28">
        <f t="shared" si="299"/>
        <v>0.70454541312000007</v>
      </c>
    </row>
    <row r="223" spans="1:15" x14ac:dyDescent="0.7">
      <c r="A223" s="5"/>
      <c r="B223" s="5"/>
      <c r="C223" s="5">
        <v>9</v>
      </c>
      <c r="D223" s="6">
        <v>13.699</v>
      </c>
      <c r="E223" s="6">
        <v>74.5</v>
      </c>
      <c r="F223" s="6">
        <v>13.699</v>
      </c>
      <c r="G223" s="12">
        <f t="shared" ref="G223" si="352">F223*86400</f>
        <v>1183593.6000000001</v>
      </c>
      <c r="H223" s="14">
        <f t="shared" ref="H223" si="353">G223/1000000</f>
        <v>1.1835936</v>
      </c>
      <c r="I223" s="13">
        <f t="shared" si="293"/>
        <v>53261.712</v>
      </c>
      <c r="J223" s="21">
        <f t="shared" si="294"/>
        <v>5.3261712000000003E-2</v>
      </c>
      <c r="K223" s="13">
        <f t="shared" si="295"/>
        <v>6391.4054399999995</v>
      </c>
      <c r="L223" s="13">
        <f t="shared" si="296"/>
        <v>6.3914054399999993E-3</v>
      </c>
      <c r="M223" s="27">
        <f t="shared" si="297"/>
        <v>5.965311744E-2</v>
      </c>
      <c r="N223" s="29">
        <f t="shared" si="298"/>
        <v>0.11835936000000001</v>
      </c>
      <c r="O223" s="28">
        <f t="shared" si="299"/>
        <v>1.0055811225600002</v>
      </c>
    </row>
    <row r="224" spans="1:15" x14ac:dyDescent="0.7">
      <c r="A224" s="5"/>
      <c r="B224" s="5"/>
      <c r="C224" s="2">
        <v>10</v>
      </c>
      <c r="D224" s="6">
        <v>0</v>
      </c>
      <c r="E224" s="6">
        <v>41.4</v>
      </c>
      <c r="F224" s="6">
        <v>0</v>
      </c>
      <c r="G224" s="12">
        <f t="shared" ref="G224" si="354">F224*86400</f>
        <v>0</v>
      </c>
      <c r="H224" s="14">
        <f t="shared" ref="H224" si="355">G224/1000000</f>
        <v>0</v>
      </c>
      <c r="I224" s="13">
        <f t="shared" si="293"/>
        <v>0</v>
      </c>
      <c r="J224" s="21">
        <f t="shared" si="294"/>
        <v>0</v>
      </c>
      <c r="K224" s="13">
        <f t="shared" si="295"/>
        <v>0</v>
      </c>
      <c r="L224" s="13">
        <f t="shared" si="296"/>
        <v>0</v>
      </c>
      <c r="M224" s="27">
        <f t="shared" si="297"/>
        <v>0</v>
      </c>
      <c r="N224" s="29">
        <f t="shared" si="298"/>
        <v>0</v>
      </c>
      <c r="O224" s="28">
        <f t="shared" si="299"/>
        <v>0</v>
      </c>
    </row>
    <row r="225" spans="1:15" x14ac:dyDescent="0.7">
      <c r="A225" s="5"/>
      <c r="B225" s="5"/>
      <c r="C225" s="5">
        <v>11</v>
      </c>
      <c r="D225" s="6">
        <v>0</v>
      </c>
      <c r="E225" s="6">
        <v>31.6</v>
      </c>
      <c r="F225" s="6">
        <v>0</v>
      </c>
      <c r="G225" s="12">
        <f t="shared" ref="G225" si="356">F225*86400</f>
        <v>0</v>
      </c>
      <c r="H225" s="14">
        <f t="shared" ref="H225" si="357">G225/1000000</f>
        <v>0</v>
      </c>
      <c r="I225" s="13">
        <f t="shared" si="293"/>
        <v>0</v>
      </c>
      <c r="J225" s="21">
        <f t="shared" si="294"/>
        <v>0</v>
      </c>
      <c r="K225" s="13">
        <f t="shared" si="295"/>
        <v>0</v>
      </c>
      <c r="L225" s="13">
        <f t="shared" si="296"/>
        <v>0</v>
      </c>
      <c r="M225" s="27">
        <f t="shared" si="297"/>
        <v>0</v>
      </c>
      <c r="N225" s="29">
        <f t="shared" si="298"/>
        <v>0</v>
      </c>
      <c r="O225" s="28">
        <f t="shared" si="299"/>
        <v>0</v>
      </c>
    </row>
    <row r="226" spans="1:15" x14ac:dyDescent="0.7">
      <c r="A226" s="5"/>
      <c r="B226" s="5"/>
      <c r="C226" s="5">
        <v>12</v>
      </c>
      <c r="D226" s="6">
        <v>142.9</v>
      </c>
      <c r="E226" s="6">
        <v>0.2</v>
      </c>
      <c r="F226" s="6">
        <v>142.9</v>
      </c>
      <c r="G226" s="12">
        <f t="shared" ref="G226" si="358">F226*86400</f>
        <v>12346560</v>
      </c>
      <c r="H226" s="14">
        <f t="shared" ref="H226" si="359">G226/1000000</f>
        <v>12.34656</v>
      </c>
      <c r="I226" s="13">
        <f t="shared" si="293"/>
        <v>555595.19999999995</v>
      </c>
      <c r="J226" s="21">
        <f t="shared" si="294"/>
        <v>0.55559519999999996</v>
      </c>
      <c r="K226" s="13">
        <f t="shared" si="295"/>
        <v>66671.423999999999</v>
      </c>
      <c r="L226" s="13">
        <f t="shared" si="296"/>
        <v>6.6671423999999993E-2</v>
      </c>
      <c r="M226" s="27">
        <f t="shared" si="297"/>
        <v>0.62226662399999999</v>
      </c>
      <c r="N226" s="29">
        <f t="shared" si="298"/>
        <v>1.2346560000000002</v>
      </c>
      <c r="O226" s="28">
        <f t="shared" si="299"/>
        <v>10.489637376000001</v>
      </c>
    </row>
    <row r="227" spans="1:15" x14ac:dyDescent="0.7">
      <c r="A227" s="5"/>
      <c r="B227" s="5"/>
      <c r="C227" s="2">
        <v>13</v>
      </c>
      <c r="D227" s="6">
        <v>90.23</v>
      </c>
      <c r="E227" s="6">
        <v>0</v>
      </c>
      <c r="F227" s="6">
        <v>90.23</v>
      </c>
      <c r="G227" s="12">
        <f t="shared" ref="G227" si="360">F227*86400</f>
        <v>7795872</v>
      </c>
      <c r="H227" s="14">
        <f t="shared" ref="H227" si="361">G227/1000000</f>
        <v>7.7958720000000001</v>
      </c>
      <c r="I227" s="13">
        <f t="shared" si="293"/>
        <v>350814.24</v>
      </c>
      <c r="J227" s="21">
        <f t="shared" si="294"/>
        <v>0.35081424</v>
      </c>
      <c r="K227" s="13">
        <f t="shared" si="295"/>
        <v>42097.7088</v>
      </c>
      <c r="L227" s="13">
        <f t="shared" si="296"/>
        <v>4.2097708800000001E-2</v>
      </c>
      <c r="M227" s="27">
        <f t="shared" si="297"/>
        <v>0.39291194880000002</v>
      </c>
      <c r="N227" s="29">
        <f t="shared" si="298"/>
        <v>0.77958720000000004</v>
      </c>
      <c r="O227" s="28">
        <f t="shared" si="299"/>
        <v>6.6233728512000001</v>
      </c>
    </row>
    <row r="228" spans="1:15" x14ac:dyDescent="0.7">
      <c r="A228" s="5"/>
      <c r="B228" s="5"/>
      <c r="C228" s="5">
        <v>14</v>
      </c>
      <c r="D228" s="6">
        <v>40.933</v>
      </c>
      <c r="E228" s="6">
        <v>11.7</v>
      </c>
      <c r="F228" s="6">
        <v>40.933</v>
      </c>
      <c r="G228" s="12">
        <f t="shared" ref="G228" si="362">F228*86400</f>
        <v>3536611.2</v>
      </c>
      <c r="H228" s="14">
        <f t="shared" ref="H228" si="363">G228/1000000</f>
        <v>3.5366112000000003</v>
      </c>
      <c r="I228" s="13">
        <f t="shared" si="293"/>
        <v>159147.50400000002</v>
      </c>
      <c r="J228" s="21">
        <f t="shared" si="294"/>
        <v>0.15914750400000002</v>
      </c>
      <c r="K228" s="13">
        <f t="shared" si="295"/>
        <v>19097.70048</v>
      </c>
      <c r="L228" s="13">
        <f t="shared" si="296"/>
        <v>1.909770048E-2</v>
      </c>
      <c r="M228" s="27">
        <f t="shared" si="297"/>
        <v>0.17824520448000003</v>
      </c>
      <c r="N228" s="29">
        <f t="shared" si="298"/>
        <v>0.35366112000000005</v>
      </c>
      <c r="O228" s="28">
        <f t="shared" si="299"/>
        <v>3.0047048755200003</v>
      </c>
    </row>
    <row r="229" spans="1:15" x14ac:dyDescent="0.7">
      <c r="A229" s="5"/>
      <c r="B229" s="5"/>
      <c r="C229" s="5">
        <v>15</v>
      </c>
      <c r="D229" s="6">
        <v>44.8</v>
      </c>
      <c r="E229" s="6">
        <v>0.4</v>
      </c>
      <c r="F229" s="6">
        <v>44.8</v>
      </c>
      <c r="G229" s="12">
        <f t="shared" ref="G229" si="364">F229*86400</f>
        <v>3870719.9999999995</v>
      </c>
      <c r="H229" s="14">
        <f t="shared" ref="H229" si="365">G229/1000000</f>
        <v>3.8707199999999995</v>
      </c>
      <c r="I229" s="13">
        <f t="shared" si="293"/>
        <v>174182.39999999997</v>
      </c>
      <c r="J229" s="21">
        <f t="shared" si="294"/>
        <v>0.17418239999999996</v>
      </c>
      <c r="K229" s="13">
        <f t="shared" si="295"/>
        <v>20901.887999999995</v>
      </c>
      <c r="L229" s="13">
        <f t="shared" si="296"/>
        <v>2.0901887999999997E-2</v>
      </c>
      <c r="M229" s="27">
        <f t="shared" si="297"/>
        <v>0.19508428799999997</v>
      </c>
      <c r="N229" s="29">
        <f t="shared" si="298"/>
        <v>0.38707199999999997</v>
      </c>
      <c r="O229" s="28">
        <f t="shared" si="299"/>
        <v>3.2885637119999998</v>
      </c>
    </row>
    <row r="230" spans="1:15" x14ac:dyDescent="0.7">
      <c r="A230" s="5"/>
      <c r="B230" s="5"/>
      <c r="C230" s="2">
        <v>16</v>
      </c>
      <c r="D230" s="6">
        <v>66.599000000000004</v>
      </c>
      <c r="E230" s="6">
        <v>0.1</v>
      </c>
      <c r="F230" s="6">
        <v>66.599000000000004</v>
      </c>
      <c r="G230" s="12">
        <f t="shared" ref="G230" si="366">F230*86400</f>
        <v>5754153.6000000006</v>
      </c>
      <c r="H230" s="14">
        <f t="shared" ref="H230" si="367">G230/1000000</f>
        <v>5.7541536000000004</v>
      </c>
      <c r="I230" s="13">
        <f t="shared" si="293"/>
        <v>258936.91200000001</v>
      </c>
      <c r="J230" s="21">
        <f t="shared" si="294"/>
        <v>0.25893691200000002</v>
      </c>
      <c r="K230" s="13">
        <f t="shared" si="295"/>
        <v>31072.42944</v>
      </c>
      <c r="L230" s="13">
        <f t="shared" si="296"/>
        <v>3.107242944E-2</v>
      </c>
      <c r="M230" s="27">
        <f t="shared" si="297"/>
        <v>0.29000934144000001</v>
      </c>
      <c r="N230" s="29">
        <f t="shared" si="298"/>
        <v>0.57541536000000004</v>
      </c>
      <c r="O230" s="28">
        <f t="shared" si="299"/>
        <v>4.8887288985600001</v>
      </c>
    </row>
    <row r="231" spans="1:15" x14ac:dyDescent="0.7">
      <c r="A231" s="5"/>
      <c r="B231" s="5"/>
      <c r="C231" s="5">
        <v>17</v>
      </c>
      <c r="D231" s="6">
        <v>31.350999999999999</v>
      </c>
      <c r="E231" s="6">
        <v>1.2</v>
      </c>
      <c r="F231" s="6">
        <v>31.350999999999999</v>
      </c>
      <c r="G231" s="12">
        <f t="shared" ref="G231" si="368">F231*86400</f>
        <v>2708726.4</v>
      </c>
      <c r="H231" s="14">
        <f t="shared" ref="H231" si="369">G231/1000000</f>
        <v>2.7087263999999998</v>
      </c>
      <c r="I231" s="13">
        <f t="shared" si="293"/>
        <v>121892.68799999999</v>
      </c>
      <c r="J231" s="21">
        <f t="shared" si="294"/>
        <v>0.121892688</v>
      </c>
      <c r="K231" s="13">
        <f t="shared" si="295"/>
        <v>14627.122559999998</v>
      </c>
      <c r="L231" s="13">
        <f t="shared" si="296"/>
        <v>1.4627122559999997E-2</v>
      </c>
      <c r="M231" s="27">
        <f t="shared" si="297"/>
        <v>0.13651981056000001</v>
      </c>
      <c r="N231" s="29">
        <f t="shared" si="298"/>
        <v>0.27087264</v>
      </c>
      <c r="O231" s="28">
        <f t="shared" si="299"/>
        <v>2.30133394944</v>
      </c>
    </row>
    <row r="232" spans="1:15" x14ac:dyDescent="0.7">
      <c r="A232" s="5"/>
      <c r="B232" s="5"/>
      <c r="C232" s="5">
        <v>18</v>
      </c>
      <c r="D232" s="6">
        <v>21.157</v>
      </c>
      <c r="E232" s="6">
        <v>0.7</v>
      </c>
      <c r="F232" s="6">
        <v>21.157</v>
      </c>
      <c r="G232" s="12">
        <f t="shared" ref="G232" si="370">F232*86400</f>
        <v>1827964.8</v>
      </c>
      <c r="H232" s="14">
        <f t="shared" ref="H232" si="371">G232/1000000</f>
        <v>1.8279647999999999</v>
      </c>
      <c r="I232" s="13">
        <f t="shared" si="293"/>
        <v>82258.415999999997</v>
      </c>
      <c r="J232" s="21">
        <f t="shared" si="294"/>
        <v>8.2258416000000001E-2</v>
      </c>
      <c r="K232" s="13">
        <f t="shared" si="295"/>
        <v>9871.0099199999986</v>
      </c>
      <c r="L232" s="13">
        <f t="shared" si="296"/>
        <v>9.8710099199999981E-3</v>
      </c>
      <c r="M232" s="27">
        <f t="shared" si="297"/>
        <v>9.2129425919999994E-2</v>
      </c>
      <c r="N232" s="29">
        <f t="shared" si="298"/>
        <v>0.18279648000000001</v>
      </c>
      <c r="O232" s="28">
        <f t="shared" si="299"/>
        <v>1.55303889408</v>
      </c>
    </row>
    <row r="233" spans="1:15" x14ac:dyDescent="0.7">
      <c r="A233" s="5"/>
      <c r="B233" s="5"/>
      <c r="C233" s="2">
        <v>19</v>
      </c>
      <c r="D233" s="6">
        <v>17.048000000000002</v>
      </c>
      <c r="E233" s="6">
        <v>9.1999999999999993</v>
      </c>
      <c r="F233" s="6">
        <v>17.048000000000002</v>
      </c>
      <c r="G233" s="12">
        <f t="shared" ref="G233" si="372">F233*86400</f>
        <v>1472947.2000000002</v>
      </c>
      <c r="H233" s="14">
        <f t="shared" ref="H233" si="373">G233/1000000</f>
        <v>1.4729472000000001</v>
      </c>
      <c r="I233" s="13">
        <f t="shared" si="293"/>
        <v>66282.624000000011</v>
      </c>
      <c r="J233" s="21">
        <f t="shared" si="294"/>
        <v>6.6282624000000012E-2</v>
      </c>
      <c r="K233" s="13">
        <f t="shared" si="295"/>
        <v>7953.9148800000012</v>
      </c>
      <c r="L233" s="13">
        <f t="shared" si="296"/>
        <v>7.9539148800000011E-3</v>
      </c>
      <c r="M233" s="27">
        <f t="shared" si="297"/>
        <v>7.4236538880000008E-2</v>
      </c>
      <c r="N233" s="29">
        <f t="shared" si="298"/>
        <v>0.14729472000000002</v>
      </c>
      <c r="O233" s="28">
        <f t="shared" si="299"/>
        <v>1.2514159411200001</v>
      </c>
    </row>
    <row r="234" spans="1:15" x14ac:dyDescent="0.7">
      <c r="A234" s="5"/>
      <c r="B234" s="5"/>
      <c r="C234" s="5">
        <v>20</v>
      </c>
      <c r="D234" s="6">
        <v>13.895999999999999</v>
      </c>
      <c r="E234" s="6">
        <v>4.2</v>
      </c>
      <c r="F234" s="6">
        <v>13.895999999999999</v>
      </c>
      <c r="G234" s="12">
        <f t="shared" ref="G234" si="374">F234*86400</f>
        <v>1200614.3999999999</v>
      </c>
      <c r="H234" s="14">
        <f t="shared" ref="H234" si="375">G234/1000000</f>
        <v>1.2006143999999999</v>
      </c>
      <c r="I234" s="13">
        <f t="shared" si="293"/>
        <v>54027.647999999994</v>
      </c>
      <c r="J234" s="21">
        <f t="shared" si="294"/>
        <v>5.4027647999999991E-2</v>
      </c>
      <c r="K234" s="13">
        <f t="shared" si="295"/>
        <v>6483.317759999999</v>
      </c>
      <c r="L234" s="13">
        <f t="shared" si="296"/>
        <v>6.4833177599999993E-3</v>
      </c>
      <c r="M234" s="27">
        <f t="shared" si="297"/>
        <v>6.0510965759999993E-2</v>
      </c>
      <c r="N234" s="29">
        <f t="shared" si="298"/>
        <v>0.12006143999999999</v>
      </c>
      <c r="O234" s="28">
        <f t="shared" si="299"/>
        <v>1.0200419942399999</v>
      </c>
    </row>
    <row r="235" spans="1:15" x14ac:dyDescent="0.7">
      <c r="A235" s="5"/>
      <c r="B235" s="5"/>
      <c r="C235" s="5">
        <v>21</v>
      </c>
      <c r="D235" s="6">
        <v>13.895999999999999</v>
      </c>
      <c r="E235" s="6">
        <v>22</v>
      </c>
      <c r="F235" s="6">
        <v>13.895999999999999</v>
      </c>
      <c r="G235" s="12">
        <f t="shared" ref="G235" si="376">F235*86400</f>
        <v>1200614.3999999999</v>
      </c>
      <c r="H235" s="14">
        <f t="shared" ref="H235" si="377">G235/1000000</f>
        <v>1.2006143999999999</v>
      </c>
      <c r="I235" s="13">
        <f t="shared" si="293"/>
        <v>54027.647999999994</v>
      </c>
      <c r="J235" s="21">
        <f t="shared" si="294"/>
        <v>5.4027647999999991E-2</v>
      </c>
      <c r="K235" s="13">
        <f t="shared" si="295"/>
        <v>6483.317759999999</v>
      </c>
      <c r="L235" s="13">
        <f t="shared" si="296"/>
        <v>6.4833177599999993E-3</v>
      </c>
      <c r="M235" s="27">
        <f t="shared" si="297"/>
        <v>6.0510965759999993E-2</v>
      </c>
      <c r="N235" s="29">
        <f t="shared" si="298"/>
        <v>0.12006143999999999</v>
      </c>
      <c r="O235" s="28">
        <f t="shared" si="299"/>
        <v>1.0200419942399999</v>
      </c>
    </row>
    <row r="236" spans="1:15" x14ac:dyDescent="0.7">
      <c r="A236" s="5"/>
      <c r="B236" s="5"/>
      <c r="C236" s="2">
        <v>22</v>
      </c>
      <c r="D236" s="6">
        <v>15.785</v>
      </c>
      <c r="E236" s="6">
        <v>3</v>
      </c>
      <c r="F236" s="6">
        <v>15.785</v>
      </c>
      <c r="G236" s="12">
        <f t="shared" ref="G236" si="378">F236*86400</f>
        <v>1363824</v>
      </c>
      <c r="H236" s="14">
        <f t="shared" ref="H236" si="379">G236/1000000</f>
        <v>1.3638239999999999</v>
      </c>
      <c r="I236" s="13">
        <f t="shared" si="293"/>
        <v>61372.079999999994</v>
      </c>
      <c r="J236" s="21">
        <f t="shared" si="294"/>
        <v>6.1372079999999996E-2</v>
      </c>
      <c r="K236" s="13">
        <f t="shared" si="295"/>
        <v>7364.6495999999988</v>
      </c>
      <c r="L236" s="13">
        <f t="shared" si="296"/>
        <v>7.3646495999999985E-3</v>
      </c>
      <c r="M236" s="27">
        <f t="shared" si="297"/>
        <v>6.8736729599999991E-2</v>
      </c>
      <c r="N236" s="29">
        <f t="shared" si="298"/>
        <v>0.13638239999999999</v>
      </c>
      <c r="O236" s="28">
        <f t="shared" si="299"/>
        <v>1.1587048703999998</v>
      </c>
    </row>
    <row r="237" spans="1:15" x14ac:dyDescent="0.7">
      <c r="A237" s="5"/>
      <c r="B237" s="5"/>
      <c r="C237" s="5">
        <v>23</v>
      </c>
      <c r="D237" s="6">
        <v>51.173999999999999</v>
      </c>
      <c r="E237" s="6">
        <v>12.4</v>
      </c>
      <c r="F237" s="6">
        <v>51.173999999999999</v>
      </c>
      <c r="G237" s="12">
        <f t="shared" ref="G237" si="380">F237*86400</f>
        <v>4421433.5999999996</v>
      </c>
      <c r="H237" s="14">
        <f t="shared" ref="H237" si="381">G237/1000000</f>
        <v>4.4214335999999994</v>
      </c>
      <c r="I237" s="13">
        <f t="shared" si="293"/>
        <v>198964.51199999999</v>
      </c>
      <c r="J237" s="21">
        <f t="shared" si="294"/>
        <v>0.19896451199999998</v>
      </c>
      <c r="K237" s="13">
        <f t="shared" si="295"/>
        <v>23875.741439999998</v>
      </c>
      <c r="L237" s="13">
        <f t="shared" si="296"/>
        <v>2.3875741439999997E-2</v>
      </c>
      <c r="M237" s="27">
        <f t="shared" si="297"/>
        <v>0.22284025343999997</v>
      </c>
      <c r="N237" s="29">
        <f t="shared" si="298"/>
        <v>0.44214335999999999</v>
      </c>
      <c r="O237" s="28">
        <f t="shared" si="299"/>
        <v>3.756449986559999</v>
      </c>
    </row>
    <row r="238" spans="1:15" x14ac:dyDescent="0.7">
      <c r="A238" s="5"/>
      <c r="B238" s="5"/>
      <c r="C238" s="5">
        <v>24</v>
      </c>
      <c r="D238" s="6">
        <v>82.662000000000006</v>
      </c>
      <c r="E238" s="6">
        <v>0.3</v>
      </c>
      <c r="F238" s="6">
        <v>82.662000000000006</v>
      </c>
      <c r="G238" s="12">
        <f t="shared" ref="G238" si="382">F238*86400</f>
        <v>7141996.8000000007</v>
      </c>
      <c r="H238" s="14">
        <f t="shared" ref="H238" si="383">G238/1000000</f>
        <v>7.1419968000000011</v>
      </c>
      <c r="I238" s="13">
        <f t="shared" si="293"/>
        <v>321389.85600000003</v>
      </c>
      <c r="J238" s="21">
        <f t="shared" si="294"/>
        <v>0.32138985600000003</v>
      </c>
      <c r="K238" s="13">
        <f t="shared" si="295"/>
        <v>38566.782720000003</v>
      </c>
      <c r="L238" s="13">
        <f t="shared" si="296"/>
        <v>3.8566782720000005E-2</v>
      </c>
      <c r="M238" s="27">
        <f t="shared" si="297"/>
        <v>0.35995663872000006</v>
      </c>
      <c r="N238" s="29">
        <f t="shared" si="298"/>
        <v>0.71419968000000011</v>
      </c>
      <c r="O238" s="28">
        <f t="shared" si="299"/>
        <v>6.0678404812800011</v>
      </c>
    </row>
    <row r="239" spans="1:15" x14ac:dyDescent="0.7">
      <c r="A239" s="5"/>
      <c r="B239" s="5"/>
      <c r="C239" s="2">
        <v>25</v>
      </c>
      <c r="D239" s="6">
        <v>37.475000000000001</v>
      </c>
      <c r="E239" s="6">
        <v>1.8</v>
      </c>
      <c r="F239" s="6">
        <v>37.475000000000001</v>
      </c>
      <c r="G239" s="12">
        <f t="shared" ref="G239" si="384">F239*86400</f>
        <v>3237840</v>
      </c>
      <c r="H239" s="14">
        <f t="shared" ref="H239" si="385">G239/1000000</f>
        <v>3.2378399999999998</v>
      </c>
      <c r="I239" s="13">
        <f t="shared" si="293"/>
        <v>145702.79999999999</v>
      </c>
      <c r="J239" s="21">
        <f t="shared" si="294"/>
        <v>0.14570279999999999</v>
      </c>
      <c r="K239" s="13">
        <f t="shared" si="295"/>
        <v>17484.335999999999</v>
      </c>
      <c r="L239" s="13">
        <f t="shared" si="296"/>
        <v>1.7484336E-2</v>
      </c>
      <c r="M239" s="27">
        <f t="shared" si="297"/>
        <v>0.16318713599999998</v>
      </c>
      <c r="N239" s="29">
        <f t="shared" si="298"/>
        <v>0.32378400000000002</v>
      </c>
      <c r="O239" s="28">
        <f t="shared" si="299"/>
        <v>2.7508688640000001</v>
      </c>
    </row>
    <row r="240" spans="1:15" x14ac:dyDescent="0.7">
      <c r="A240" s="5"/>
      <c r="B240" s="5"/>
      <c r="C240" s="5">
        <v>26</v>
      </c>
      <c r="D240" s="6">
        <v>32.015999999999998</v>
      </c>
      <c r="E240" s="6">
        <v>1</v>
      </c>
      <c r="F240" s="6">
        <v>32.015999999999998</v>
      </c>
      <c r="G240" s="12">
        <f t="shared" ref="G240" si="386">F240*86400</f>
        <v>2766182.3999999999</v>
      </c>
      <c r="H240" s="14">
        <f t="shared" ref="H240" si="387">G240/1000000</f>
        <v>2.7661823999999999</v>
      </c>
      <c r="I240" s="13">
        <f t="shared" si="293"/>
        <v>124478.20799999998</v>
      </c>
      <c r="J240" s="21">
        <f t="shared" si="294"/>
        <v>0.12447820799999998</v>
      </c>
      <c r="K240" s="13">
        <f t="shared" si="295"/>
        <v>14937.384959999998</v>
      </c>
      <c r="L240" s="13">
        <f t="shared" si="296"/>
        <v>1.4937384959999998E-2</v>
      </c>
      <c r="M240" s="27">
        <f t="shared" si="297"/>
        <v>0.13941559295999997</v>
      </c>
      <c r="N240" s="29">
        <f t="shared" si="298"/>
        <v>0.27661824000000002</v>
      </c>
      <c r="O240" s="28">
        <f t="shared" si="299"/>
        <v>2.3501485670400002</v>
      </c>
    </row>
    <row r="241" spans="1:15" x14ac:dyDescent="0.7">
      <c r="A241" s="5"/>
      <c r="B241" s="5"/>
      <c r="C241" s="5">
        <v>27</v>
      </c>
      <c r="D241" s="6">
        <v>32.015999999999998</v>
      </c>
      <c r="E241" s="6">
        <v>0.5</v>
      </c>
      <c r="F241" s="6">
        <v>32.015999999999998</v>
      </c>
      <c r="G241" s="12">
        <f t="shared" ref="G241" si="388">F241*86400</f>
        <v>2766182.3999999999</v>
      </c>
      <c r="H241" s="14">
        <f t="shared" ref="H241" si="389">G241/1000000</f>
        <v>2.7661823999999999</v>
      </c>
      <c r="I241" s="13">
        <f t="shared" si="293"/>
        <v>124478.20799999998</v>
      </c>
      <c r="J241" s="21">
        <f t="shared" si="294"/>
        <v>0.12447820799999998</v>
      </c>
      <c r="K241" s="13">
        <f t="shared" si="295"/>
        <v>14937.384959999998</v>
      </c>
      <c r="L241" s="13">
        <f t="shared" si="296"/>
        <v>1.4937384959999998E-2</v>
      </c>
      <c r="M241" s="27">
        <f t="shared" si="297"/>
        <v>0.13941559295999997</v>
      </c>
      <c r="N241" s="29">
        <f t="shared" si="298"/>
        <v>0.27661824000000002</v>
      </c>
      <c r="O241" s="28">
        <f t="shared" si="299"/>
        <v>2.3501485670400002</v>
      </c>
    </row>
    <row r="242" spans="1:15" x14ac:dyDescent="0.7">
      <c r="A242" s="5"/>
      <c r="B242" s="5"/>
      <c r="C242" s="2">
        <v>28</v>
      </c>
      <c r="D242" s="6">
        <v>23.404</v>
      </c>
      <c r="E242" s="6">
        <v>0.5</v>
      </c>
      <c r="F242" s="6">
        <v>23.404</v>
      </c>
      <c r="G242" s="12">
        <f t="shared" ref="G242" si="390">F242*86400</f>
        <v>2022105.6</v>
      </c>
      <c r="H242" s="14">
        <f t="shared" ref="H242" si="391">G242/1000000</f>
        <v>2.0221056000000002</v>
      </c>
      <c r="I242" s="13">
        <f t="shared" si="293"/>
        <v>90994.752000000008</v>
      </c>
      <c r="J242" s="21">
        <f t="shared" si="294"/>
        <v>9.0994752000000012E-2</v>
      </c>
      <c r="K242" s="13">
        <f t="shared" si="295"/>
        <v>10919.37024</v>
      </c>
      <c r="L242" s="13">
        <f t="shared" si="296"/>
        <v>1.091937024E-2</v>
      </c>
      <c r="M242" s="27">
        <f t="shared" si="297"/>
        <v>0.10191412224000002</v>
      </c>
      <c r="N242" s="29">
        <f t="shared" si="298"/>
        <v>0.20221056000000004</v>
      </c>
      <c r="O242" s="28">
        <f t="shared" si="299"/>
        <v>1.7179809177600003</v>
      </c>
    </row>
    <row r="243" spans="1:15" x14ac:dyDescent="0.7">
      <c r="A243" s="10"/>
      <c r="B243" s="10"/>
      <c r="C243" s="10">
        <v>29</v>
      </c>
      <c r="D243" s="16">
        <v>15.120000000000001</v>
      </c>
      <c r="E243" s="6">
        <v>0</v>
      </c>
      <c r="F243" s="16">
        <v>15.120000000000001</v>
      </c>
      <c r="G243" s="17">
        <f t="shared" ref="G243" si="392">F243*86400</f>
        <v>1306368</v>
      </c>
      <c r="H243" s="18">
        <f t="shared" ref="H243" si="393">G243/1000000</f>
        <v>1.306368</v>
      </c>
      <c r="I243" s="13">
        <f t="shared" si="293"/>
        <v>58786.559999999998</v>
      </c>
      <c r="J243" s="21">
        <f t="shared" si="294"/>
        <v>5.8786559999999995E-2</v>
      </c>
      <c r="K243" s="13">
        <f t="shared" si="295"/>
        <v>7054.3871999999992</v>
      </c>
      <c r="L243" s="13">
        <f t="shared" si="296"/>
        <v>7.0543871999999988E-3</v>
      </c>
      <c r="M243" s="27">
        <f t="shared" si="297"/>
        <v>6.58409472E-2</v>
      </c>
      <c r="N243" s="29">
        <f t="shared" si="298"/>
        <v>0.1306368</v>
      </c>
      <c r="O243" s="28">
        <f t="shared" si="299"/>
        <v>1.1098902528000001</v>
      </c>
    </row>
    <row r="244" spans="1:15" s="20" customFormat="1" x14ac:dyDescent="0.7">
      <c r="A244" s="10"/>
      <c r="B244" s="10"/>
      <c r="C244" s="10">
        <v>30</v>
      </c>
      <c r="D244" s="16">
        <v>12.449</v>
      </c>
      <c r="E244" s="6">
        <v>1.1000000000000001</v>
      </c>
      <c r="F244" s="16">
        <v>12.449</v>
      </c>
      <c r="G244" s="42">
        <f t="shared" ref="G244" si="394">F244*86400</f>
        <v>1075593.6000000001</v>
      </c>
      <c r="H244" s="37">
        <f t="shared" ref="H244" si="395">G244/1000000</f>
        <v>1.0755936000000001</v>
      </c>
      <c r="I244" s="37">
        <f t="shared" si="293"/>
        <v>48401.712</v>
      </c>
      <c r="J244" s="38">
        <f t="shared" si="294"/>
        <v>4.8401712E-2</v>
      </c>
      <c r="K244" s="37">
        <f t="shared" si="295"/>
        <v>5808.2054399999997</v>
      </c>
      <c r="L244" s="37">
        <f t="shared" si="296"/>
        <v>5.8082054399999994E-3</v>
      </c>
      <c r="M244" s="39">
        <f t="shared" si="297"/>
        <v>5.4209917439999998E-2</v>
      </c>
      <c r="N244" s="29">
        <f t="shared" si="298"/>
        <v>0.10755936000000002</v>
      </c>
      <c r="O244" s="41">
        <f t="shared" si="299"/>
        <v>0.91382432256000024</v>
      </c>
    </row>
    <row r="245" spans="1:15" s="36" customFormat="1" ht="25.2" thickBot="1" x14ac:dyDescent="0.75">
      <c r="A245" s="8"/>
      <c r="B245" s="8" t="s">
        <v>22</v>
      </c>
      <c r="C245" s="8">
        <v>31</v>
      </c>
      <c r="D245" s="9">
        <v>11.584</v>
      </c>
      <c r="E245" s="9">
        <v>22.9</v>
      </c>
      <c r="F245" s="9">
        <v>11.584</v>
      </c>
      <c r="G245" s="19">
        <f t="shared" ref="G245" si="396">F245*86400</f>
        <v>1000857.6</v>
      </c>
      <c r="H245" s="15">
        <f t="shared" ref="H245" si="397">G245/1000000</f>
        <v>1.0008576</v>
      </c>
      <c r="I245" s="15">
        <f t="shared" si="293"/>
        <v>45038.591999999997</v>
      </c>
      <c r="J245" s="22">
        <f t="shared" si="294"/>
        <v>4.5038591999999995E-2</v>
      </c>
      <c r="K245" s="15">
        <f t="shared" si="295"/>
        <v>5404.6310399999993</v>
      </c>
      <c r="L245" s="15">
        <f t="shared" si="296"/>
        <v>5.404631039999999E-3</v>
      </c>
      <c r="M245" s="33">
        <f t="shared" si="297"/>
        <v>5.0443223039999992E-2</v>
      </c>
      <c r="N245" s="34">
        <f t="shared" si="298"/>
        <v>0.10008576000000001</v>
      </c>
      <c r="O245" s="35">
        <f t="shared" si="299"/>
        <v>0.85032861695999995</v>
      </c>
    </row>
    <row r="246" spans="1:15" x14ac:dyDescent="0.7">
      <c r="A246" s="2"/>
      <c r="B246" s="2" t="s">
        <v>23</v>
      </c>
      <c r="C246" s="2">
        <v>1</v>
      </c>
      <c r="D246" s="3">
        <v>54.991</v>
      </c>
      <c r="E246" s="3">
        <v>0.9</v>
      </c>
      <c r="F246" s="3">
        <v>54.991</v>
      </c>
      <c r="G246" s="12">
        <f t="shared" ref="G246" si="398">F246*86400</f>
        <v>4751222.4000000004</v>
      </c>
      <c r="H246" s="14">
        <f t="shared" ref="H246" si="399">G246/1000000</f>
        <v>4.7512224000000005</v>
      </c>
      <c r="I246" s="14">
        <f t="shared" si="293"/>
        <v>213805.008</v>
      </c>
      <c r="J246" s="26">
        <f t="shared" si="294"/>
        <v>0.21380500799999999</v>
      </c>
      <c r="K246" s="14">
        <f t="shared" si="295"/>
        <v>25656.60096</v>
      </c>
      <c r="L246" s="14">
        <f t="shared" si="296"/>
        <v>2.5656600960000001E-2</v>
      </c>
      <c r="M246" s="30">
        <f t="shared" si="297"/>
        <v>0.23946160895999999</v>
      </c>
      <c r="N246" s="31">
        <f t="shared" si="298"/>
        <v>0.47512224000000008</v>
      </c>
      <c r="O246" s="32">
        <f t="shared" si="299"/>
        <v>4.0366385510400002</v>
      </c>
    </row>
    <row r="247" spans="1:15" x14ac:dyDescent="0.7">
      <c r="A247" s="5"/>
      <c r="B247" s="5"/>
      <c r="C247" s="5">
        <v>2</v>
      </c>
      <c r="D247" s="6">
        <v>67.611999999999995</v>
      </c>
      <c r="E247" s="6">
        <v>0</v>
      </c>
      <c r="F247" s="6">
        <v>67.611999999999995</v>
      </c>
      <c r="G247" s="12">
        <f t="shared" ref="G247" si="400">F247*86400</f>
        <v>5841676.7999999998</v>
      </c>
      <c r="H247" s="14">
        <f t="shared" ref="H247" si="401">G247/1000000</f>
        <v>5.8416768000000001</v>
      </c>
      <c r="I247" s="13">
        <f t="shared" si="293"/>
        <v>262875.45600000001</v>
      </c>
      <c r="J247" s="21">
        <f t="shared" si="294"/>
        <v>0.26287545600000001</v>
      </c>
      <c r="K247" s="13">
        <f t="shared" si="295"/>
        <v>31545.05472</v>
      </c>
      <c r="L247" s="13">
        <f t="shared" si="296"/>
        <v>3.154505472E-2</v>
      </c>
      <c r="M247" s="27">
        <f t="shared" si="297"/>
        <v>0.29442051072000003</v>
      </c>
      <c r="N247" s="29">
        <f t="shared" si="298"/>
        <v>0.58416768000000008</v>
      </c>
      <c r="O247" s="28">
        <f t="shared" si="299"/>
        <v>4.9630886092799997</v>
      </c>
    </row>
    <row r="248" spans="1:15" x14ac:dyDescent="0.7">
      <c r="A248" s="5"/>
      <c r="B248" s="5"/>
      <c r="C248" s="5">
        <v>3</v>
      </c>
      <c r="D248" s="6">
        <v>37.475000000000001</v>
      </c>
      <c r="E248" s="6">
        <v>0</v>
      </c>
      <c r="F248" s="6">
        <v>37.475000000000001</v>
      </c>
      <c r="G248" s="12">
        <f t="shared" ref="G248" si="402">F248*86400</f>
        <v>3237840</v>
      </c>
      <c r="H248" s="14">
        <f t="shared" ref="H248" si="403">G248/1000000</f>
        <v>3.2378399999999998</v>
      </c>
      <c r="I248" s="13">
        <f t="shared" si="293"/>
        <v>145702.79999999999</v>
      </c>
      <c r="J248" s="21">
        <f t="shared" si="294"/>
        <v>0.14570279999999999</v>
      </c>
      <c r="K248" s="13">
        <f t="shared" si="295"/>
        <v>17484.335999999999</v>
      </c>
      <c r="L248" s="13">
        <f t="shared" si="296"/>
        <v>1.7484336E-2</v>
      </c>
      <c r="M248" s="27">
        <f t="shared" si="297"/>
        <v>0.16318713599999998</v>
      </c>
      <c r="N248" s="29">
        <f t="shared" si="298"/>
        <v>0.32378400000000002</v>
      </c>
      <c r="O248" s="28">
        <f t="shared" si="299"/>
        <v>2.7508688640000001</v>
      </c>
    </row>
    <row r="249" spans="1:15" x14ac:dyDescent="0.7">
      <c r="A249" s="5"/>
      <c r="B249" s="5"/>
      <c r="C249" s="2">
        <v>4</v>
      </c>
      <c r="D249" s="6">
        <v>16.242000000000001</v>
      </c>
      <c r="E249" s="6">
        <v>3.9</v>
      </c>
      <c r="F249" s="6">
        <v>16.242000000000001</v>
      </c>
      <c r="G249" s="12">
        <f t="shared" ref="G249" si="404">F249*86400</f>
        <v>1403308.8</v>
      </c>
      <c r="H249" s="14">
        <f t="shared" ref="H249" si="405">G249/1000000</f>
        <v>1.4033088</v>
      </c>
      <c r="I249" s="13">
        <f t="shared" si="293"/>
        <v>63148.896000000001</v>
      </c>
      <c r="J249" s="21">
        <f t="shared" si="294"/>
        <v>6.3148895999999996E-2</v>
      </c>
      <c r="K249" s="13">
        <f t="shared" si="295"/>
        <v>7577.8675199999998</v>
      </c>
      <c r="L249" s="13">
        <f t="shared" si="296"/>
        <v>7.5778675199999999E-3</v>
      </c>
      <c r="M249" s="27">
        <f t="shared" si="297"/>
        <v>7.0726763519999999E-2</v>
      </c>
      <c r="N249" s="29">
        <f t="shared" si="298"/>
        <v>0.14033088000000002</v>
      </c>
      <c r="O249" s="28">
        <f t="shared" si="299"/>
        <v>1.19225115648</v>
      </c>
    </row>
    <row r="250" spans="1:15" x14ac:dyDescent="0.7">
      <c r="A250" s="5"/>
      <c r="B250" s="5"/>
      <c r="C250" s="5">
        <v>5</v>
      </c>
      <c r="D250" s="6">
        <v>13.941000000000001</v>
      </c>
      <c r="E250" s="6">
        <v>17.3</v>
      </c>
      <c r="F250" s="6">
        <v>13.941000000000001</v>
      </c>
      <c r="G250" s="12">
        <f t="shared" ref="G250" si="406">F250*86400</f>
        <v>1204502.4000000001</v>
      </c>
      <c r="H250" s="14">
        <f t="shared" ref="H250" si="407">G250/1000000</f>
        <v>1.2045024000000002</v>
      </c>
      <c r="I250" s="13">
        <f t="shared" si="293"/>
        <v>54202.608000000007</v>
      </c>
      <c r="J250" s="21">
        <f t="shared" si="294"/>
        <v>5.4202608000000006E-2</v>
      </c>
      <c r="K250" s="13">
        <f t="shared" si="295"/>
        <v>6504.3129600000002</v>
      </c>
      <c r="L250" s="13">
        <f t="shared" si="296"/>
        <v>6.5043129600000004E-3</v>
      </c>
      <c r="M250" s="27">
        <f t="shared" si="297"/>
        <v>6.0706920960000008E-2</v>
      </c>
      <c r="N250" s="29">
        <f t="shared" si="298"/>
        <v>0.12045024000000003</v>
      </c>
      <c r="O250" s="28">
        <f t="shared" si="299"/>
        <v>1.0233452390400002</v>
      </c>
    </row>
    <row r="251" spans="1:15" x14ac:dyDescent="0.7">
      <c r="A251" s="5"/>
      <c r="B251" s="5"/>
      <c r="C251" s="5">
        <v>6</v>
      </c>
      <c r="D251" s="6">
        <v>13.941000000000001</v>
      </c>
      <c r="E251" s="6">
        <v>26.9</v>
      </c>
      <c r="F251" s="6">
        <v>13.941000000000001</v>
      </c>
      <c r="G251" s="12">
        <f t="shared" ref="G251" si="408">F251*86400</f>
        <v>1204502.4000000001</v>
      </c>
      <c r="H251" s="14">
        <f t="shared" ref="H251" si="409">G251/1000000</f>
        <v>1.2045024000000002</v>
      </c>
      <c r="I251" s="13">
        <f t="shared" si="293"/>
        <v>54202.608000000007</v>
      </c>
      <c r="J251" s="21">
        <f t="shared" si="294"/>
        <v>5.4202608000000006E-2</v>
      </c>
      <c r="K251" s="13">
        <f t="shared" si="295"/>
        <v>6504.3129600000002</v>
      </c>
      <c r="L251" s="13">
        <f t="shared" si="296"/>
        <v>6.5043129600000004E-3</v>
      </c>
      <c r="M251" s="27">
        <f t="shared" si="297"/>
        <v>6.0706920960000008E-2</v>
      </c>
      <c r="N251" s="29">
        <f t="shared" si="298"/>
        <v>0.12045024000000003</v>
      </c>
      <c r="O251" s="28">
        <f t="shared" si="299"/>
        <v>1.0233452390400002</v>
      </c>
    </row>
    <row r="252" spans="1:15" x14ac:dyDescent="0.7">
      <c r="A252" s="5"/>
      <c r="B252" s="5"/>
      <c r="C252" s="2">
        <v>7</v>
      </c>
      <c r="D252" s="6">
        <v>30.650999999999996</v>
      </c>
      <c r="E252" s="6">
        <v>9.4</v>
      </c>
      <c r="F252" s="6">
        <v>30.650999999999996</v>
      </c>
      <c r="G252" s="12">
        <f t="shared" ref="G252" si="410">F252*86400</f>
        <v>2648246.4</v>
      </c>
      <c r="H252" s="14">
        <f t="shared" ref="H252" si="411">G252/1000000</f>
        <v>2.6482464000000001</v>
      </c>
      <c r="I252" s="13">
        <f t="shared" si="293"/>
        <v>119171.08799999999</v>
      </c>
      <c r="J252" s="21">
        <f t="shared" si="294"/>
        <v>0.11917108799999999</v>
      </c>
      <c r="K252" s="13">
        <f t="shared" si="295"/>
        <v>14300.530559999997</v>
      </c>
      <c r="L252" s="13">
        <f t="shared" si="296"/>
        <v>1.4300530559999997E-2</v>
      </c>
      <c r="M252" s="27">
        <f t="shared" si="297"/>
        <v>0.13347161856</v>
      </c>
      <c r="N252" s="29">
        <f t="shared" si="298"/>
        <v>0.26482464</v>
      </c>
      <c r="O252" s="28">
        <f t="shared" si="299"/>
        <v>2.2499501414399998</v>
      </c>
    </row>
    <row r="253" spans="1:15" x14ac:dyDescent="0.7">
      <c r="A253" s="5"/>
      <c r="B253" s="5"/>
      <c r="C253" s="5">
        <v>8</v>
      </c>
      <c r="D253" s="6">
        <v>126.044</v>
      </c>
      <c r="E253" s="6">
        <v>6.4</v>
      </c>
      <c r="F253" s="6">
        <v>126.044</v>
      </c>
      <c r="G253" s="12">
        <f t="shared" ref="G253" si="412">F253*86400</f>
        <v>10890201.6</v>
      </c>
      <c r="H253" s="14">
        <f t="shared" ref="H253" si="413">G253/1000000</f>
        <v>10.890201599999999</v>
      </c>
      <c r="I253" s="13">
        <f t="shared" si="293"/>
        <v>490059.07199999999</v>
      </c>
      <c r="J253" s="21">
        <f t="shared" si="294"/>
        <v>0.49005907199999998</v>
      </c>
      <c r="K253" s="13">
        <f t="shared" si="295"/>
        <v>58807.088639999994</v>
      </c>
      <c r="L253" s="13">
        <f t="shared" si="296"/>
        <v>5.8807088639999998E-2</v>
      </c>
      <c r="M253" s="27">
        <f t="shared" si="297"/>
        <v>0.54886616063999993</v>
      </c>
      <c r="N253" s="29">
        <f t="shared" si="298"/>
        <v>1.08902016</v>
      </c>
      <c r="O253" s="28">
        <f t="shared" si="299"/>
        <v>9.2523152793599994</v>
      </c>
    </row>
    <row r="254" spans="1:15" x14ac:dyDescent="0.7">
      <c r="A254" s="5"/>
      <c r="B254" s="5"/>
      <c r="C254" s="5">
        <v>9</v>
      </c>
      <c r="D254" s="6">
        <v>113.831</v>
      </c>
      <c r="E254" s="6">
        <v>1.5</v>
      </c>
      <c r="F254" s="6">
        <v>113.831</v>
      </c>
      <c r="G254" s="12">
        <f t="shared" ref="G254" si="414">F254*86400</f>
        <v>9834998.4000000004</v>
      </c>
      <c r="H254" s="14">
        <f t="shared" ref="H254" si="415">G254/1000000</f>
        <v>9.8349983999999999</v>
      </c>
      <c r="I254" s="13">
        <f t="shared" si="293"/>
        <v>442574.92800000001</v>
      </c>
      <c r="J254" s="21">
        <f t="shared" si="294"/>
        <v>0.44257492800000003</v>
      </c>
      <c r="K254" s="13">
        <f t="shared" si="295"/>
        <v>53108.99136</v>
      </c>
      <c r="L254" s="13">
        <f t="shared" si="296"/>
        <v>5.3108991360000003E-2</v>
      </c>
      <c r="M254" s="27">
        <f t="shared" si="297"/>
        <v>0.49568391936000006</v>
      </c>
      <c r="N254" s="29">
        <f t="shared" si="298"/>
        <v>0.98349984000000001</v>
      </c>
      <c r="O254" s="28">
        <f t="shared" si="299"/>
        <v>8.3558146406400002</v>
      </c>
    </row>
    <row r="255" spans="1:15" x14ac:dyDescent="0.7">
      <c r="A255" s="5"/>
      <c r="B255" s="5"/>
      <c r="C255" s="2">
        <v>10</v>
      </c>
      <c r="D255" s="6">
        <v>77</v>
      </c>
      <c r="E255" s="6">
        <v>0.9</v>
      </c>
      <c r="F255" s="6">
        <v>77</v>
      </c>
      <c r="G255" s="12">
        <f t="shared" ref="G255" si="416">F255*86400</f>
        <v>6652800</v>
      </c>
      <c r="H255" s="14">
        <f t="shared" ref="H255" si="417">G255/1000000</f>
        <v>6.6528</v>
      </c>
      <c r="I255" s="13">
        <f t="shared" si="293"/>
        <v>299376</v>
      </c>
      <c r="J255" s="21">
        <f t="shared" si="294"/>
        <v>0.29937599999999998</v>
      </c>
      <c r="K255" s="13">
        <f t="shared" si="295"/>
        <v>35925.119999999995</v>
      </c>
      <c r="L255" s="13">
        <f t="shared" si="296"/>
        <v>3.5925119999999998E-2</v>
      </c>
      <c r="M255" s="27">
        <f t="shared" si="297"/>
        <v>0.33530111999999995</v>
      </c>
      <c r="N255" s="29">
        <f t="shared" si="298"/>
        <v>0.66528000000000009</v>
      </c>
      <c r="O255" s="28">
        <f t="shared" si="299"/>
        <v>5.6522188800000004</v>
      </c>
    </row>
    <row r="256" spans="1:15" x14ac:dyDescent="0.7">
      <c r="A256" s="5"/>
      <c r="B256" s="5"/>
      <c r="C256" s="5">
        <v>11</v>
      </c>
      <c r="D256" s="6">
        <v>51.3</v>
      </c>
      <c r="E256" s="6">
        <v>1.5</v>
      </c>
      <c r="F256" s="6">
        <v>51.3</v>
      </c>
      <c r="G256" s="12">
        <f t="shared" ref="G256" si="418">F256*86400</f>
        <v>4432320</v>
      </c>
      <c r="H256" s="14">
        <f t="shared" ref="H256" si="419">G256/1000000</f>
        <v>4.4323199999999998</v>
      </c>
      <c r="I256" s="13">
        <f t="shared" si="293"/>
        <v>199454.4</v>
      </c>
      <c r="J256" s="21">
        <f t="shared" si="294"/>
        <v>0.1994544</v>
      </c>
      <c r="K256" s="13">
        <f t="shared" si="295"/>
        <v>23934.527999999998</v>
      </c>
      <c r="L256" s="13">
        <f t="shared" si="296"/>
        <v>2.3934528E-2</v>
      </c>
      <c r="M256" s="27">
        <f t="shared" si="297"/>
        <v>0.22338892800000001</v>
      </c>
      <c r="N256" s="29">
        <f t="shared" si="298"/>
        <v>0.44323200000000001</v>
      </c>
      <c r="O256" s="28">
        <f t="shared" si="299"/>
        <v>3.7656990719999994</v>
      </c>
    </row>
    <row r="257" spans="1:15" x14ac:dyDescent="0.7">
      <c r="A257" s="5"/>
      <c r="B257" s="5"/>
      <c r="C257" s="5">
        <v>12</v>
      </c>
      <c r="D257" s="6">
        <v>29.86</v>
      </c>
      <c r="E257" s="6">
        <v>10</v>
      </c>
      <c r="F257" s="6">
        <v>29.86</v>
      </c>
      <c r="G257" s="12">
        <f t="shared" ref="G257" si="420">F257*86400</f>
        <v>2579904</v>
      </c>
      <c r="H257" s="14">
        <f t="shared" ref="H257" si="421">G257/1000000</f>
        <v>2.579904</v>
      </c>
      <c r="I257" s="13">
        <f t="shared" si="293"/>
        <v>116095.67999999999</v>
      </c>
      <c r="J257" s="21">
        <f t="shared" si="294"/>
        <v>0.11609567999999999</v>
      </c>
      <c r="K257" s="13">
        <f t="shared" si="295"/>
        <v>13931.481599999999</v>
      </c>
      <c r="L257" s="13">
        <f t="shared" si="296"/>
        <v>1.3931481599999998E-2</v>
      </c>
      <c r="M257" s="27">
        <f t="shared" si="297"/>
        <v>0.1300271616</v>
      </c>
      <c r="N257" s="29">
        <f t="shared" si="298"/>
        <v>0.25799040000000001</v>
      </c>
      <c r="O257" s="28">
        <f t="shared" si="299"/>
        <v>2.1918864383999996</v>
      </c>
    </row>
    <row r="258" spans="1:15" x14ac:dyDescent="0.7">
      <c r="A258" s="5"/>
      <c r="B258" s="5"/>
      <c r="C258" s="2">
        <v>13</v>
      </c>
      <c r="D258" s="6">
        <v>29.86</v>
      </c>
      <c r="E258" s="6">
        <v>0.3</v>
      </c>
      <c r="F258" s="6">
        <v>29.86</v>
      </c>
      <c r="G258" s="12">
        <f t="shared" ref="G258" si="422">F258*86400</f>
        <v>2579904</v>
      </c>
      <c r="H258" s="14">
        <f t="shared" ref="H258" si="423">G258/1000000</f>
        <v>2.579904</v>
      </c>
      <c r="I258" s="13">
        <f t="shared" si="293"/>
        <v>116095.67999999999</v>
      </c>
      <c r="J258" s="21">
        <f t="shared" si="294"/>
        <v>0.11609567999999999</v>
      </c>
      <c r="K258" s="13">
        <f t="shared" si="295"/>
        <v>13931.481599999999</v>
      </c>
      <c r="L258" s="13">
        <f t="shared" si="296"/>
        <v>1.3931481599999998E-2</v>
      </c>
      <c r="M258" s="27">
        <f t="shared" si="297"/>
        <v>0.1300271616</v>
      </c>
      <c r="N258" s="29">
        <f t="shared" si="298"/>
        <v>0.25799040000000001</v>
      </c>
      <c r="O258" s="28">
        <f t="shared" si="299"/>
        <v>2.1918864383999996</v>
      </c>
    </row>
    <row r="259" spans="1:15" x14ac:dyDescent="0.7">
      <c r="A259" s="5"/>
      <c r="B259" s="5"/>
      <c r="C259" s="5">
        <v>14</v>
      </c>
      <c r="D259" s="6">
        <v>39.638000000000005</v>
      </c>
      <c r="E259" s="6">
        <v>3.7</v>
      </c>
      <c r="F259" s="6">
        <v>39.638000000000005</v>
      </c>
      <c r="G259" s="12">
        <f t="shared" ref="G259" si="424">F259*86400</f>
        <v>3424723.2000000007</v>
      </c>
      <c r="H259" s="14">
        <f t="shared" ref="H259" si="425">G259/1000000</f>
        <v>3.4247232000000007</v>
      </c>
      <c r="I259" s="13">
        <f t="shared" si="293"/>
        <v>154112.54400000002</v>
      </c>
      <c r="J259" s="21">
        <f t="shared" si="294"/>
        <v>0.15411254400000002</v>
      </c>
      <c r="K259" s="13">
        <f t="shared" si="295"/>
        <v>18493.505280000001</v>
      </c>
      <c r="L259" s="13">
        <f t="shared" si="296"/>
        <v>1.8493505280000003E-2</v>
      </c>
      <c r="M259" s="27">
        <f t="shared" si="297"/>
        <v>0.17260604928000001</v>
      </c>
      <c r="N259" s="29">
        <f t="shared" si="298"/>
        <v>0.34247232000000011</v>
      </c>
      <c r="O259" s="28">
        <f t="shared" si="299"/>
        <v>2.9096448307200005</v>
      </c>
    </row>
    <row r="260" spans="1:15" x14ac:dyDescent="0.7">
      <c r="A260" s="5"/>
      <c r="B260" s="5"/>
      <c r="C260" s="5">
        <v>15</v>
      </c>
      <c r="D260" s="6">
        <v>87.914000000000001</v>
      </c>
      <c r="E260" s="6">
        <v>1.1000000000000001</v>
      </c>
      <c r="F260" s="6">
        <v>87.914000000000001</v>
      </c>
      <c r="G260" s="12">
        <f t="shared" ref="G260" si="426">F260*86400</f>
        <v>7595769.6000000006</v>
      </c>
      <c r="H260" s="14">
        <f t="shared" ref="H260" si="427">G260/1000000</f>
        <v>7.5957696000000006</v>
      </c>
      <c r="I260" s="13">
        <f t="shared" ref="I260:I323" si="428">H260*1000000*0.045</f>
        <v>341809.63200000004</v>
      </c>
      <c r="J260" s="21">
        <f t="shared" ref="J260:J323" si="429">I260/1000000</f>
        <v>0.34180963200000003</v>
      </c>
      <c r="K260" s="13">
        <f t="shared" ref="K260:K323" si="430">I260*0.12</f>
        <v>41017.155840000007</v>
      </c>
      <c r="L260" s="13">
        <f t="shared" ref="L260:L323" si="431">K260/1000000</f>
        <v>4.1017155840000007E-2</v>
      </c>
      <c r="M260" s="27">
        <f t="shared" ref="M260:M323" si="432">J260+L260</f>
        <v>0.38282678784000002</v>
      </c>
      <c r="N260" s="29">
        <f t="shared" ref="N260:N323" si="433">H260*0.1</f>
        <v>0.75957696000000008</v>
      </c>
      <c r="O260" s="28">
        <f t="shared" ref="O260:O323" si="434">H260-M260-N260</f>
        <v>6.4533658521600001</v>
      </c>
    </row>
    <row r="261" spans="1:15" x14ac:dyDescent="0.7">
      <c r="A261" s="5"/>
      <c r="B261" s="5"/>
      <c r="C261" s="2">
        <v>16</v>
      </c>
      <c r="D261" s="6">
        <v>113.31</v>
      </c>
      <c r="E261" s="6">
        <v>3.3</v>
      </c>
      <c r="F261" s="6">
        <v>113.31</v>
      </c>
      <c r="G261" s="12">
        <f t="shared" ref="G261" si="435">F261*86400</f>
        <v>9789984</v>
      </c>
      <c r="H261" s="14">
        <f t="shared" ref="H261" si="436">G261/1000000</f>
        <v>9.7899840000000005</v>
      </c>
      <c r="I261" s="13">
        <f t="shared" si="428"/>
        <v>440549.27999999997</v>
      </c>
      <c r="J261" s="21">
        <f t="shared" si="429"/>
        <v>0.44054927999999999</v>
      </c>
      <c r="K261" s="13">
        <f t="shared" si="430"/>
        <v>52865.913599999993</v>
      </c>
      <c r="L261" s="13">
        <f t="shared" si="431"/>
        <v>5.2865913599999995E-2</v>
      </c>
      <c r="M261" s="27">
        <f t="shared" si="432"/>
        <v>0.49341519359999997</v>
      </c>
      <c r="N261" s="29">
        <f t="shared" si="433"/>
        <v>0.97899840000000005</v>
      </c>
      <c r="O261" s="28">
        <f t="shared" si="434"/>
        <v>8.3175704063999998</v>
      </c>
    </row>
    <row r="262" spans="1:15" x14ac:dyDescent="0.7">
      <c r="A262" s="5"/>
      <c r="B262" s="5"/>
      <c r="C262" s="5">
        <v>17</v>
      </c>
      <c r="D262" s="6">
        <v>80.238</v>
      </c>
      <c r="E262" s="6">
        <v>14.6</v>
      </c>
      <c r="F262" s="6">
        <v>80.238</v>
      </c>
      <c r="G262" s="12">
        <f t="shared" ref="G262" si="437">F262*86400</f>
        <v>6932563.2000000002</v>
      </c>
      <c r="H262" s="14">
        <f t="shared" ref="H262" si="438">G262/1000000</f>
        <v>6.9325632000000006</v>
      </c>
      <c r="I262" s="13">
        <f t="shared" si="428"/>
        <v>311965.34399999998</v>
      </c>
      <c r="J262" s="21">
        <f t="shared" si="429"/>
        <v>0.31196534399999998</v>
      </c>
      <c r="K262" s="13">
        <f t="shared" si="430"/>
        <v>37435.841279999993</v>
      </c>
      <c r="L262" s="13">
        <f t="shared" si="431"/>
        <v>3.7435841279999993E-2</v>
      </c>
      <c r="M262" s="27">
        <f t="shared" si="432"/>
        <v>0.34940118527999997</v>
      </c>
      <c r="N262" s="29">
        <f t="shared" si="433"/>
        <v>0.69325632000000015</v>
      </c>
      <c r="O262" s="28">
        <f t="shared" si="434"/>
        <v>5.8899056947200013</v>
      </c>
    </row>
    <row r="263" spans="1:15" x14ac:dyDescent="0.7">
      <c r="A263" s="5"/>
      <c r="B263" s="5"/>
      <c r="C263" s="5">
        <v>18</v>
      </c>
      <c r="D263" s="6">
        <v>65.37</v>
      </c>
      <c r="E263" s="6">
        <v>0.6</v>
      </c>
      <c r="F263" s="6">
        <v>65.37</v>
      </c>
      <c r="G263" s="12">
        <f t="shared" ref="G263" si="439">F263*86400</f>
        <v>5647968</v>
      </c>
      <c r="H263" s="14">
        <f t="shared" ref="H263" si="440">G263/1000000</f>
        <v>5.6479679999999997</v>
      </c>
      <c r="I263" s="13">
        <f t="shared" si="428"/>
        <v>254158.56</v>
      </c>
      <c r="J263" s="21">
        <f t="shared" si="429"/>
        <v>0.25415855999999998</v>
      </c>
      <c r="K263" s="13">
        <f t="shared" si="430"/>
        <v>30499.027199999997</v>
      </c>
      <c r="L263" s="13">
        <f t="shared" si="431"/>
        <v>3.0499027199999997E-2</v>
      </c>
      <c r="M263" s="27">
        <f t="shared" si="432"/>
        <v>0.28465758719999995</v>
      </c>
      <c r="N263" s="29">
        <f t="shared" si="433"/>
        <v>0.56479679999999999</v>
      </c>
      <c r="O263" s="28">
        <f t="shared" si="434"/>
        <v>4.7985136127999999</v>
      </c>
    </row>
    <row r="264" spans="1:15" x14ac:dyDescent="0.7">
      <c r="A264" s="5"/>
      <c r="B264" s="5"/>
      <c r="C264" s="2">
        <v>19</v>
      </c>
      <c r="D264" s="6">
        <v>39.08</v>
      </c>
      <c r="E264" s="6">
        <v>0</v>
      </c>
      <c r="F264" s="6">
        <v>39.08</v>
      </c>
      <c r="G264" s="12">
        <f t="shared" ref="G264" si="441">F264*86400</f>
        <v>3376512</v>
      </c>
      <c r="H264" s="14">
        <f t="shared" ref="H264" si="442">G264/1000000</f>
        <v>3.376512</v>
      </c>
      <c r="I264" s="13">
        <f t="shared" si="428"/>
        <v>151943.04000000001</v>
      </c>
      <c r="J264" s="21">
        <f t="shared" si="429"/>
        <v>0.15194304</v>
      </c>
      <c r="K264" s="13">
        <f t="shared" si="430"/>
        <v>18233.164799999999</v>
      </c>
      <c r="L264" s="13">
        <f t="shared" si="431"/>
        <v>1.82331648E-2</v>
      </c>
      <c r="M264" s="27">
        <f t="shared" si="432"/>
        <v>0.17017620480000001</v>
      </c>
      <c r="N264" s="29">
        <f t="shared" si="433"/>
        <v>0.33765120000000004</v>
      </c>
      <c r="O264" s="28">
        <f t="shared" si="434"/>
        <v>2.8686845951999995</v>
      </c>
    </row>
    <row r="265" spans="1:15" x14ac:dyDescent="0.7">
      <c r="A265" s="5"/>
      <c r="B265" s="5"/>
      <c r="C265" s="5">
        <v>20</v>
      </c>
      <c r="D265" s="6">
        <v>30.286000000000001</v>
      </c>
      <c r="E265" s="6">
        <v>0</v>
      </c>
      <c r="F265" s="6">
        <v>30.286000000000001</v>
      </c>
      <c r="G265" s="12">
        <f t="shared" ref="G265" si="443">F265*86400</f>
        <v>2616710.4</v>
      </c>
      <c r="H265" s="14">
        <f t="shared" ref="H265" si="444">G265/1000000</f>
        <v>2.6167104000000001</v>
      </c>
      <c r="I265" s="13">
        <f t="shared" si="428"/>
        <v>117751.96799999999</v>
      </c>
      <c r="J265" s="21">
        <f t="shared" si="429"/>
        <v>0.117751968</v>
      </c>
      <c r="K265" s="13">
        <f t="shared" si="430"/>
        <v>14130.236159999999</v>
      </c>
      <c r="L265" s="13">
        <f t="shared" si="431"/>
        <v>1.4130236159999999E-2</v>
      </c>
      <c r="M265" s="27">
        <f t="shared" si="432"/>
        <v>0.13188220415999999</v>
      </c>
      <c r="N265" s="29">
        <f t="shared" si="433"/>
        <v>0.26167104000000002</v>
      </c>
      <c r="O265" s="28">
        <f t="shared" si="434"/>
        <v>2.2231571558400001</v>
      </c>
    </row>
    <row r="266" spans="1:15" x14ac:dyDescent="0.7">
      <c r="A266" s="5"/>
      <c r="B266" s="5"/>
      <c r="C266" s="5">
        <v>21</v>
      </c>
      <c r="D266" s="6">
        <v>27.058999999999997</v>
      </c>
      <c r="E266" s="6">
        <v>0</v>
      </c>
      <c r="F266" s="6">
        <v>27.058999999999997</v>
      </c>
      <c r="G266" s="12">
        <f t="shared" ref="G266" si="445">F266*86400</f>
        <v>2337897.5999999996</v>
      </c>
      <c r="H266" s="14">
        <f t="shared" ref="H266" si="446">G266/1000000</f>
        <v>2.3378975999999998</v>
      </c>
      <c r="I266" s="13">
        <f t="shared" si="428"/>
        <v>105205.39199999998</v>
      </c>
      <c r="J266" s="21">
        <f t="shared" si="429"/>
        <v>0.10520539199999998</v>
      </c>
      <c r="K266" s="13">
        <f t="shared" si="430"/>
        <v>12624.647039999996</v>
      </c>
      <c r="L266" s="13">
        <f t="shared" si="431"/>
        <v>1.2624647039999996E-2</v>
      </c>
      <c r="M266" s="27">
        <f t="shared" si="432"/>
        <v>0.11783003903999997</v>
      </c>
      <c r="N266" s="29">
        <f t="shared" si="433"/>
        <v>0.23378975999999999</v>
      </c>
      <c r="O266" s="28">
        <f t="shared" si="434"/>
        <v>1.98627780096</v>
      </c>
    </row>
    <row r="267" spans="1:15" x14ac:dyDescent="0.7">
      <c r="A267" s="5"/>
      <c r="B267" s="5"/>
      <c r="C267" s="2">
        <v>22</v>
      </c>
      <c r="D267" s="6">
        <v>26.841000000000001</v>
      </c>
      <c r="E267" s="6">
        <v>0</v>
      </c>
      <c r="F267" s="6">
        <v>26.841000000000001</v>
      </c>
      <c r="G267" s="12">
        <f t="shared" ref="G267" si="447">F267*86400</f>
        <v>2319062.4</v>
      </c>
      <c r="H267" s="14">
        <f t="shared" ref="H267" si="448">G267/1000000</f>
        <v>2.3190624</v>
      </c>
      <c r="I267" s="13">
        <f t="shared" si="428"/>
        <v>104357.80799999999</v>
      </c>
      <c r="J267" s="21">
        <f t="shared" si="429"/>
        <v>0.104357808</v>
      </c>
      <c r="K267" s="13">
        <f t="shared" si="430"/>
        <v>12522.936959999999</v>
      </c>
      <c r="L267" s="13">
        <f t="shared" si="431"/>
        <v>1.252293696E-2</v>
      </c>
      <c r="M267" s="27">
        <f t="shared" si="432"/>
        <v>0.11688074495999999</v>
      </c>
      <c r="N267" s="29">
        <f t="shared" si="433"/>
        <v>0.23190624000000001</v>
      </c>
      <c r="O267" s="28">
        <f t="shared" si="434"/>
        <v>1.9702754150399999</v>
      </c>
    </row>
    <row r="268" spans="1:15" x14ac:dyDescent="0.7">
      <c r="A268" s="5"/>
      <c r="B268" s="5"/>
      <c r="C268" s="5">
        <v>23</v>
      </c>
      <c r="D268" s="6">
        <v>20.802</v>
      </c>
      <c r="E268" s="6">
        <v>0</v>
      </c>
      <c r="F268" s="6">
        <v>20.802</v>
      </c>
      <c r="G268" s="12">
        <f t="shared" ref="G268" si="449">F268*86400</f>
        <v>1797292.8</v>
      </c>
      <c r="H268" s="14">
        <f t="shared" ref="H268" si="450">G268/1000000</f>
        <v>1.7972928000000001</v>
      </c>
      <c r="I268" s="13">
        <f t="shared" si="428"/>
        <v>80878.175999999992</v>
      </c>
      <c r="J268" s="21">
        <f t="shared" si="429"/>
        <v>8.0878175999999996E-2</v>
      </c>
      <c r="K268" s="13">
        <f t="shared" si="430"/>
        <v>9705.3811199999982</v>
      </c>
      <c r="L268" s="13">
        <f t="shared" si="431"/>
        <v>9.7053811199999986E-3</v>
      </c>
      <c r="M268" s="27">
        <f t="shared" si="432"/>
        <v>9.0583557119999991E-2</v>
      </c>
      <c r="N268" s="29">
        <f t="shared" si="433"/>
        <v>0.17972928000000002</v>
      </c>
      <c r="O268" s="28">
        <f t="shared" si="434"/>
        <v>1.52697996288</v>
      </c>
    </row>
    <row r="269" spans="1:15" x14ac:dyDescent="0.7">
      <c r="A269" s="5"/>
      <c r="B269" s="5"/>
      <c r="C269" s="5">
        <v>24</v>
      </c>
      <c r="D269" s="6">
        <v>16.427</v>
      </c>
      <c r="E269" s="6">
        <v>1.1000000000000001</v>
      </c>
      <c r="F269" s="6">
        <v>16.427</v>
      </c>
      <c r="G269" s="12">
        <f t="shared" ref="G269" si="451">F269*86400</f>
        <v>1419292.8</v>
      </c>
      <c r="H269" s="14">
        <f t="shared" ref="H269" si="452">G269/1000000</f>
        <v>1.4192928</v>
      </c>
      <c r="I269" s="13">
        <f t="shared" si="428"/>
        <v>63868.175999999999</v>
      </c>
      <c r="J269" s="21">
        <f t="shared" si="429"/>
        <v>6.3868175999999999E-2</v>
      </c>
      <c r="K269" s="13">
        <f t="shared" si="430"/>
        <v>7664.1811199999993</v>
      </c>
      <c r="L269" s="13">
        <f t="shared" si="431"/>
        <v>7.6641811199999995E-3</v>
      </c>
      <c r="M269" s="27">
        <f t="shared" si="432"/>
        <v>7.1532357120000001E-2</v>
      </c>
      <c r="N269" s="29">
        <f t="shared" si="433"/>
        <v>0.14192928000000002</v>
      </c>
      <c r="O269" s="28">
        <f t="shared" si="434"/>
        <v>1.20583116288</v>
      </c>
    </row>
    <row r="270" spans="1:15" x14ac:dyDescent="0.7">
      <c r="A270" s="5"/>
      <c r="B270" s="5"/>
      <c r="C270" s="2">
        <v>25</v>
      </c>
      <c r="D270" s="6">
        <v>25.365000000000002</v>
      </c>
      <c r="E270" s="6">
        <v>14.5</v>
      </c>
      <c r="F270" s="6">
        <v>25.365000000000002</v>
      </c>
      <c r="G270" s="12">
        <f t="shared" ref="G270" si="453">F270*86400</f>
        <v>2191536</v>
      </c>
      <c r="H270" s="14">
        <f t="shared" ref="H270" si="454">G270/1000000</f>
        <v>2.1915360000000002</v>
      </c>
      <c r="I270" s="13">
        <f t="shared" si="428"/>
        <v>98619.12</v>
      </c>
      <c r="J270" s="21">
        <f t="shared" si="429"/>
        <v>9.8619119999999991E-2</v>
      </c>
      <c r="K270" s="13">
        <f t="shared" si="430"/>
        <v>11834.294399999999</v>
      </c>
      <c r="L270" s="13">
        <f t="shared" si="431"/>
        <v>1.1834294399999999E-2</v>
      </c>
      <c r="M270" s="27">
        <f t="shared" si="432"/>
        <v>0.11045341439999999</v>
      </c>
      <c r="N270" s="29">
        <f t="shared" si="433"/>
        <v>0.21915360000000003</v>
      </c>
      <c r="O270" s="28">
        <f t="shared" si="434"/>
        <v>1.8619289856000003</v>
      </c>
    </row>
    <row r="271" spans="1:15" x14ac:dyDescent="0.7">
      <c r="A271" s="5"/>
      <c r="B271" s="5"/>
      <c r="C271" s="5">
        <v>26</v>
      </c>
      <c r="D271" s="6">
        <v>15.462</v>
      </c>
      <c r="E271" s="6">
        <v>37.9</v>
      </c>
      <c r="F271" s="6">
        <v>15.462</v>
      </c>
      <c r="G271" s="12">
        <f t="shared" ref="G271" si="455">F271*86400</f>
        <v>1335916.8</v>
      </c>
      <c r="H271" s="14">
        <f t="shared" ref="H271" si="456">G271/1000000</f>
        <v>1.3359168000000001</v>
      </c>
      <c r="I271" s="13">
        <f t="shared" si="428"/>
        <v>60116.256000000001</v>
      </c>
      <c r="J271" s="21">
        <f t="shared" si="429"/>
        <v>6.0116256E-2</v>
      </c>
      <c r="K271" s="13">
        <f t="shared" si="430"/>
        <v>7213.9507199999998</v>
      </c>
      <c r="L271" s="13">
        <f t="shared" si="431"/>
        <v>7.2139507199999999E-3</v>
      </c>
      <c r="M271" s="27">
        <f t="shared" si="432"/>
        <v>6.7330206719999994E-2</v>
      </c>
      <c r="N271" s="29">
        <f t="shared" si="433"/>
        <v>0.13359168000000002</v>
      </c>
      <c r="O271" s="28">
        <f t="shared" si="434"/>
        <v>1.1349949132800001</v>
      </c>
    </row>
    <row r="272" spans="1:15" x14ac:dyDescent="0.7">
      <c r="A272" s="5"/>
      <c r="B272" s="5"/>
      <c r="C272" s="5">
        <v>27</v>
      </c>
      <c r="D272" s="6">
        <v>42.713999999999999</v>
      </c>
      <c r="E272" s="6">
        <v>39</v>
      </c>
      <c r="F272" s="6">
        <v>42.713999999999999</v>
      </c>
      <c r="G272" s="12">
        <f t="shared" ref="G272" si="457">F272*86400</f>
        <v>3690489.6</v>
      </c>
      <c r="H272" s="14">
        <f t="shared" ref="H272" si="458">G272/1000000</f>
        <v>3.6904896000000003</v>
      </c>
      <c r="I272" s="13">
        <f t="shared" si="428"/>
        <v>166072.03200000001</v>
      </c>
      <c r="J272" s="21">
        <f t="shared" si="429"/>
        <v>0.16607203200000001</v>
      </c>
      <c r="K272" s="13">
        <f t="shared" si="430"/>
        <v>19928.643840000001</v>
      </c>
      <c r="L272" s="13">
        <f t="shared" si="431"/>
        <v>1.9928643839999999E-2</v>
      </c>
      <c r="M272" s="27">
        <f t="shared" si="432"/>
        <v>0.18600067584000002</v>
      </c>
      <c r="N272" s="29">
        <f t="shared" si="433"/>
        <v>0.36904896000000004</v>
      </c>
      <c r="O272" s="28">
        <f t="shared" si="434"/>
        <v>3.1354399641600001</v>
      </c>
    </row>
    <row r="273" spans="1:15" x14ac:dyDescent="0.7">
      <c r="A273" s="10"/>
      <c r="B273" s="10"/>
      <c r="C273" s="24">
        <v>28</v>
      </c>
      <c r="D273" s="16">
        <v>84.300000000000011</v>
      </c>
      <c r="E273" s="6">
        <v>6.1</v>
      </c>
      <c r="F273" s="16">
        <v>84.300000000000011</v>
      </c>
      <c r="G273" s="17">
        <f t="shared" ref="G273" si="459">F273*86400</f>
        <v>7283520.0000000009</v>
      </c>
      <c r="H273" s="18">
        <f t="shared" ref="H273" si="460">G273/1000000</f>
        <v>7.2835200000000011</v>
      </c>
      <c r="I273" s="13">
        <f t="shared" si="428"/>
        <v>327758.40000000002</v>
      </c>
      <c r="J273" s="21">
        <f t="shared" si="429"/>
        <v>0.32775840000000001</v>
      </c>
      <c r="K273" s="13">
        <f t="shared" si="430"/>
        <v>39331.008000000002</v>
      </c>
      <c r="L273" s="13">
        <f t="shared" si="431"/>
        <v>3.9331008000000001E-2</v>
      </c>
      <c r="M273" s="27">
        <f t="shared" si="432"/>
        <v>0.36708940800000001</v>
      </c>
      <c r="N273" s="29">
        <f t="shared" si="433"/>
        <v>0.72835200000000011</v>
      </c>
      <c r="O273" s="28">
        <f t="shared" si="434"/>
        <v>6.188078592000001</v>
      </c>
    </row>
    <row r="274" spans="1:15" s="20" customFormat="1" x14ac:dyDescent="0.7">
      <c r="A274" s="10"/>
      <c r="B274" s="10"/>
      <c r="C274" s="10">
        <v>29</v>
      </c>
      <c r="D274" s="16">
        <v>91.600000000000009</v>
      </c>
      <c r="E274" s="6">
        <v>0</v>
      </c>
      <c r="F274" s="16">
        <v>91.600000000000009</v>
      </c>
      <c r="G274" s="42">
        <f t="shared" ref="G274" si="461">F274*86400</f>
        <v>7914240.0000000009</v>
      </c>
      <c r="H274" s="37">
        <f t="shared" ref="H274" si="462">G274/1000000</f>
        <v>7.9142400000000013</v>
      </c>
      <c r="I274" s="37">
        <f t="shared" si="428"/>
        <v>356140.80000000005</v>
      </c>
      <c r="J274" s="38">
        <f t="shared" si="429"/>
        <v>0.35614080000000004</v>
      </c>
      <c r="K274" s="37">
        <f t="shared" si="430"/>
        <v>42736.896000000001</v>
      </c>
      <c r="L274" s="37">
        <f t="shared" si="431"/>
        <v>4.2736896000000003E-2</v>
      </c>
      <c r="M274" s="39">
        <f t="shared" si="432"/>
        <v>0.39887769600000006</v>
      </c>
      <c r="N274" s="29">
        <f t="shared" si="433"/>
        <v>0.79142400000000013</v>
      </c>
      <c r="O274" s="41">
        <f t="shared" si="434"/>
        <v>6.7239383040000007</v>
      </c>
    </row>
    <row r="275" spans="1:15" s="36" customFormat="1" ht="25.2" thickBot="1" x14ac:dyDescent="0.75">
      <c r="A275" s="8"/>
      <c r="B275" s="8" t="s">
        <v>23</v>
      </c>
      <c r="C275" s="8">
        <v>30</v>
      </c>
      <c r="D275" s="9">
        <v>57.911000000000001</v>
      </c>
      <c r="E275" s="9">
        <v>0</v>
      </c>
      <c r="F275" s="9">
        <v>57.911000000000001</v>
      </c>
      <c r="G275" s="19">
        <f t="shared" ref="G275" si="463">F275*86400</f>
        <v>5003510.4000000004</v>
      </c>
      <c r="H275" s="15">
        <f t="shared" ref="H275" si="464">G275/1000000</f>
        <v>5.0035104000000006</v>
      </c>
      <c r="I275" s="15">
        <f t="shared" si="428"/>
        <v>225157.96800000002</v>
      </c>
      <c r="J275" s="22">
        <f t="shared" si="429"/>
        <v>0.22515796800000001</v>
      </c>
      <c r="K275" s="15">
        <f t="shared" si="430"/>
        <v>27018.956160000002</v>
      </c>
      <c r="L275" s="15">
        <f t="shared" si="431"/>
        <v>2.7018956160000003E-2</v>
      </c>
      <c r="M275" s="33">
        <f t="shared" si="432"/>
        <v>0.25217692416000004</v>
      </c>
      <c r="N275" s="34">
        <f t="shared" si="433"/>
        <v>0.50035104000000008</v>
      </c>
      <c r="O275" s="35">
        <f t="shared" si="434"/>
        <v>4.250982435840001</v>
      </c>
    </row>
    <row r="276" spans="1:15" x14ac:dyDescent="0.7">
      <c r="A276" s="2"/>
      <c r="B276" s="2" t="s">
        <v>24</v>
      </c>
      <c r="C276" s="2">
        <v>1</v>
      </c>
      <c r="D276" s="3">
        <v>40.454000000000001</v>
      </c>
      <c r="E276" s="3">
        <v>11.2</v>
      </c>
      <c r="F276" s="3">
        <v>40.454000000000001</v>
      </c>
      <c r="G276" s="12">
        <f t="shared" ref="G276" si="465">F276*86400</f>
        <v>3495225.6</v>
      </c>
      <c r="H276" s="14">
        <f t="shared" ref="H276" si="466">G276/1000000</f>
        <v>3.4952255999999999</v>
      </c>
      <c r="I276" s="14">
        <f t="shared" si="428"/>
        <v>157285.152</v>
      </c>
      <c r="J276" s="26">
        <f t="shared" si="429"/>
        <v>0.15728515200000001</v>
      </c>
      <c r="K276" s="14">
        <f t="shared" si="430"/>
        <v>18874.218239999998</v>
      </c>
      <c r="L276" s="14">
        <f t="shared" si="431"/>
        <v>1.8874218239999997E-2</v>
      </c>
      <c r="M276" s="30">
        <f t="shared" si="432"/>
        <v>0.17615937024</v>
      </c>
      <c r="N276" s="31">
        <f t="shared" si="433"/>
        <v>0.34952256000000004</v>
      </c>
      <c r="O276" s="32">
        <f t="shared" si="434"/>
        <v>2.9695436697599997</v>
      </c>
    </row>
    <row r="277" spans="1:15" x14ac:dyDescent="0.7">
      <c r="A277" s="5"/>
      <c r="B277" s="5"/>
      <c r="C277" s="5">
        <v>2</v>
      </c>
      <c r="D277" s="6">
        <v>45.997999999999998</v>
      </c>
      <c r="E277" s="6">
        <v>8.6999999999999993</v>
      </c>
      <c r="F277" s="6">
        <v>45.997999999999998</v>
      </c>
      <c r="G277" s="12">
        <f t="shared" ref="G277" si="467">F277*86400</f>
        <v>3974227.1999999997</v>
      </c>
      <c r="H277" s="14">
        <f t="shared" ref="H277" si="468">G277/1000000</f>
        <v>3.9742271999999996</v>
      </c>
      <c r="I277" s="13">
        <f t="shared" si="428"/>
        <v>178840.22399999999</v>
      </c>
      <c r="J277" s="21">
        <f t="shared" si="429"/>
        <v>0.17884022399999999</v>
      </c>
      <c r="K277" s="13">
        <f t="shared" si="430"/>
        <v>21460.826879999997</v>
      </c>
      <c r="L277" s="13">
        <f t="shared" si="431"/>
        <v>2.1460826879999995E-2</v>
      </c>
      <c r="M277" s="27">
        <f t="shared" si="432"/>
        <v>0.20030105088</v>
      </c>
      <c r="N277" s="29">
        <f t="shared" si="433"/>
        <v>0.39742272000000001</v>
      </c>
      <c r="O277" s="28">
        <f t="shared" si="434"/>
        <v>3.3765034291199996</v>
      </c>
    </row>
    <row r="278" spans="1:15" x14ac:dyDescent="0.7">
      <c r="A278" s="5"/>
      <c r="B278" s="5"/>
      <c r="C278" s="5">
        <v>3</v>
      </c>
      <c r="D278" s="6">
        <v>54.834000000000003</v>
      </c>
      <c r="E278" s="6">
        <v>0.7</v>
      </c>
      <c r="F278" s="6">
        <v>54.834000000000003</v>
      </c>
      <c r="G278" s="12">
        <f t="shared" ref="G278" si="469">F278*86400</f>
        <v>4737657.6000000006</v>
      </c>
      <c r="H278" s="14">
        <f t="shared" ref="H278" si="470">G278/1000000</f>
        <v>4.7376576000000004</v>
      </c>
      <c r="I278" s="13">
        <f t="shared" si="428"/>
        <v>213194.592</v>
      </c>
      <c r="J278" s="21">
        <f t="shared" si="429"/>
        <v>0.21319459200000002</v>
      </c>
      <c r="K278" s="13">
        <f t="shared" si="430"/>
        <v>25583.351039999998</v>
      </c>
      <c r="L278" s="13">
        <f t="shared" si="431"/>
        <v>2.5583351039999997E-2</v>
      </c>
      <c r="M278" s="27">
        <f t="shared" si="432"/>
        <v>0.23877794304000002</v>
      </c>
      <c r="N278" s="29">
        <f t="shared" si="433"/>
        <v>0.47376576000000004</v>
      </c>
      <c r="O278" s="28">
        <f t="shared" si="434"/>
        <v>4.0251138969600007</v>
      </c>
    </row>
    <row r="279" spans="1:15" x14ac:dyDescent="0.7">
      <c r="A279" s="5"/>
      <c r="B279" s="5"/>
      <c r="C279" s="2">
        <v>4</v>
      </c>
      <c r="D279" s="6">
        <v>43.19</v>
      </c>
      <c r="E279" s="6">
        <v>0</v>
      </c>
      <c r="F279" s="6">
        <v>43.19</v>
      </c>
      <c r="G279" s="12">
        <f t="shared" ref="G279" si="471">F279*86400</f>
        <v>3731616</v>
      </c>
      <c r="H279" s="14">
        <f t="shared" ref="H279" si="472">G279/1000000</f>
        <v>3.7316159999999998</v>
      </c>
      <c r="I279" s="13">
        <f t="shared" si="428"/>
        <v>167922.72</v>
      </c>
      <c r="J279" s="21">
        <f t="shared" si="429"/>
        <v>0.16792272</v>
      </c>
      <c r="K279" s="13">
        <f t="shared" si="430"/>
        <v>20150.7264</v>
      </c>
      <c r="L279" s="13">
        <f t="shared" si="431"/>
        <v>2.0150726399999999E-2</v>
      </c>
      <c r="M279" s="27">
        <f t="shared" si="432"/>
        <v>0.18807344640000001</v>
      </c>
      <c r="N279" s="29">
        <f t="shared" si="433"/>
        <v>0.37316159999999998</v>
      </c>
      <c r="O279" s="28">
        <f t="shared" si="434"/>
        <v>3.1703809536000001</v>
      </c>
    </row>
    <row r="280" spans="1:15" x14ac:dyDescent="0.7">
      <c r="A280" s="5"/>
      <c r="B280" s="5"/>
      <c r="C280" s="5">
        <v>5</v>
      </c>
      <c r="D280" s="6">
        <v>40.454000000000001</v>
      </c>
      <c r="E280" s="6">
        <v>0</v>
      </c>
      <c r="F280" s="6">
        <v>40.454000000000001</v>
      </c>
      <c r="G280" s="12">
        <f t="shared" ref="G280" si="473">F280*86400</f>
        <v>3495225.6</v>
      </c>
      <c r="H280" s="14">
        <f t="shared" ref="H280" si="474">G280/1000000</f>
        <v>3.4952255999999999</v>
      </c>
      <c r="I280" s="13">
        <f t="shared" si="428"/>
        <v>157285.152</v>
      </c>
      <c r="J280" s="21">
        <f t="shared" si="429"/>
        <v>0.15728515200000001</v>
      </c>
      <c r="K280" s="13">
        <f t="shared" si="430"/>
        <v>18874.218239999998</v>
      </c>
      <c r="L280" s="13">
        <f t="shared" si="431"/>
        <v>1.8874218239999997E-2</v>
      </c>
      <c r="M280" s="27">
        <f t="shared" si="432"/>
        <v>0.17615937024</v>
      </c>
      <c r="N280" s="29">
        <f t="shared" si="433"/>
        <v>0.34952256000000004</v>
      </c>
      <c r="O280" s="28">
        <f t="shared" si="434"/>
        <v>2.9695436697599997</v>
      </c>
    </row>
    <row r="281" spans="1:15" x14ac:dyDescent="0.7">
      <c r="A281" s="5"/>
      <c r="B281" s="5"/>
      <c r="C281" s="5">
        <v>6</v>
      </c>
      <c r="D281" s="6">
        <v>75.646999999999991</v>
      </c>
      <c r="E281" s="6">
        <v>0</v>
      </c>
      <c r="F281" s="6">
        <v>75.646999999999991</v>
      </c>
      <c r="G281" s="12">
        <f t="shared" ref="G281" si="475">F281*86400</f>
        <v>6535900.7999999989</v>
      </c>
      <c r="H281" s="14">
        <f t="shared" ref="H281" si="476">G281/1000000</f>
        <v>6.5359007999999985</v>
      </c>
      <c r="I281" s="13">
        <f t="shared" si="428"/>
        <v>294115.53599999996</v>
      </c>
      <c r="J281" s="21">
        <f t="shared" si="429"/>
        <v>0.29411553599999996</v>
      </c>
      <c r="K281" s="13">
        <f t="shared" si="430"/>
        <v>35293.864319999993</v>
      </c>
      <c r="L281" s="13">
        <f t="shared" si="431"/>
        <v>3.5293864319999993E-2</v>
      </c>
      <c r="M281" s="27">
        <f t="shared" si="432"/>
        <v>0.32940940031999993</v>
      </c>
      <c r="N281" s="29">
        <f t="shared" si="433"/>
        <v>0.65359007999999985</v>
      </c>
      <c r="O281" s="28">
        <f t="shared" si="434"/>
        <v>5.5529013196799983</v>
      </c>
    </row>
    <row r="282" spans="1:15" x14ac:dyDescent="0.7">
      <c r="A282" s="5"/>
      <c r="B282" s="5"/>
      <c r="C282" s="2">
        <v>7</v>
      </c>
      <c r="D282" s="6">
        <v>51.821000000000005</v>
      </c>
      <c r="E282" s="6">
        <v>0</v>
      </c>
      <c r="F282" s="6">
        <v>51.821000000000005</v>
      </c>
      <c r="G282" s="12">
        <f t="shared" ref="G282" si="477">F282*86400</f>
        <v>4477334.4000000004</v>
      </c>
      <c r="H282" s="14">
        <f t="shared" ref="H282" si="478">G282/1000000</f>
        <v>4.4773344000000002</v>
      </c>
      <c r="I282" s="13">
        <f t="shared" si="428"/>
        <v>201480.04800000001</v>
      </c>
      <c r="J282" s="21">
        <f t="shared" si="429"/>
        <v>0.20148004800000002</v>
      </c>
      <c r="K282" s="13">
        <f t="shared" si="430"/>
        <v>24177.605759999999</v>
      </c>
      <c r="L282" s="13">
        <f t="shared" si="431"/>
        <v>2.4177605759999998E-2</v>
      </c>
      <c r="M282" s="27">
        <f t="shared" si="432"/>
        <v>0.22565765376000002</v>
      </c>
      <c r="N282" s="29">
        <f t="shared" si="433"/>
        <v>0.44773344000000004</v>
      </c>
      <c r="O282" s="28">
        <f t="shared" si="434"/>
        <v>3.8039433062400003</v>
      </c>
    </row>
    <row r="283" spans="1:15" x14ac:dyDescent="0.7">
      <c r="A283" s="5"/>
      <c r="B283" s="5"/>
      <c r="C283" s="5">
        <v>8</v>
      </c>
      <c r="D283" s="6">
        <v>30.319000000000003</v>
      </c>
      <c r="E283" s="6">
        <v>0</v>
      </c>
      <c r="F283" s="6">
        <v>30.319000000000003</v>
      </c>
      <c r="G283" s="12">
        <f t="shared" ref="G283" si="479">F283*86400</f>
        <v>2619561.6</v>
      </c>
      <c r="H283" s="14">
        <f t="shared" ref="H283" si="480">G283/1000000</f>
        <v>2.6195615999999999</v>
      </c>
      <c r="I283" s="13">
        <f t="shared" si="428"/>
        <v>117880.272</v>
      </c>
      <c r="J283" s="21">
        <f t="shared" si="429"/>
        <v>0.11788027199999999</v>
      </c>
      <c r="K283" s="13">
        <f t="shared" si="430"/>
        <v>14145.63264</v>
      </c>
      <c r="L283" s="13">
        <f t="shared" si="431"/>
        <v>1.4145632639999999E-2</v>
      </c>
      <c r="M283" s="27">
        <f t="shared" si="432"/>
        <v>0.13202590464</v>
      </c>
      <c r="N283" s="29">
        <f t="shared" si="433"/>
        <v>0.26195615999999999</v>
      </c>
      <c r="O283" s="28">
        <f t="shared" si="434"/>
        <v>2.2255795353600001</v>
      </c>
    </row>
    <row r="284" spans="1:15" x14ac:dyDescent="0.7">
      <c r="A284" s="5"/>
      <c r="B284" s="5"/>
      <c r="C284" s="5">
        <v>9</v>
      </c>
      <c r="D284" s="6">
        <v>22.634</v>
      </c>
      <c r="E284" s="6">
        <v>0</v>
      </c>
      <c r="F284" s="6">
        <v>22.634</v>
      </c>
      <c r="G284" s="12">
        <f t="shared" ref="G284" si="481">F284*86400</f>
        <v>1955577.6</v>
      </c>
      <c r="H284" s="14">
        <f t="shared" ref="H284" si="482">G284/1000000</f>
        <v>1.9555776</v>
      </c>
      <c r="I284" s="13">
        <f t="shared" si="428"/>
        <v>88000.991999999998</v>
      </c>
      <c r="J284" s="21">
        <f t="shared" si="429"/>
        <v>8.8000992E-2</v>
      </c>
      <c r="K284" s="13">
        <f t="shared" si="430"/>
        <v>10560.11904</v>
      </c>
      <c r="L284" s="13">
        <f t="shared" si="431"/>
        <v>1.056011904E-2</v>
      </c>
      <c r="M284" s="27">
        <f t="shared" si="432"/>
        <v>9.8561111039999996E-2</v>
      </c>
      <c r="N284" s="29">
        <f t="shared" si="433"/>
        <v>0.19555776000000002</v>
      </c>
      <c r="O284" s="28">
        <f t="shared" si="434"/>
        <v>1.66145872896</v>
      </c>
    </row>
    <row r="285" spans="1:15" x14ac:dyDescent="0.7">
      <c r="A285" s="5"/>
      <c r="B285" s="5"/>
      <c r="C285" s="2">
        <v>10</v>
      </c>
      <c r="D285" s="6">
        <v>18.463000000000001</v>
      </c>
      <c r="E285" s="6">
        <v>0</v>
      </c>
      <c r="F285" s="6">
        <v>18.463000000000001</v>
      </c>
      <c r="G285" s="12">
        <f t="shared" ref="G285" si="483">F285*86400</f>
        <v>1595203.2000000002</v>
      </c>
      <c r="H285" s="14">
        <f t="shared" ref="H285" si="484">G285/1000000</f>
        <v>1.5952032000000003</v>
      </c>
      <c r="I285" s="13">
        <f t="shared" si="428"/>
        <v>71784.144</v>
      </c>
      <c r="J285" s="21">
        <f t="shared" si="429"/>
        <v>7.1784143999999994E-2</v>
      </c>
      <c r="K285" s="13">
        <f t="shared" si="430"/>
        <v>8614.09728</v>
      </c>
      <c r="L285" s="13">
        <f t="shared" si="431"/>
        <v>8.61409728E-3</v>
      </c>
      <c r="M285" s="27">
        <f t="shared" si="432"/>
        <v>8.0398241279999991E-2</v>
      </c>
      <c r="N285" s="29">
        <f t="shared" si="433"/>
        <v>0.15952032000000005</v>
      </c>
      <c r="O285" s="28">
        <f t="shared" si="434"/>
        <v>1.3552846387200002</v>
      </c>
    </row>
    <row r="286" spans="1:15" x14ac:dyDescent="0.7">
      <c r="A286" s="5"/>
      <c r="B286" s="5"/>
      <c r="C286" s="5">
        <v>11</v>
      </c>
      <c r="D286" s="6">
        <v>16.443000000000001</v>
      </c>
      <c r="E286" s="6">
        <v>0</v>
      </c>
      <c r="F286" s="6">
        <v>16.443000000000001</v>
      </c>
      <c r="G286" s="12">
        <f t="shared" ref="G286" si="485">F286*86400</f>
        <v>1420675.2000000002</v>
      </c>
      <c r="H286" s="14">
        <f t="shared" ref="H286" si="486">G286/1000000</f>
        <v>1.4206752000000002</v>
      </c>
      <c r="I286" s="13">
        <f t="shared" si="428"/>
        <v>63930.384000000005</v>
      </c>
      <c r="J286" s="21">
        <f t="shared" si="429"/>
        <v>6.3930384000000007E-2</v>
      </c>
      <c r="K286" s="13">
        <f t="shared" si="430"/>
        <v>7671.6460800000004</v>
      </c>
      <c r="L286" s="13">
        <f t="shared" si="431"/>
        <v>7.6716460800000004E-3</v>
      </c>
      <c r="M286" s="27">
        <f t="shared" si="432"/>
        <v>7.1602030080000004E-2</v>
      </c>
      <c r="N286" s="29">
        <f t="shared" si="433"/>
        <v>0.14206752000000003</v>
      </c>
      <c r="O286" s="28">
        <f t="shared" si="434"/>
        <v>1.2070056499200001</v>
      </c>
    </row>
    <row r="287" spans="1:15" x14ac:dyDescent="0.7">
      <c r="A287" s="5"/>
      <c r="B287" s="5"/>
      <c r="C287" s="5">
        <v>12</v>
      </c>
      <c r="D287" s="6">
        <v>14.234</v>
      </c>
      <c r="E287" s="6">
        <v>0</v>
      </c>
      <c r="F287" s="6">
        <v>14.234</v>
      </c>
      <c r="G287" s="12">
        <f t="shared" ref="G287" si="487">F287*86400</f>
        <v>1229817.6000000001</v>
      </c>
      <c r="H287" s="14">
        <f t="shared" ref="H287" si="488">G287/1000000</f>
        <v>1.2298176000000001</v>
      </c>
      <c r="I287" s="13">
        <f t="shared" si="428"/>
        <v>55341.792000000001</v>
      </c>
      <c r="J287" s="21">
        <f t="shared" si="429"/>
        <v>5.5341792000000001E-2</v>
      </c>
      <c r="K287" s="13">
        <f t="shared" si="430"/>
        <v>6641.0150400000002</v>
      </c>
      <c r="L287" s="13">
        <f t="shared" si="431"/>
        <v>6.64101504E-3</v>
      </c>
      <c r="M287" s="27">
        <f t="shared" si="432"/>
        <v>6.1982807040000004E-2</v>
      </c>
      <c r="N287" s="29">
        <f t="shared" si="433"/>
        <v>0.12298176000000001</v>
      </c>
      <c r="O287" s="28">
        <f t="shared" si="434"/>
        <v>1.0448530329600001</v>
      </c>
    </row>
    <row r="288" spans="1:15" x14ac:dyDescent="0.7">
      <c r="A288" s="5"/>
      <c r="B288" s="5"/>
      <c r="C288" s="2">
        <v>13</v>
      </c>
      <c r="D288" s="6">
        <v>14.093999999999999</v>
      </c>
      <c r="E288" s="6">
        <v>0</v>
      </c>
      <c r="F288" s="6">
        <v>14.093999999999999</v>
      </c>
      <c r="G288" s="12">
        <f t="shared" ref="G288" si="489">F288*86400</f>
        <v>1217721.5999999999</v>
      </c>
      <c r="H288" s="14">
        <f t="shared" ref="H288" si="490">G288/1000000</f>
        <v>1.2177216</v>
      </c>
      <c r="I288" s="13">
        <f t="shared" si="428"/>
        <v>54797.471999999994</v>
      </c>
      <c r="J288" s="21">
        <f t="shared" si="429"/>
        <v>5.4797471999999993E-2</v>
      </c>
      <c r="K288" s="13">
        <f t="shared" si="430"/>
        <v>6575.6966399999992</v>
      </c>
      <c r="L288" s="13">
        <f t="shared" si="431"/>
        <v>6.575696639999999E-3</v>
      </c>
      <c r="M288" s="27">
        <f t="shared" si="432"/>
        <v>6.1373168639999989E-2</v>
      </c>
      <c r="N288" s="29">
        <f t="shared" si="433"/>
        <v>0.12177216</v>
      </c>
      <c r="O288" s="28">
        <f t="shared" si="434"/>
        <v>1.03457627136</v>
      </c>
    </row>
    <row r="289" spans="1:15" x14ac:dyDescent="0.7">
      <c r="A289" s="5"/>
      <c r="B289" s="5"/>
      <c r="C289" s="5">
        <v>14</v>
      </c>
      <c r="D289" s="6">
        <v>13.371</v>
      </c>
      <c r="E289" s="6">
        <v>0</v>
      </c>
      <c r="F289" s="6">
        <v>13.371</v>
      </c>
      <c r="G289" s="12">
        <f t="shared" ref="G289" si="491">F289*86400</f>
        <v>1155254.4000000001</v>
      </c>
      <c r="H289" s="14">
        <f t="shared" ref="H289" si="492">G289/1000000</f>
        <v>1.1552544000000002</v>
      </c>
      <c r="I289" s="13">
        <f t="shared" si="428"/>
        <v>51986.448000000004</v>
      </c>
      <c r="J289" s="21">
        <f t="shared" si="429"/>
        <v>5.1986448000000005E-2</v>
      </c>
      <c r="K289" s="13">
        <f t="shared" si="430"/>
        <v>6238.3737600000004</v>
      </c>
      <c r="L289" s="13">
        <f t="shared" si="431"/>
        <v>6.2383737600000006E-3</v>
      </c>
      <c r="M289" s="27">
        <f t="shared" si="432"/>
        <v>5.8224821760000003E-2</v>
      </c>
      <c r="N289" s="29">
        <f t="shared" si="433"/>
        <v>0.11552544000000003</v>
      </c>
      <c r="O289" s="28">
        <f t="shared" si="434"/>
        <v>0.98150413824000005</v>
      </c>
    </row>
    <row r="290" spans="1:15" x14ac:dyDescent="0.7">
      <c r="A290" s="5"/>
      <c r="B290" s="5"/>
      <c r="C290" s="5">
        <v>15</v>
      </c>
      <c r="D290" s="6">
        <v>12.606</v>
      </c>
      <c r="E290" s="6">
        <v>0</v>
      </c>
      <c r="F290" s="6">
        <v>12.606</v>
      </c>
      <c r="G290" s="12">
        <f t="shared" ref="G290" si="493">F290*86400</f>
        <v>1089158.3999999999</v>
      </c>
      <c r="H290" s="14">
        <f t="shared" ref="H290" si="494">G290/1000000</f>
        <v>1.0891583999999999</v>
      </c>
      <c r="I290" s="13">
        <f t="shared" si="428"/>
        <v>49012.127999999997</v>
      </c>
      <c r="J290" s="21">
        <f t="shared" si="429"/>
        <v>4.9012127999999995E-2</v>
      </c>
      <c r="K290" s="13">
        <f t="shared" si="430"/>
        <v>5881.455359999999</v>
      </c>
      <c r="L290" s="13">
        <f t="shared" si="431"/>
        <v>5.8814553599999993E-3</v>
      </c>
      <c r="M290" s="27">
        <f t="shared" si="432"/>
        <v>5.4893583359999998E-2</v>
      </c>
      <c r="N290" s="29">
        <f t="shared" si="433"/>
        <v>0.10891583999999999</v>
      </c>
      <c r="O290" s="28">
        <f t="shared" si="434"/>
        <v>0.92534897663999993</v>
      </c>
    </row>
    <row r="291" spans="1:15" x14ac:dyDescent="0.7">
      <c r="A291" s="5"/>
      <c r="B291" s="5"/>
      <c r="C291" s="2">
        <v>16</v>
      </c>
      <c r="D291" s="6">
        <v>12.124000000000001</v>
      </c>
      <c r="E291" s="6">
        <v>0</v>
      </c>
      <c r="F291" s="6">
        <v>12.124000000000001</v>
      </c>
      <c r="G291" s="12">
        <f t="shared" ref="G291" si="495">F291*86400</f>
        <v>1047513.6000000001</v>
      </c>
      <c r="H291" s="14">
        <f t="shared" ref="H291" si="496">G291/1000000</f>
        <v>1.0475136</v>
      </c>
      <c r="I291" s="13">
        <f t="shared" si="428"/>
        <v>47138.112000000001</v>
      </c>
      <c r="J291" s="21">
        <f t="shared" si="429"/>
        <v>4.7138112000000003E-2</v>
      </c>
      <c r="K291" s="13">
        <f t="shared" si="430"/>
        <v>5656.5734400000001</v>
      </c>
      <c r="L291" s="13">
        <f t="shared" si="431"/>
        <v>5.6565734399999998E-3</v>
      </c>
      <c r="M291" s="27">
        <f t="shared" si="432"/>
        <v>5.2794685440000003E-2</v>
      </c>
      <c r="N291" s="29">
        <f t="shared" si="433"/>
        <v>0.10475136000000002</v>
      </c>
      <c r="O291" s="28">
        <f t="shared" si="434"/>
        <v>0.8899675545600001</v>
      </c>
    </row>
    <row r="292" spans="1:15" x14ac:dyDescent="0.7">
      <c r="A292" s="5"/>
      <c r="B292" s="5"/>
      <c r="C292" s="5">
        <v>17</v>
      </c>
      <c r="D292" s="6">
        <v>11.792</v>
      </c>
      <c r="E292" s="6">
        <v>37.299999999999997</v>
      </c>
      <c r="F292" s="6">
        <v>11.792</v>
      </c>
      <c r="G292" s="12">
        <f t="shared" ref="G292" si="497">F292*86400</f>
        <v>1018828.7999999999</v>
      </c>
      <c r="H292" s="14">
        <f t="shared" ref="H292" si="498">G292/1000000</f>
        <v>1.0188287999999999</v>
      </c>
      <c r="I292" s="13">
        <f t="shared" si="428"/>
        <v>45847.295999999988</v>
      </c>
      <c r="J292" s="21">
        <f t="shared" si="429"/>
        <v>4.5847295999999989E-2</v>
      </c>
      <c r="K292" s="13">
        <f t="shared" si="430"/>
        <v>5501.675519999998</v>
      </c>
      <c r="L292" s="13">
        <f t="shared" si="431"/>
        <v>5.5016755199999981E-3</v>
      </c>
      <c r="M292" s="27">
        <f t="shared" si="432"/>
        <v>5.1348971519999988E-2</v>
      </c>
      <c r="N292" s="29">
        <f t="shared" si="433"/>
        <v>0.10188288</v>
      </c>
      <c r="O292" s="28">
        <f t="shared" si="434"/>
        <v>0.86559694847999991</v>
      </c>
    </row>
    <row r="293" spans="1:15" x14ac:dyDescent="0.7">
      <c r="A293" s="5"/>
      <c r="B293" s="5"/>
      <c r="C293" s="5">
        <v>18</v>
      </c>
      <c r="D293" s="6">
        <v>13.664999999999999</v>
      </c>
      <c r="E293" s="6">
        <v>53.5</v>
      </c>
      <c r="F293" s="6">
        <v>13.664999999999999</v>
      </c>
      <c r="G293" s="12">
        <f t="shared" ref="G293" si="499">F293*86400</f>
        <v>1180656</v>
      </c>
      <c r="H293" s="14">
        <f t="shared" ref="H293" si="500">G293/1000000</f>
        <v>1.1806559999999999</v>
      </c>
      <c r="I293" s="13">
        <f t="shared" si="428"/>
        <v>53129.52</v>
      </c>
      <c r="J293" s="21">
        <f t="shared" si="429"/>
        <v>5.312952E-2</v>
      </c>
      <c r="K293" s="13">
        <f t="shared" si="430"/>
        <v>6375.5423999999994</v>
      </c>
      <c r="L293" s="13">
        <f t="shared" si="431"/>
        <v>6.3755423999999989E-3</v>
      </c>
      <c r="M293" s="27">
        <f t="shared" si="432"/>
        <v>5.9505062399999996E-2</v>
      </c>
      <c r="N293" s="29">
        <f t="shared" si="433"/>
        <v>0.11806559999999999</v>
      </c>
      <c r="O293" s="28">
        <f t="shared" si="434"/>
        <v>1.0030853376</v>
      </c>
    </row>
    <row r="294" spans="1:15" x14ac:dyDescent="0.7">
      <c r="A294" s="5"/>
      <c r="B294" s="5"/>
      <c r="C294" s="2">
        <v>19</v>
      </c>
      <c r="D294" s="6">
        <v>147.87299999999999</v>
      </c>
      <c r="E294" s="6">
        <v>3.4</v>
      </c>
      <c r="F294" s="6">
        <v>147.87299999999999</v>
      </c>
      <c r="G294" s="12">
        <f t="shared" ref="G294" si="501">F294*86400</f>
        <v>12776227.199999999</v>
      </c>
      <c r="H294" s="14">
        <f t="shared" ref="H294" si="502">G294/1000000</f>
        <v>12.776227199999999</v>
      </c>
      <c r="I294" s="13">
        <f t="shared" si="428"/>
        <v>574930.22399999993</v>
      </c>
      <c r="J294" s="21">
        <f t="shared" si="429"/>
        <v>0.57493022399999993</v>
      </c>
      <c r="K294" s="13">
        <f t="shared" si="430"/>
        <v>68991.626879999996</v>
      </c>
      <c r="L294" s="13">
        <f t="shared" si="431"/>
        <v>6.899162687999999E-2</v>
      </c>
      <c r="M294" s="27">
        <f t="shared" si="432"/>
        <v>0.64392185087999998</v>
      </c>
      <c r="N294" s="29">
        <f t="shared" si="433"/>
        <v>1.2776227200000001</v>
      </c>
      <c r="O294" s="28">
        <f t="shared" si="434"/>
        <v>10.854682629119999</v>
      </c>
    </row>
    <row r="295" spans="1:15" x14ac:dyDescent="0.7">
      <c r="A295" s="5"/>
      <c r="B295" s="5"/>
      <c r="C295" s="5">
        <v>20</v>
      </c>
      <c r="D295" s="6">
        <v>98.44</v>
      </c>
      <c r="E295" s="6">
        <v>5.8</v>
      </c>
      <c r="F295" s="6">
        <v>98.44</v>
      </c>
      <c r="G295" s="12">
        <f t="shared" ref="G295" si="503">F295*86400</f>
        <v>8505216</v>
      </c>
      <c r="H295" s="14">
        <f t="shared" ref="H295" si="504">G295/1000000</f>
        <v>8.5052160000000008</v>
      </c>
      <c r="I295" s="13">
        <f t="shared" si="428"/>
        <v>382734.72</v>
      </c>
      <c r="J295" s="21">
        <f t="shared" si="429"/>
        <v>0.38273471999999997</v>
      </c>
      <c r="K295" s="13">
        <f t="shared" si="430"/>
        <v>45928.166399999995</v>
      </c>
      <c r="L295" s="13">
        <f t="shared" si="431"/>
        <v>4.5928166399999998E-2</v>
      </c>
      <c r="M295" s="27">
        <f t="shared" si="432"/>
        <v>0.42866288639999994</v>
      </c>
      <c r="N295" s="29">
        <f t="shared" si="433"/>
        <v>0.8505216000000001</v>
      </c>
      <c r="O295" s="28">
        <f t="shared" si="434"/>
        <v>7.2260315136000006</v>
      </c>
    </row>
    <row r="296" spans="1:15" x14ac:dyDescent="0.7">
      <c r="A296" s="5"/>
      <c r="B296" s="5"/>
      <c r="C296" s="5">
        <v>21</v>
      </c>
      <c r="D296" s="6">
        <v>72.771000000000001</v>
      </c>
      <c r="E296" s="6">
        <v>10</v>
      </c>
      <c r="F296" s="6">
        <v>72.771000000000001</v>
      </c>
      <c r="G296" s="12">
        <f t="shared" ref="G296" si="505">F296*86400</f>
        <v>6287414.4000000004</v>
      </c>
      <c r="H296" s="14">
        <f t="shared" ref="H296" si="506">G296/1000000</f>
        <v>6.2874144000000003</v>
      </c>
      <c r="I296" s="13">
        <f t="shared" si="428"/>
        <v>282933.64799999999</v>
      </c>
      <c r="J296" s="21">
        <f t="shared" si="429"/>
        <v>0.28293364799999998</v>
      </c>
      <c r="K296" s="13">
        <f t="shared" si="430"/>
        <v>33952.037759999999</v>
      </c>
      <c r="L296" s="13">
        <f t="shared" si="431"/>
        <v>3.3952037759999998E-2</v>
      </c>
      <c r="M296" s="27">
        <f t="shared" si="432"/>
        <v>0.31688568575999998</v>
      </c>
      <c r="N296" s="29">
        <f t="shared" si="433"/>
        <v>0.6287414400000001</v>
      </c>
      <c r="O296" s="28">
        <f t="shared" si="434"/>
        <v>5.3417872742400005</v>
      </c>
    </row>
    <row r="297" spans="1:15" x14ac:dyDescent="0.7">
      <c r="A297" s="5"/>
      <c r="B297" s="5"/>
      <c r="C297" s="2">
        <v>22</v>
      </c>
      <c r="D297" s="6">
        <v>91.495000000000005</v>
      </c>
      <c r="E297" s="6">
        <v>0.5</v>
      </c>
      <c r="F297" s="6">
        <v>91.495000000000005</v>
      </c>
      <c r="G297" s="12">
        <f t="shared" ref="G297" si="507">F297*86400</f>
        <v>7905168</v>
      </c>
      <c r="H297" s="14">
        <f t="shared" ref="H297" si="508">G297/1000000</f>
        <v>7.9051679999999998</v>
      </c>
      <c r="I297" s="13">
        <f t="shared" si="428"/>
        <v>355732.56</v>
      </c>
      <c r="J297" s="21">
        <f t="shared" si="429"/>
        <v>0.35573255999999998</v>
      </c>
      <c r="K297" s="13">
        <f t="shared" si="430"/>
        <v>42687.907200000001</v>
      </c>
      <c r="L297" s="13">
        <f t="shared" si="431"/>
        <v>4.26879072E-2</v>
      </c>
      <c r="M297" s="27">
        <f t="shared" si="432"/>
        <v>0.39842046719999996</v>
      </c>
      <c r="N297" s="29">
        <f t="shared" si="433"/>
        <v>0.79051680000000002</v>
      </c>
      <c r="O297" s="28">
        <f t="shared" si="434"/>
        <v>6.7162307327999997</v>
      </c>
    </row>
    <row r="298" spans="1:15" x14ac:dyDescent="0.7">
      <c r="A298" s="5"/>
      <c r="B298" s="5"/>
      <c r="C298" s="5">
        <v>23</v>
      </c>
      <c r="D298" s="6">
        <v>68.664000000000001</v>
      </c>
      <c r="E298" s="6">
        <v>0</v>
      </c>
      <c r="F298" s="6">
        <v>68.664000000000001</v>
      </c>
      <c r="G298" s="12">
        <f t="shared" ref="G298" si="509">F298*86400</f>
        <v>5932569.6000000006</v>
      </c>
      <c r="H298" s="14">
        <f t="shared" ref="H298" si="510">G298/1000000</f>
        <v>5.9325696000000008</v>
      </c>
      <c r="I298" s="13">
        <f t="shared" si="428"/>
        <v>266965.63200000004</v>
      </c>
      <c r="J298" s="21">
        <f t="shared" si="429"/>
        <v>0.26696563200000006</v>
      </c>
      <c r="K298" s="13">
        <f t="shared" si="430"/>
        <v>32035.875840000004</v>
      </c>
      <c r="L298" s="13">
        <f t="shared" si="431"/>
        <v>3.2035875840000005E-2</v>
      </c>
      <c r="M298" s="27">
        <f t="shared" si="432"/>
        <v>0.29900150784000007</v>
      </c>
      <c r="N298" s="29">
        <f t="shared" si="433"/>
        <v>0.59325696000000006</v>
      </c>
      <c r="O298" s="28">
        <f t="shared" si="434"/>
        <v>5.0403111321600012</v>
      </c>
    </row>
    <row r="299" spans="1:15" x14ac:dyDescent="0.7">
      <c r="A299" s="5"/>
      <c r="B299" s="5"/>
      <c r="C299" s="5">
        <v>24</v>
      </c>
      <c r="D299" s="6">
        <v>62.690000000000005</v>
      </c>
      <c r="E299" s="6">
        <v>38.5</v>
      </c>
      <c r="F299" s="6">
        <v>62.690000000000005</v>
      </c>
      <c r="G299" s="12">
        <f t="shared" ref="G299" si="511">F299*86400</f>
        <v>5416416</v>
      </c>
      <c r="H299" s="14">
        <f t="shared" ref="H299" si="512">G299/1000000</f>
        <v>5.4164159999999999</v>
      </c>
      <c r="I299" s="13">
        <f t="shared" si="428"/>
        <v>243738.72</v>
      </c>
      <c r="J299" s="21">
        <f t="shared" si="429"/>
        <v>0.24373871999999999</v>
      </c>
      <c r="K299" s="13">
        <f t="shared" si="430"/>
        <v>29248.646399999998</v>
      </c>
      <c r="L299" s="13">
        <f t="shared" si="431"/>
        <v>2.9248646399999998E-2</v>
      </c>
      <c r="M299" s="27">
        <f t="shared" si="432"/>
        <v>0.27298736639999999</v>
      </c>
      <c r="N299" s="29">
        <f t="shared" si="433"/>
        <v>0.54164160000000006</v>
      </c>
      <c r="O299" s="28">
        <f t="shared" si="434"/>
        <v>4.6017870336</v>
      </c>
    </row>
    <row r="300" spans="1:15" x14ac:dyDescent="0.7">
      <c r="A300" s="5"/>
      <c r="B300" s="5"/>
      <c r="C300" s="2">
        <v>25</v>
      </c>
      <c r="D300" s="6">
        <v>58.34</v>
      </c>
      <c r="E300" s="6">
        <v>0</v>
      </c>
      <c r="F300" s="6">
        <v>58.34</v>
      </c>
      <c r="G300" s="12">
        <f t="shared" ref="G300" si="513">F300*86400</f>
        <v>5040576</v>
      </c>
      <c r="H300" s="14">
        <f t="shared" ref="H300" si="514">G300/1000000</f>
        <v>5.0405759999999997</v>
      </c>
      <c r="I300" s="13">
        <f t="shared" si="428"/>
        <v>226825.91999999998</v>
      </c>
      <c r="J300" s="21">
        <f t="shared" si="429"/>
        <v>0.22682591999999999</v>
      </c>
      <c r="K300" s="13">
        <f t="shared" si="430"/>
        <v>27219.110399999998</v>
      </c>
      <c r="L300" s="13">
        <f t="shared" si="431"/>
        <v>2.7219110399999996E-2</v>
      </c>
      <c r="M300" s="27">
        <f t="shared" si="432"/>
        <v>0.25404503039999998</v>
      </c>
      <c r="N300" s="29">
        <f t="shared" si="433"/>
        <v>0.50405759999999999</v>
      </c>
      <c r="O300" s="28">
        <f t="shared" si="434"/>
        <v>4.282473369599999</v>
      </c>
    </row>
    <row r="301" spans="1:15" x14ac:dyDescent="0.7">
      <c r="A301" s="5"/>
      <c r="B301" s="5"/>
      <c r="C301" s="5">
        <v>26</v>
      </c>
      <c r="D301" s="6">
        <v>37.111000000000004</v>
      </c>
      <c r="E301" s="6">
        <v>0</v>
      </c>
      <c r="F301" s="6">
        <v>37.111000000000004</v>
      </c>
      <c r="G301" s="12">
        <f t="shared" ref="G301" si="515">F301*86400</f>
        <v>3206390.4000000004</v>
      </c>
      <c r="H301" s="14">
        <f t="shared" ref="H301" si="516">G301/1000000</f>
        <v>3.2063904000000005</v>
      </c>
      <c r="I301" s="13">
        <f t="shared" si="428"/>
        <v>144287.568</v>
      </c>
      <c r="J301" s="21">
        <f t="shared" si="429"/>
        <v>0.144287568</v>
      </c>
      <c r="K301" s="13">
        <f t="shared" si="430"/>
        <v>17314.508159999998</v>
      </c>
      <c r="L301" s="13">
        <f t="shared" si="431"/>
        <v>1.7314508159999999E-2</v>
      </c>
      <c r="M301" s="27">
        <f t="shared" si="432"/>
        <v>0.16160207616</v>
      </c>
      <c r="N301" s="29">
        <f t="shared" si="433"/>
        <v>0.3206390400000001</v>
      </c>
      <c r="O301" s="28">
        <f t="shared" si="434"/>
        <v>2.7241492838400005</v>
      </c>
    </row>
    <row r="302" spans="1:15" x14ac:dyDescent="0.7">
      <c r="A302" s="5"/>
      <c r="B302" s="5"/>
      <c r="C302" s="5">
        <v>27</v>
      </c>
      <c r="D302" s="6">
        <v>49.45</v>
      </c>
      <c r="E302" s="6">
        <v>2.2999999999999998</v>
      </c>
      <c r="F302" s="6">
        <v>49.45</v>
      </c>
      <c r="G302" s="12">
        <f t="shared" ref="G302" si="517">F302*86400</f>
        <v>4272480</v>
      </c>
      <c r="H302" s="14">
        <f t="shared" ref="H302" si="518">G302/1000000</f>
        <v>4.2724799999999998</v>
      </c>
      <c r="I302" s="13">
        <f t="shared" si="428"/>
        <v>192261.6</v>
      </c>
      <c r="J302" s="21">
        <f t="shared" si="429"/>
        <v>0.1922616</v>
      </c>
      <c r="K302" s="13">
        <f t="shared" si="430"/>
        <v>23071.392</v>
      </c>
      <c r="L302" s="13">
        <f t="shared" si="431"/>
        <v>2.3071392E-2</v>
      </c>
      <c r="M302" s="27">
        <f t="shared" si="432"/>
        <v>0.215332992</v>
      </c>
      <c r="N302" s="29">
        <f t="shared" si="433"/>
        <v>0.42724800000000002</v>
      </c>
      <c r="O302" s="28">
        <f t="shared" si="434"/>
        <v>3.6298990079999993</v>
      </c>
    </row>
    <row r="303" spans="1:15" x14ac:dyDescent="0.7">
      <c r="A303" s="5"/>
      <c r="B303" s="5"/>
      <c r="C303" s="2">
        <v>28</v>
      </c>
      <c r="D303" s="6">
        <v>49.45</v>
      </c>
      <c r="E303" s="6">
        <v>28</v>
      </c>
      <c r="F303" s="6">
        <v>49.45</v>
      </c>
      <c r="G303" s="12">
        <f t="shared" ref="G303" si="519">F303*86400</f>
        <v>4272480</v>
      </c>
      <c r="H303" s="14">
        <f t="shared" ref="H303" si="520">G303/1000000</f>
        <v>4.2724799999999998</v>
      </c>
      <c r="I303" s="13">
        <f t="shared" si="428"/>
        <v>192261.6</v>
      </c>
      <c r="J303" s="21">
        <f t="shared" si="429"/>
        <v>0.1922616</v>
      </c>
      <c r="K303" s="13">
        <f t="shared" si="430"/>
        <v>23071.392</v>
      </c>
      <c r="L303" s="13">
        <f t="shared" si="431"/>
        <v>2.3071392E-2</v>
      </c>
      <c r="M303" s="27">
        <f t="shared" si="432"/>
        <v>0.215332992</v>
      </c>
      <c r="N303" s="29">
        <f t="shared" si="433"/>
        <v>0.42724800000000002</v>
      </c>
      <c r="O303" s="28">
        <f t="shared" si="434"/>
        <v>3.6298990079999993</v>
      </c>
    </row>
    <row r="304" spans="1:15" x14ac:dyDescent="0.7">
      <c r="A304" s="10"/>
      <c r="B304" s="10"/>
      <c r="C304" s="10">
        <v>29</v>
      </c>
      <c r="D304" s="16">
        <v>100.42100000000001</v>
      </c>
      <c r="E304" s="6">
        <v>0.5</v>
      </c>
      <c r="F304" s="16">
        <v>100.42100000000001</v>
      </c>
      <c r="G304" s="17">
        <f t="shared" ref="G304:G367" si="521">F304*86400</f>
        <v>8676374.4000000004</v>
      </c>
      <c r="H304" s="18">
        <f t="shared" ref="H304:H367" si="522">G304/1000000</f>
        <v>8.6763744000000003</v>
      </c>
      <c r="I304" s="13">
        <f t="shared" si="428"/>
        <v>390436.848</v>
      </c>
      <c r="J304" s="21">
        <f t="shared" si="429"/>
        <v>0.390436848</v>
      </c>
      <c r="K304" s="13">
        <f t="shared" si="430"/>
        <v>46852.421759999997</v>
      </c>
      <c r="L304" s="13">
        <f t="shared" si="431"/>
        <v>4.6852421759999999E-2</v>
      </c>
      <c r="M304" s="27">
        <f t="shared" si="432"/>
        <v>0.43728926975999999</v>
      </c>
      <c r="N304" s="29">
        <f t="shared" si="433"/>
        <v>0.86763744000000009</v>
      </c>
      <c r="O304" s="28">
        <f t="shared" si="434"/>
        <v>7.3714476902399992</v>
      </c>
    </row>
    <row r="305" spans="1:15" s="20" customFormat="1" x14ac:dyDescent="0.7">
      <c r="A305" s="5"/>
      <c r="B305" s="5"/>
      <c r="C305" s="5">
        <v>30</v>
      </c>
      <c r="D305" s="6">
        <v>66.656000000000006</v>
      </c>
      <c r="E305" s="6">
        <v>0.5</v>
      </c>
      <c r="F305" s="6">
        <v>66.656000000000006</v>
      </c>
      <c r="G305" s="45">
        <f t="shared" si="521"/>
        <v>5759078.4000000004</v>
      </c>
      <c r="H305" s="13">
        <f t="shared" si="522"/>
        <v>5.7590783999999999</v>
      </c>
      <c r="I305" s="13">
        <f t="shared" si="428"/>
        <v>259158.52800000002</v>
      </c>
      <c r="J305" s="21">
        <f t="shared" si="429"/>
        <v>0.259158528</v>
      </c>
      <c r="K305" s="13">
        <f t="shared" si="430"/>
        <v>31099.023360000003</v>
      </c>
      <c r="L305" s="13">
        <f t="shared" si="431"/>
        <v>3.1099023360000002E-2</v>
      </c>
      <c r="M305" s="13">
        <f t="shared" si="432"/>
        <v>0.29025755135999998</v>
      </c>
      <c r="N305" s="29">
        <f t="shared" si="433"/>
        <v>0.57590784000000006</v>
      </c>
      <c r="O305" s="13">
        <f t="shared" si="434"/>
        <v>4.8929130086399999</v>
      </c>
    </row>
    <row r="306" spans="1:15" s="47" customFormat="1" x14ac:dyDescent="0.7">
      <c r="A306" s="5"/>
      <c r="B306" s="5" t="s">
        <v>24</v>
      </c>
      <c r="C306" s="5">
        <v>31</v>
      </c>
      <c r="D306" s="6">
        <v>60.18</v>
      </c>
      <c r="E306" s="6">
        <v>0</v>
      </c>
      <c r="F306" s="6">
        <v>60.18</v>
      </c>
      <c r="G306" s="45">
        <f t="shared" si="521"/>
        <v>5199552</v>
      </c>
      <c r="H306" s="13">
        <f t="shared" si="522"/>
        <v>5.1995519999999997</v>
      </c>
      <c r="I306" s="13">
        <f t="shared" si="428"/>
        <v>233979.84</v>
      </c>
      <c r="J306" s="21">
        <f t="shared" si="429"/>
        <v>0.23397983999999999</v>
      </c>
      <c r="K306" s="13">
        <f t="shared" si="430"/>
        <v>28077.5808</v>
      </c>
      <c r="L306" s="13">
        <f t="shared" si="431"/>
        <v>2.8077580799999998E-2</v>
      </c>
      <c r="M306" s="13">
        <f t="shared" si="432"/>
        <v>0.2620574208</v>
      </c>
      <c r="N306" s="29">
        <f t="shared" si="433"/>
        <v>0.51995519999999995</v>
      </c>
      <c r="O306" s="13">
        <f t="shared" si="434"/>
        <v>4.4175393791999999</v>
      </c>
    </row>
    <row r="307" spans="1:15" s="46" customFormat="1" ht="25.2" thickBot="1" x14ac:dyDescent="0.75">
      <c r="A307" s="48"/>
      <c r="B307" s="48" t="s">
        <v>25</v>
      </c>
      <c r="C307" s="48">
        <v>1</v>
      </c>
      <c r="D307" s="49">
        <v>49.45</v>
      </c>
      <c r="E307" s="9">
        <v>0</v>
      </c>
      <c r="F307" s="49">
        <v>49.45</v>
      </c>
      <c r="G307" s="19">
        <f t="shared" si="521"/>
        <v>4272480</v>
      </c>
      <c r="H307" s="15">
        <f t="shared" si="522"/>
        <v>4.2724799999999998</v>
      </c>
      <c r="I307" s="15">
        <f t="shared" si="428"/>
        <v>192261.6</v>
      </c>
      <c r="J307" s="22">
        <f t="shared" si="429"/>
        <v>0.1922616</v>
      </c>
      <c r="K307" s="15">
        <f t="shared" si="430"/>
        <v>23071.392</v>
      </c>
      <c r="L307" s="15">
        <f t="shared" si="431"/>
        <v>2.3071392E-2</v>
      </c>
      <c r="M307" s="15">
        <f t="shared" si="432"/>
        <v>0.215332992</v>
      </c>
      <c r="N307" s="34">
        <f t="shared" si="433"/>
        <v>0.42724800000000002</v>
      </c>
      <c r="O307" s="15">
        <f t="shared" si="434"/>
        <v>3.6298990079999993</v>
      </c>
    </row>
    <row r="308" spans="1:15" x14ac:dyDescent="0.7">
      <c r="A308" s="2"/>
      <c r="B308" s="2"/>
      <c r="C308" s="2">
        <v>2</v>
      </c>
      <c r="D308" s="3">
        <v>45.143000000000001</v>
      </c>
      <c r="E308" s="3">
        <v>0</v>
      </c>
      <c r="F308" s="3">
        <v>45.143000000000001</v>
      </c>
      <c r="G308" s="12">
        <f t="shared" si="521"/>
        <v>3900355.2</v>
      </c>
      <c r="H308" s="14">
        <f t="shared" si="522"/>
        <v>3.9003552000000004</v>
      </c>
      <c r="I308" s="14">
        <f t="shared" si="428"/>
        <v>175515.984</v>
      </c>
      <c r="J308" s="26">
        <f t="shared" si="429"/>
        <v>0.17551598399999999</v>
      </c>
      <c r="K308" s="14">
        <f t="shared" si="430"/>
        <v>21061.918079999999</v>
      </c>
      <c r="L308" s="14">
        <f t="shared" si="431"/>
        <v>2.1061918079999999E-2</v>
      </c>
      <c r="M308" s="30">
        <f t="shared" si="432"/>
        <v>0.19657790207999998</v>
      </c>
      <c r="N308" s="31">
        <f t="shared" si="433"/>
        <v>0.39003552000000008</v>
      </c>
      <c r="O308" s="32">
        <f t="shared" si="434"/>
        <v>3.3137417779200002</v>
      </c>
    </row>
    <row r="309" spans="1:15" x14ac:dyDescent="0.7">
      <c r="A309" s="5"/>
      <c r="B309" s="5"/>
      <c r="C309" s="5">
        <v>3</v>
      </c>
      <c r="D309" s="6">
        <v>38.4</v>
      </c>
      <c r="E309" s="6">
        <v>0</v>
      </c>
      <c r="F309" s="6">
        <v>38.4</v>
      </c>
      <c r="G309" s="12">
        <f t="shared" si="521"/>
        <v>3317760</v>
      </c>
      <c r="H309" s="14">
        <f t="shared" si="522"/>
        <v>3.3177599999999998</v>
      </c>
      <c r="I309" s="13">
        <f t="shared" si="428"/>
        <v>149299.19999999998</v>
      </c>
      <c r="J309" s="21">
        <f t="shared" si="429"/>
        <v>0.14929919999999999</v>
      </c>
      <c r="K309" s="13">
        <f t="shared" si="430"/>
        <v>17915.903999999999</v>
      </c>
      <c r="L309" s="13">
        <f t="shared" si="431"/>
        <v>1.7915904E-2</v>
      </c>
      <c r="M309" s="27">
        <f t="shared" si="432"/>
        <v>0.167215104</v>
      </c>
      <c r="N309" s="29">
        <f t="shared" si="433"/>
        <v>0.33177600000000002</v>
      </c>
      <c r="O309" s="28">
        <f t="shared" si="434"/>
        <v>2.8187688959999999</v>
      </c>
    </row>
    <row r="310" spans="1:15" x14ac:dyDescent="0.7">
      <c r="A310" s="5"/>
      <c r="B310" s="5"/>
      <c r="C310" s="2">
        <v>4</v>
      </c>
      <c r="D310" s="6">
        <v>35.765000000000001</v>
      </c>
      <c r="E310" s="6">
        <v>0</v>
      </c>
      <c r="F310" s="6">
        <v>35.765000000000001</v>
      </c>
      <c r="G310" s="12">
        <f t="shared" si="521"/>
        <v>3090096</v>
      </c>
      <c r="H310" s="14">
        <f t="shared" si="522"/>
        <v>3.090096</v>
      </c>
      <c r="I310" s="13">
        <f t="shared" si="428"/>
        <v>139054.32</v>
      </c>
      <c r="J310" s="21">
        <f t="shared" si="429"/>
        <v>0.13905432000000001</v>
      </c>
      <c r="K310" s="13">
        <f t="shared" si="430"/>
        <v>16686.518400000001</v>
      </c>
      <c r="L310" s="13">
        <f t="shared" si="431"/>
        <v>1.6686518399999999E-2</v>
      </c>
      <c r="M310" s="27">
        <f t="shared" si="432"/>
        <v>0.1557408384</v>
      </c>
      <c r="N310" s="29">
        <f t="shared" si="433"/>
        <v>0.3090096</v>
      </c>
      <c r="O310" s="28">
        <f t="shared" si="434"/>
        <v>2.6253455616000001</v>
      </c>
    </row>
    <row r="311" spans="1:15" x14ac:dyDescent="0.7">
      <c r="A311" s="5"/>
      <c r="B311" s="5"/>
      <c r="C311" s="5">
        <v>5</v>
      </c>
      <c r="D311" s="6">
        <v>32.048000000000002</v>
      </c>
      <c r="E311" s="6">
        <v>0</v>
      </c>
      <c r="F311" s="6">
        <v>32.048000000000002</v>
      </c>
      <c r="G311" s="12">
        <f t="shared" si="521"/>
        <v>2768947.2000000002</v>
      </c>
      <c r="H311" s="14">
        <f t="shared" si="522"/>
        <v>2.7689472000000004</v>
      </c>
      <c r="I311" s="13">
        <f t="shared" si="428"/>
        <v>124602.62400000001</v>
      </c>
      <c r="J311" s="21">
        <f t="shared" si="429"/>
        <v>0.12460262400000001</v>
      </c>
      <c r="K311" s="13">
        <f t="shared" si="430"/>
        <v>14952.31488</v>
      </c>
      <c r="L311" s="13">
        <f t="shared" si="431"/>
        <v>1.4952314879999999E-2</v>
      </c>
      <c r="M311" s="27">
        <f t="shared" si="432"/>
        <v>0.13955493888000001</v>
      </c>
      <c r="N311" s="29">
        <f t="shared" si="433"/>
        <v>0.27689472000000004</v>
      </c>
      <c r="O311" s="28">
        <f t="shared" si="434"/>
        <v>2.3524975411200004</v>
      </c>
    </row>
    <row r="312" spans="1:15" x14ac:dyDescent="0.7">
      <c r="A312" s="5"/>
      <c r="B312" s="5"/>
      <c r="C312" s="5">
        <v>6</v>
      </c>
      <c r="D312" s="6">
        <v>29.614000000000001</v>
      </c>
      <c r="E312" s="6">
        <v>0</v>
      </c>
      <c r="F312" s="6">
        <v>29.614000000000001</v>
      </c>
      <c r="G312" s="12">
        <f t="shared" si="521"/>
        <v>2558649.6</v>
      </c>
      <c r="H312" s="14">
        <f t="shared" si="522"/>
        <v>2.5586496000000003</v>
      </c>
      <c r="I312" s="13">
        <f t="shared" si="428"/>
        <v>115139.232</v>
      </c>
      <c r="J312" s="21">
        <f t="shared" si="429"/>
        <v>0.11513923200000001</v>
      </c>
      <c r="K312" s="13">
        <f t="shared" si="430"/>
        <v>13816.707839999999</v>
      </c>
      <c r="L312" s="13">
        <f t="shared" si="431"/>
        <v>1.3816707839999999E-2</v>
      </c>
      <c r="M312" s="27">
        <f t="shared" si="432"/>
        <v>0.12895593984000001</v>
      </c>
      <c r="N312" s="29">
        <f t="shared" si="433"/>
        <v>0.25586496000000003</v>
      </c>
      <c r="O312" s="28">
        <f t="shared" si="434"/>
        <v>2.1738287001600005</v>
      </c>
    </row>
    <row r="313" spans="1:15" x14ac:dyDescent="0.7">
      <c r="A313" s="5"/>
      <c r="B313" s="5"/>
      <c r="C313" s="2">
        <v>7</v>
      </c>
      <c r="D313" s="6">
        <v>29.614000000000001</v>
      </c>
      <c r="E313" s="6">
        <v>0</v>
      </c>
      <c r="F313" s="6">
        <v>29.614000000000001</v>
      </c>
      <c r="G313" s="12">
        <f t="shared" si="521"/>
        <v>2558649.6</v>
      </c>
      <c r="H313" s="14">
        <f t="shared" si="522"/>
        <v>2.5586496000000003</v>
      </c>
      <c r="I313" s="13">
        <f t="shared" si="428"/>
        <v>115139.232</v>
      </c>
      <c r="J313" s="21">
        <f t="shared" si="429"/>
        <v>0.11513923200000001</v>
      </c>
      <c r="K313" s="13">
        <f t="shared" si="430"/>
        <v>13816.707839999999</v>
      </c>
      <c r="L313" s="13">
        <f t="shared" si="431"/>
        <v>1.3816707839999999E-2</v>
      </c>
      <c r="M313" s="27">
        <f t="shared" si="432"/>
        <v>0.12895593984000001</v>
      </c>
      <c r="N313" s="29">
        <f t="shared" si="433"/>
        <v>0.25586496000000003</v>
      </c>
      <c r="O313" s="28">
        <f t="shared" si="434"/>
        <v>2.1738287001600005</v>
      </c>
    </row>
    <row r="314" spans="1:15" x14ac:dyDescent="0.7">
      <c r="A314" s="5"/>
      <c r="B314" s="5"/>
      <c r="C314" s="5">
        <v>8</v>
      </c>
      <c r="D314" s="6">
        <v>28.427</v>
      </c>
      <c r="E314" s="6">
        <v>0</v>
      </c>
      <c r="F314" s="6">
        <v>28.427</v>
      </c>
      <c r="G314" s="12">
        <f t="shared" si="521"/>
        <v>2456092.7999999998</v>
      </c>
      <c r="H314" s="14">
        <f t="shared" si="522"/>
        <v>2.4560928</v>
      </c>
      <c r="I314" s="13">
        <f t="shared" si="428"/>
        <v>110524.17599999999</v>
      </c>
      <c r="J314" s="21">
        <f t="shared" si="429"/>
        <v>0.11052417599999999</v>
      </c>
      <c r="K314" s="13">
        <f t="shared" si="430"/>
        <v>13262.901119999999</v>
      </c>
      <c r="L314" s="13">
        <f t="shared" si="431"/>
        <v>1.3262901119999998E-2</v>
      </c>
      <c r="M314" s="27">
        <f t="shared" si="432"/>
        <v>0.12378707711999999</v>
      </c>
      <c r="N314" s="29">
        <f t="shared" si="433"/>
        <v>0.24560928000000001</v>
      </c>
      <c r="O314" s="28">
        <f t="shared" si="434"/>
        <v>2.0866964428800001</v>
      </c>
    </row>
    <row r="315" spans="1:15" x14ac:dyDescent="0.7">
      <c r="A315" s="5"/>
      <c r="B315" s="5"/>
      <c r="C315" s="5">
        <v>9</v>
      </c>
      <c r="D315" s="6">
        <v>27.3</v>
      </c>
      <c r="E315" s="6">
        <v>0</v>
      </c>
      <c r="F315" s="6">
        <v>27.3</v>
      </c>
      <c r="G315" s="12">
        <f t="shared" si="521"/>
        <v>2358720</v>
      </c>
      <c r="H315" s="14">
        <f t="shared" si="522"/>
        <v>2.3587199999999999</v>
      </c>
      <c r="I315" s="13">
        <f t="shared" si="428"/>
        <v>106142.39999999999</v>
      </c>
      <c r="J315" s="21">
        <f t="shared" si="429"/>
        <v>0.1061424</v>
      </c>
      <c r="K315" s="13">
        <f t="shared" si="430"/>
        <v>12737.088</v>
      </c>
      <c r="L315" s="13">
        <f t="shared" si="431"/>
        <v>1.2737088000000001E-2</v>
      </c>
      <c r="M315" s="27">
        <f t="shared" si="432"/>
        <v>0.11887948800000001</v>
      </c>
      <c r="N315" s="29">
        <f t="shared" si="433"/>
        <v>0.235872</v>
      </c>
      <c r="O315" s="28">
        <f t="shared" si="434"/>
        <v>2.0039685119999997</v>
      </c>
    </row>
    <row r="316" spans="1:15" x14ac:dyDescent="0.7">
      <c r="A316" s="5"/>
      <c r="B316" s="5"/>
      <c r="C316" s="2">
        <v>10</v>
      </c>
      <c r="D316" s="6">
        <v>26.099999999999998</v>
      </c>
      <c r="E316" s="6">
        <v>0</v>
      </c>
      <c r="F316" s="6">
        <v>26.099999999999998</v>
      </c>
      <c r="G316" s="12">
        <f t="shared" si="521"/>
        <v>2255040</v>
      </c>
      <c r="H316" s="14">
        <f t="shared" si="522"/>
        <v>2.2550400000000002</v>
      </c>
      <c r="I316" s="13">
        <f t="shared" si="428"/>
        <v>101476.8</v>
      </c>
      <c r="J316" s="21">
        <f t="shared" si="429"/>
        <v>0.10147680000000001</v>
      </c>
      <c r="K316" s="13">
        <f t="shared" si="430"/>
        <v>12177.216</v>
      </c>
      <c r="L316" s="13">
        <f t="shared" si="431"/>
        <v>1.2177216000000001E-2</v>
      </c>
      <c r="M316" s="27">
        <f t="shared" si="432"/>
        <v>0.11365401600000001</v>
      </c>
      <c r="N316" s="29">
        <f t="shared" si="433"/>
        <v>0.22550400000000004</v>
      </c>
      <c r="O316" s="28">
        <f t="shared" si="434"/>
        <v>1.9158819840000003</v>
      </c>
    </row>
    <row r="317" spans="1:15" x14ac:dyDescent="0.7">
      <c r="A317" s="5"/>
      <c r="B317" s="5"/>
      <c r="C317" s="5">
        <v>11</v>
      </c>
      <c r="D317" s="6">
        <v>23.363</v>
      </c>
      <c r="E317" s="6">
        <v>0</v>
      </c>
      <c r="F317" s="6">
        <v>23.363</v>
      </c>
      <c r="G317" s="12">
        <f t="shared" si="521"/>
        <v>2018563.2</v>
      </c>
      <c r="H317" s="14">
        <f t="shared" si="522"/>
        <v>2.0185632</v>
      </c>
      <c r="I317" s="13">
        <f t="shared" si="428"/>
        <v>90835.343999999997</v>
      </c>
      <c r="J317" s="21">
        <f t="shared" si="429"/>
        <v>9.0835343999999998E-2</v>
      </c>
      <c r="K317" s="13">
        <f t="shared" si="430"/>
        <v>10900.241279999998</v>
      </c>
      <c r="L317" s="13">
        <f t="shared" si="431"/>
        <v>1.0900241279999999E-2</v>
      </c>
      <c r="M317" s="27">
        <f t="shared" si="432"/>
        <v>0.10173558528</v>
      </c>
      <c r="N317" s="29">
        <f t="shared" si="433"/>
        <v>0.20185632000000001</v>
      </c>
      <c r="O317" s="28">
        <f t="shared" si="434"/>
        <v>1.71497129472</v>
      </c>
    </row>
    <row r="318" spans="1:15" x14ac:dyDescent="0.7">
      <c r="A318" s="5"/>
      <c r="B318" s="5"/>
      <c r="C318" s="5">
        <v>12</v>
      </c>
      <c r="D318" s="6">
        <v>29.228999999999999</v>
      </c>
      <c r="E318" s="6">
        <v>0</v>
      </c>
      <c r="F318" s="6">
        <v>29.228999999999999</v>
      </c>
      <c r="G318" s="12">
        <f t="shared" si="521"/>
        <v>2525385.6</v>
      </c>
      <c r="H318" s="14">
        <f t="shared" si="522"/>
        <v>2.5253855999999999</v>
      </c>
      <c r="I318" s="13">
        <f t="shared" si="428"/>
        <v>113642.352</v>
      </c>
      <c r="J318" s="21">
        <f t="shared" si="429"/>
        <v>0.113642352</v>
      </c>
      <c r="K318" s="13">
        <f t="shared" si="430"/>
        <v>13637.08224</v>
      </c>
      <c r="L318" s="13">
        <f t="shared" si="431"/>
        <v>1.3637082239999999E-2</v>
      </c>
      <c r="M318" s="27">
        <f t="shared" si="432"/>
        <v>0.12727943423999999</v>
      </c>
      <c r="N318" s="29">
        <f t="shared" si="433"/>
        <v>0.25253856000000002</v>
      </c>
      <c r="O318" s="28">
        <f t="shared" si="434"/>
        <v>2.1455676057599997</v>
      </c>
    </row>
    <row r="319" spans="1:15" x14ac:dyDescent="0.7">
      <c r="A319" s="5"/>
      <c r="B319" s="5"/>
      <c r="C319" s="2">
        <v>13</v>
      </c>
      <c r="D319" s="6">
        <v>26.819000000000003</v>
      </c>
      <c r="E319" s="6">
        <v>0</v>
      </c>
      <c r="F319" s="6">
        <v>26.819000000000003</v>
      </c>
      <c r="G319" s="12">
        <f t="shared" si="521"/>
        <v>2317161.6</v>
      </c>
      <c r="H319" s="14">
        <f t="shared" si="522"/>
        <v>2.3171615999999999</v>
      </c>
      <c r="I319" s="13">
        <f t="shared" si="428"/>
        <v>104272.272</v>
      </c>
      <c r="J319" s="21">
        <f t="shared" si="429"/>
        <v>0.104272272</v>
      </c>
      <c r="K319" s="13">
        <f t="shared" si="430"/>
        <v>12512.672639999999</v>
      </c>
      <c r="L319" s="13">
        <f t="shared" si="431"/>
        <v>1.2512672639999998E-2</v>
      </c>
      <c r="M319" s="27">
        <f t="shared" si="432"/>
        <v>0.11678494464</v>
      </c>
      <c r="N319" s="29">
        <f t="shared" si="433"/>
        <v>0.23171616</v>
      </c>
      <c r="O319" s="28">
        <f t="shared" si="434"/>
        <v>1.96866049536</v>
      </c>
    </row>
    <row r="320" spans="1:15" x14ac:dyDescent="0.7">
      <c r="A320" s="5"/>
      <c r="B320" s="5"/>
      <c r="C320" s="5">
        <v>14</v>
      </c>
      <c r="D320" s="6">
        <v>24.509999999999998</v>
      </c>
      <c r="E320" s="6">
        <v>8.6</v>
      </c>
      <c r="F320" s="6">
        <v>24.509999999999998</v>
      </c>
      <c r="G320" s="12">
        <f t="shared" si="521"/>
        <v>2117664</v>
      </c>
      <c r="H320" s="14">
        <f t="shared" si="522"/>
        <v>2.117664</v>
      </c>
      <c r="I320" s="13">
        <f t="shared" si="428"/>
        <v>95294.87999999999</v>
      </c>
      <c r="J320" s="21">
        <f t="shared" si="429"/>
        <v>9.5294879999999985E-2</v>
      </c>
      <c r="K320" s="13">
        <f t="shared" si="430"/>
        <v>11435.385599999998</v>
      </c>
      <c r="L320" s="13">
        <f t="shared" si="431"/>
        <v>1.1435385599999999E-2</v>
      </c>
      <c r="M320" s="27">
        <f t="shared" si="432"/>
        <v>0.10673026559999998</v>
      </c>
      <c r="N320" s="29">
        <f t="shared" si="433"/>
        <v>0.21176640000000002</v>
      </c>
      <c r="O320" s="28">
        <f t="shared" si="434"/>
        <v>1.7991673343999999</v>
      </c>
    </row>
    <row r="321" spans="1:15" x14ac:dyDescent="0.7">
      <c r="A321" s="5"/>
      <c r="B321" s="5"/>
      <c r="C321" s="5">
        <v>15</v>
      </c>
      <c r="D321" s="6">
        <v>28.341999999999999</v>
      </c>
      <c r="E321" s="6">
        <v>2.5</v>
      </c>
      <c r="F321" s="6">
        <v>28.341999999999999</v>
      </c>
      <c r="G321" s="12">
        <f t="shared" si="521"/>
        <v>2448748.7999999998</v>
      </c>
      <c r="H321" s="14">
        <f t="shared" si="522"/>
        <v>2.4487487999999997</v>
      </c>
      <c r="I321" s="13">
        <f t="shared" si="428"/>
        <v>110193.69599999998</v>
      </c>
      <c r="J321" s="21">
        <f t="shared" si="429"/>
        <v>0.11019369599999998</v>
      </c>
      <c r="K321" s="13">
        <f t="shared" si="430"/>
        <v>13223.243519999998</v>
      </c>
      <c r="L321" s="13">
        <f t="shared" si="431"/>
        <v>1.3223243519999999E-2</v>
      </c>
      <c r="M321" s="27">
        <f t="shared" si="432"/>
        <v>0.12341693951999998</v>
      </c>
      <c r="N321" s="29">
        <f t="shared" si="433"/>
        <v>0.24487487999999999</v>
      </c>
      <c r="O321" s="28">
        <f t="shared" si="434"/>
        <v>2.0804569804800002</v>
      </c>
    </row>
    <row r="322" spans="1:15" x14ac:dyDescent="0.7">
      <c r="A322" s="5"/>
      <c r="B322" s="5"/>
      <c r="C322" s="2">
        <v>16</v>
      </c>
      <c r="D322" s="6">
        <v>20.786000000000001</v>
      </c>
      <c r="E322" s="6">
        <v>0</v>
      </c>
      <c r="F322" s="6">
        <v>20.786000000000001</v>
      </c>
      <c r="G322" s="12">
        <f t="shared" si="521"/>
        <v>1795910.4000000001</v>
      </c>
      <c r="H322" s="14">
        <f t="shared" si="522"/>
        <v>1.7959104000000001</v>
      </c>
      <c r="I322" s="13">
        <f t="shared" si="428"/>
        <v>80815.968000000008</v>
      </c>
      <c r="J322" s="21">
        <f t="shared" si="429"/>
        <v>8.0815968000000002E-2</v>
      </c>
      <c r="K322" s="13">
        <f t="shared" si="430"/>
        <v>9697.9161600000007</v>
      </c>
      <c r="L322" s="13">
        <f t="shared" si="431"/>
        <v>9.6979161600000002E-3</v>
      </c>
      <c r="M322" s="27">
        <f t="shared" si="432"/>
        <v>9.0513884160000002E-2</v>
      </c>
      <c r="N322" s="29">
        <f t="shared" si="433"/>
        <v>0.17959104000000004</v>
      </c>
      <c r="O322" s="28">
        <f t="shared" si="434"/>
        <v>1.5258054758400001</v>
      </c>
    </row>
    <row r="323" spans="1:15" x14ac:dyDescent="0.7">
      <c r="A323" s="5"/>
      <c r="B323" s="5"/>
      <c r="C323" s="5">
        <v>17</v>
      </c>
      <c r="D323" s="6">
        <v>17.149999999999999</v>
      </c>
      <c r="E323" s="6">
        <v>0</v>
      </c>
      <c r="F323" s="6">
        <v>17.149999999999999</v>
      </c>
      <c r="G323" s="12">
        <f t="shared" si="521"/>
        <v>1481759.9999999998</v>
      </c>
      <c r="H323" s="14">
        <f t="shared" si="522"/>
        <v>1.4817599999999997</v>
      </c>
      <c r="I323" s="13">
        <f t="shared" si="428"/>
        <v>66679.199999999983</v>
      </c>
      <c r="J323" s="21">
        <f t="shared" si="429"/>
        <v>6.667919999999998E-2</v>
      </c>
      <c r="K323" s="13">
        <f t="shared" si="430"/>
        <v>8001.5039999999972</v>
      </c>
      <c r="L323" s="13">
        <f t="shared" si="431"/>
        <v>8.0015039999999978E-3</v>
      </c>
      <c r="M323" s="27">
        <f t="shared" si="432"/>
        <v>7.4680703999999973E-2</v>
      </c>
      <c r="N323" s="29">
        <f t="shared" si="433"/>
        <v>0.14817599999999997</v>
      </c>
      <c r="O323" s="28">
        <f t="shared" si="434"/>
        <v>1.2589032959999997</v>
      </c>
    </row>
    <row r="324" spans="1:15" x14ac:dyDescent="0.7">
      <c r="A324" s="5"/>
      <c r="B324" s="5"/>
      <c r="C324" s="5">
        <v>18</v>
      </c>
      <c r="D324" s="6">
        <v>17.149999999999999</v>
      </c>
      <c r="E324" s="6">
        <v>18.5</v>
      </c>
      <c r="F324" s="6">
        <v>17.149999999999999</v>
      </c>
      <c r="G324" s="12">
        <f t="shared" si="521"/>
        <v>1481759.9999999998</v>
      </c>
      <c r="H324" s="14">
        <f t="shared" si="522"/>
        <v>1.4817599999999997</v>
      </c>
      <c r="I324" s="13">
        <f t="shared" ref="I324:I367" si="523">H324*1000000*0.045</f>
        <v>66679.199999999983</v>
      </c>
      <c r="J324" s="21">
        <f t="shared" ref="J324:J367" si="524">I324/1000000</f>
        <v>6.667919999999998E-2</v>
      </c>
      <c r="K324" s="13">
        <f t="shared" ref="K324:K367" si="525">I324*0.12</f>
        <v>8001.5039999999972</v>
      </c>
      <c r="L324" s="13">
        <f t="shared" ref="L324:L367" si="526">K324/1000000</f>
        <v>8.0015039999999978E-3</v>
      </c>
      <c r="M324" s="27">
        <f t="shared" ref="M324:M367" si="527">J324+L324</f>
        <v>7.4680703999999973E-2</v>
      </c>
      <c r="N324" s="29">
        <f t="shared" ref="N324:N367" si="528">H324*0.1</f>
        <v>0.14817599999999997</v>
      </c>
      <c r="O324" s="28">
        <f t="shared" ref="O324:O367" si="529">H324-M324-N324</f>
        <v>1.2589032959999997</v>
      </c>
    </row>
    <row r="325" spans="1:15" x14ac:dyDescent="0.7">
      <c r="A325" s="5"/>
      <c r="B325" s="5"/>
      <c r="C325" s="2">
        <v>19</v>
      </c>
      <c r="D325" s="6">
        <v>47.95</v>
      </c>
      <c r="E325" s="6">
        <v>17</v>
      </c>
      <c r="F325" s="6">
        <v>47.95</v>
      </c>
      <c r="G325" s="12">
        <f t="shared" si="521"/>
        <v>4142880.0000000005</v>
      </c>
      <c r="H325" s="14">
        <f t="shared" si="522"/>
        <v>4.1428800000000008</v>
      </c>
      <c r="I325" s="13">
        <f t="shared" si="523"/>
        <v>186429.60000000003</v>
      </c>
      <c r="J325" s="21">
        <f t="shared" si="524"/>
        <v>0.18642960000000003</v>
      </c>
      <c r="K325" s="13">
        <f t="shared" si="525"/>
        <v>22371.552000000003</v>
      </c>
      <c r="L325" s="13">
        <f t="shared" si="526"/>
        <v>2.2371552000000003E-2</v>
      </c>
      <c r="M325" s="27">
        <f t="shared" si="527"/>
        <v>0.20880115200000005</v>
      </c>
      <c r="N325" s="29">
        <f t="shared" si="528"/>
        <v>0.4142880000000001</v>
      </c>
      <c r="O325" s="28">
        <f t="shared" si="529"/>
        <v>3.5197908480000009</v>
      </c>
    </row>
    <row r="326" spans="1:15" x14ac:dyDescent="0.7">
      <c r="A326" s="5"/>
      <c r="B326" s="5"/>
      <c r="C326" s="5">
        <v>20</v>
      </c>
      <c r="D326" s="6">
        <v>55.607999999999997</v>
      </c>
      <c r="E326" s="6">
        <v>0</v>
      </c>
      <c r="F326" s="6">
        <v>55.607999999999997</v>
      </c>
      <c r="G326" s="12">
        <f t="shared" si="521"/>
        <v>4804531.2</v>
      </c>
      <c r="H326" s="14">
        <f t="shared" si="522"/>
        <v>4.8045312000000004</v>
      </c>
      <c r="I326" s="13">
        <f t="shared" si="523"/>
        <v>216203.90400000001</v>
      </c>
      <c r="J326" s="21">
        <f t="shared" si="524"/>
        <v>0.216203904</v>
      </c>
      <c r="K326" s="13">
        <f t="shared" si="525"/>
        <v>25944.46848</v>
      </c>
      <c r="L326" s="13">
        <f t="shared" si="526"/>
        <v>2.594446848E-2</v>
      </c>
      <c r="M326" s="27">
        <f t="shared" si="527"/>
        <v>0.24214837248000001</v>
      </c>
      <c r="N326" s="29">
        <f t="shared" si="528"/>
        <v>0.48045312000000007</v>
      </c>
      <c r="O326" s="28">
        <f t="shared" si="529"/>
        <v>4.0819297075200005</v>
      </c>
    </row>
    <row r="327" spans="1:15" x14ac:dyDescent="0.7">
      <c r="A327" s="5"/>
      <c r="B327" s="5"/>
      <c r="C327" s="5">
        <v>21</v>
      </c>
      <c r="D327" s="6">
        <v>36.664000000000001</v>
      </c>
      <c r="E327" s="6">
        <v>0</v>
      </c>
      <c r="F327" s="6">
        <v>36.664000000000001</v>
      </c>
      <c r="G327" s="12">
        <f t="shared" si="521"/>
        <v>3167769.6</v>
      </c>
      <c r="H327" s="14">
        <f t="shared" si="522"/>
        <v>3.1677696000000002</v>
      </c>
      <c r="I327" s="13">
        <f t="shared" si="523"/>
        <v>142549.63200000001</v>
      </c>
      <c r="J327" s="21">
        <f t="shared" si="524"/>
        <v>0.14254963200000001</v>
      </c>
      <c r="K327" s="13">
        <f t="shared" si="525"/>
        <v>17105.955840000002</v>
      </c>
      <c r="L327" s="13">
        <f t="shared" si="526"/>
        <v>1.7105955840000003E-2</v>
      </c>
      <c r="M327" s="27">
        <f t="shared" si="527"/>
        <v>0.15965558784</v>
      </c>
      <c r="N327" s="29">
        <f t="shared" si="528"/>
        <v>0.31677696000000005</v>
      </c>
      <c r="O327" s="28">
        <f t="shared" si="529"/>
        <v>2.6913370521600002</v>
      </c>
    </row>
    <row r="328" spans="1:15" x14ac:dyDescent="0.7">
      <c r="A328" s="5"/>
      <c r="B328" s="5"/>
      <c r="C328" s="2">
        <v>22</v>
      </c>
      <c r="D328" s="6">
        <v>24.696999999999999</v>
      </c>
      <c r="E328" s="6">
        <v>0</v>
      </c>
      <c r="F328" s="6">
        <v>24.696999999999999</v>
      </c>
      <c r="G328" s="12">
        <f t="shared" si="521"/>
        <v>2133820.7999999998</v>
      </c>
      <c r="H328" s="14">
        <f t="shared" si="522"/>
        <v>2.1338207999999996</v>
      </c>
      <c r="I328" s="13">
        <f t="shared" si="523"/>
        <v>96021.935999999987</v>
      </c>
      <c r="J328" s="21">
        <f t="shared" si="524"/>
        <v>9.6021935999999988E-2</v>
      </c>
      <c r="K328" s="13">
        <f t="shared" si="525"/>
        <v>11522.632319999999</v>
      </c>
      <c r="L328" s="13">
        <f t="shared" si="526"/>
        <v>1.1522632319999998E-2</v>
      </c>
      <c r="M328" s="27">
        <f t="shared" si="527"/>
        <v>0.10754456831999999</v>
      </c>
      <c r="N328" s="29">
        <f t="shared" si="528"/>
        <v>0.21338207999999997</v>
      </c>
      <c r="O328" s="28">
        <f t="shared" si="529"/>
        <v>1.8128941516799999</v>
      </c>
    </row>
    <row r="329" spans="1:15" x14ac:dyDescent="0.7">
      <c r="A329" s="5"/>
      <c r="B329" s="5"/>
      <c r="C329" s="5">
        <v>23</v>
      </c>
      <c r="D329" s="6">
        <v>22.527000000000001</v>
      </c>
      <c r="E329" s="6">
        <v>0</v>
      </c>
      <c r="F329" s="6">
        <v>22.527000000000001</v>
      </c>
      <c r="G329" s="12">
        <f t="shared" si="521"/>
        <v>1946332.8</v>
      </c>
      <c r="H329" s="14">
        <f t="shared" si="522"/>
        <v>1.9463328</v>
      </c>
      <c r="I329" s="13">
        <f t="shared" si="523"/>
        <v>87584.975999999995</v>
      </c>
      <c r="J329" s="21">
        <f t="shared" si="524"/>
        <v>8.7584975999999995E-2</v>
      </c>
      <c r="K329" s="13">
        <f t="shared" si="525"/>
        <v>10510.197119999999</v>
      </c>
      <c r="L329" s="13">
        <f t="shared" si="526"/>
        <v>1.0510197119999998E-2</v>
      </c>
      <c r="M329" s="27">
        <f t="shared" si="527"/>
        <v>9.809517311999999E-2</v>
      </c>
      <c r="N329" s="29">
        <f t="shared" si="528"/>
        <v>0.19463328000000002</v>
      </c>
      <c r="O329" s="28">
        <f t="shared" si="529"/>
        <v>1.6536043468799999</v>
      </c>
    </row>
    <row r="330" spans="1:15" x14ac:dyDescent="0.7">
      <c r="A330" s="5"/>
      <c r="B330" s="5"/>
      <c r="C330" s="5">
        <v>24</v>
      </c>
      <c r="D330" s="6">
        <v>20.442999999999998</v>
      </c>
      <c r="E330" s="6">
        <v>0</v>
      </c>
      <c r="F330" s="6">
        <v>20.442999999999998</v>
      </c>
      <c r="G330" s="12">
        <f t="shared" si="521"/>
        <v>1766275.1999999997</v>
      </c>
      <c r="H330" s="14">
        <f t="shared" si="522"/>
        <v>1.7662751999999997</v>
      </c>
      <c r="I330" s="13">
        <f t="shared" si="523"/>
        <v>79482.383999999991</v>
      </c>
      <c r="J330" s="21">
        <f t="shared" si="524"/>
        <v>7.9482383999999989E-2</v>
      </c>
      <c r="K330" s="13">
        <f t="shared" si="525"/>
        <v>9537.8860799999984</v>
      </c>
      <c r="L330" s="13">
        <f t="shared" si="526"/>
        <v>9.5378860799999986E-3</v>
      </c>
      <c r="M330" s="27">
        <f t="shared" si="527"/>
        <v>8.9020270079999991E-2</v>
      </c>
      <c r="N330" s="29">
        <f t="shared" si="528"/>
        <v>0.17662751999999998</v>
      </c>
      <c r="O330" s="28">
        <f t="shared" si="529"/>
        <v>1.5006274099199997</v>
      </c>
    </row>
    <row r="331" spans="1:15" x14ac:dyDescent="0.7">
      <c r="A331" s="5"/>
      <c r="B331" s="5"/>
      <c r="C331" s="2">
        <v>25</v>
      </c>
      <c r="D331" s="6">
        <v>18.457999999999998</v>
      </c>
      <c r="E331" s="6">
        <v>0</v>
      </c>
      <c r="F331" s="6">
        <v>18.457999999999998</v>
      </c>
      <c r="G331" s="12">
        <f t="shared" si="521"/>
        <v>1594771.2</v>
      </c>
      <c r="H331" s="14">
        <f t="shared" si="522"/>
        <v>1.5947712000000001</v>
      </c>
      <c r="I331" s="13">
        <f t="shared" si="523"/>
        <v>71764.703999999998</v>
      </c>
      <c r="J331" s="21">
        <f t="shared" si="524"/>
        <v>7.1764703999999999E-2</v>
      </c>
      <c r="K331" s="13">
        <f t="shared" si="525"/>
        <v>8611.7644799999998</v>
      </c>
      <c r="L331" s="13">
        <f t="shared" si="526"/>
        <v>8.611764479999999E-3</v>
      </c>
      <c r="M331" s="27">
        <f t="shared" si="527"/>
        <v>8.0376468479999991E-2</v>
      </c>
      <c r="N331" s="29">
        <f t="shared" si="528"/>
        <v>0.15947712000000003</v>
      </c>
      <c r="O331" s="28">
        <f t="shared" si="529"/>
        <v>1.3549176115200001</v>
      </c>
    </row>
    <row r="332" spans="1:15" x14ac:dyDescent="0.7">
      <c r="A332" s="5"/>
      <c r="B332" s="5"/>
      <c r="C332" s="5">
        <v>26</v>
      </c>
      <c r="D332" s="6">
        <v>18.457999999999998</v>
      </c>
      <c r="E332" s="6">
        <v>0.2</v>
      </c>
      <c r="F332" s="6">
        <v>18.457999999999998</v>
      </c>
      <c r="G332" s="12">
        <f t="shared" si="521"/>
        <v>1594771.2</v>
      </c>
      <c r="H332" s="14">
        <f t="shared" si="522"/>
        <v>1.5947712000000001</v>
      </c>
      <c r="I332" s="13">
        <f t="shared" si="523"/>
        <v>71764.703999999998</v>
      </c>
      <c r="J332" s="21">
        <f t="shared" si="524"/>
        <v>7.1764703999999999E-2</v>
      </c>
      <c r="K332" s="13">
        <f t="shared" si="525"/>
        <v>8611.7644799999998</v>
      </c>
      <c r="L332" s="13">
        <f t="shared" si="526"/>
        <v>8.611764479999999E-3</v>
      </c>
      <c r="M332" s="27">
        <f t="shared" si="527"/>
        <v>8.0376468479999991E-2</v>
      </c>
      <c r="N332" s="29">
        <f t="shared" si="528"/>
        <v>0.15947712000000003</v>
      </c>
      <c r="O332" s="28">
        <f t="shared" si="529"/>
        <v>1.3549176115200001</v>
      </c>
    </row>
    <row r="333" spans="1:15" x14ac:dyDescent="0.7">
      <c r="A333" s="5"/>
      <c r="B333" s="5"/>
      <c r="C333" s="5">
        <v>27</v>
      </c>
      <c r="D333" s="6">
        <v>17.503</v>
      </c>
      <c r="E333" s="6">
        <v>0</v>
      </c>
      <c r="F333" s="6">
        <v>17.503</v>
      </c>
      <c r="G333" s="12">
        <f t="shared" si="521"/>
        <v>1512259.2</v>
      </c>
      <c r="H333" s="14">
        <f t="shared" si="522"/>
        <v>1.5122591999999999</v>
      </c>
      <c r="I333" s="13">
        <f t="shared" si="523"/>
        <v>68051.66399999999</v>
      </c>
      <c r="J333" s="21">
        <f t="shared" si="524"/>
        <v>6.8051663999999984E-2</v>
      </c>
      <c r="K333" s="13">
        <f t="shared" si="525"/>
        <v>8166.1996799999988</v>
      </c>
      <c r="L333" s="13">
        <f t="shared" si="526"/>
        <v>8.166199679999998E-3</v>
      </c>
      <c r="M333" s="27">
        <f t="shared" si="527"/>
        <v>7.6217863679999984E-2</v>
      </c>
      <c r="N333" s="29">
        <f t="shared" si="528"/>
        <v>0.15122592000000001</v>
      </c>
      <c r="O333" s="28">
        <f t="shared" si="529"/>
        <v>1.2848154163199998</v>
      </c>
    </row>
    <row r="334" spans="1:15" x14ac:dyDescent="0.7">
      <c r="A334" s="5"/>
      <c r="B334" s="5"/>
      <c r="C334" s="5">
        <v>28</v>
      </c>
      <c r="D334" s="6">
        <v>24.085000000000001</v>
      </c>
      <c r="E334" s="6">
        <v>0</v>
      </c>
      <c r="F334" s="6">
        <v>24.085000000000001</v>
      </c>
      <c r="G334" s="45">
        <f t="shared" si="521"/>
        <v>2080944</v>
      </c>
      <c r="H334" s="13">
        <f t="shared" si="522"/>
        <v>2.0809440000000001</v>
      </c>
      <c r="I334" s="13">
        <f t="shared" si="523"/>
        <v>93642.48000000001</v>
      </c>
      <c r="J334" s="21">
        <f t="shared" si="524"/>
        <v>9.3642480000000014E-2</v>
      </c>
      <c r="K334" s="13">
        <f t="shared" si="525"/>
        <v>11237.097600000001</v>
      </c>
      <c r="L334" s="13">
        <f t="shared" si="526"/>
        <v>1.1237097600000001E-2</v>
      </c>
      <c r="M334" s="13">
        <f t="shared" si="527"/>
        <v>0.10487957760000001</v>
      </c>
      <c r="N334" s="29">
        <f t="shared" si="528"/>
        <v>0.20809440000000001</v>
      </c>
      <c r="O334" s="13">
        <f t="shared" si="529"/>
        <v>1.7679700224000001</v>
      </c>
    </row>
    <row r="335" spans="1:15" s="20" customFormat="1" x14ac:dyDescent="0.7">
      <c r="A335" s="5"/>
      <c r="B335" s="5"/>
      <c r="C335" s="5">
        <v>29</v>
      </c>
      <c r="D335" s="6">
        <v>16.574999999999999</v>
      </c>
      <c r="E335" s="6">
        <v>0</v>
      </c>
      <c r="F335" s="6">
        <v>16.574999999999999</v>
      </c>
      <c r="G335" s="45">
        <f t="shared" si="521"/>
        <v>1432080</v>
      </c>
      <c r="H335" s="13">
        <f t="shared" si="522"/>
        <v>1.43208</v>
      </c>
      <c r="I335" s="13">
        <f t="shared" si="523"/>
        <v>64443.6</v>
      </c>
      <c r="J335" s="21">
        <f t="shared" si="524"/>
        <v>6.4443600000000004E-2</v>
      </c>
      <c r="K335" s="13">
        <f t="shared" si="525"/>
        <v>7733.232</v>
      </c>
      <c r="L335" s="13">
        <f t="shared" si="526"/>
        <v>7.7332319999999996E-3</v>
      </c>
      <c r="M335" s="13">
        <f t="shared" si="527"/>
        <v>7.2176831999999996E-2</v>
      </c>
      <c r="N335" s="29">
        <f t="shared" si="528"/>
        <v>0.143208</v>
      </c>
      <c r="O335" s="13">
        <f t="shared" si="529"/>
        <v>1.216695168</v>
      </c>
    </row>
    <row r="336" spans="1:15" s="46" customFormat="1" ht="25.2" thickBot="1" x14ac:dyDescent="0.75">
      <c r="A336" s="8"/>
      <c r="B336" s="8" t="s">
        <v>25</v>
      </c>
      <c r="C336" s="8">
        <v>30</v>
      </c>
      <c r="D336" s="9">
        <v>16.574999999999999</v>
      </c>
      <c r="E336" s="9">
        <v>0</v>
      </c>
      <c r="F336" s="9">
        <v>16.574999999999999</v>
      </c>
      <c r="G336" s="19">
        <f t="shared" si="521"/>
        <v>1432080</v>
      </c>
      <c r="H336" s="15">
        <f t="shared" si="522"/>
        <v>1.43208</v>
      </c>
      <c r="I336" s="15">
        <f t="shared" si="523"/>
        <v>64443.6</v>
      </c>
      <c r="J336" s="22">
        <f t="shared" si="524"/>
        <v>6.4443600000000004E-2</v>
      </c>
      <c r="K336" s="15">
        <f t="shared" si="525"/>
        <v>7733.232</v>
      </c>
      <c r="L336" s="15">
        <f t="shared" si="526"/>
        <v>7.7332319999999996E-3</v>
      </c>
      <c r="M336" s="15">
        <f t="shared" si="527"/>
        <v>7.2176831999999996E-2</v>
      </c>
      <c r="N336" s="34">
        <f t="shared" si="528"/>
        <v>0.143208</v>
      </c>
      <c r="O336" s="15">
        <f t="shared" si="529"/>
        <v>1.216695168</v>
      </c>
    </row>
    <row r="337" spans="1:15" x14ac:dyDescent="0.7">
      <c r="A337" s="4"/>
      <c r="B337" s="2" t="s">
        <v>26</v>
      </c>
      <c r="C337" s="2">
        <v>1</v>
      </c>
      <c r="D337" s="3">
        <v>15.676</v>
      </c>
      <c r="E337" s="3">
        <v>0.1</v>
      </c>
      <c r="F337" s="3">
        <v>15.676</v>
      </c>
      <c r="G337" s="12">
        <f t="shared" si="521"/>
        <v>1354406.4</v>
      </c>
      <c r="H337" s="14">
        <f t="shared" si="522"/>
        <v>1.3544064</v>
      </c>
      <c r="I337" s="14">
        <f t="shared" si="523"/>
        <v>60948.287999999993</v>
      </c>
      <c r="J337" s="26">
        <f t="shared" si="524"/>
        <v>6.0948287999999996E-2</v>
      </c>
      <c r="K337" s="14">
        <f t="shared" si="525"/>
        <v>7313.7945599999994</v>
      </c>
      <c r="L337" s="14">
        <f t="shared" si="526"/>
        <v>7.3137945599999997E-3</v>
      </c>
      <c r="M337" s="30">
        <f t="shared" si="527"/>
        <v>6.8262082559999993E-2</v>
      </c>
      <c r="N337" s="31">
        <f t="shared" si="528"/>
        <v>0.13544064</v>
      </c>
      <c r="O337" s="32">
        <f t="shared" si="529"/>
        <v>1.1507036774400001</v>
      </c>
    </row>
    <row r="338" spans="1:15" x14ac:dyDescent="0.7">
      <c r="A338" s="7"/>
      <c r="B338" s="5"/>
      <c r="C338" s="5">
        <v>2</v>
      </c>
      <c r="D338" s="6">
        <v>15.676</v>
      </c>
      <c r="E338" s="6">
        <v>0</v>
      </c>
      <c r="F338" s="6">
        <v>15.676</v>
      </c>
      <c r="G338" s="12">
        <f t="shared" si="521"/>
        <v>1354406.4</v>
      </c>
      <c r="H338" s="14">
        <f t="shared" si="522"/>
        <v>1.3544064</v>
      </c>
      <c r="I338" s="13">
        <f t="shared" si="523"/>
        <v>60948.287999999993</v>
      </c>
      <c r="J338" s="21">
        <f t="shared" si="524"/>
        <v>6.0948287999999996E-2</v>
      </c>
      <c r="K338" s="13">
        <f t="shared" si="525"/>
        <v>7313.7945599999994</v>
      </c>
      <c r="L338" s="13">
        <f t="shared" si="526"/>
        <v>7.3137945599999997E-3</v>
      </c>
      <c r="M338" s="27">
        <f t="shared" si="527"/>
        <v>6.8262082559999993E-2</v>
      </c>
      <c r="N338" s="29">
        <f t="shared" si="528"/>
        <v>0.13544064</v>
      </c>
      <c r="O338" s="28">
        <f t="shared" si="529"/>
        <v>1.1507036774400001</v>
      </c>
    </row>
    <row r="339" spans="1:15" x14ac:dyDescent="0.7">
      <c r="A339" s="7"/>
      <c r="B339" s="5"/>
      <c r="C339" s="5">
        <v>3</v>
      </c>
      <c r="D339" s="6">
        <v>15.676</v>
      </c>
      <c r="E339" s="6">
        <v>0</v>
      </c>
      <c r="F339" s="6">
        <v>15.676</v>
      </c>
      <c r="G339" s="12">
        <f t="shared" si="521"/>
        <v>1354406.4</v>
      </c>
      <c r="H339" s="14">
        <f t="shared" si="522"/>
        <v>1.3544064</v>
      </c>
      <c r="I339" s="13">
        <f t="shared" si="523"/>
        <v>60948.287999999993</v>
      </c>
      <c r="J339" s="21">
        <f t="shared" si="524"/>
        <v>6.0948287999999996E-2</v>
      </c>
      <c r="K339" s="13">
        <f t="shared" si="525"/>
        <v>7313.7945599999994</v>
      </c>
      <c r="L339" s="13">
        <f t="shared" si="526"/>
        <v>7.3137945599999997E-3</v>
      </c>
      <c r="M339" s="27">
        <f t="shared" si="527"/>
        <v>6.8262082559999993E-2</v>
      </c>
      <c r="N339" s="29">
        <f t="shared" si="528"/>
        <v>0.13544064</v>
      </c>
      <c r="O339" s="28">
        <f t="shared" si="529"/>
        <v>1.1507036774400001</v>
      </c>
    </row>
    <row r="340" spans="1:15" x14ac:dyDescent="0.7">
      <c r="A340" s="7"/>
      <c r="B340" s="5"/>
      <c r="C340" s="5">
        <v>4</v>
      </c>
      <c r="D340" s="6">
        <v>14.804</v>
      </c>
      <c r="E340" s="6">
        <v>0</v>
      </c>
      <c r="F340" s="6">
        <v>14.804</v>
      </c>
      <c r="G340" s="12">
        <f t="shared" si="521"/>
        <v>1279065.6000000001</v>
      </c>
      <c r="H340" s="14">
        <f t="shared" si="522"/>
        <v>1.2790656</v>
      </c>
      <c r="I340" s="13">
        <f t="shared" si="523"/>
        <v>57557.952000000005</v>
      </c>
      <c r="J340" s="21">
        <f t="shared" si="524"/>
        <v>5.7557952000000003E-2</v>
      </c>
      <c r="K340" s="13">
        <f t="shared" si="525"/>
        <v>6906.95424</v>
      </c>
      <c r="L340" s="13">
        <f t="shared" si="526"/>
        <v>6.9069542399999998E-3</v>
      </c>
      <c r="M340" s="27">
        <f t="shared" si="527"/>
        <v>6.4464906240000008E-2</v>
      </c>
      <c r="N340" s="29">
        <f t="shared" si="528"/>
        <v>0.12790656</v>
      </c>
      <c r="O340" s="28">
        <f t="shared" si="529"/>
        <v>1.08669413376</v>
      </c>
    </row>
    <row r="341" spans="1:15" x14ac:dyDescent="0.7">
      <c r="A341" s="7"/>
      <c r="B341" s="5"/>
      <c r="C341" s="5">
        <v>5</v>
      </c>
      <c r="D341" s="6">
        <v>9.17</v>
      </c>
      <c r="E341" s="6">
        <v>0</v>
      </c>
      <c r="F341" s="6">
        <v>9.17</v>
      </c>
      <c r="G341" s="12">
        <f t="shared" si="521"/>
        <v>792288</v>
      </c>
      <c r="H341" s="14">
        <f t="shared" si="522"/>
        <v>0.79228799999999999</v>
      </c>
      <c r="I341" s="13">
        <f t="shared" si="523"/>
        <v>35652.959999999999</v>
      </c>
      <c r="J341" s="21">
        <f t="shared" si="524"/>
        <v>3.5652959999999997E-2</v>
      </c>
      <c r="K341" s="13">
        <f t="shared" si="525"/>
        <v>4278.3552</v>
      </c>
      <c r="L341" s="13">
        <f t="shared" si="526"/>
        <v>4.2783552000000002E-3</v>
      </c>
      <c r="M341" s="27">
        <f t="shared" si="527"/>
        <v>3.9931315199999998E-2</v>
      </c>
      <c r="N341" s="29">
        <f t="shared" si="528"/>
        <v>7.9228800000000002E-2</v>
      </c>
      <c r="O341" s="28">
        <f t="shared" si="529"/>
        <v>0.67312788479999996</v>
      </c>
    </row>
    <row r="342" spans="1:15" x14ac:dyDescent="0.7">
      <c r="A342" s="7"/>
      <c r="B342" s="5"/>
      <c r="C342" s="5">
        <v>6</v>
      </c>
      <c r="D342" s="6">
        <v>9.17</v>
      </c>
      <c r="E342" s="6">
        <v>0</v>
      </c>
      <c r="F342" s="6">
        <v>9.17</v>
      </c>
      <c r="G342" s="12">
        <f t="shared" si="521"/>
        <v>792288</v>
      </c>
      <c r="H342" s="14">
        <f t="shared" si="522"/>
        <v>0.79228799999999999</v>
      </c>
      <c r="I342" s="13">
        <f t="shared" si="523"/>
        <v>35652.959999999999</v>
      </c>
      <c r="J342" s="21">
        <f t="shared" si="524"/>
        <v>3.5652959999999997E-2</v>
      </c>
      <c r="K342" s="13">
        <f t="shared" si="525"/>
        <v>4278.3552</v>
      </c>
      <c r="L342" s="13">
        <f t="shared" si="526"/>
        <v>4.2783552000000002E-3</v>
      </c>
      <c r="M342" s="27">
        <f t="shared" si="527"/>
        <v>3.9931315199999998E-2</v>
      </c>
      <c r="N342" s="29">
        <f t="shared" si="528"/>
        <v>7.9228800000000002E-2</v>
      </c>
      <c r="O342" s="28">
        <f t="shared" si="529"/>
        <v>0.67312788479999996</v>
      </c>
    </row>
    <row r="343" spans="1:15" x14ac:dyDescent="0.7">
      <c r="A343" s="7"/>
      <c r="B343" s="5"/>
      <c r="C343" s="5">
        <v>7</v>
      </c>
      <c r="D343" s="6">
        <v>11.622</v>
      </c>
      <c r="E343" s="6">
        <v>0</v>
      </c>
      <c r="F343" s="6">
        <v>11.622</v>
      </c>
      <c r="G343" s="12">
        <f t="shared" si="521"/>
        <v>1004140.8</v>
      </c>
      <c r="H343" s="14">
        <f t="shared" si="522"/>
        <v>1.0041408000000001</v>
      </c>
      <c r="I343" s="13">
        <f t="shared" si="523"/>
        <v>45186.336000000003</v>
      </c>
      <c r="J343" s="21">
        <f t="shared" si="524"/>
        <v>4.5186336000000001E-2</v>
      </c>
      <c r="K343" s="13">
        <f t="shared" si="525"/>
        <v>5422.3603199999998</v>
      </c>
      <c r="L343" s="13">
        <f t="shared" si="526"/>
        <v>5.4223603199999998E-3</v>
      </c>
      <c r="M343" s="27">
        <f t="shared" si="527"/>
        <v>5.060869632E-2</v>
      </c>
      <c r="N343" s="29">
        <f t="shared" si="528"/>
        <v>0.10041408000000002</v>
      </c>
      <c r="O343" s="28">
        <f t="shared" si="529"/>
        <v>0.85311802368</v>
      </c>
    </row>
    <row r="344" spans="1:15" x14ac:dyDescent="0.7">
      <c r="A344" s="7"/>
      <c r="B344" s="5"/>
      <c r="C344" s="5">
        <v>8</v>
      </c>
      <c r="D344" s="6">
        <v>10.91</v>
      </c>
      <c r="E344" s="6">
        <v>0</v>
      </c>
      <c r="F344" s="6">
        <v>10.91</v>
      </c>
      <c r="G344" s="12">
        <f t="shared" si="521"/>
        <v>942624</v>
      </c>
      <c r="H344" s="14">
        <f t="shared" si="522"/>
        <v>0.94262400000000002</v>
      </c>
      <c r="I344" s="13">
        <f t="shared" si="523"/>
        <v>42418.080000000002</v>
      </c>
      <c r="J344" s="21">
        <f t="shared" si="524"/>
        <v>4.2418080000000004E-2</v>
      </c>
      <c r="K344" s="13">
        <f t="shared" si="525"/>
        <v>5090.1696000000002</v>
      </c>
      <c r="L344" s="13">
        <f t="shared" si="526"/>
        <v>5.0901696000000005E-3</v>
      </c>
      <c r="M344" s="27">
        <f t="shared" si="527"/>
        <v>4.7508249600000003E-2</v>
      </c>
      <c r="N344" s="29">
        <f t="shared" si="528"/>
        <v>9.426240000000001E-2</v>
      </c>
      <c r="O344" s="28">
        <f t="shared" si="529"/>
        <v>0.80085335040000005</v>
      </c>
    </row>
    <row r="345" spans="1:15" x14ac:dyDescent="0.7">
      <c r="A345" s="7"/>
      <c r="B345" s="5"/>
      <c r="C345" s="5">
        <v>9</v>
      </c>
      <c r="D345" s="6">
        <v>10.872</v>
      </c>
      <c r="E345" s="6">
        <v>0</v>
      </c>
      <c r="F345" s="6">
        <v>10.872</v>
      </c>
      <c r="G345" s="12">
        <f t="shared" si="521"/>
        <v>939340.80000000005</v>
      </c>
      <c r="H345" s="14">
        <f t="shared" si="522"/>
        <v>0.93934080000000009</v>
      </c>
      <c r="I345" s="13">
        <f t="shared" si="523"/>
        <v>42270.336000000003</v>
      </c>
      <c r="J345" s="21">
        <f t="shared" si="524"/>
        <v>4.2270336000000006E-2</v>
      </c>
      <c r="K345" s="13">
        <f t="shared" si="525"/>
        <v>5072.4403200000006</v>
      </c>
      <c r="L345" s="13">
        <f t="shared" si="526"/>
        <v>5.0724403200000006E-3</v>
      </c>
      <c r="M345" s="27">
        <f t="shared" si="527"/>
        <v>4.7342776320000009E-2</v>
      </c>
      <c r="N345" s="29">
        <f t="shared" si="528"/>
        <v>9.3934080000000017E-2</v>
      </c>
      <c r="O345" s="28">
        <f t="shared" si="529"/>
        <v>0.79806394368</v>
      </c>
    </row>
    <row r="346" spans="1:15" x14ac:dyDescent="0.7">
      <c r="A346" s="7"/>
      <c r="B346" s="5"/>
      <c r="C346" s="5">
        <v>10</v>
      </c>
      <c r="D346" s="6">
        <v>10.925000000000001</v>
      </c>
      <c r="E346" s="6">
        <v>0</v>
      </c>
      <c r="F346" s="6">
        <v>10.925000000000001</v>
      </c>
      <c r="G346" s="12">
        <f t="shared" si="521"/>
        <v>943920.00000000012</v>
      </c>
      <c r="H346" s="14">
        <f t="shared" si="522"/>
        <v>0.94392000000000009</v>
      </c>
      <c r="I346" s="13">
        <f t="shared" si="523"/>
        <v>42476.4</v>
      </c>
      <c r="J346" s="21">
        <f t="shared" si="524"/>
        <v>4.2476400000000004E-2</v>
      </c>
      <c r="K346" s="13">
        <f t="shared" si="525"/>
        <v>5097.1679999999997</v>
      </c>
      <c r="L346" s="13">
        <f t="shared" si="526"/>
        <v>5.097168E-3</v>
      </c>
      <c r="M346" s="27">
        <f t="shared" si="527"/>
        <v>4.7573568000000004E-2</v>
      </c>
      <c r="N346" s="29">
        <f t="shared" si="528"/>
        <v>9.4392000000000018E-2</v>
      </c>
      <c r="O346" s="28">
        <f t="shared" si="529"/>
        <v>0.80195443200000005</v>
      </c>
    </row>
    <row r="347" spans="1:15" x14ac:dyDescent="0.7">
      <c r="A347" s="7"/>
      <c r="B347" s="5"/>
      <c r="C347" s="5">
        <v>11</v>
      </c>
      <c r="D347" s="6">
        <v>10.925000000000001</v>
      </c>
      <c r="E347" s="6">
        <v>0</v>
      </c>
      <c r="F347" s="6">
        <v>10.925000000000001</v>
      </c>
      <c r="G347" s="12">
        <f t="shared" si="521"/>
        <v>943920.00000000012</v>
      </c>
      <c r="H347" s="14">
        <f t="shared" si="522"/>
        <v>0.94392000000000009</v>
      </c>
      <c r="I347" s="13">
        <f t="shared" si="523"/>
        <v>42476.4</v>
      </c>
      <c r="J347" s="21">
        <f t="shared" si="524"/>
        <v>4.2476400000000004E-2</v>
      </c>
      <c r="K347" s="13">
        <f t="shared" si="525"/>
        <v>5097.1679999999997</v>
      </c>
      <c r="L347" s="13">
        <f t="shared" si="526"/>
        <v>5.097168E-3</v>
      </c>
      <c r="M347" s="27">
        <f t="shared" si="527"/>
        <v>4.7573568000000004E-2</v>
      </c>
      <c r="N347" s="29">
        <f t="shared" si="528"/>
        <v>9.4392000000000018E-2</v>
      </c>
      <c r="O347" s="28">
        <f t="shared" si="529"/>
        <v>0.80195443200000005</v>
      </c>
    </row>
    <row r="348" spans="1:15" x14ac:dyDescent="0.7">
      <c r="A348" s="7"/>
      <c r="B348" s="5"/>
      <c r="C348" s="5">
        <v>12</v>
      </c>
      <c r="D348" s="6">
        <v>10.648</v>
      </c>
      <c r="E348" s="6">
        <v>1.9</v>
      </c>
      <c r="F348" s="6">
        <v>10.648</v>
      </c>
      <c r="G348" s="12">
        <f t="shared" si="521"/>
        <v>919987.19999999995</v>
      </c>
      <c r="H348" s="14">
        <f t="shared" si="522"/>
        <v>0.9199872</v>
      </c>
      <c r="I348" s="13">
        <f t="shared" si="523"/>
        <v>41399.423999999999</v>
      </c>
      <c r="J348" s="21">
        <f t="shared" si="524"/>
        <v>4.1399423999999997E-2</v>
      </c>
      <c r="K348" s="13">
        <f t="shared" si="525"/>
        <v>4967.9308799999999</v>
      </c>
      <c r="L348" s="13">
        <f t="shared" si="526"/>
        <v>4.9679308799999997E-3</v>
      </c>
      <c r="M348" s="27">
        <f t="shared" si="527"/>
        <v>4.6367354879999996E-2</v>
      </c>
      <c r="N348" s="29">
        <f t="shared" si="528"/>
        <v>9.1998720000000006E-2</v>
      </c>
      <c r="O348" s="28">
        <f t="shared" si="529"/>
        <v>0.78162112512000004</v>
      </c>
    </row>
    <row r="349" spans="1:15" x14ac:dyDescent="0.7">
      <c r="A349" s="7"/>
      <c r="B349" s="5"/>
      <c r="C349" s="5">
        <v>13</v>
      </c>
      <c r="D349" s="6">
        <v>10.364000000000001</v>
      </c>
      <c r="E349" s="6">
        <v>16.3</v>
      </c>
      <c r="F349" s="6">
        <v>10.364000000000001</v>
      </c>
      <c r="G349" s="12">
        <f t="shared" si="521"/>
        <v>895449.60000000009</v>
      </c>
      <c r="H349" s="14">
        <f t="shared" si="522"/>
        <v>0.89544960000000007</v>
      </c>
      <c r="I349" s="13">
        <f t="shared" si="523"/>
        <v>40295.232000000004</v>
      </c>
      <c r="J349" s="21">
        <f t="shared" si="524"/>
        <v>4.0295232E-2</v>
      </c>
      <c r="K349" s="13">
        <f t="shared" si="525"/>
        <v>4835.4278400000003</v>
      </c>
      <c r="L349" s="13">
        <f t="shared" si="526"/>
        <v>4.8354278399999999E-3</v>
      </c>
      <c r="M349" s="27">
        <f t="shared" si="527"/>
        <v>4.5130659840000004E-2</v>
      </c>
      <c r="N349" s="29">
        <f t="shared" si="528"/>
        <v>8.9544960000000007E-2</v>
      </c>
      <c r="O349" s="28">
        <f t="shared" si="529"/>
        <v>0.76077398016000009</v>
      </c>
    </row>
    <row r="350" spans="1:15" x14ac:dyDescent="0.7">
      <c r="A350" s="7"/>
      <c r="B350" s="5"/>
      <c r="C350" s="5">
        <v>14</v>
      </c>
      <c r="D350" s="6">
        <v>53.626000000000005</v>
      </c>
      <c r="E350" s="6">
        <v>2.2999999999999998</v>
      </c>
      <c r="F350" s="6">
        <v>53.626000000000005</v>
      </c>
      <c r="G350" s="12">
        <f t="shared" si="521"/>
        <v>4633286.4000000004</v>
      </c>
      <c r="H350" s="14">
        <f t="shared" si="522"/>
        <v>4.6332864000000002</v>
      </c>
      <c r="I350" s="13">
        <f t="shared" si="523"/>
        <v>208497.88800000001</v>
      </c>
      <c r="J350" s="21">
        <f t="shared" si="524"/>
        <v>0.20849788800000002</v>
      </c>
      <c r="K350" s="13">
        <f t="shared" si="525"/>
        <v>25019.74656</v>
      </c>
      <c r="L350" s="13">
        <f t="shared" si="526"/>
        <v>2.501974656E-2</v>
      </c>
      <c r="M350" s="27">
        <f t="shared" si="527"/>
        <v>0.23351763456000002</v>
      </c>
      <c r="N350" s="29">
        <f t="shared" si="528"/>
        <v>0.46332864000000007</v>
      </c>
      <c r="O350" s="28">
        <f t="shared" si="529"/>
        <v>3.9364401254399999</v>
      </c>
    </row>
    <row r="351" spans="1:15" x14ac:dyDescent="0.7">
      <c r="A351" s="7"/>
      <c r="B351" s="5"/>
      <c r="C351" s="5">
        <v>15</v>
      </c>
      <c r="D351" s="6">
        <v>37.064999999999998</v>
      </c>
      <c r="E351" s="6">
        <v>14.5</v>
      </c>
      <c r="F351" s="6">
        <v>37.064999999999998</v>
      </c>
      <c r="G351" s="12">
        <f t="shared" si="521"/>
        <v>3202416</v>
      </c>
      <c r="H351" s="14">
        <f t="shared" si="522"/>
        <v>3.2024159999999999</v>
      </c>
      <c r="I351" s="13">
        <f t="shared" si="523"/>
        <v>144108.72</v>
      </c>
      <c r="J351" s="21">
        <f t="shared" si="524"/>
        <v>0.14410872</v>
      </c>
      <c r="K351" s="13">
        <f t="shared" si="525"/>
        <v>17293.046399999999</v>
      </c>
      <c r="L351" s="13">
        <f t="shared" si="526"/>
        <v>1.7293046399999998E-2</v>
      </c>
      <c r="M351" s="27">
        <f t="shared" si="527"/>
        <v>0.16140176639999998</v>
      </c>
      <c r="N351" s="29">
        <f t="shared" si="528"/>
        <v>0.32024160000000002</v>
      </c>
      <c r="O351" s="28">
        <f t="shared" si="529"/>
        <v>2.7207726335999998</v>
      </c>
    </row>
    <row r="352" spans="1:15" x14ac:dyDescent="0.7">
      <c r="A352" s="7"/>
      <c r="B352" s="5"/>
      <c r="C352" s="5">
        <v>16</v>
      </c>
      <c r="D352" s="6">
        <v>30.995000000000001</v>
      </c>
      <c r="E352" s="6">
        <v>0</v>
      </c>
      <c r="F352" s="6">
        <v>30.995000000000001</v>
      </c>
      <c r="G352" s="12">
        <f t="shared" si="521"/>
        <v>2677968</v>
      </c>
      <c r="H352" s="14">
        <f t="shared" si="522"/>
        <v>2.6779679999999999</v>
      </c>
      <c r="I352" s="13">
        <f t="shared" si="523"/>
        <v>120508.56</v>
      </c>
      <c r="J352" s="21">
        <f t="shared" si="524"/>
        <v>0.12050856</v>
      </c>
      <c r="K352" s="13">
        <f t="shared" si="525"/>
        <v>14461.027199999999</v>
      </c>
      <c r="L352" s="13">
        <f t="shared" si="526"/>
        <v>1.4461027199999999E-2</v>
      </c>
      <c r="M352" s="27">
        <f t="shared" si="527"/>
        <v>0.13496958719999999</v>
      </c>
      <c r="N352" s="29">
        <f t="shared" si="528"/>
        <v>0.2677968</v>
      </c>
      <c r="O352" s="28">
        <f t="shared" si="529"/>
        <v>2.2752016127999997</v>
      </c>
    </row>
    <row r="353" spans="1:15" x14ac:dyDescent="0.7">
      <c r="A353" s="7"/>
      <c r="B353" s="5"/>
      <c r="C353" s="5">
        <v>17</v>
      </c>
      <c r="D353" s="6">
        <v>15.571999999999999</v>
      </c>
      <c r="E353" s="6">
        <v>0</v>
      </c>
      <c r="F353" s="6">
        <v>15.571999999999999</v>
      </c>
      <c r="G353" s="12">
        <f t="shared" si="521"/>
        <v>1345420.7999999998</v>
      </c>
      <c r="H353" s="14">
        <f t="shared" si="522"/>
        <v>1.3454207999999999</v>
      </c>
      <c r="I353" s="13">
        <f t="shared" si="523"/>
        <v>60543.935999999987</v>
      </c>
      <c r="J353" s="21">
        <f t="shared" si="524"/>
        <v>6.0543935999999986E-2</v>
      </c>
      <c r="K353" s="13">
        <f t="shared" si="525"/>
        <v>7265.2723199999982</v>
      </c>
      <c r="L353" s="13">
        <f t="shared" si="526"/>
        <v>7.2652723199999984E-3</v>
      </c>
      <c r="M353" s="27">
        <f t="shared" si="527"/>
        <v>6.7809208319999981E-2</v>
      </c>
      <c r="N353" s="29">
        <f t="shared" si="528"/>
        <v>0.13454207999999998</v>
      </c>
      <c r="O353" s="28">
        <f t="shared" si="529"/>
        <v>1.14306951168</v>
      </c>
    </row>
    <row r="354" spans="1:15" x14ac:dyDescent="0.7">
      <c r="A354" s="7"/>
      <c r="B354" s="5"/>
      <c r="C354" s="5">
        <v>18</v>
      </c>
      <c r="D354" s="6">
        <v>12.917</v>
      </c>
      <c r="E354" s="6">
        <v>0</v>
      </c>
      <c r="F354" s="6">
        <v>12.917</v>
      </c>
      <c r="G354" s="12">
        <f t="shared" si="521"/>
        <v>1116028.8</v>
      </c>
      <c r="H354" s="14">
        <f t="shared" si="522"/>
        <v>1.1160288</v>
      </c>
      <c r="I354" s="13">
        <f t="shared" si="523"/>
        <v>50221.296000000002</v>
      </c>
      <c r="J354" s="21">
        <f t="shared" si="524"/>
        <v>5.0221296000000006E-2</v>
      </c>
      <c r="K354" s="13">
        <f t="shared" si="525"/>
        <v>6026.5555199999999</v>
      </c>
      <c r="L354" s="13">
        <f t="shared" si="526"/>
        <v>6.0265555199999999E-3</v>
      </c>
      <c r="M354" s="27">
        <f t="shared" si="527"/>
        <v>5.6247851520000003E-2</v>
      </c>
      <c r="N354" s="29">
        <f t="shared" si="528"/>
        <v>0.11160288000000002</v>
      </c>
      <c r="O354" s="28">
        <f t="shared" si="529"/>
        <v>0.94817806848000008</v>
      </c>
    </row>
    <row r="355" spans="1:15" x14ac:dyDescent="0.7">
      <c r="A355" s="7"/>
      <c r="B355" s="5"/>
      <c r="C355" s="5">
        <v>19</v>
      </c>
      <c r="D355" s="6">
        <v>11.124000000000001</v>
      </c>
      <c r="E355" s="6">
        <v>0</v>
      </c>
      <c r="F355" s="6">
        <v>11.124000000000001</v>
      </c>
      <c r="G355" s="12">
        <f t="shared" si="521"/>
        <v>961113.60000000009</v>
      </c>
      <c r="H355" s="14">
        <f t="shared" si="522"/>
        <v>0.96111360000000012</v>
      </c>
      <c r="I355" s="13">
        <f t="shared" si="523"/>
        <v>43250.112000000001</v>
      </c>
      <c r="J355" s="21">
        <f t="shared" si="524"/>
        <v>4.3250112E-2</v>
      </c>
      <c r="K355" s="13">
        <f t="shared" si="525"/>
        <v>5190.0134399999997</v>
      </c>
      <c r="L355" s="13">
        <f t="shared" si="526"/>
        <v>5.1900134399999994E-3</v>
      </c>
      <c r="M355" s="27">
        <f t="shared" si="527"/>
        <v>4.8440125440000002E-2</v>
      </c>
      <c r="N355" s="29">
        <f t="shared" si="528"/>
        <v>9.6111360000000021E-2</v>
      </c>
      <c r="O355" s="28">
        <f t="shared" si="529"/>
        <v>0.81656211456000016</v>
      </c>
    </row>
    <row r="356" spans="1:15" x14ac:dyDescent="0.7">
      <c r="A356" s="7"/>
      <c r="B356" s="5"/>
      <c r="C356" s="5">
        <v>20</v>
      </c>
      <c r="D356" s="6">
        <v>11.792</v>
      </c>
      <c r="E356" s="6">
        <v>0</v>
      </c>
      <c r="F356" s="6">
        <v>11.792</v>
      </c>
      <c r="G356" s="12">
        <f t="shared" si="521"/>
        <v>1018828.7999999999</v>
      </c>
      <c r="H356" s="14">
        <f t="shared" si="522"/>
        <v>1.0188287999999999</v>
      </c>
      <c r="I356" s="13">
        <f t="shared" si="523"/>
        <v>45847.295999999988</v>
      </c>
      <c r="J356" s="21">
        <f t="shared" si="524"/>
        <v>4.5847295999999989E-2</v>
      </c>
      <c r="K356" s="13">
        <f t="shared" si="525"/>
        <v>5501.675519999998</v>
      </c>
      <c r="L356" s="13">
        <f t="shared" si="526"/>
        <v>5.5016755199999981E-3</v>
      </c>
      <c r="M356" s="27">
        <f t="shared" si="527"/>
        <v>5.1348971519999988E-2</v>
      </c>
      <c r="N356" s="29">
        <f t="shared" si="528"/>
        <v>0.10188288</v>
      </c>
      <c r="O356" s="28">
        <f t="shared" si="529"/>
        <v>0.86559694847999991</v>
      </c>
    </row>
    <row r="357" spans="1:15" x14ac:dyDescent="0.7">
      <c r="A357" s="7"/>
      <c r="B357" s="5"/>
      <c r="C357" s="5">
        <v>21</v>
      </c>
      <c r="D357" s="6">
        <v>11.275</v>
      </c>
      <c r="E357" s="6">
        <v>0</v>
      </c>
      <c r="F357" s="6">
        <v>11.275</v>
      </c>
      <c r="G357" s="12">
        <f t="shared" si="521"/>
        <v>974160</v>
      </c>
      <c r="H357" s="14">
        <f t="shared" si="522"/>
        <v>0.97416000000000003</v>
      </c>
      <c r="I357" s="13">
        <f t="shared" si="523"/>
        <v>43837.2</v>
      </c>
      <c r="J357" s="21">
        <f t="shared" si="524"/>
        <v>4.38372E-2</v>
      </c>
      <c r="K357" s="13">
        <f t="shared" si="525"/>
        <v>5260.463999999999</v>
      </c>
      <c r="L357" s="13">
        <f t="shared" si="526"/>
        <v>5.2604639999999994E-3</v>
      </c>
      <c r="M357" s="27">
        <f t="shared" si="527"/>
        <v>4.9097663999999999E-2</v>
      </c>
      <c r="N357" s="29">
        <f t="shared" si="528"/>
        <v>9.7416000000000003E-2</v>
      </c>
      <c r="O357" s="28">
        <f t="shared" si="529"/>
        <v>0.82764633599999993</v>
      </c>
    </row>
    <row r="358" spans="1:15" x14ac:dyDescent="0.7">
      <c r="A358" s="7"/>
      <c r="B358" s="5"/>
      <c r="C358" s="5">
        <v>22</v>
      </c>
      <c r="D358" s="6">
        <v>11.097</v>
      </c>
      <c r="E358" s="6">
        <v>0</v>
      </c>
      <c r="F358" s="6">
        <v>11.097</v>
      </c>
      <c r="G358" s="12">
        <f t="shared" si="521"/>
        <v>958780.79999999993</v>
      </c>
      <c r="H358" s="14">
        <f t="shared" si="522"/>
        <v>0.95878079999999988</v>
      </c>
      <c r="I358" s="13">
        <f t="shared" si="523"/>
        <v>43145.135999999999</v>
      </c>
      <c r="J358" s="21">
        <f t="shared" si="524"/>
        <v>4.3145136000000001E-2</v>
      </c>
      <c r="K358" s="13">
        <f t="shared" si="525"/>
        <v>5177.4163199999994</v>
      </c>
      <c r="L358" s="13">
        <f t="shared" si="526"/>
        <v>5.1774163199999994E-3</v>
      </c>
      <c r="M358" s="27">
        <f t="shared" si="527"/>
        <v>4.8322552320000003E-2</v>
      </c>
      <c r="N358" s="29">
        <f t="shared" si="528"/>
        <v>9.5878079999999991E-2</v>
      </c>
      <c r="O358" s="28">
        <f t="shared" si="529"/>
        <v>0.81458016767999986</v>
      </c>
    </row>
    <row r="359" spans="1:15" x14ac:dyDescent="0.7">
      <c r="A359" s="7"/>
      <c r="B359" s="5"/>
      <c r="C359" s="5">
        <v>23</v>
      </c>
      <c r="D359" s="6">
        <v>11.097</v>
      </c>
      <c r="E359" s="6">
        <v>0</v>
      </c>
      <c r="F359" s="6">
        <v>11.097</v>
      </c>
      <c r="G359" s="12">
        <f t="shared" si="521"/>
        <v>958780.79999999993</v>
      </c>
      <c r="H359" s="14">
        <f t="shared" si="522"/>
        <v>0.95878079999999988</v>
      </c>
      <c r="I359" s="13">
        <f t="shared" si="523"/>
        <v>43145.135999999999</v>
      </c>
      <c r="J359" s="21">
        <f t="shared" si="524"/>
        <v>4.3145136000000001E-2</v>
      </c>
      <c r="K359" s="13">
        <f t="shared" si="525"/>
        <v>5177.4163199999994</v>
      </c>
      <c r="L359" s="13">
        <f t="shared" si="526"/>
        <v>5.1774163199999994E-3</v>
      </c>
      <c r="M359" s="27">
        <f t="shared" si="527"/>
        <v>4.8322552320000003E-2</v>
      </c>
      <c r="N359" s="29">
        <f t="shared" si="528"/>
        <v>9.5878079999999991E-2</v>
      </c>
      <c r="O359" s="28">
        <f t="shared" si="529"/>
        <v>0.81458016767999986</v>
      </c>
    </row>
    <row r="360" spans="1:15" x14ac:dyDescent="0.7">
      <c r="A360" s="7"/>
      <c r="B360" s="5"/>
      <c r="C360" s="5">
        <v>24</v>
      </c>
      <c r="D360" s="6">
        <v>11.097</v>
      </c>
      <c r="E360" s="6">
        <v>0</v>
      </c>
      <c r="F360" s="6">
        <v>11.097</v>
      </c>
      <c r="G360" s="12">
        <f t="shared" si="521"/>
        <v>958780.79999999993</v>
      </c>
      <c r="H360" s="14">
        <f t="shared" si="522"/>
        <v>0.95878079999999988</v>
      </c>
      <c r="I360" s="13">
        <f t="shared" si="523"/>
        <v>43145.135999999999</v>
      </c>
      <c r="J360" s="21">
        <f t="shared" si="524"/>
        <v>4.3145136000000001E-2</v>
      </c>
      <c r="K360" s="13">
        <f t="shared" si="525"/>
        <v>5177.4163199999994</v>
      </c>
      <c r="L360" s="13">
        <f t="shared" si="526"/>
        <v>5.1774163199999994E-3</v>
      </c>
      <c r="M360" s="27">
        <f t="shared" si="527"/>
        <v>4.8322552320000003E-2</v>
      </c>
      <c r="N360" s="29">
        <f t="shared" si="528"/>
        <v>9.5878079999999991E-2</v>
      </c>
      <c r="O360" s="28">
        <f t="shared" si="529"/>
        <v>0.81458016767999986</v>
      </c>
    </row>
    <row r="361" spans="1:15" x14ac:dyDescent="0.7">
      <c r="A361" s="7"/>
      <c r="B361" s="5"/>
      <c r="C361" s="5">
        <v>25</v>
      </c>
      <c r="D361" s="6">
        <v>10.749000000000001</v>
      </c>
      <c r="E361" s="6">
        <v>0</v>
      </c>
      <c r="F361" s="6">
        <v>10.749000000000001</v>
      </c>
      <c r="G361" s="12">
        <f t="shared" si="521"/>
        <v>928713.60000000009</v>
      </c>
      <c r="H361" s="14">
        <f t="shared" si="522"/>
        <v>0.92871360000000014</v>
      </c>
      <c r="I361" s="13">
        <f t="shared" si="523"/>
        <v>41792.112000000001</v>
      </c>
      <c r="J361" s="21">
        <f t="shared" si="524"/>
        <v>4.1792111999999999E-2</v>
      </c>
      <c r="K361" s="13">
        <f t="shared" si="525"/>
        <v>5015.0534399999997</v>
      </c>
      <c r="L361" s="13">
        <f t="shared" si="526"/>
        <v>5.0150534399999993E-3</v>
      </c>
      <c r="M361" s="27">
        <f t="shared" si="527"/>
        <v>4.680716544E-2</v>
      </c>
      <c r="N361" s="29">
        <f t="shared" si="528"/>
        <v>9.2871360000000014E-2</v>
      </c>
      <c r="O361" s="28">
        <f t="shared" si="529"/>
        <v>0.7890350745600001</v>
      </c>
    </row>
    <row r="362" spans="1:15" x14ac:dyDescent="0.7">
      <c r="A362" s="7"/>
      <c r="B362" s="5"/>
      <c r="C362" s="5">
        <v>26</v>
      </c>
      <c r="D362" s="6">
        <v>10.459</v>
      </c>
      <c r="E362" s="6">
        <v>0</v>
      </c>
      <c r="F362" s="6">
        <v>10.459</v>
      </c>
      <c r="G362" s="12">
        <f t="shared" si="521"/>
        <v>903657.6</v>
      </c>
      <c r="H362" s="14">
        <f t="shared" si="522"/>
        <v>0.90365759999999995</v>
      </c>
      <c r="I362" s="13">
        <f t="shared" si="523"/>
        <v>40664.591999999997</v>
      </c>
      <c r="J362" s="21">
        <f t="shared" si="524"/>
        <v>4.0664591999999999E-2</v>
      </c>
      <c r="K362" s="13">
        <f t="shared" si="525"/>
        <v>4879.7510399999992</v>
      </c>
      <c r="L362" s="13">
        <f t="shared" si="526"/>
        <v>4.8797510399999989E-3</v>
      </c>
      <c r="M362" s="27">
        <f t="shared" si="527"/>
        <v>4.5544343039999997E-2</v>
      </c>
      <c r="N362" s="29">
        <f t="shared" si="528"/>
        <v>9.0365760000000003E-2</v>
      </c>
      <c r="O362" s="28">
        <f t="shared" si="529"/>
        <v>0.76774749696</v>
      </c>
    </row>
    <row r="363" spans="1:15" x14ac:dyDescent="0.7">
      <c r="A363" s="7"/>
      <c r="B363" s="5"/>
      <c r="C363" s="5">
        <v>27</v>
      </c>
      <c r="D363" s="6">
        <v>10.459</v>
      </c>
      <c r="E363" s="6">
        <v>0</v>
      </c>
      <c r="F363" s="6">
        <v>10.459</v>
      </c>
      <c r="G363" s="12">
        <f t="shared" si="521"/>
        <v>903657.6</v>
      </c>
      <c r="H363" s="14">
        <f t="shared" si="522"/>
        <v>0.90365759999999995</v>
      </c>
      <c r="I363" s="13">
        <f t="shared" si="523"/>
        <v>40664.591999999997</v>
      </c>
      <c r="J363" s="21">
        <f t="shared" si="524"/>
        <v>4.0664591999999999E-2</v>
      </c>
      <c r="K363" s="13">
        <f t="shared" si="525"/>
        <v>4879.7510399999992</v>
      </c>
      <c r="L363" s="13">
        <f t="shared" si="526"/>
        <v>4.8797510399999989E-3</v>
      </c>
      <c r="M363" s="27">
        <f t="shared" si="527"/>
        <v>4.5544343039999997E-2</v>
      </c>
      <c r="N363" s="29">
        <f t="shared" si="528"/>
        <v>9.0365760000000003E-2</v>
      </c>
      <c r="O363" s="28">
        <f t="shared" si="529"/>
        <v>0.76774749696</v>
      </c>
    </row>
    <row r="364" spans="1:15" x14ac:dyDescent="0.7">
      <c r="A364" s="7"/>
      <c r="B364" s="5"/>
      <c r="C364" s="5">
        <v>28</v>
      </c>
      <c r="D364" s="6">
        <v>10.459</v>
      </c>
      <c r="E364" s="6">
        <v>0</v>
      </c>
      <c r="F364" s="6">
        <v>10.459</v>
      </c>
      <c r="G364" s="12">
        <f t="shared" si="521"/>
        <v>903657.6</v>
      </c>
      <c r="H364" s="14">
        <f t="shared" si="522"/>
        <v>0.90365759999999995</v>
      </c>
      <c r="I364" s="13">
        <f t="shared" si="523"/>
        <v>40664.591999999997</v>
      </c>
      <c r="J364" s="21">
        <f t="shared" si="524"/>
        <v>4.0664591999999999E-2</v>
      </c>
      <c r="K364" s="13">
        <f t="shared" si="525"/>
        <v>4879.7510399999992</v>
      </c>
      <c r="L364" s="13">
        <f t="shared" si="526"/>
        <v>4.8797510399999989E-3</v>
      </c>
      <c r="M364" s="27">
        <f t="shared" si="527"/>
        <v>4.5544343039999997E-2</v>
      </c>
      <c r="N364" s="29">
        <f t="shared" si="528"/>
        <v>9.0365760000000003E-2</v>
      </c>
      <c r="O364" s="28">
        <f t="shared" si="529"/>
        <v>0.76774749696</v>
      </c>
    </row>
    <row r="365" spans="1:15" x14ac:dyDescent="0.7">
      <c r="A365" s="25"/>
      <c r="B365" s="10"/>
      <c r="C365" s="10">
        <v>29</v>
      </c>
      <c r="D365" s="16">
        <v>10.268000000000001</v>
      </c>
      <c r="E365" s="6">
        <v>0</v>
      </c>
      <c r="F365" s="16">
        <v>10.268000000000001</v>
      </c>
      <c r="G365" s="17">
        <f t="shared" si="521"/>
        <v>887155.20000000007</v>
      </c>
      <c r="H365" s="18">
        <f t="shared" si="522"/>
        <v>0.88715520000000003</v>
      </c>
      <c r="I365" s="13">
        <f t="shared" si="523"/>
        <v>39921.984000000004</v>
      </c>
      <c r="J365" s="21">
        <f t="shared" si="524"/>
        <v>3.9921984000000001E-2</v>
      </c>
      <c r="K365" s="13">
        <f t="shared" si="525"/>
        <v>4790.6380800000006</v>
      </c>
      <c r="L365" s="13">
        <f t="shared" si="526"/>
        <v>4.7906380800000004E-3</v>
      </c>
      <c r="M365" s="27">
        <f t="shared" si="527"/>
        <v>4.471262208E-2</v>
      </c>
      <c r="N365" s="29">
        <f t="shared" si="528"/>
        <v>8.8715520000000006E-2</v>
      </c>
      <c r="O365" s="28">
        <f t="shared" si="529"/>
        <v>0.75372705791999994</v>
      </c>
    </row>
    <row r="366" spans="1:15" s="20" customFormat="1" x14ac:dyDescent="0.7">
      <c r="A366" s="7"/>
      <c r="B366" s="5"/>
      <c r="C366" s="5">
        <v>30</v>
      </c>
      <c r="D366" s="6">
        <v>10.206</v>
      </c>
      <c r="E366" s="6">
        <v>0</v>
      </c>
      <c r="F366" s="6">
        <v>10.206</v>
      </c>
      <c r="G366" s="45">
        <f t="shared" si="521"/>
        <v>881798.39999999991</v>
      </c>
      <c r="H366" s="13">
        <f t="shared" si="522"/>
        <v>0.88179839999999987</v>
      </c>
      <c r="I366" s="13">
        <f t="shared" si="523"/>
        <v>39680.927999999993</v>
      </c>
      <c r="J366" s="21">
        <f t="shared" si="524"/>
        <v>3.968092799999999E-2</v>
      </c>
      <c r="K366" s="13">
        <f t="shared" si="525"/>
        <v>4761.7113599999993</v>
      </c>
      <c r="L366" s="13">
        <f t="shared" si="526"/>
        <v>4.7617113599999995E-3</v>
      </c>
      <c r="M366" s="13">
        <f t="shared" si="527"/>
        <v>4.4442639359999987E-2</v>
      </c>
      <c r="N366" s="29">
        <f t="shared" si="528"/>
        <v>8.8179839999999995E-2</v>
      </c>
      <c r="O366" s="13">
        <f t="shared" si="529"/>
        <v>0.74917592063999983</v>
      </c>
    </row>
    <row r="367" spans="1:15" s="46" customFormat="1" ht="25.2" thickBot="1" x14ac:dyDescent="0.75">
      <c r="A367" s="43"/>
      <c r="B367" s="8" t="s">
        <v>26</v>
      </c>
      <c r="C367" s="8">
        <v>31</v>
      </c>
      <c r="D367" s="9">
        <v>10.145</v>
      </c>
      <c r="E367" s="9">
        <v>0</v>
      </c>
      <c r="F367" s="9">
        <v>10.145</v>
      </c>
      <c r="G367" s="19">
        <f t="shared" si="521"/>
        <v>876528</v>
      </c>
      <c r="H367" s="15">
        <f t="shared" si="522"/>
        <v>0.87652799999999997</v>
      </c>
      <c r="I367" s="15">
        <f t="shared" si="523"/>
        <v>39443.760000000002</v>
      </c>
      <c r="J367" s="22">
        <f t="shared" si="524"/>
        <v>3.9443760000000001E-2</v>
      </c>
      <c r="K367" s="15">
        <f t="shared" si="525"/>
        <v>4733.2511999999997</v>
      </c>
      <c r="L367" s="15">
        <f t="shared" si="526"/>
        <v>4.7332512E-3</v>
      </c>
      <c r="M367" s="15">
        <f t="shared" si="527"/>
        <v>4.4177011200000005E-2</v>
      </c>
      <c r="N367" s="34">
        <f t="shared" si="528"/>
        <v>8.7652800000000003E-2</v>
      </c>
      <c r="O367" s="15">
        <f t="shared" si="529"/>
        <v>0.74469818880000005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ignoredErrors>
    <ignoredError sqref="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2026-02-25T15:55:29Z</dcterms:modified>
</cp:coreProperties>
</file>