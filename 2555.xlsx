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99237E67-0564-49FE-90A8-9F6A7AC7F956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4" i="1" l="1"/>
  <c r="N65" i="1"/>
  <c r="N80" i="1"/>
  <c r="N99" i="1"/>
  <c r="N105" i="1"/>
  <c r="N107" i="1"/>
  <c r="N128" i="1"/>
  <c r="O128" i="1" s="1"/>
  <c r="N131" i="1"/>
  <c r="N168" i="1"/>
  <c r="N171" i="1"/>
  <c r="N195" i="1"/>
  <c r="N211" i="1"/>
  <c r="N232" i="1"/>
  <c r="O232" i="1" s="1"/>
  <c r="N233" i="1"/>
  <c r="N240" i="1"/>
  <c r="N257" i="1"/>
  <c r="N265" i="1"/>
  <c r="N267" i="1"/>
  <c r="N272" i="1"/>
  <c r="N297" i="1"/>
  <c r="N314" i="1"/>
  <c r="N315" i="1"/>
  <c r="N362" i="1"/>
  <c r="O362" i="1" s="1"/>
  <c r="K62" i="1"/>
  <c r="K91" i="1"/>
  <c r="K164" i="1"/>
  <c r="K182" i="1"/>
  <c r="K227" i="1"/>
  <c r="K240" i="1"/>
  <c r="K248" i="1"/>
  <c r="K262" i="1"/>
  <c r="K307" i="1"/>
  <c r="K323" i="1"/>
  <c r="I62" i="1"/>
  <c r="I63" i="1"/>
  <c r="K63" i="1" s="1"/>
  <c r="I76" i="1"/>
  <c r="K76" i="1" s="1"/>
  <c r="I77" i="1"/>
  <c r="K77" i="1" s="1"/>
  <c r="I78" i="1"/>
  <c r="K78" i="1" s="1"/>
  <c r="I85" i="1"/>
  <c r="K85" i="1" s="1"/>
  <c r="I86" i="1"/>
  <c r="K86" i="1" s="1"/>
  <c r="I87" i="1"/>
  <c r="K87" i="1" s="1"/>
  <c r="I91" i="1"/>
  <c r="I99" i="1"/>
  <c r="K99" i="1" s="1"/>
  <c r="I100" i="1"/>
  <c r="K100" i="1" s="1"/>
  <c r="I101" i="1"/>
  <c r="K101" i="1" s="1"/>
  <c r="I102" i="1"/>
  <c r="K102" i="1" s="1"/>
  <c r="I109" i="1"/>
  <c r="K109" i="1" s="1"/>
  <c r="I110" i="1"/>
  <c r="K110" i="1" s="1"/>
  <c r="I118" i="1"/>
  <c r="K118" i="1" s="1"/>
  <c r="I119" i="1"/>
  <c r="K119" i="1" s="1"/>
  <c r="I120" i="1"/>
  <c r="K120" i="1" s="1"/>
  <c r="I124" i="1"/>
  <c r="K124" i="1" s="1"/>
  <c r="I128" i="1"/>
  <c r="K128" i="1" s="1"/>
  <c r="I131" i="1"/>
  <c r="K131" i="1" s="1"/>
  <c r="I132" i="1"/>
  <c r="K132" i="1" s="1"/>
  <c r="I133" i="1"/>
  <c r="K133" i="1" s="1"/>
  <c r="I134" i="1"/>
  <c r="K134" i="1" s="1"/>
  <c r="I140" i="1"/>
  <c r="K140" i="1" s="1"/>
  <c r="I143" i="1"/>
  <c r="K143" i="1" s="1"/>
  <c r="I151" i="1"/>
  <c r="K151" i="1" s="1"/>
  <c r="I152" i="1"/>
  <c r="K152" i="1" s="1"/>
  <c r="I155" i="1"/>
  <c r="K155" i="1" s="1"/>
  <c r="I164" i="1"/>
  <c r="I172" i="1"/>
  <c r="K172" i="1" s="1"/>
  <c r="I173" i="1"/>
  <c r="K173" i="1" s="1"/>
  <c r="I182" i="1"/>
  <c r="I183" i="1"/>
  <c r="K183" i="1" s="1"/>
  <c r="I187" i="1"/>
  <c r="K187" i="1" s="1"/>
  <c r="I188" i="1"/>
  <c r="K188" i="1" s="1"/>
  <c r="I195" i="1"/>
  <c r="K195" i="1" s="1"/>
  <c r="I197" i="1"/>
  <c r="K197" i="1" s="1"/>
  <c r="I198" i="1"/>
  <c r="K198" i="1" s="1"/>
  <c r="I204" i="1"/>
  <c r="K204" i="1" s="1"/>
  <c r="I205" i="1"/>
  <c r="K205" i="1" s="1"/>
  <c r="I206" i="1"/>
  <c r="K206" i="1" s="1"/>
  <c r="I207" i="1"/>
  <c r="K207" i="1" s="1"/>
  <c r="I224" i="1"/>
  <c r="K224" i="1" s="1"/>
  <c r="I227" i="1"/>
  <c r="I228" i="1"/>
  <c r="K228" i="1" s="1"/>
  <c r="I230" i="1"/>
  <c r="K230" i="1" s="1"/>
  <c r="I236" i="1"/>
  <c r="K236" i="1" s="1"/>
  <c r="I237" i="1"/>
  <c r="K237" i="1" s="1"/>
  <c r="I238" i="1"/>
  <c r="K238" i="1" s="1"/>
  <c r="I239" i="1"/>
  <c r="K239" i="1" s="1"/>
  <c r="I240" i="1"/>
  <c r="I246" i="1"/>
  <c r="K246" i="1" s="1"/>
  <c r="I248" i="1"/>
  <c r="I252" i="1"/>
  <c r="K252" i="1" s="1"/>
  <c r="I256" i="1"/>
  <c r="K256" i="1" s="1"/>
  <c r="I259" i="1"/>
  <c r="K259" i="1" s="1"/>
  <c r="I261" i="1"/>
  <c r="K261" i="1" s="1"/>
  <c r="I262" i="1"/>
  <c r="I268" i="1"/>
  <c r="K268" i="1" s="1"/>
  <c r="I269" i="1"/>
  <c r="K269" i="1" s="1"/>
  <c r="I271" i="1"/>
  <c r="K271" i="1" s="1"/>
  <c r="I272" i="1"/>
  <c r="K272" i="1" s="1"/>
  <c r="I278" i="1"/>
  <c r="K278" i="1" s="1"/>
  <c r="I282" i="1"/>
  <c r="K282" i="1" s="1"/>
  <c r="I286" i="1"/>
  <c r="K286" i="1" s="1"/>
  <c r="I287" i="1"/>
  <c r="K287" i="1" s="1"/>
  <c r="I288" i="1"/>
  <c r="K288" i="1" s="1"/>
  <c r="I300" i="1"/>
  <c r="K300" i="1" s="1"/>
  <c r="I304" i="1"/>
  <c r="K304" i="1" s="1"/>
  <c r="I307" i="1"/>
  <c r="I314" i="1"/>
  <c r="K314" i="1" s="1"/>
  <c r="I315" i="1"/>
  <c r="K315" i="1" s="1"/>
  <c r="I316" i="1"/>
  <c r="K316" i="1" s="1"/>
  <c r="I317" i="1"/>
  <c r="K317" i="1" s="1"/>
  <c r="I318" i="1"/>
  <c r="K318" i="1" s="1"/>
  <c r="I323" i="1"/>
  <c r="I326" i="1"/>
  <c r="K326" i="1" s="1"/>
  <c r="I327" i="1"/>
  <c r="K327" i="1" s="1"/>
  <c r="I332" i="1"/>
  <c r="K332" i="1" s="1"/>
  <c r="I333" i="1"/>
  <c r="K333" i="1" s="1"/>
  <c r="I342" i="1"/>
  <c r="K342" i="1" s="1"/>
  <c r="I343" i="1"/>
  <c r="K343" i="1" s="1"/>
  <c r="I344" i="1"/>
  <c r="K344" i="1" s="1"/>
  <c r="I352" i="1"/>
  <c r="K352" i="1" s="1"/>
  <c r="I360" i="1"/>
  <c r="K360" i="1" s="1"/>
  <c r="I362" i="1"/>
  <c r="K362" i="1" s="1"/>
  <c r="M62" i="1"/>
  <c r="G62" i="1"/>
  <c r="H62" i="1" s="1"/>
  <c r="G63" i="1"/>
  <c r="H63" i="1" s="1"/>
  <c r="M63" i="1"/>
  <c r="G64" i="1"/>
  <c r="H64" i="1" s="1"/>
  <c r="M64" i="1"/>
  <c r="G65" i="1"/>
  <c r="H65" i="1" s="1"/>
  <c r="I65" i="1" s="1"/>
  <c r="K65" i="1" s="1"/>
  <c r="M65" i="1"/>
  <c r="G66" i="1"/>
  <c r="H66" i="1" s="1"/>
  <c r="M66" i="1"/>
  <c r="G67" i="1"/>
  <c r="H67" i="1" s="1"/>
  <c r="N67" i="1" s="1"/>
  <c r="M67" i="1"/>
  <c r="G68" i="1"/>
  <c r="H68" i="1" s="1"/>
  <c r="M68" i="1"/>
  <c r="G69" i="1"/>
  <c r="H69" i="1" s="1"/>
  <c r="M69" i="1"/>
  <c r="G70" i="1"/>
  <c r="H70" i="1" s="1"/>
  <c r="M70" i="1"/>
  <c r="G71" i="1"/>
  <c r="H71" i="1" s="1"/>
  <c r="I71" i="1" s="1"/>
  <c r="K71" i="1" s="1"/>
  <c r="M71" i="1"/>
  <c r="G72" i="1"/>
  <c r="H72" i="1" s="1"/>
  <c r="M72" i="1"/>
  <c r="G73" i="1"/>
  <c r="H73" i="1" s="1"/>
  <c r="M73" i="1"/>
  <c r="G74" i="1"/>
  <c r="H74" i="1" s="1"/>
  <c r="M74" i="1"/>
  <c r="G75" i="1"/>
  <c r="H75" i="1" s="1"/>
  <c r="N75" i="1" s="1"/>
  <c r="M75" i="1"/>
  <c r="G76" i="1"/>
  <c r="H76" i="1" s="1"/>
  <c r="M76" i="1"/>
  <c r="G77" i="1"/>
  <c r="H77" i="1" s="1"/>
  <c r="N77" i="1" s="1"/>
  <c r="M77" i="1"/>
  <c r="G78" i="1"/>
  <c r="H78" i="1" s="1"/>
  <c r="N78" i="1" s="1"/>
  <c r="M78" i="1"/>
  <c r="O78" i="1"/>
  <c r="G79" i="1"/>
  <c r="H79" i="1" s="1"/>
  <c r="N79" i="1" s="1"/>
  <c r="M79" i="1"/>
  <c r="G80" i="1"/>
  <c r="H80" i="1" s="1"/>
  <c r="I80" i="1" s="1"/>
  <c r="K80" i="1" s="1"/>
  <c r="M80" i="1"/>
  <c r="O80" i="1"/>
  <c r="G81" i="1"/>
  <c r="H81" i="1" s="1"/>
  <c r="M81" i="1"/>
  <c r="G82" i="1"/>
  <c r="H82" i="1" s="1"/>
  <c r="M82" i="1"/>
  <c r="G83" i="1"/>
  <c r="H83" i="1" s="1"/>
  <c r="N83" i="1" s="1"/>
  <c r="M83" i="1"/>
  <c r="G84" i="1"/>
  <c r="H84" i="1" s="1"/>
  <c r="M84" i="1"/>
  <c r="G85" i="1"/>
  <c r="H85" i="1" s="1"/>
  <c r="M85" i="1"/>
  <c r="G86" i="1"/>
  <c r="H86" i="1" s="1"/>
  <c r="M86" i="1"/>
  <c r="G87" i="1"/>
  <c r="H87" i="1" s="1"/>
  <c r="M87" i="1"/>
  <c r="G88" i="1"/>
  <c r="H88" i="1" s="1"/>
  <c r="M88" i="1"/>
  <c r="G89" i="1"/>
  <c r="H89" i="1" s="1"/>
  <c r="N89" i="1" s="1"/>
  <c r="M89" i="1"/>
  <c r="G90" i="1"/>
  <c r="H90" i="1" s="1"/>
  <c r="M90" i="1"/>
  <c r="G91" i="1"/>
  <c r="H91" i="1" s="1"/>
  <c r="N91" i="1" s="1"/>
  <c r="M91" i="1"/>
  <c r="G92" i="1"/>
  <c r="H92" i="1" s="1"/>
  <c r="M92" i="1"/>
  <c r="G93" i="1"/>
  <c r="H93" i="1" s="1"/>
  <c r="M93" i="1"/>
  <c r="G94" i="1"/>
  <c r="H94" i="1" s="1"/>
  <c r="I94" i="1" s="1"/>
  <c r="K94" i="1" s="1"/>
  <c r="M94" i="1"/>
  <c r="G95" i="1"/>
  <c r="H95" i="1" s="1"/>
  <c r="N95" i="1" s="1"/>
  <c r="M95" i="1"/>
  <c r="G96" i="1"/>
  <c r="H96" i="1" s="1"/>
  <c r="N96" i="1" s="1"/>
  <c r="M96" i="1"/>
  <c r="O96" i="1"/>
  <c r="G97" i="1"/>
  <c r="H97" i="1" s="1"/>
  <c r="M97" i="1"/>
  <c r="G98" i="1"/>
  <c r="H98" i="1" s="1"/>
  <c r="M98" i="1"/>
  <c r="G99" i="1"/>
  <c r="H99" i="1" s="1"/>
  <c r="M99" i="1"/>
  <c r="G100" i="1"/>
  <c r="H100" i="1" s="1"/>
  <c r="N100" i="1" s="1"/>
  <c r="M100" i="1"/>
  <c r="O100" i="1"/>
  <c r="G101" i="1"/>
  <c r="H101" i="1" s="1"/>
  <c r="M101" i="1"/>
  <c r="G102" i="1"/>
  <c r="H102" i="1" s="1"/>
  <c r="M102" i="1"/>
  <c r="G103" i="1"/>
  <c r="H103" i="1" s="1"/>
  <c r="M103" i="1"/>
  <c r="G104" i="1"/>
  <c r="H104" i="1" s="1"/>
  <c r="N104" i="1" s="1"/>
  <c r="M104" i="1"/>
  <c r="G105" i="1"/>
  <c r="H105" i="1" s="1"/>
  <c r="M105" i="1"/>
  <c r="G106" i="1"/>
  <c r="H106" i="1" s="1"/>
  <c r="M106" i="1"/>
  <c r="G107" i="1"/>
  <c r="H107" i="1" s="1"/>
  <c r="I107" i="1" s="1"/>
  <c r="K107" i="1" s="1"/>
  <c r="M107" i="1"/>
  <c r="G108" i="1"/>
  <c r="H108" i="1" s="1"/>
  <c r="M108" i="1"/>
  <c r="G109" i="1"/>
  <c r="H109" i="1" s="1"/>
  <c r="N109" i="1" s="1"/>
  <c r="M109" i="1"/>
  <c r="G110" i="1"/>
  <c r="H110" i="1" s="1"/>
  <c r="N110" i="1" s="1"/>
  <c r="M110" i="1"/>
  <c r="O110" i="1"/>
  <c r="G111" i="1"/>
  <c r="H111" i="1" s="1"/>
  <c r="N111" i="1" s="1"/>
  <c r="M111" i="1"/>
  <c r="G112" i="1"/>
  <c r="H112" i="1" s="1"/>
  <c r="I112" i="1" s="1"/>
  <c r="K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M117" i="1"/>
  <c r="G118" i="1"/>
  <c r="H118" i="1" s="1"/>
  <c r="M118" i="1"/>
  <c r="G119" i="1"/>
  <c r="H119" i="1" s="1"/>
  <c r="M119" i="1"/>
  <c r="G120" i="1"/>
  <c r="H120" i="1" s="1"/>
  <c r="M120" i="1"/>
  <c r="G121" i="1"/>
  <c r="H121" i="1" s="1"/>
  <c r="M121" i="1"/>
  <c r="G122" i="1"/>
  <c r="H122" i="1" s="1"/>
  <c r="M122" i="1"/>
  <c r="G123" i="1"/>
  <c r="H123" i="1" s="1"/>
  <c r="N123" i="1" s="1"/>
  <c r="M123" i="1"/>
  <c r="G124" i="1"/>
  <c r="H124" i="1" s="1"/>
  <c r="M124" i="1"/>
  <c r="G125" i="1"/>
  <c r="H125" i="1" s="1"/>
  <c r="N125" i="1" s="1"/>
  <c r="M125" i="1"/>
  <c r="G126" i="1"/>
  <c r="H126" i="1" s="1"/>
  <c r="M126" i="1"/>
  <c r="G127" i="1"/>
  <c r="H127" i="1" s="1"/>
  <c r="M127" i="1"/>
  <c r="G128" i="1"/>
  <c r="H128" i="1" s="1"/>
  <c r="M128" i="1"/>
  <c r="G129" i="1"/>
  <c r="H129" i="1" s="1"/>
  <c r="I129" i="1" s="1"/>
  <c r="K129" i="1" s="1"/>
  <c r="M129" i="1"/>
  <c r="G130" i="1"/>
  <c r="H130" i="1" s="1"/>
  <c r="M130" i="1"/>
  <c r="G131" i="1"/>
  <c r="H131" i="1" s="1"/>
  <c r="M131" i="1"/>
  <c r="G132" i="1"/>
  <c r="H132" i="1" s="1"/>
  <c r="N132" i="1" s="1"/>
  <c r="M132" i="1"/>
  <c r="O132" i="1"/>
  <c r="G133" i="1"/>
  <c r="H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M138" i="1"/>
  <c r="G139" i="1"/>
  <c r="H139" i="1" s="1"/>
  <c r="N139" i="1" s="1"/>
  <c r="M139" i="1"/>
  <c r="G140" i="1"/>
  <c r="H140" i="1" s="1"/>
  <c r="M140" i="1"/>
  <c r="G141" i="1"/>
  <c r="H141" i="1" s="1"/>
  <c r="N141" i="1" s="1"/>
  <c r="M141" i="1"/>
  <c r="G142" i="1"/>
  <c r="H142" i="1" s="1"/>
  <c r="M142" i="1"/>
  <c r="G143" i="1"/>
  <c r="H143" i="1" s="1"/>
  <c r="N143" i="1" s="1"/>
  <c r="M143" i="1"/>
  <c r="G144" i="1"/>
  <c r="H144" i="1" s="1"/>
  <c r="M144" i="1"/>
  <c r="G145" i="1"/>
  <c r="H145" i="1" s="1"/>
  <c r="I145" i="1" s="1"/>
  <c r="K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M149" i="1"/>
  <c r="G150" i="1"/>
  <c r="H150" i="1" s="1"/>
  <c r="I150" i="1" s="1"/>
  <c r="K150" i="1" s="1"/>
  <c r="M150" i="1"/>
  <c r="G151" i="1"/>
  <c r="H151" i="1" s="1"/>
  <c r="N151" i="1" s="1"/>
  <c r="M151" i="1"/>
  <c r="G152" i="1"/>
  <c r="H152" i="1"/>
  <c r="M152" i="1"/>
  <c r="G153" i="1"/>
  <c r="H153" i="1" s="1"/>
  <c r="M153" i="1"/>
  <c r="G154" i="1"/>
  <c r="H154" i="1"/>
  <c r="M154" i="1"/>
  <c r="G155" i="1"/>
  <c r="H155" i="1" s="1"/>
  <c r="M155" i="1"/>
  <c r="G156" i="1"/>
  <c r="H156" i="1"/>
  <c r="N156" i="1" s="1"/>
  <c r="M156" i="1"/>
  <c r="G157" i="1"/>
  <c r="H157" i="1" s="1"/>
  <c r="N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 s="1"/>
  <c r="M161" i="1"/>
  <c r="G162" i="1"/>
  <c r="H162" i="1"/>
  <c r="M162" i="1"/>
  <c r="G163" i="1"/>
  <c r="H163" i="1" s="1"/>
  <c r="N163" i="1" s="1"/>
  <c r="M163" i="1"/>
  <c r="G164" i="1"/>
  <c r="H164" i="1"/>
  <c r="N164" i="1" s="1"/>
  <c r="M164" i="1"/>
  <c r="O164" i="1"/>
  <c r="G165" i="1"/>
  <c r="H165" i="1" s="1"/>
  <c r="N165" i="1" s="1"/>
  <c r="M165" i="1"/>
  <c r="G166" i="1"/>
  <c r="H166" i="1" s="1"/>
  <c r="I166" i="1" s="1"/>
  <c r="K166" i="1" s="1"/>
  <c r="M166" i="1"/>
  <c r="G167" i="1"/>
  <c r="H167" i="1" s="1"/>
  <c r="N167" i="1" s="1"/>
  <c r="M167" i="1"/>
  <c r="G168" i="1"/>
  <c r="H168" i="1"/>
  <c r="M168" i="1"/>
  <c r="G169" i="1"/>
  <c r="H169" i="1" s="1"/>
  <c r="I169" i="1" s="1"/>
  <c r="K169" i="1" s="1"/>
  <c r="M169" i="1"/>
  <c r="G170" i="1"/>
  <c r="H170" i="1" s="1"/>
  <c r="M170" i="1"/>
  <c r="G171" i="1"/>
  <c r="H171" i="1" s="1"/>
  <c r="M171" i="1"/>
  <c r="G172" i="1"/>
  <c r="H172" i="1"/>
  <c r="M172" i="1"/>
  <c r="G173" i="1"/>
  <c r="H173" i="1" s="1"/>
  <c r="N173" i="1" s="1"/>
  <c r="M173" i="1"/>
  <c r="G174" i="1"/>
  <c r="H174" i="1" s="1"/>
  <c r="M174" i="1"/>
  <c r="G175" i="1"/>
  <c r="H175" i="1" s="1"/>
  <c r="N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/>
  <c r="M180" i="1"/>
  <c r="G181" i="1"/>
  <c r="H181" i="1" s="1"/>
  <c r="M181" i="1"/>
  <c r="G182" i="1"/>
  <c r="H182" i="1" s="1"/>
  <c r="M182" i="1"/>
  <c r="G183" i="1"/>
  <c r="H183" i="1" s="1"/>
  <c r="N183" i="1" s="1"/>
  <c r="M183" i="1"/>
  <c r="G184" i="1"/>
  <c r="H184" i="1" s="1"/>
  <c r="M184" i="1"/>
  <c r="G185" i="1"/>
  <c r="H185" i="1" s="1"/>
  <c r="M185" i="1"/>
  <c r="G186" i="1"/>
  <c r="H186" i="1"/>
  <c r="M186" i="1"/>
  <c r="G187" i="1"/>
  <c r="H187" i="1" s="1"/>
  <c r="N187" i="1" s="1"/>
  <c r="M187" i="1"/>
  <c r="G188" i="1"/>
  <c r="H188" i="1"/>
  <c r="M188" i="1"/>
  <c r="G189" i="1"/>
  <c r="H189" i="1" s="1"/>
  <c r="N189" i="1" s="1"/>
  <c r="M189" i="1"/>
  <c r="G190" i="1"/>
  <c r="H190" i="1" s="1"/>
  <c r="M190" i="1"/>
  <c r="G191" i="1"/>
  <c r="H191" i="1" s="1"/>
  <c r="M191" i="1"/>
  <c r="G192" i="1"/>
  <c r="H192" i="1" s="1"/>
  <c r="M192" i="1"/>
  <c r="G193" i="1"/>
  <c r="H193" i="1" s="1"/>
  <c r="I193" i="1" s="1"/>
  <c r="K193" i="1" s="1"/>
  <c r="M193" i="1"/>
  <c r="G194" i="1"/>
  <c r="H194" i="1"/>
  <c r="M194" i="1"/>
  <c r="G195" i="1"/>
  <c r="H195" i="1" s="1"/>
  <c r="M195" i="1"/>
  <c r="G196" i="1"/>
  <c r="H196" i="1"/>
  <c r="N196" i="1" s="1"/>
  <c r="M196" i="1"/>
  <c r="G197" i="1"/>
  <c r="H197" i="1" s="1"/>
  <c r="N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/>
  <c r="M202" i="1"/>
  <c r="G203" i="1"/>
  <c r="H203" i="1" s="1"/>
  <c r="M203" i="1"/>
  <c r="G204" i="1"/>
  <c r="H204" i="1" s="1"/>
  <c r="M204" i="1"/>
  <c r="G205" i="1"/>
  <c r="H205" i="1" s="1"/>
  <c r="N205" i="1" s="1"/>
  <c r="M205" i="1"/>
  <c r="G206" i="1"/>
  <c r="H206" i="1"/>
  <c r="M206" i="1"/>
  <c r="G207" i="1"/>
  <c r="H207" i="1" s="1"/>
  <c r="N207" i="1" s="1"/>
  <c r="M207" i="1"/>
  <c r="G208" i="1"/>
  <c r="H208" i="1"/>
  <c r="M208" i="1"/>
  <c r="G209" i="1"/>
  <c r="H209" i="1" s="1"/>
  <c r="N209" i="1" s="1"/>
  <c r="M209" i="1"/>
  <c r="G210" i="1"/>
  <c r="H210" i="1" s="1"/>
  <c r="M210" i="1"/>
  <c r="G211" i="1"/>
  <c r="H211" i="1" s="1"/>
  <c r="M211" i="1"/>
  <c r="G212" i="1"/>
  <c r="H212" i="1"/>
  <c r="M212" i="1"/>
  <c r="G213" i="1"/>
  <c r="H213" i="1" s="1"/>
  <c r="M213" i="1"/>
  <c r="G214" i="1"/>
  <c r="H214" i="1"/>
  <c r="I214" i="1" s="1"/>
  <c r="K214" i="1" s="1"/>
  <c r="M214" i="1"/>
  <c r="G215" i="1"/>
  <c r="H215" i="1" s="1"/>
  <c r="I215" i="1" s="1"/>
  <c r="K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M219" i="1"/>
  <c r="G220" i="1"/>
  <c r="H220" i="1" s="1"/>
  <c r="I220" i="1" s="1"/>
  <c r="K220" i="1" s="1"/>
  <c r="M220" i="1"/>
  <c r="G221" i="1"/>
  <c r="H221" i="1" s="1"/>
  <c r="M221" i="1"/>
  <c r="G222" i="1"/>
  <c r="H222" i="1" s="1"/>
  <c r="M222" i="1"/>
  <c r="G223" i="1"/>
  <c r="H223" i="1" s="1"/>
  <c r="N223" i="1" s="1"/>
  <c r="M223" i="1"/>
  <c r="O223" i="1" s="1"/>
  <c r="G224" i="1"/>
  <c r="H224" i="1" s="1"/>
  <c r="M224" i="1"/>
  <c r="G225" i="1"/>
  <c r="H225" i="1" s="1"/>
  <c r="M225" i="1"/>
  <c r="G226" i="1"/>
  <c r="H226" i="1" s="1"/>
  <c r="M226" i="1"/>
  <c r="G227" i="1"/>
  <c r="H227" i="1" s="1"/>
  <c r="N227" i="1" s="1"/>
  <c r="M227" i="1"/>
  <c r="G228" i="1"/>
  <c r="H228" i="1" s="1"/>
  <c r="M228" i="1"/>
  <c r="G229" i="1"/>
  <c r="H229" i="1" s="1"/>
  <c r="N229" i="1" s="1"/>
  <c r="M229" i="1"/>
  <c r="O229" i="1"/>
  <c r="G230" i="1"/>
  <c r="H230" i="1"/>
  <c r="M230" i="1"/>
  <c r="G231" i="1"/>
  <c r="H231" i="1" s="1"/>
  <c r="M231" i="1"/>
  <c r="G232" i="1"/>
  <c r="H232" i="1" s="1"/>
  <c r="I232" i="1" s="1"/>
  <c r="K232" i="1" s="1"/>
  <c r="M232" i="1"/>
  <c r="G233" i="1"/>
  <c r="H233" i="1"/>
  <c r="M233" i="1"/>
  <c r="G234" i="1"/>
  <c r="H234" i="1" s="1"/>
  <c r="M234" i="1"/>
  <c r="G235" i="1"/>
  <c r="H235" i="1"/>
  <c r="M235" i="1"/>
  <c r="G236" i="1"/>
  <c r="H236" i="1" s="1"/>
  <c r="M236" i="1"/>
  <c r="G237" i="1"/>
  <c r="H237" i="1" s="1"/>
  <c r="M237" i="1"/>
  <c r="G238" i="1"/>
  <c r="H238" i="1" s="1"/>
  <c r="N238" i="1" s="1"/>
  <c r="M238" i="1"/>
  <c r="O238" i="1"/>
  <c r="G239" i="1"/>
  <c r="H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M245" i="1"/>
  <c r="G246" i="1"/>
  <c r="H246" i="1" s="1"/>
  <c r="M246" i="1"/>
  <c r="G247" i="1"/>
  <c r="H247" i="1" s="1"/>
  <c r="I247" i="1" s="1"/>
  <c r="K247" i="1" s="1"/>
  <c r="M247" i="1"/>
  <c r="G248" i="1"/>
  <c r="H248" i="1" s="1"/>
  <c r="N248" i="1" s="1"/>
  <c r="M248" i="1"/>
  <c r="O248" i="1"/>
  <c r="G249" i="1"/>
  <c r="H249" i="1" s="1"/>
  <c r="M249" i="1"/>
  <c r="G250" i="1"/>
  <c r="H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M253" i="1"/>
  <c r="G254" i="1"/>
  <c r="H254" i="1" s="1"/>
  <c r="N254" i="1" s="1"/>
  <c r="M254" i="1"/>
  <c r="G255" i="1"/>
  <c r="H255" i="1" s="1"/>
  <c r="M255" i="1"/>
  <c r="G256" i="1"/>
  <c r="H256" i="1" s="1"/>
  <c r="M256" i="1"/>
  <c r="G257" i="1"/>
  <c r="H257" i="1" s="1"/>
  <c r="M257" i="1"/>
  <c r="G258" i="1"/>
  <c r="H258" i="1" s="1"/>
  <c r="M258" i="1"/>
  <c r="G259" i="1"/>
  <c r="H259" i="1" s="1"/>
  <c r="N259" i="1" s="1"/>
  <c r="M259" i="1"/>
  <c r="G260" i="1"/>
  <c r="H260" i="1" s="1"/>
  <c r="M260" i="1"/>
  <c r="G261" i="1"/>
  <c r="H261" i="1" s="1"/>
  <c r="M261" i="1"/>
  <c r="G262" i="1"/>
  <c r="H262" i="1" s="1"/>
  <c r="M262" i="1"/>
  <c r="G263" i="1"/>
  <c r="H263" i="1" s="1"/>
  <c r="M263" i="1"/>
  <c r="G264" i="1"/>
  <c r="H264" i="1" s="1"/>
  <c r="M264" i="1"/>
  <c r="G265" i="1"/>
  <c r="H265" i="1"/>
  <c r="M265" i="1"/>
  <c r="G266" i="1"/>
  <c r="H266" i="1" s="1"/>
  <c r="I266" i="1" s="1"/>
  <c r="K266" i="1" s="1"/>
  <c r="M266" i="1"/>
  <c r="G267" i="1"/>
  <c r="H267" i="1"/>
  <c r="M267" i="1"/>
  <c r="G268" i="1"/>
  <c r="H268" i="1" s="1"/>
  <c r="M268" i="1"/>
  <c r="G269" i="1"/>
  <c r="H269" i="1" s="1"/>
  <c r="M269" i="1"/>
  <c r="G270" i="1"/>
  <c r="H270" i="1" s="1"/>
  <c r="N270" i="1" s="1"/>
  <c r="M270" i="1"/>
  <c r="G271" i="1"/>
  <c r="H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M277" i="1"/>
  <c r="G278" i="1"/>
  <c r="H278" i="1" s="1"/>
  <c r="M278" i="1"/>
  <c r="G279" i="1"/>
  <c r="H279" i="1" s="1"/>
  <c r="M279" i="1"/>
  <c r="G280" i="1"/>
  <c r="H280" i="1" s="1"/>
  <c r="N280" i="1" s="1"/>
  <c r="M280" i="1"/>
  <c r="O280" i="1"/>
  <c r="G281" i="1"/>
  <c r="H281" i="1" s="1"/>
  <c r="M281" i="1"/>
  <c r="G282" i="1"/>
  <c r="H282" i="1" s="1"/>
  <c r="N282" i="1" s="1"/>
  <c r="M282" i="1"/>
  <c r="G283" i="1"/>
  <c r="H283" i="1" s="1"/>
  <c r="M283" i="1"/>
  <c r="G284" i="1"/>
  <c r="H284" i="1" s="1"/>
  <c r="M284" i="1"/>
  <c r="G285" i="1"/>
  <c r="H285" i="1" s="1"/>
  <c r="M285" i="1"/>
  <c r="G286" i="1"/>
  <c r="H286" i="1" s="1"/>
  <c r="N286" i="1" s="1"/>
  <c r="M286" i="1"/>
  <c r="G287" i="1"/>
  <c r="H287" i="1" s="1"/>
  <c r="M287" i="1"/>
  <c r="G288" i="1"/>
  <c r="H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N291" i="1" s="1"/>
  <c r="M291" i="1"/>
  <c r="G292" i="1"/>
  <c r="H292" i="1" s="1"/>
  <c r="M292" i="1"/>
  <c r="G293" i="1"/>
  <c r="H293" i="1" s="1"/>
  <c r="M293" i="1"/>
  <c r="G294" i="1"/>
  <c r="H294" i="1" s="1"/>
  <c r="M294" i="1"/>
  <c r="G295" i="1"/>
  <c r="H295" i="1" s="1"/>
  <c r="I295" i="1" s="1"/>
  <c r="K295" i="1" s="1"/>
  <c r="M295" i="1"/>
  <c r="G296" i="1"/>
  <c r="H296" i="1" s="1"/>
  <c r="N296" i="1" s="1"/>
  <c r="M296" i="1"/>
  <c r="G297" i="1"/>
  <c r="H297" i="1"/>
  <c r="M297" i="1"/>
  <c r="G298" i="1"/>
  <c r="H298" i="1" s="1"/>
  <c r="N298" i="1" s="1"/>
  <c r="M298" i="1"/>
  <c r="G299" i="1"/>
  <c r="H299" i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M303" i="1"/>
  <c r="G304" i="1"/>
  <c r="H304" i="1" s="1"/>
  <c r="M304" i="1"/>
  <c r="G305" i="1"/>
  <c r="H305" i="1" s="1"/>
  <c r="M305" i="1"/>
  <c r="G306" i="1"/>
  <c r="H306" i="1" s="1"/>
  <c r="N306" i="1" s="1"/>
  <c r="M306" i="1"/>
  <c r="O306" i="1" s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 s="1"/>
  <c r="M312" i="1"/>
  <c r="G313" i="1"/>
  <c r="H313" i="1"/>
  <c r="N313" i="1" s="1"/>
  <c r="M313" i="1"/>
  <c r="G314" i="1"/>
  <c r="H314" i="1" s="1"/>
  <c r="M314" i="1"/>
  <c r="G315" i="1"/>
  <c r="H315" i="1" s="1"/>
  <c r="M315" i="1"/>
  <c r="G316" i="1"/>
  <c r="H316" i="1" s="1"/>
  <c r="M316" i="1"/>
  <c r="G317" i="1"/>
  <c r="H317" i="1" s="1"/>
  <c r="M317" i="1"/>
  <c r="G318" i="1"/>
  <c r="H318" i="1" s="1"/>
  <c r="N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M322" i="1"/>
  <c r="G323" i="1"/>
  <c r="H323" i="1" s="1"/>
  <c r="N323" i="1" s="1"/>
  <c r="M323" i="1"/>
  <c r="G324" i="1"/>
  <c r="H324" i="1" s="1"/>
  <c r="M324" i="1"/>
  <c r="G325" i="1"/>
  <c r="H325" i="1" s="1"/>
  <c r="I325" i="1" s="1"/>
  <c r="K325" i="1" s="1"/>
  <c r="M325" i="1"/>
  <c r="G326" i="1"/>
  <c r="H326" i="1" s="1"/>
  <c r="M326" i="1"/>
  <c r="G327" i="1"/>
  <c r="H327" i="1" s="1"/>
  <c r="M327" i="1"/>
  <c r="G328" i="1"/>
  <c r="H328" i="1" s="1"/>
  <c r="M328" i="1"/>
  <c r="G329" i="1"/>
  <c r="H329" i="1"/>
  <c r="M329" i="1"/>
  <c r="G330" i="1"/>
  <c r="H330" i="1" s="1"/>
  <c r="M330" i="1"/>
  <c r="G331" i="1"/>
  <c r="H331" i="1"/>
  <c r="M331" i="1"/>
  <c r="G332" i="1"/>
  <c r="H332" i="1" s="1"/>
  <c r="M332" i="1"/>
  <c r="G333" i="1"/>
  <c r="H333" i="1" s="1"/>
  <c r="M333" i="1"/>
  <c r="G334" i="1"/>
  <c r="H334" i="1" s="1"/>
  <c r="N334" i="1" s="1"/>
  <c r="M334" i="1"/>
  <c r="O334" i="1"/>
  <c r="G335" i="1"/>
  <c r="H335" i="1" s="1"/>
  <c r="M335" i="1"/>
  <c r="G336" i="1"/>
  <c r="H336" i="1" s="1"/>
  <c r="N336" i="1" s="1"/>
  <c r="M336" i="1"/>
  <c r="G337" i="1"/>
  <c r="H337" i="1"/>
  <c r="N337" i="1" s="1"/>
  <c r="M337" i="1"/>
  <c r="G338" i="1"/>
  <c r="H338" i="1" s="1"/>
  <c r="M338" i="1"/>
  <c r="G339" i="1"/>
  <c r="H339" i="1" s="1"/>
  <c r="M339" i="1"/>
  <c r="G340" i="1"/>
  <c r="H340" i="1" s="1"/>
  <c r="M340" i="1"/>
  <c r="G341" i="1"/>
  <c r="H341" i="1"/>
  <c r="I341" i="1" s="1"/>
  <c r="K341" i="1" s="1"/>
  <c r="M341" i="1"/>
  <c r="G342" i="1"/>
  <c r="H342" i="1" s="1"/>
  <c r="M342" i="1"/>
  <c r="G343" i="1"/>
  <c r="H343" i="1" s="1"/>
  <c r="M343" i="1"/>
  <c r="G344" i="1"/>
  <c r="H344" i="1" s="1"/>
  <c r="M344" i="1"/>
  <c r="G345" i="1"/>
  <c r="H345" i="1"/>
  <c r="N345" i="1" s="1"/>
  <c r="M345" i="1"/>
  <c r="G346" i="1"/>
  <c r="H346" i="1" s="1"/>
  <c r="N346" i="1" s="1"/>
  <c r="O346" i="1" s="1"/>
  <c r="M346" i="1"/>
  <c r="G347" i="1"/>
  <c r="H347" i="1" s="1"/>
  <c r="M347" i="1"/>
  <c r="G348" i="1"/>
  <c r="H348" i="1" s="1"/>
  <c r="M348" i="1"/>
  <c r="G349" i="1"/>
  <c r="H349" i="1"/>
  <c r="M349" i="1"/>
  <c r="G350" i="1"/>
  <c r="H350" i="1" s="1"/>
  <c r="N350" i="1" s="1"/>
  <c r="M350" i="1"/>
  <c r="O350" i="1"/>
  <c r="G351" i="1"/>
  <c r="H351" i="1" s="1"/>
  <c r="M351" i="1"/>
  <c r="G352" i="1"/>
  <c r="H352" i="1" s="1"/>
  <c r="M352" i="1"/>
  <c r="G353" i="1"/>
  <c r="H353" i="1"/>
  <c r="M353" i="1"/>
  <c r="G354" i="1"/>
  <c r="H354" i="1" s="1"/>
  <c r="I354" i="1" s="1"/>
  <c r="K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M358" i="1"/>
  <c r="G359" i="1"/>
  <c r="H359" i="1" s="1"/>
  <c r="I359" i="1" s="1"/>
  <c r="K359" i="1" s="1"/>
  <c r="M359" i="1"/>
  <c r="G360" i="1"/>
  <c r="H360" i="1" s="1"/>
  <c r="M360" i="1"/>
  <c r="G361" i="1"/>
  <c r="H361" i="1"/>
  <c r="M361" i="1"/>
  <c r="G362" i="1"/>
  <c r="H362" i="1" s="1"/>
  <c r="M362" i="1"/>
  <c r="G363" i="1"/>
  <c r="H363" i="1"/>
  <c r="M363" i="1"/>
  <c r="G364" i="1"/>
  <c r="H364" i="1" s="1"/>
  <c r="I364" i="1" s="1"/>
  <c r="K364" i="1" s="1"/>
  <c r="M364" i="1"/>
  <c r="G365" i="1"/>
  <c r="H365" i="1"/>
  <c r="M365" i="1"/>
  <c r="G366" i="1"/>
  <c r="H366" i="1" s="1"/>
  <c r="M366" i="1"/>
  <c r="G367" i="1"/>
  <c r="H367" i="1" s="1"/>
  <c r="M367" i="1"/>
  <c r="G368" i="1"/>
  <c r="H368" i="1" s="1"/>
  <c r="N368" i="1" s="1"/>
  <c r="M368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N200" i="1" l="1"/>
  <c r="O200" i="1" s="1"/>
  <c r="I200" i="1"/>
  <c r="K200" i="1" s="1"/>
  <c r="I347" i="1"/>
  <c r="K347" i="1" s="1"/>
  <c r="N347" i="1"/>
  <c r="N357" i="1"/>
  <c r="O357" i="1" s="1"/>
  <c r="I357" i="1"/>
  <c r="K357" i="1" s="1"/>
  <c r="N144" i="1"/>
  <c r="O144" i="1" s="1"/>
  <c r="I144" i="1"/>
  <c r="K144" i="1" s="1"/>
  <c r="I281" i="1"/>
  <c r="K281" i="1" s="1"/>
  <c r="N281" i="1"/>
  <c r="O281" i="1" s="1"/>
  <c r="N160" i="1"/>
  <c r="O160" i="1" s="1"/>
  <c r="I160" i="1"/>
  <c r="K160" i="1" s="1"/>
  <c r="I249" i="1"/>
  <c r="K249" i="1" s="1"/>
  <c r="N249" i="1"/>
  <c r="O249" i="1" s="1"/>
  <c r="N184" i="1"/>
  <c r="O184" i="1" s="1"/>
  <c r="I184" i="1"/>
  <c r="K184" i="1" s="1"/>
  <c r="N178" i="1"/>
  <c r="O178" i="1" s="1"/>
  <c r="I178" i="1"/>
  <c r="K178" i="1" s="1"/>
  <c r="N218" i="1"/>
  <c r="I218" i="1"/>
  <c r="K218" i="1" s="1"/>
  <c r="O218" i="1"/>
  <c r="N203" i="1"/>
  <c r="I203" i="1"/>
  <c r="K203" i="1" s="1"/>
  <c r="I346" i="1"/>
  <c r="K346" i="1" s="1"/>
  <c r="N317" i="1"/>
  <c r="O317" i="1" s="1"/>
  <c r="N292" i="1"/>
  <c r="O292" i="1" s="1"/>
  <c r="I292" i="1"/>
  <c r="K292" i="1" s="1"/>
  <c r="N284" i="1"/>
  <c r="O284" i="1" s="1"/>
  <c r="I284" i="1"/>
  <c r="K284" i="1" s="1"/>
  <c r="N255" i="1"/>
  <c r="O255" i="1" s="1"/>
  <c r="I255" i="1"/>
  <c r="K255" i="1" s="1"/>
  <c r="N213" i="1"/>
  <c r="O213" i="1"/>
  <c r="I213" i="1"/>
  <c r="K213" i="1" s="1"/>
  <c r="N116" i="1"/>
  <c r="O116" i="1" s="1"/>
  <c r="I116" i="1"/>
  <c r="K116" i="1" s="1"/>
  <c r="N82" i="1"/>
  <c r="I82" i="1"/>
  <c r="K82" i="1" s="1"/>
  <c r="N338" i="1"/>
  <c r="I338" i="1"/>
  <c r="K338" i="1" s="1"/>
  <c r="O338" i="1"/>
  <c r="N302" i="1"/>
  <c r="O302" i="1" s="1"/>
  <c r="I302" i="1"/>
  <c r="K302" i="1" s="1"/>
  <c r="N159" i="1"/>
  <c r="I159" i="1"/>
  <c r="K159" i="1" s="1"/>
  <c r="N134" i="1"/>
  <c r="O134" i="1" s="1"/>
  <c r="N85" i="1"/>
  <c r="O85" i="1" s="1"/>
  <c r="N266" i="1"/>
  <c r="O266" i="1" s="1"/>
  <c r="N358" i="1"/>
  <c r="O358" i="1" s="1"/>
  <c r="I358" i="1"/>
  <c r="K358" i="1" s="1"/>
  <c r="N348" i="1"/>
  <c r="O348" i="1" s="1"/>
  <c r="I348" i="1"/>
  <c r="K348" i="1" s="1"/>
  <c r="N324" i="1"/>
  <c r="O324" i="1" s="1"/>
  <c r="O316" i="1"/>
  <c r="N316" i="1"/>
  <c r="O309" i="1"/>
  <c r="N309" i="1"/>
  <c r="N276" i="1"/>
  <c r="O276" i="1" s="1"/>
  <c r="I276" i="1"/>
  <c r="K276" i="1" s="1"/>
  <c r="I250" i="1"/>
  <c r="K250" i="1" s="1"/>
  <c r="N250" i="1"/>
  <c r="O250" i="1" s="1"/>
  <c r="N243" i="1"/>
  <c r="O243" i="1" s="1"/>
  <c r="I243" i="1"/>
  <c r="K243" i="1" s="1"/>
  <c r="N226" i="1"/>
  <c r="O226" i="1" s="1"/>
  <c r="I226" i="1"/>
  <c r="K226" i="1" s="1"/>
  <c r="I185" i="1"/>
  <c r="K185" i="1" s="1"/>
  <c r="N185" i="1"/>
  <c r="O185" i="1" s="1"/>
  <c r="O168" i="1"/>
  <c r="I168" i="1"/>
  <c r="K168" i="1" s="1"/>
  <c r="N119" i="1"/>
  <c r="O119" i="1" s="1"/>
  <c r="N74" i="1"/>
  <c r="I74" i="1"/>
  <c r="K74" i="1" s="1"/>
  <c r="I298" i="1"/>
  <c r="K298" i="1" s="1"/>
  <c r="O222" i="1"/>
  <c r="N222" i="1"/>
  <c r="I222" i="1"/>
  <c r="K222" i="1" s="1"/>
  <c r="N137" i="1"/>
  <c r="O137" i="1" s="1"/>
  <c r="I137" i="1"/>
  <c r="K137" i="1" s="1"/>
  <c r="N133" i="1"/>
  <c r="O133" i="1" s="1"/>
  <c r="N103" i="1"/>
  <c r="O103" i="1" s="1"/>
  <c r="I103" i="1"/>
  <c r="K103" i="1" s="1"/>
  <c r="N92" i="1"/>
  <c r="O92" i="1" s="1"/>
  <c r="I88" i="1"/>
  <c r="K88" i="1" s="1"/>
  <c r="N88" i="1"/>
  <c r="O88" i="1" s="1"/>
  <c r="I309" i="1"/>
  <c r="K309" i="1" s="1"/>
  <c r="I296" i="1"/>
  <c r="K296" i="1" s="1"/>
  <c r="I280" i="1"/>
  <c r="K280" i="1" s="1"/>
  <c r="I111" i="1"/>
  <c r="K111" i="1" s="1"/>
  <c r="I96" i="1"/>
  <c r="K96" i="1" s="1"/>
  <c r="N208" i="1"/>
  <c r="O208" i="1" s="1"/>
  <c r="N145" i="1"/>
  <c r="N367" i="1"/>
  <c r="O367" i="1" s="1"/>
  <c r="I367" i="1"/>
  <c r="K367" i="1" s="1"/>
  <c r="N344" i="1"/>
  <c r="O344" i="1" s="1"/>
  <c r="N330" i="1"/>
  <c r="I330" i="1"/>
  <c r="K330" i="1" s="1"/>
  <c r="N327" i="1"/>
  <c r="O327" i="1" s="1"/>
  <c r="O319" i="1"/>
  <c r="N319" i="1"/>
  <c r="I319" i="1"/>
  <c r="K319" i="1" s="1"/>
  <c r="O315" i="1"/>
  <c r="N312" i="1"/>
  <c r="O312" i="1" s="1"/>
  <c r="I312" i="1"/>
  <c r="K312" i="1" s="1"/>
  <c r="N308" i="1"/>
  <c r="O308" i="1" s="1"/>
  <c r="O304" i="1"/>
  <c r="N304" i="1"/>
  <c r="O297" i="1"/>
  <c r="I297" i="1"/>
  <c r="K297" i="1" s="1"/>
  <c r="N294" i="1"/>
  <c r="O294" i="1" s="1"/>
  <c r="I294" i="1"/>
  <c r="K294" i="1" s="1"/>
  <c r="N279" i="1"/>
  <c r="O279" i="1" s="1"/>
  <c r="O275" i="1"/>
  <c r="N275" i="1"/>
  <c r="I275" i="1"/>
  <c r="K275" i="1" s="1"/>
  <c r="N271" i="1"/>
  <c r="O271" i="1" s="1"/>
  <c r="N261" i="1"/>
  <c r="O261" i="1" s="1"/>
  <c r="O257" i="1"/>
  <c r="I257" i="1"/>
  <c r="K257" i="1" s="1"/>
  <c r="N253" i="1"/>
  <c r="O253" i="1" s="1"/>
  <c r="I253" i="1"/>
  <c r="K253" i="1" s="1"/>
  <c r="N246" i="1"/>
  <c r="O246" i="1" s="1"/>
  <c r="N242" i="1"/>
  <c r="O242" i="1" s="1"/>
  <c r="I242" i="1"/>
  <c r="K242" i="1" s="1"/>
  <c r="N191" i="1"/>
  <c r="I191" i="1"/>
  <c r="K191" i="1" s="1"/>
  <c r="O171" i="1"/>
  <c r="I171" i="1"/>
  <c r="K171" i="1" s="1"/>
  <c r="N126" i="1"/>
  <c r="O126" i="1" s="1"/>
  <c r="I126" i="1"/>
  <c r="K126" i="1" s="1"/>
  <c r="N122" i="1"/>
  <c r="O122" i="1" s="1"/>
  <c r="I122" i="1"/>
  <c r="K122" i="1" s="1"/>
  <c r="N118" i="1"/>
  <c r="O118" i="1" s="1"/>
  <c r="N114" i="1"/>
  <c r="O114" i="1" s="1"/>
  <c r="I114" i="1"/>
  <c r="K114" i="1" s="1"/>
  <c r="N84" i="1"/>
  <c r="O84" i="1" s="1"/>
  <c r="I84" i="1"/>
  <c r="K84" i="1" s="1"/>
  <c r="O73" i="1"/>
  <c r="N73" i="1"/>
  <c r="I73" i="1"/>
  <c r="K73" i="1" s="1"/>
  <c r="N69" i="1"/>
  <c r="O69" i="1" s="1"/>
  <c r="I69" i="1"/>
  <c r="K69" i="1" s="1"/>
  <c r="I368" i="1"/>
  <c r="K368" i="1" s="1"/>
  <c r="I336" i="1"/>
  <c r="K336" i="1" s="1"/>
  <c r="I324" i="1"/>
  <c r="K324" i="1" s="1"/>
  <c r="I308" i="1"/>
  <c r="K308" i="1" s="1"/>
  <c r="I279" i="1"/>
  <c r="K279" i="1" s="1"/>
  <c r="I229" i="1"/>
  <c r="K229" i="1" s="1"/>
  <c r="I196" i="1"/>
  <c r="K196" i="1" s="1"/>
  <c r="I176" i="1"/>
  <c r="K176" i="1" s="1"/>
  <c r="I163" i="1"/>
  <c r="K163" i="1" s="1"/>
  <c r="I92" i="1"/>
  <c r="K92" i="1" s="1"/>
  <c r="I75" i="1"/>
  <c r="K75" i="1" s="1"/>
  <c r="N349" i="1"/>
  <c r="O349" i="1" s="1"/>
  <c r="I349" i="1"/>
  <c r="K349" i="1" s="1"/>
  <c r="N210" i="1"/>
  <c r="O210" i="1" s="1"/>
  <c r="I210" i="1"/>
  <c r="K210" i="1" s="1"/>
  <c r="O166" i="1"/>
  <c r="N166" i="1"/>
  <c r="N365" i="1"/>
  <c r="O365" i="1" s="1"/>
  <c r="I365" i="1"/>
  <c r="K365" i="1" s="1"/>
  <c r="N335" i="1"/>
  <c r="O335" i="1" s="1"/>
  <c r="I321" i="1"/>
  <c r="K321" i="1" s="1"/>
  <c r="O310" i="1"/>
  <c r="N310" i="1"/>
  <c r="I310" i="1"/>
  <c r="K310" i="1" s="1"/>
  <c r="O288" i="1"/>
  <c r="N277" i="1"/>
  <c r="O277" i="1" s="1"/>
  <c r="N355" i="1"/>
  <c r="O355" i="1" s="1"/>
  <c r="O345" i="1"/>
  <c r="I345" i="1"/>
  <c r="K345" i="1" s="1"/>
  <c r="N331" i="1"/>
  <c r="O331" i="1" s="1"/>
  <c r="I331" i="1"/>
  <c r="K331" i="1" s="1"/>
  <c r="N216" i="1"/>
  <c r="O216" i="1" s="1"/>
  <c r="N199" i="1"/>
  <c r="O199" i="1" s="1"/>
  <c r="I199" i="1"/>
  <c r="K199" i="1" s="1"/>
  <c r="N142" i="1"/>
  <c r="O142" i="1"/>
  <c r="N138" i="1"/>
  <c r="O138" i="1" s="1"/>
  <c r="I138" i="1"/>
  <c r="K138" i="1" s="1"/>
  <c r="O104" i="1"/>
  <c r="I104" i="1"/>
  <c r="K104" i="1" s="1"/>
  <c r="N93" i="1"/>
  <c r="O93" i="1" s="1"/>
  <c r="I93" i="1"/>
  <c r="K93" i="1" s="1"/>
  <c r="I81" i="1"/>
  <c r="K81" i="1" s="1"/>
  <c r="N81" i="1"/>
  <c r="N70" i="1"/>
  <c r="O70" i="1" s="1"/>
  <c r="I70" i="1"/>
  <c r="K70" i="1" s="1"/>
  <c r="O337" i="1"/>
  <c r="I337" i="1"/>
  <c r="K337" i="1" s="1"/>
  <c r="O215" i="1"/>
  <c r="N215" i="1"/>
  <c r="O270" i="1"/>
  <c r="I225" i="1"/>
  <c r="K225" i="1" s="1"/>
  <c r="N225" i="1"/>
  <c r="O225" i="1" s="1"/>
  <c r="N154" i="1"/>
  <c r="I154" i="1"/>
  <c r="K154" i="1" s="1"/>
  <c r="O154" i="1"/>
  <c r="O140" i="1"/>
  <c r="N140" i="1"/>
  <c r="I335" i="1"/>
  <c r="K335" i="1" s="1"/>
  <c r="I291" i="1"/>
  <c r="K291" i="1" s="1"/>
  <c r="I208" i="1"/>
  <c r="K208" i="1" s="1"/>
  <c r="I175" i="1"/>
  <c r="K175" i="1" s="1"/>
  <c r="I142" i="1"/>
  <c r="K142" i="1" s="1"/>
  <c r="N321" i="1"/>
  <c r="O321" i="1" s="1"/>
  <c r="N288" i="1"/>
  <c r="N359" i="1"/>
  <c r="O359" i="1" s="1"/>
  <c r="N339" i="1"/>
  <c r="O339" i="1" s="1"/>
  <c r="I339" i="1"/>
  <c r="K339" i="1" s="1"/>
  <c r="N299" i="1"/>
  <c r="O299" i="1" s="1"/>
  <c r="O220" i="1"/>
  <c r="N220" i="1"/>
  <c r="N150" i="1"/>
  <c r="O150" i="1" s="1"/>
  <c r="N325" i="1"/>
  <c r="O325" i="1" s="1"/>
  <c r="O313" i="1"/>
  <c r="I313" i="1"/>
  <c r="K313" i="1" s="1"/>
  <c r="O273" i="1"/>
  <c r="I273" i="1"/>
  <c r="K273" i="1" s="1"/>
  <c r="N273" i="1"/>
  <c r="N263" i="1"/>
  <c r="O263" i="1" s="1"/>
  <c r="I263" i="1"/>
  <c r="K263" i="1" s="1"/>
  <c r="N251" i="1"/>
  <c r="O251" i="1" s="1"/>
  <c r="O206" i="1"/>
  <c r="N206" i="1"/>
  <c r="I153" i="1"/>
  <c r="K153" i="1" s="1"/>
  <c r="N153" i="1"/>
  <c r="N146" i="1"/>
  <c r="O146" i="1" s="1"/>
  <c r="I146" i="1"/>
  <c r="K146" i="1" s="1"/>
  <c r="N112" i="1"/>
  <c r="O112" i="1" s="1"/>
  <c r="I97" i="1"/>
  <c r="K97" i="1" s="1"/>
  <c r="N97" i="1"/>
  <c r="N71" i="1"/>
  <c r="O71" i="1" s="1"/>
  <c r="N63" i="1"/>
  <c r="O63" i="1" s="1"/>
  <c r="N169" i="1"/>
  <c r="O169" i="1" s="1"/>
  <c r="O219" i="1"/>
  <c r="N219" i="1"/>
  <c r="O209" i="1"/>
  <c r="I209" i="1"/>
  <c r="K209" i="1" s="1"/>
  <c r="N202" i="1"/>
  <c r="I202" i="1"/>
  <c r="K202" i="1" s="1"/>
  <c r="N172" i="1"/>
  <c r="O172" i="1"/>
  <c r="N162" i="1"/>
  <c r="O162" i="1" s="1"/>
  <c r="I162" i="1"/>
  <c r="K162" i="1" s="1"/>
  <c r="N149" i="1"/>
  <c r="I149" i="1"/>
  <c r="K149" i="1" s="1"/>
  <c r="N127" i="1"/>
  <c r="I127" i="1"/>
  <c r="K127" i="1" s="1"/>
  <c r="N108" i="1"/>
  <c r="O108" i="1" s="1"/>
  <c r="O89" i="1"/>
  <c r="I89" i="1"/>
  <c r="K89" i="1" s="1"/>
  <c r="N62" i="1"/>
  <c r="O62" i="1" s="1"/>
  <c r="I299" i="1"/>
  <c r="K299" i="1" s="1"/>
  <c r="I270" i="1"/>
  <c r="K270" i="1" s="1"/>
  <c r="I219" i="1"/>
  <c r="K219" i="1" s="1"/>
  <c r="O368" i="1"/>
  <c r="O361" i="1"/>
  <c r="I361" i="1"/>
  <c r="K361" i="1" s="1"/>
  <c r="N361" i="1"/>
  <c r="N351" i="1"/>
  <c r="O351" i="1" s="1"/>
  <c r="N341" i="1"/>
  <c r="O341" i="1" s="1"/>
  <c r="N328" i="1"/>
  <c r="O328" i="1" s="1"/>
  <c r="I328" i="1"/>
  <c r="K328" i="1" s="1"/>
  <c r="I320" i="1"/>
  <c r="K320" i="1" s="1"/>
  <c r="I305" i="1"/>
  <c r="K305" i="1" s="1"/>
  <c r="N305" i="1"/>
  <c r="O305" i="1" s="1"/>
  <c r="N295" i="1"/>
  <c r="O295" i="1" s="1"/>
  <c r="O287" i="1"/>
  <c r="N287" i="1"/>
  <c r="I283" i="1"/>
  <c r="K283" i="1" s="1"/>
  <c r="O272" i="1"/>
  <c r="N247" i="1"/>
  <c r="O247" i="1" s="1"/>
  <c r="N239" i="1"/>
  <c r="O239" i="1" s="1"/>
  <c r="O212" i="1"/>
  <c r="N212" i="1"/>
  <c r="I212" i="1"/>
  <c r="K212" i="1" s="1"/>
  <c r="N192" i="1"/>
  <c r="O192" i="1" s="1"/>
  <c r="N188" i="1"/>
  <c r="O188" i="1"/>
  <c r="N130" i="1"/>
  <c r="O130" i="1" s="1"/>
  <c r="I130" i="1"/>
  <c r="K130" i="1" s="1"/>
  <c r="N115" i="1"/>
  <c r="I115" i="1"/>
  <c r="K115" i="1" s="1"/>
  <c r="N66" i="1"/>
  <c r="I66" i="1"/>
  <c r="K66" i="1" s="1"/>
  <c r="I355" i="1"/>
  <c r="K355" i="1" s="1"/>
  <c r="I216" i="1"/>
  <c r="K216" i="1" s="1"/>
  <c r="I165" i="1"/>
  <c r="K165" i="1" s="1"/>
  <c r="O364" i="1"/>
  <c r="N364" i="1"/>
  <c r="N354" i="1"/>
  <c r="O354" i="1" s="1"/>
  <c r="O235" i="1"/>
  <c r="I235" i="1"/>
  <c r="K235" i="1" s="1"/>
  <c r="N181" i="1"/>
  <c r="O181" i="1" s="1"/>
  <c r="I181" i="1"/>
  <c r="K181" i="1" s="1"/>
  <c r="N148" i="1"/>
  <c r="I148" i="1"/>
  <c r="K148" i="1" s="1"/>
  <c r="O148" i="1"/>
  <c r="N360" i="1"/>
  <c r="O360" i="1" s="1"/>
  <c r="O353" i="1"/>
  <c r="I353" i="1"/>
  <c r="K353" i="1" s="1"/>
  <c r="N353" i="1"/>
  <c r="N340" i="1"/>
  <c r="O340" i="1" s="1"/>
  <c r="I340" i="1"/>
  <c r="K340" i="1" s="1"/>
  <c r="O267" i="1"/>
  <c r="I267" i="1"/>
  <c r="K267" i="1" s="1"/>
  <c r="N221" i="1"/>
  <c r="I221" i="1"/>
  <c r="K221" i="1" s="1"/>
  <c r="N214" i="1"/>
  <c r="O214" i="1" s="1"/>
  <c r="N204" i="1"/>
  <c r="O204" i="1"/>
  <c r="N194" i="1"/>
  <c r="O194" i="1" s="1"/>
  <c r="I194" i="1"/>
  <c r="K194" i="1" s="1"/>
  <c r="N174" i="1"/>
  <c r="O174" i="1" s="1"/>
  <c r="N147" i="1"/>
  <c r="I147" i="1"/>
  <c r="K147" i="1" s="1"/>
  <c r="N136" i="1"/>
  <c r="O136" i="1" s="1"/>
  <c r="I136" i="1"/>
  <c r="K136" i="1" s="1"/>
  <c r="I351" i="1"/>
  <c r="K351" i="1" s="1"/>
  <c r="N193" i="1"/>
  <c r="N366" i="1"/>
  <c r="I366" i="1"/>
  <c r="K366" i="1" s="1"/>
  <c r="O336" i="1"/>
  <c r="I329" i="1"/>
  <c r="K329" i="1" s="1"/>
  <c r="N329" i="1"/>
  <c r="O329" i="1" s="1"/>
  <c r="O326" i="1"/>
  <c r="N326" i="1"/>
  <c r="N322" i="1"/>
  <c r="I322" i="1"/>
  <c r="K322" i="1" s="1"/>
  <c r="N311" i="1"/>
  <c r="O311" i="1" s="1"/>
  <c r="I311" i="1"/>
  <c r="K311" i="1" s="1"/>
  <c r="O307" i="1"/>
  <c r="N307" i="1"/>
  <c r="N303" i="1"/>
  <c r="O303" i="1" s="1"/>
  <c r="I303" i="1"/>
  <c r="K303" i="1" s="1"/>
  <c r="O296" i="1"/>
  <c r="N293" i="1"/>
  <c r="O293" i="1" s="1"/>
  <c r="I293" i="1"/>
  <c r="K293" i="1" s="1"/>
  <c r="O289" i="1"/>
  <c r="I289" i="1"/>
  <c r="K289" i="1" s="1"/>
  <c r="N285" i="1"/>
  <c r="O285" i="1" s="1"/>
  <c r="I285" i="1"/>
  <c r="K285" i="1" s="1"/>
  <c r="N278" i="1"/>
  <c r="O278" i="1" s="1"/>
  <c r="N274" i="1"/>
  <c r="O274" i="1" s="1"/>
  <c r="I274" i="1"/>
  <c r="K274" i="1" s="1"/>
  <c r="N264" i="1"/>
  <c r="O264" i="1" s="1"/>
  <c r="I264" i="1"/>
  <c r="K264" i="1" s="1"/>
  <c r="N260" i="1"/>
  <c r="O260" i="1" s="1"/>
  <c r="N256" i="1"/>
  <c r="O256" i="1" s="1"/>
  <c r="O252" i="1"/>
  <c r="N252" i="1"/>
  <c r="N245" i="1"/>
  <c r="O245" i="1" s="1"/>
  <c r="I245" i="1"/>
  <c r="K245" i="1" s="1"/>
  <c r="N241" i="1"/>
  <c r="O241" i="1" s="1"/>
  <c r="I241" i="1"/>
  <c r="K241" i="1" s="1"/>
  <c r="N234" i="1"/>
  <c r="O234" i="1" s="1"/>
  <c r="I234" i="1"/>
  <c r="K234" i="1" s="1"/>
  <c r="N231" i="1"/>
  <c r="O231" i="1" s="1"/>
  <c r="I231" i="1"/>
  <c r="K231" i="1" s="1"/>
  <c r="N228" i="1"/>
  <c r="O228" i="1" s="1"/>
  <c r="O196" i="1"/>
  <c r="O190" i="1"/>
  <c r="N190" i="1"/>
  <c r="I190" i="1"/>
  <c r="K190" i="1" s="1"/>
  <c r="N180" i="1"/>
  <c r="O180" i="1" s="1"/>
  <c r="I180" i="1"/>
  <c r="K180" i="1" s="1"/>
  <c r="N170" i="1"/>
  <c r="I170" i="1"/>
  <c r="K170" i="1" s="1"/>
  <c r="O170" i="1"/>
  <c r="O156" i="1"/>
  <c r="I363" i="1"/>
  <c r="K363" i="1" s="1"/>
  <c r="I350" i="1"/>
  <c r="K350" i="1" s="1"/>
  <c r="I334" i="1"/>
  <c r="K334" i="1" s="1"/>
  <c r="I306" i="1"/>
  <c r="K306" i="1" s="1"/>
  <c r="I290" i="1"/>
  <c r="K290" i="1" s="1"/>
  <c r="I277" i="1"/>
  <c r="K277" i="1" s="1"/>
  <c r="I260" i="1"/>
  <c r="K260" i="1" s="1"/>
  <c r="I192" i="1"/>
  <c r="K192" i="1" s="1"/>
  <c r="I174" i="1"/>
  <c r="K174" i="1" s="1"/>
  <c r="I156" i="1"/>
  <c r="K156" i="1" s="1"/>
  <c r="I141" i="1"/>
  <c r="K141" i="1" s="1"/>
  <c r="I123" i="1"/>
  <c r="K123" i="1" s="1"/>
  <c r="I108" i="1"/>
  <c r="K108" i="1" s="1"/>
  <c r="I67" i="1"/>
  <c r="K67" i="1" s="1"/>
  <c r="N363" i="1"/>
  <c r="O363" i="1" s="1"/>
  <c r="N320" i="1"/>
  <c r="O320" i="1" s="1"/>
  <c r="N283" i="1"/>
  <c r="O283" i="1" s="1"/>
  <c r="N235" i="1"/>
  <c r="N176" i="1"/>
  <c r="O176" i="1" s="1"/>
  <c r="N129" i="1"/>
  <c r="N356" i="1"/>
  <c r="O356" i="1" s="1"/>
  <c r="O343" i="1"/>
  <c r="N343" i="1"/>
  <c r="N333" i="1"/>
  <c r="O333" i="1" s="1"/>
  <c r="O322" i="1"/>
  <c r="O318" i="1"/>
  <c r="N301" i="1"/>
  <c r="O301" i="1" s="1"/>
  <c r="O290" i="1"/>
  <c r="O286" i="1"/>
  <c r="N269" i="1"/>
  <c r="O269" i="1" s="1"/>
  <c r="O254" i="1"/>
  <c r="N237" i="1"/>
  <c r="O237" i="1" s="1"/>
  <c r="O224" i="1"/>
  <c r="N224" i="1"/>
  <c r="O211" i="1"/>
  <c r="N186" i="1"/>
  <c r="O186" i="1" s="1"/>
  <c r="I186" i="1"/>
  <c r="K186" i="1" s="1"/>
  <c r="N177" i="1"/>
  <c r="I177" i="1"/>
  <c r="K177" i="1" s="1"/>
  <c r="N158" i="1"/>
  <c r="O158" i="1" s="1"/>
  <c r="O155" i="1"/>
  <c r="N155" i="1"/>
  <c r="I121" i="1"/>
  <c r="K121" i="1" s="1"/>
  <c r="N117" i="1"/>
  <c r="O117" i="1" s="1"/>
  <c r="O106" i="1"/>
  <c r="N106" i="1"/>
  <c r="I106" i="1"/>
  <c r="K106" i="1" s="1"/>
  <c r="N102" i="1"/>
  <c r="O102" i="1" s="1"/>
  <c r="N87" i="1"/>
  <c r="O87" i="1" s="1"/>
  <c r="I223" i="1"/>
  <c r="K223" i="1" s="1"/>
  <c r="I139" i="1"/>
  <c r="K139" i="1" s="1"/>
  <c r="I117" i="1"/>
  <c r="K117" i="1" s="1"/>
  <c r="I95" i="1"/>
  <c r="K95" i="1" s="1"/>
  <c r="O265" i="1"/>
  <c r="I265" i="1"/>
  <c r="K265" i="1" s="1"/>
  <c r="N262" i="1"/>
  <c r="O262" i="1" s="1"/>
  <c r="N258" i="1"/>
  <c r="O258" i="1" s="1"/>
  <c r="I258" i="1"/>
  <c r="K258" i="1" s="1"/>
  <c r="O244" i="1"/>
  <c r="N244" i="1"/>
  <c r="O240" i="1"/>
  <c r="O233" i="1"/>
  <c r="I233" i="1"/>
  <c r="K233" i="1" s="1"/>
  <c r="N230" i="1"/>
  <c r="O230" i="1" s="1"/>
  <c r="O227" i="1"/>
  <c r="I217" i="1"/>
  <c r="K217" i="1" s="1"/>
  <c r="N198" i="1"/>
  <c r="O198" i="1" s="1"/>
  <c r="O195" i="1"/>
  <c r="I161" i="1"/>
  <c r="K161" i="1" s="1"/>
  <c r="N161" i="1"/>
  <c r="O161" i="1" s="1"/>
  <c r="O135" i="1"/>
  <c r="N135" i="1"/>
  <c r="N113" i="1"/>
  <c r="I113" i="1"/>
  <c r="K113" i="1" s="1"/>
  <c r="N98" i="1"/>
  <c r="O98" i="1" s="1"/>
  <c r="I98" i="1"/>
  <c r="K98" i="1" s="1"/>
  <c r="N76" i="1"/>
  <c r="O76" i="1" s="1"/>
  <c r="O72" i="1"/>
  <c r="N72" i="1"/>
  <c r="I72" i="1"/>
  <c r="K72" i="1" s="1"/>
  <c r="N68" i="1"/>
  <c r="O68" i="1" s="1"/>
  <c r="O64" i="1"/>
  <c r="I64" i="1"/>
  <c r="K64" i="1" s="1"/>
  <c r="I254" i="1"/>
  <c r="K254" i="1" s="1"/>
  <c r="I244" i="1"/>
  <c r="K244" i="1" s="1"/>
  <c r="I158" i="1"/>
  <c r="K158" i="1" s="1"/>
  <c r="I83" i="1"/>
  <c r="K83" i="1" s="1"/>
  <c r="N217" i="1"/>
  <c r="O217" i="1" s="1"/>
  <c r="N152" i="1"/>
  <c r="O152" i="1" s="1"/>
  <c r="N121" i="1"/>
  <c r="O121" i="1" s="1"/>
  <c r="O352" i="1"/>
  <c r="O342" i="1"/>
  <c r="N342" i="1"/>
  <c r="N332" i="1"/>
  <c r="O332" i="1" s="1"/>
  <c r="O314" i="1"/>
  <c r="N300" i="1"/>
  <c r="O300" i="1" s="1"/>
  <c r="O282" i="1"/>
  <c r="O268" i="1"/>
  <c r="N268" i="1"/>
  <c r="N236" i="1"/>
  <c r="O236" i="1" s="1"/>
  <c r="N201" i="1"/>
  <c r="O201" i="1" s="1"/>
  <c r="I201" i="1"/>
  <c r="K201" i="1" s="1"/>
  <c r="N182" i="1"/>
  <c r="O182" i="1" s="1"/>
  <c r="O179" i="1"/>
  <c r="N179" i="1"/>
  <c r="N124" i="1"/>
  <c r="O124" i="1" s="1"/>
  <c r="N120" i="1"/>
  <c r="O120" i="1" s="1"/>
  <c r="O105" i="1"/>
  <c r="I105" i="1"/>
  <c r="K105" i="1" s="1"/>
  <c r="O101" i="1"/>
  <c r="N101" i="1"/>
  <c r="N94" i="1"/>
  <c r="O94" i="1" s="1"/>
  <c r="N90" i="1"/>
  <c r="O90" i="1" s="1"/>
  <c r="I90" i="1"/>
  <c r="K90" i="1" s="1"/>
  <c r="O86" i="1"/>
  <c r="N86" i="1"/>
  <c r="I356" i="1"/>
  <c r="K356" i="1" s="1"/>
  <c r="I301" i="1"/>
  <c r="K301" i="1" s="1"/>
  <c r="I211" i="1"/>
  <c r="K211" i="1" s="1"/>
  <c r="I189" i="1"/>
  <c r="K189" i="1" s="1"/>
  <c r="I179" i="1"/>
  <c r="K179" i="1" s="1"/>
  <c r="I167" i="1"/>
  <c r="K167" i="1" s="1"/>
  <c r="I157" i="1"/>
  <c r="K157" i="1" s="1"/>
  <c r="I135" i="1"/>
  <c r="K135" i="1" s="1"/>
  <c r="I125" i="1"/>
  <c r="K125" i="1" s="1"/>
  <c r="I79" i="1"/>
  <c r="K79" i="1" s="1"/>
  <c r="I68" i="1"/>
  <c r="K68" i="1" s="1"/>
  <c r="N352" i="1"/>
  <c r="O366" i="1"/>
  <c r="O347" i="1"/>
  <c r="O203" i="1"/>
  <c r="O163" i="1"/>
  <c r="O82" i="1"/>
  <c r="O330" i="1"/>
  <c r="O298" i="1"/>
  <c r="O187" i="1"/>
  <c r="O323" i="1"/>
  <c r="O291" i="1"/>
  <c r="O259" i="1"/>
  <c r="O202" i="1"/>
  <c r="O147" i="1"/>
  <c r="O74" i="1"/>
  <c r="O66" i="1"/>
  <c r="O221" i="1"/>
  <c r="O193" i="1"/>
  <c r="O177" i="1"/>
  <c r="O145" i="1"/>
  <c r="O123" i="1"/>
  <c r="O107" i="1"/>
  <c r="O91" i="1"/>
  <c r="O75" i="1"/>
  <c r="O153" i="1"/>
  <c r="O139" i="1"/>
  <c r="O129" i="1"/>
  <c r="O113" i="1"/>
  <c r="O97" i="1"/>
  <c r="O81" i="1"/>
  <c r="O65" i="1"/>
  <c r="O141" i="1"/>
  <c r="O125" i="1"/>
  <c r="O109" i="1"/>
  <c r="O77" i="1"/>
  <c r="O205" i="1"/>
  <c r="O197" i="1"/>
  <c r="O189" i="1"/>
  <c r="O173" i="1"/>
  <c r="O165" i="1"/>
  <c r="O157" i="1"/>
  <c r="O149" i="1"/>
  <c r="O131" i="1"/>
  <c r="O115" i="1"/>
  <c r="O99" i="1"/>
  <c r="O83" i="1"/>
  <c r="O67" i="1"/>
  <c r="O207" i="1"/>
  <c r="O191" i="1"/>
  <c r="O183" i="1"/>
  <c r="O175" i="1"/>
  <c r="O167" i="1"/>
  <c r="O159" i="1"/>
  <c r="O151" i="1"/>
  <c r="O143" i="1"/>
  <c r="O127" i="1"/>
  <c r="O111" i="1"/>
  <c r="O95" i="1"/>
  <c r="O79" i="1"/>
  <c r="H5" i="1"/>
  <c r="H13" i="1"/>
  <c r="H14" i="1"/>
  <c r="H21" i="1"/>
  <c r="H22" i="1"/>
  <c r="H29" i="1"/>
  <c r="H30" i="1"/>
  <c r="H37" i="1"/>
  <c r="H45" i="1"/>
  <c r="H46" i="1"/>
  <c r="H53" i="1"/>
  <c r="H54" i="1"/>
  <c r="H61" i="1"/>
  <c r="H3" i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G30" i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G54" i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G3" i="1"/>
  <c r="N6" i="1" l="1"/>
  <c r="I6" i="1"/>
  <c r="O38" i="1"/>
  <c r="N38" i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O61" i="1"/>
  <c r="N61" i="1"/>
  <c r="I61" i="1"/>
  <c r="K61" i="1" s="1"/>
  <c r="I25" i="1"/>
  <c r="N25" i="1"/>
  <c r="O54" i="1"/>
  <c r="N54" i="1"/>
  <c r="I54" i="1"/>
  <c r="K54" i="1" s="1"/>
  <c r="I56" i="1"/>
  <c r="K56" i="1" s="1"/>
  <c r="N56" i="1"/>
  <c r="O56" i="1" s="1"/>
  <c r="I24" i="1"/>
  <c r="N24" i="1"/>
  <c r="O53" i="1"/>
  <c r="N53" i="1"/>
  <c r="I53" i="1"/>
  <c r="K53" i="1" s="1"/>
  <c r="O55" i="1"/>
  <c r="N55" i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O39" i="1"/>
  <c r="N39" i="1"/>
  <c r="I39" i="1"/>
  <c r="K39" i="1" s="1"/>
  <c r="N7" i="1"/>
  <c r="I7" i="1"/>
  <c r="N45" i="1"/>
  <c r="O45" i="1" s="1"/>
  <c r="I45" i="1"/>
  <c r="K45" i="1" s="1"/>
  <c r="O51" i="1"/>
  <c r="N51" i="1"/>
  <c r="I51" i="1"/>
  <c r="K51" i="1" s="1"/>
  <c r="N27" i="1"/>
  <c r="I27" i="1"/>
  <c r="N3" i="1"/>
  <c r="I3" i="1"/>
  <c r="N58" i="1"/>
  <c r="O58" i="1" s="1"/>
  <c r="I58" i="1"/>
  <c r="K58" i="1" s="1"/>
  <c r="O42" i="1"/>
  <c r="N42" i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O47" i="1"/>
  <c r="N47" i="1"/>
  <c r="I47" i="1"/>
  <c r="K47" i="1" s="1"/>
  <c r="N31" i="1"/>
  <c r="I31" i="1"/>
  <c r="N15" i="1"/>
  <c r="I15" i="1"/>
  <c r="O46" i="1"/>
  <c r="N46" i="1"/>
  <c r="I46" i="1"/>
  <c r="K46" i="1" s="1"/>
  <c r="N60" i="1"/>
  <c r="O60" i="1" s="1"/>
  <c r="I60" i="1"/>
  <c r="K60" i="1" s="1"/>
  <c r="O52" i="1"/>
  <c r="N52" i="1"/>
  <c r="I52" i="1"/>
  <c r="K52" i="1" s="1"/>
  <c r="O44" i="1"/>
  <c r="N44" i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M4" i="1" s="1"/>
  <c r="O4" i="1" s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M20" i="1" s="1"/>
  <c r="O20" i="1" s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8" i="1" l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<sst xmlns="http://schemas.openxmlformats.org/spreadsheetml/2006/main" count="39" uniqueCount="27">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</sst>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topLeftCell="A358" zoomScale="94" zoomScaleNormal="55" workbookViewId="0">
      <selection activeCell="C370" sqref="C370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1" t="s">
        <v>0</v>
      </c>
      <c r="B1" s="61" t="s">
        <v>1</v>
      </c>
      <c r="C1" s="61" t="s">
        <v>2</v>
      </c>
      <c r="D1" s="63" t="s">
        <v>3</v>
      </c>
      <c r="E1" s="65" t="s">
        <v>4</v>
      </c>
      <c r="F1" s="59" t="s">
        <v>5</v>
      </c>
      <c r="G1" s="53" t="s">
        <v>6</v>
      </c>
      <c r="H1" s="53" t="s">
        <v>7</v>
      </c>
      <c r="I1" s="55" t="s">
        <v>8</v>
      </c>
      <c r="J1" s="57" t="s">
        <v>9</v>
      </c>
      <c r="K1" s="57" t="s">
        <v>10</v>
      </c>
      <c r="L1" s="57" t="s">
        <v>11</v>
      </c>
      <c r="M1" s="47" t="s">
        <v>12</v>
      </c>
      <c r="N1" s="49" t="s">
        <v>13</v>
      </c>
      <c r="O1" s="51" t="s">
        <v>14</v>
      </c>
    </row>
    <row r="2" spans="1:15" s="13" customFormat="1" ht="34.799999999999997" customHeight="1" thickBot="1" x14ac:dyDescent="0.75">
      <c r="A2" s="62"/>
      <c r="B2" s="62"/>
      <c r="C2" s="62"/>
      <c r="D2" s="64"/>
      <c r="E2" s="66"/>
      <c r="F2" s="60"/>
      <c r="G2" s="54"/>
      <c r="H2" s="54"/>
      <c r="I2" s="56"/>
      <c r="J2" s="58"/>
      <c r="K2" s="58"/>
      <c r="L2" s="58"/>
      <c r="M2" s="48"/>
      <c r="N2" s="50"/>
      <c r="O2" s="52"/>
    </row>
    <row r="3" spans="1:15" x14ac:dyDescent="0.7">
      <c r="A3" s="2">
        <v>2555</v>
      </c>
      <c r="B3" s="3" t="s">
        <v>15</v>
      </c>
      <c r="C3" s="3">
        <v>1</v>
      </c>
      <c r="D3" s="4">
        <v>16.937000000000001</v>
      </c>
      <c r="E3" s="4">
        <v>0</v>
      </c>
      <c r="F3" s="4">
        <v>16.937000000000001</v>
      </c>
      <c r="G3" s="15">
        <f>F3*86400</f>
        <v>1463356.8</v>
      </c>
      <c r="H3" s="21">
        <f>G3/1000000</f>
        <v>1.4633568000000001</v>
      </c>
      <c r="I3" s="20">
        <f>H3*1000000*0.045</f>
        <v>65851.055999999997</v>
      </c>
      <c r="J3" s="40">
        <f t="shared" ref="J3:J23" si="0">I3/1000000</f>
        <v>6.5851055999999991E-2</v>
      </c>
      <c r="K3" s="20">
        <f>I3*0.12</f>
        <v>7902.1267199999993</v>
      </c>
      <c r="L3" s="20">
        <f t="shared" ref="L3:L11" si="1">K3/1000000</f>
        <v>7.9021267199999995E-3</v>
      </c>
      <c r="M3" s="20">
        <f t="shared" ref="M3:M23" si="2">J3+L3</f>
        <v>7.3753182719999991E-2</v>
      </c>
      <c r="N3" s="20">
        <f>H3*0.1</f>
        <v>0.14633568000000002</v>
      </c>
      <c r="O3" s="20">
        <f t="shared" ref="O3:O23" si="3">H3-M3-N3</f>
        <v>1.2432679372800002</v>
      </c>
    </row>
    <row r="4" spans="1:15" x14ac:dyDescent="0.7">
      <c r="A4" s="6"/>
      <c r="B4" s="6"/>
      <c r="C4" s="6">
        <v>2</v>
      </c>
      <c r="D4" s="7">
        <v>16.521999999999998</v>
      </c>
      <c r="E4" s="4">
        <v>0</v>
      </c>
      <c r="F4" s="7">
        <v>16.521999999999998</v>
      </c>
      <c r="G4" s="15">
        <f t="shared" ref="G4:G62" si="4">F4*86400</f>
        <v>1427500.7999999998</v>
      </c>
      <c r="H4" s="21">
        <f t="shared" ref="H4:H62" si="5">G4/1000000</f>
        <v>1.4275007999999998</v>
      </c>
      <c r="I4" s="20">
        <f t="shared" ref="I4:I67" si="6">H4*1000000*0.045</f>
        <v>64237.535999999993</v>
      </c>
      <c r="J4" s="40">
        <f t="shared" si="0"/>
        <v>6.4237535999999998E-2</v>
      </c>
      <c r="K4" s="20">
        <f t="shared" ref="K4:K67" si="7">I4*0.12</f>
        <v>7708.5043199999991</v>
      </c>
      <c r="L4" s="20">
        <f t="shared" si="1"/>
        <v>7.7085043199999993E-3</v>
      </c>
      <c r="M4" s="20">
        <f t="shared" si="2"/>
        <v>7.1946040320000001E-2</v>
      </c>
      <c r="N4" s="20">
        <f t="shared" ref="N4:N67" si="8">H4*0.1</f>
        <v>0.14275007999999997</v>
      </c>
      <c r="O4" s="20">
        <f t="shared" si="3"/>
        <v>1.2128046796799998</v>
      </c>
    </row>
    <row r="5" spans="1:15" x14ac:dyDescent="0.7">
      <c r="A5" s="6"/>
      <c r="B5" s="6"/>
      <c r="C5" s="6">
        <v>3</v>
      </c>
      <c r="D5" s="7">
        <v>16.449000000000002</v>
      </c>
      <c r="E5" s="4">
        <v>0</v>
      </c>
      <c r="F5" s="7">
        <v>16.449000000000002</v>
      </c>
      <c r="G5" s="15">
        <f t="shared" si="4"/>
        <v>1421193.6</v>
      </c>
      <c r="H5" s="21">
        <f t="shared" si="5"/>
        <v>1.4211936000000001</v>
      </c>
      <c r="I5" s="20">
        <f t="shared" si="6"/>
        <v>63953.712</v>
      </c>
      <c r="J5" s="40">
        <f t="shared" si="0"/>
        <v>6.3953711999999996E-2</v>
      </c>
      <c r="K5" s="20">
        <f t="shared" si="7"/>
        <v>7674.4454399999995</v>
      </c>
      <c r="L5" s="20">
        <f t="shared" si="1"/>
        <v>7.6744454399999993E-3</v>
      </c>
      <c r="M5" s="20">
        <f t="shared" si="2"/>
        <v>7.1628157439999993E-2</v>
      </c>
      <c r="N5" s="20">
        <f t="shared" si="8"/>
        <v>0.14211936</v>
      </c>
      <c r="O5" s="20">
        <f t="shared" si="3"/>
        <v>1.2074460825600002</v>
      </c>
    </row>
    <row r="6" spans="1:15" x14ac:dyDescent="0.7">
      <c r="A6" s="6"/>
      <c r="B6" s="6"/>
      <c r="C6" s="6">
        <v>4</v>
      </c>
      <c r="D6" s="7">
        <v>16.044</v>
      </c>
      <c r="E6" s="4">
        <v>0</v>
      </c>
      <c r="F6" s="7">
        <v>16.044</v>
      </c>
      <c r="G6" s="15">
        <f t="shared" si="4"/>
        <v>1386201.6</v>
      </c>
      <c r="H6" s="21">
        <f t="shared" si="5"/>
        <v>1.3862016000000001</v>
      </c>
      <c r="I6" s="20">
        <f t="shared" si="6"/>
        <v>62379.072</v>
      </c>
      <c r="J6" s="40">
        <f t="shared" si="0"/>
        <v>6.2379072000000001E-2</v>
      </c>
      <c r="K6" s="20">
        <f t="shared" si="7"/>
        <v>7485.4886399999996</v>
      </c>
      <c r="L6" s="20">
        <f t="shared" si="1"/>
        <v>7.4854886399999994E-3</v>
      </c>
      <c r="M6" s="20">
        <f t="shared" si="2"/>
        <v>6.9864560640000004E-2</v>
      </c>
      <c r="N6" s="20">
        <f t="shared" si="8"/>
        <v>0.13862016000000002</v>
      </c>
      <c r="O6" s="20">
        <f t="shared" si="3"/>
        <v>1.1777168793600001</v>
      </c>
    </row>
    <row r="7" spans="1:15" x14ac:dyDescent="0.7">
      <c r="A7" s="6"/>
      <c r="B7" s="6"/>
      <c r="C7" s="6">
        <v>5</v>
      </c>
      <c r="D7" s="7">
        <v>15.66</v>
      </c>
      <c r="E7" s="4">
        <v>0</v>
      </c>
      <c r="F7" s="7">
        <v>15.66</v>
      </c>
      <c r="G7" s="15">
        <f t="shared" si="4"/>
        <v>1353024</v>
      </c>
      <c r="H7" s="21">
        <f t="shared" si="5"/>
        <v>1.353024</v>
      </c>
      <c r="I7" s="20">
        <f t="shared" si="6"/>
        <v>60886.079999999994</v>
      </c>
      <c r="J7" s="40">
        <f t="shared" si="0"/>
        <v>6.0886079999999995E-2</v>
      </c>
      <c r="K7" s="20">
        <f t="shared" si="7"/>
        <v>7306.3295999999991</v>
      </c>
      <c r="L7" s="20">
        <f t="shared" si="1"/>
        <v>7.3063295999999988E-3</v>
      </c>
      <c r="M7" s="20">
        <f t="shared" si="2"/>
        <v>6.819240959999999E-2</v>
      </c>
      <c r="N7" s="20">
        <f t="shared" si="8"/>
        <v>0.13530240000000002</v>
      </c>
      <c r="O7" s="20">
        <f t="shared" si="3"/>
        <v>1.1495291904</v>
      </c>
    </row>
    <row r="8" spans="1:15" x14ac:dyDescent="0.7">
      <c r="A8" s="6"/>
      <c r="B8" s="6"/>
      <c r="C8" s="6">
        <v>6</v>
      </c>
      <c r="D8" s="7">
        <v>15.5</v>
      </c>
      <c r="E8" s="4">
        <v>0</v>
      </c>
      <c r="F8" s="7">
        <v>15.5</v>
      </c>
      <c r="G8" s="15">
        <f t="shared" si="4"/>
        <v>1339200</v>
      </c>
      <c r="H8" s="21">
        <f t="shared" si="5"/>
        <v>1.3391999999999999</v>
      </c>
      <c r="I8" s="20">
        <f t="shared" si="6"/>
        <v>60264</v>
      </c>
      <c r="J8" s="40">
        <f t="shared" si="0"/>
        <v>6.0263999999999998E-2</v>
      </c>
      <c r="K8" s="20">
        <f t="shared" si="7"/>
        <v>7231.6799999999994</v>
      </c>
      <c r="L8" s="20">
        <f t="shared" si="1"/>
        <v>7.231679999999999E-3</v>
      </c>
      <c r="M8" s="20">
        <f t="shared" si="2"/>
        <v>6.7495680000000002E-2</v>
      </c>
      <c r="N8" s="20">
        <f t="shared" si="8"/>
        <v>0.13392000000000001</v>
      </c>
      <c r="O8" s="20">
        <f t="shared" si="3"/>
        <v>1.13778432</v>
      </c>
    </row>
    <row r="9" spans="1:15" x14ac:dyDescent="0.7">
      <c r="A9" s="6"/>
      <c r="B9" s="6"/>
      <c r="C9" s="6">
        <v>7</v>
      </c>
      <c r="D9" s="7">
        <v>15.298999999999999</v>
      </c>
      <c r="E9" s="4">
        <v>0</v>
      </c>
      <c r="F9" s="7">
        <v>15.298999999999999</v>
      </c>
      <c r="G9" s="15">
        <f t="shared" si="4"/>
        <v>1321833.5999999999</v>
      </c>
      <c r="H9" s="21">
        <f t="shared" si="5"/>
        <v>1.3218335999999999</v>
      </c>
      <c r="I9" s="20">
        <f t="shared" si="6"/>
        <v>59482.511999999988</v>
      </c>
      <c r="J9" s="40">
        <f t="shared" si="0"/>
        <v>5.9482511999999987E-2</v>
      </c>
      <c r="K9" s="20">
        <f t="shared" si="7"/>
        <v>7137.9014399999987</v>
      </c>
      <c r="L9" s="20">
        <f t="shared" si="1"/>
        <v>7.1379014399999986E-3</v>
      </c>
      <c r="M9" s="20">
        <f t="shared" si="2"/>
        <v>6.6620413439999984E-2</v>
      </c>
      <c r="N9" s="20">
        <f t="shared" si="8"/>
        <v>0.13218336</v>
      </c>
      <c r="O9" s="20">
        <f t="shared" si="3"/>
        <v>1.1230298265600001</v>
      </c>
    </row>
    <row r="10" spans="1:15" x14ac:dyDescent="0.7">
      <c r="A10" s="6"/>
      <c r="B10" s="6"/>
      <c r="C10" s="6">
        <v>8</v>
      </c>
      <c r="D10" s="7">
        <v>15.131</v>
      </c>
      <c r="E10" s="4">
        <v>0</v>
      </c>
      <c r="F10" s="7">
        <v>15.131</v>
      </c>
      <c r="G10" s="15">
        <f t="shared" si="4"/>
        <v>1307318.3999999999</v>
      </c>
      <c r="H10" s="21">
        <f t="shared" si="5"/>
        <v>1.3073184</v>
      </c>
      <c r="I10" s="20">
        <f t="shared" si="6"/>
        <v>58829.327999999994</v>
      </c>
      <c r="J10" s="40">
        <f t="shared" si="0"/>
        <v>5.8829327999999993E-2</v>
      </c>
      <c r="K10" s="20">
        <f t="shared" si="7"/>
        <v>7059.5193599999993</v>
      </c>
      <c r="L10" s="20">
        <f t="shared" si="1"/>
        <v>7.0595193599999996E-3</v>
      </c>
      <c r="M10" s="20">
        <f t="shared" si="2"/>
        <v>6.5888847359999989E-2</v>
      </c>
      <c r="N10" s="20">
        <f t="shared" si="8"/>
        <v>0.13073184000000002</v>
      </c>
      <c r="O10" s="20">
        <f t="shared" si="3"/>
        <v>1.1106977126400002</v>
      </c>
    </row>
    <row r="11" spans="1:15" x14ac:dyDescent="0.7">
      <c r="A11" s="6"/>
      <c r="B11" s="6"/>
      <c r="C11" s="6">
        <v>9</v>
      </c>
      <c r="D11" s="7">
        <v>15.131</v>
      </c>
      <c r="E11" s="4">
        <v>0</v>
      </c>
      <c r="F11" s="7">
        <v>15.131</v>
      </c>
      <c r="G11" s="15">
        <f t="shared" si="4"/>
        <v>1307318.3999999999</v>
      </c>
      <c r="H11" s="21">
        <f t="shared" si="5"/>
        <v>1.3073184</v>
      </c>
      <c r="I11" s="20">
        <f t="shared" si="6"/>
        <v>58829.327999999994</v>
      </c>
      <c r="J11" s="40">
        <f t="shared" si="0"/>
        <v>5.8829327999999993E-2</v>
      </c>
      <c r="K11" s="20">
        <f t="shared" si="7"/>
        <v>7059.5193599999993</v>
      </c>
      <c r="L11" s="20">
        <f t="shared" si="1"/>
        <v>7.0595193599999996E-3</v>
      </c>
      <c r="M11" s="20">
        <f t="shared" si="2"/>
        <v>6.5888847359999989E-2</v>
      </c>
      <c r="N11" s="20">
        <f t="shared" si="8"/>
        <v>0.13073184000000002</v>
      </c>
      <c r="O11" s="20">
        <f t="shared" si="3"/>
        <v>1.1106977126400002</v>
      </c>
    </row>
    <row r="12" spans="1:15" x14ac:dyDescent="0.7">
      <c r="A12" s="6"/>
      <c r="B12" s="6"/>
      <c r="C12" s="6">
        <v>10</v>
      </c>
      <c r="D12" s="7">
        <v>15.131</v>
      </c>
      <c r="E12" s="4">
        <v>0</v>
      </c>
      <c r="F12" s="7">
        <v>15.131</v>
      </c>
      <c r="G12" s="15">
        <f t="shared" si="4"/>
        <v>1307318.3999999999</v>
      </c>
      <c r="H12" s="21">
        <f t="shared" si="5"/>
        <v>1.3073184</v>
      </c>
      <c r="I12" s="20">
        <f t="shared" si="6"/>
        <v>58829.327999999994</v>
      </c>
      <c r="J12" s="40">
        <f t="shared" si="0"/>
        <v>5.8829327999999993E-2</v>
      </c>
      <c r="K12" s="20">
        <f t="shared" si="7"/>
        <v>7059.5193599999993</v>
      </c>
      <c r="L12" s="20">
        <v>0</v>
      </c>
      <c r="M12" s="20">
        <f t="shared" si="2"/>
        <v>5.8829327999999993E-2</v>
      </c>
      <c r="N12" s="20">
        <f t="shared" si="8"/>
        <v>0.13073184000000002</v>
      </c>
      <c r="O12" s="20">
        <f t="shared" si="3"/>
        <v>1.117757232</v>
      </c>
    </row>
    <row r="13" spans="1:15" x14ac:dyDescent="0.7">
      <c r="A13" s="6"/>
      <c r="B13" s="6"/>
      <c r="C13" s="6">
        <v>11</v>
      </c>
      <c r="D13" s="7">
        <v>15.131</v>
      </c>
      <c r="E13" s="4">
        <v>0</v>
      </c>
      <c r="F13" s="7">
        <v>15.131</v>
      </c>
      <c r="G13" s="15">
        <f t="shared" si="4"/>
        <v>1307318.3999999999</v>
      </c>
      <c r="H13" s="21">
        <f t="shared" si="5"/>
        <v>1.3073184</v>
      </c>
      <c r="I13" s="20">
        <f t="shared" si="6"/>
        <v>58829.327999999994</v>
      </c>
      <c r="J13" s="40">
        <f t="shared" si="0"/>
        <v>5.8829327999999993E-2</v>
      </c>
      <c r="K13" s="20">
        <f t="shared" si="7"/>
        <v>7059.5193599999993</v>
      </c>
      <c r="L13" s="20">
        <v>0</v>
      </c>
      <c r="M13" s="20">
        <f t="shared" si="2"/>
        <v>5.8829327999999993E-2</v>
      </c>
      <c r="N13" s="20">
        <f t="shared" si="8"/>
        <v>0.13073184000000002</v>
      </c>
      <c r="O13" s="20">
        <f t="shared" si="3"/>
        <v>1.117757232</v>
      </c>
    </row>
    <row r="14" spans="1:15" x14ac:dyDescent="0.7">
      <c r="A14" s="6"/>
      <c r="B14" s="6"/>
      <c r="C14" s="6">
        <v>12</v>
      </c>
      <c r="D14" s="7">
        <v>14.711</v>
      </c>
      <c r="E14" s="4">
        <v>0</v>
      </c>
      <c r="F14" s="7">
        <v>14.711</v>
      </c>
      <c r="G14" s="15">
        <f t="shared" si="4"/>
        <v>1271030.4000000001</v>
      </c>
      <c r="H14" s="21">
        <f t="shared" si="5"/>
        <v>1.2710304000000001</v>
      </c>
      <c r="I14" s="20">
        <f t="shared" si="6"/>
        <v>57196.368000000002</v>
      </c>
      <c r="J14" s="40">
        <f t="shared" si="0"/>
        <v>5.7196368000000004E-2</v>
      </c>
      <c r="K14" s="20">
        <f t="shared" si="7"/>
        <v>6863.5641599999999</v>
      </c>
      <c r="L14" s="20">
        <v>0</v>
      </c>
      <c r="M14" s="20">
        <f t="shared" si="2"/>
        <v>5.7196368000000004E-2</v>
      </c>
      <c r="N14" s="20">
        <f t="shared" si="8"/>
        <v>0.12710304000000003</v>
      </c>
      <c r="O14" s="20">
        <f t="shared" si="3"/>
        <v>1.0867309920000001</v>
      </c>
    </row>
    <row r="15" spans="1:15" x14ac:dyDescent="0.7">
      <c r="A15" s="6"/>
      <c r="B15" s="6"/>
      <c r="C15" s="6">
        <v>13</v>
      </c>
      <c r="D15" s="7">
        <v>14.273999999999999</v>
      </c>
      <c r="E15" s="4">
        <v>31.4</v>
      </c>
      <c r="F15" s="7">
        <v>14.273999999999999</v>
      </c>
      <c r="G15" s="15">
        <f t="shared" si="4"/>
        <v>1233273.5999999999</v>
      </c>
      <c r="H15" s="21">
        <f t="shared" si="5"/>
        <v>1.2332736</v>
      </c>
      <c r="I15" s="20">
        <f t="shared" si="6"/>
        <v>55497.311999999991</v>
      </c>
      <c r="J15" s="40">
        <f t="shared" si="0"/>
        <v>5.5497311999999993E-2</v>
      </c>
      <c r="K15" s="20">
        <f t="shared" si="7"/>
        <v>6659.6774399999986</v>
      </c>
      <c r="L15" s="20">
        <v>0</v>
      </c>
      <c r="M15" s="20">
        <f t="shared" si="2"/>
        <v>5.5497311999999993E-2</v>
      </c>
      <c r="N15" s="20">
        <f t="shared" si="8"/>
        <v>0.12332736</v>
      </c>
      <c r="O15" s="20">
        <f t="shared" si="3"/>
        <v>1.054448928</v>
      </c>
    </row>
    <row r="16" spans="1:15" x14ac:dyDescent="0.7">
      <c r="A16" s="6"/>
      <c r="B16" s="6"/>
      <c r="C16" s="6">
        <v>14</v>
      </c>
      <c r="D16" s="7">
        <v>22.582999999999998</v>
      </c>
      <c r="E16" s="4">
        <v>1.4</v>
      </c>
      <c r="F16" s="7">
        <v>22.582999999999998</v>
      </c>
      <c r="G16" s="15">
        <f t="shared" si="4"/>
        <v>1951171.2</v>
      </c>
      <c r="H16" s="21">
        <f t="shared" si="5"/>
        <v>1.9511711999999999</v>
      </c>
      <c r="I16" s="20">
        <f t="shared" si="6"/>
        <v>87802.703999999998</v>
      </c>
      <c r="J16" s="40">
        <f t="shared" si="0"/>
        <v>8.7802703999999995E-2</v>
      </c>
      <c r="K16" s="20">
        <f t="shared" si="7"/>
        <v>10536.324479999999</v>
      </c>
      <c r="L16" s="20">
        <v>0</v>
      </c>
      <c r="M16" s="20">
        <f t="shared" si="2"/>
        <v>8.7802703999999995E-2</v>
      </c>
      <c r="N16" s="20">
        <f t="shared" si="8"/>
        <v>0.19511712</v>
      </c>
      <c r="O16" s="20">
        <f t="shared" si="3"/>
        <v>1.668251376</v>
      </c>
    </row>
    <row r="17" spans="1:15" x14ac:dyDescent="0.7">
      <c r="A17" s="6"/>
      <c r="B17" s="6"/>
      <c r="C17" s="6">
        <v>15</v>
      </c>
      <c r="D17" s="7">
        <v>15.683999999999999</v>
      </c>
      <c r="E17" s="4">
        <v>0</v>
      </c>
      <c r="F17" s="7">
        <v>15.683999999999999</v>
      </c>
      <c r="G17" s="15">
        <f t="shared" si="4"/>
        <v>1355097.5999999999</v>
      </c>
      <c r="H17" s="21">
        <f t="shared" si="5"/>
        <v>1.3550975999999999</v>
      </c>
      <c r="I17" s="20">
        <f t="shared" si="6"/>
        <v>60979.391999999993</v>
      </c>
      <c r="J17" s="40">
        <f t="shared" si="0"/>
        <v>6.0979391999999993E-2</v>
      </c>
      <c r="K17" s="20">
        <f t="shared" si="7"/>
        <v>7317.527039999999</v>
      </c>
      <c r="L17" s="20">
        <v>0</v>
      </c>
      <c r="M17" s="20">
        <f t="shared" si="2"/>
        <v>6.0979391999999993E-2</v>
      </c>
      <c r="N17" s="20">
        <f t="shared" si="8"/>
        <v>0.13550976000000001</v>
      </c>
      <c r="O17" s="20">
        <f t="shared" si="3"/>
        <v>1.1586084480000001</v>
      </c>
    </row>
    <row r="18" spans="1:15" x14ac:dyDescent="0.7">
      <c r="A18" s="6"/>
      <c r="B18" s="6"/>
      <c r="C18" s="6">
        <v>16</v>
      </c>
      <c r="D18" s="7">
        <v>15.683999999999999</v>
      </c>
      <c r="E18" s="4">
        <v>0</v>
      </c>
      <c r="F18" s="7">
        <v>15.683999999999999</v>
      </c>
      <c r="G18" s="15">
        <f t="shared" si="4"/>
        <v>1355097.5999999999</v>
      </c>
      <c r="H18" s="21">
        <f t="shared" si="5"/>
        <v>1.3550975999999999</v>
      </c>
      <c r="I18" s="20">
        <f t="shared" si="6"/>
        <v>60979.391999999993</v>
      </c>
      <c r="J18" s="40">
        <f t="shared" si="0"/>
        <v>6.0979391999999993E-2</v>
      </c>
      <c r="K18" s="20">
        <f t="shared" si="7"/>
        <v>7317.527039999999</v>
      </c>
      <c r="L18" s="20">
        <v>0</v>
      </c>
      <c r="M18" s="20">
        <f t="shared" si="2"/>
        <v>6.0979391999999993E-2</v>
      </c>
      <c r="N18" s="20">
        <f t="shared" si="8"/>
        <v>0.13550976000000001</v>
      </c>
      <c r="O18" s="20">
        <f t="shared" si="3"/>
        <v>1.1586084480000001</v>
      </c>
    </row>
    <row r="19" spans="1:15" x14ac:dyDescent="0.7">
      <c r="A19" s="6"/>
      <c r="B19" s="6"/>
      <c r="C19" s="6">
        <v>17</v>
      </c>
      <c r="D19" s="7">
        <v>15.625999999999999</v>
      </c>
      <c r="E19" s="4">
        <v>0</v>
      </c>
      <c r="F19" s="7">
        <v>15.625999999999999</v>
      </c>
      <c r="G19" s="15">
        <f t="shared" si="4"/>
        <v>1350086.4</v>
      </c>
      <c r="H19" s="21">
        <f t="shared" si="5"/>
        <v>1.3500863999999999</v>
      </c>
      <c r="I19" s="20">
        <f t="shared" si="6"/>
        <v>60753.887999999992</v>
      </c>
      <c r="J19" s="40">
        <f t="shared" si="0"/>
        <v>6.0753887999999992E-2</v>
      </c>
      <c r="K19" s="20">
        <f t="shared" si="7"/>
        <v>7290.4665599999989</v>
      </c>
      <c r="L19" s="20">
        <v>0</v>
      </c>
      <c r="M19" s="20">
        <f t="shared" si="2"/>
        <v>6.0753887999999992E-2</v>
      </c>
      <c r="N19" s="20">
        <f t="shared" si="8"/>
        <v>0.13500863999999999</v>
      </c>
      <c r="O19" s="20">
        <f t="shared" si="3"/>
        <v>1.154323872</v>
      </c>
    </row>
    <row r="20" spans="1:15" x14ac:dyDescent="0.7">
      <c r="A20" s="6"/>
      <c r="B20" s="6"/>
      <c r="C20" s="6">
        <v>18</v>
      </c>
      <c r="D20" s="7">
        <v>15.22</v>
      </c>
      <c r="E20" s="4">
        <v>0</v>
      </c>
      <c r="F20" s="7">
        <v>15.22</v>
      </c>
      <c r="G20" s="15">
        <f t="shared" si="4"/>
        <v>1315008</v>
      </c>
      <c r="H20" s="21">
        <f t="shared" si="5"/>
        <v>1.315008</v>
      </c>
      <c r="I20" s="20">
        <f t="shared" si="6"/>
        <v>59175.360000000001</v>
      </c>
      <c r="J20" s="40">
        <f t="shared" si="0"/>
        <v>5.9175360000000003E-2</v>
      </c>
      <c r="K20" s="20">
        <f t="shared" si="7"/>
        <v>7101.0432000000001</v>
      </c>
      <c r="L20" s="20">
        <f t="shared" ref="L20:L23" si="9">K20/1000000</f>
        <v>7.1010431999999997E-3</v>
      </c>
      <c r="M20" s="20">
        <f t="shared" si="2"/>
        <v>6.62764032E-2</v>
      </c>
      <c r="N20" s="20">
        <f t="shared" si="8"/>
        <v>0.1315008</v>
      </c>
      <c r="O20" s="20">
        <f t="shared" si="3"/>
        <v>1.1172307967999999</v>
      </c>
    </row>
    <row r="21" spans="1:15" x14ac:dyDescent="0.7">
      <c r="A21" s="6"/>
      <c r="B21" s="6"/>
      <c r="C21" s="6">
        <v>19</v>
      </c>
      <c r="D21" s="7">
        <v>14.711</v>
      </c>
      <c r="E21" s="4">
        <v>0</v>
      </c>
      <c r="F21" s="7">
        <v>14.711</v>
      </c>
      <c r="G21" s="15">
        <f t="shared" si="4"/>
        <v>1271030.4000000001</v>
      </c>
      <c r="H21" s="21">
        <f t="shared" si="5"/>
        <v>1.2710304000000001</v>
      </c>
      <c r="I21" s="20">
        <f t="shared" si="6"/>
        <v>57196.368000000002</v>
      </c>
      <c r="J21" s="40">
        <f t="shared" si="0"/>
        <v>5.7196368000000004E-2</v>
      </c>
      <c r="K21" s="20">
        <f t="shared" si="7"/>
        <v>6863.5641599999999</v>
      </c>
      <c r="L21" s="20">
        <f t="shared" si="9"/>
        <v>6.8635641600000002E-3</v>
      </c>
      <c r="M21" s="20">
        <f t="shared" si="2"/>
        <v>6.4059932159999999E-2</v>
      </c>
      <c r="N21" s="20">
        <f t="shared" si="8"/>
        <v>0.12710304000000003</v>
      </c>
      <c r="O21" s="20">
        <f t="shared" si="3"/>
        <v>1.0798674278400002</v>
      </c>
    </row>
    <row r="22" spans="1:15" x14ac:dyDescent="0.7">
      <c r="A22" s="6"/>
      <c r="B22" s="6"/>
      <c r="C22" s="6">
        <v>20</v>
      </c>
      <c r="D22" s="7">
        <v>14.125999999999999</v>
      </c>
      <c r="E22" s="4">
        <v>0</v>
      </c>
      <c r="F22" s="7">
        <v>14.125999999999999</v>
      </c>
      <c r="G22" s="15">
        <f t="shared" si="4"/>
        <v>1220486.3999999999</v>
      </c>
      <c r="H22" s="21">
        <f t="shared" si="5"/>
        <v>1.2204864</v>
      </c>
      <c r="I22" s="20">
        <f t="shared" si="6"/>
        <v>54921.887999999992</v>
      </c>
      <c r="J22" s="40">
        <f t="shared" si="0"/>
        <v>5.4921887999999995E-2</v>
      </c>
      <c r="K22" s="20">
        <f t="shared" si="7"/>
        <v>6590.6265599999988</v>
      </c>
      <c r="L22" s="20">
        <f t="shared" si="9"/>
        <v>6.5906265599999991E-3</v>
      </c>
      <c r="M22" s="20">
        <f t="shared" si="2"/>
        <v>6.1512514559999995E-2</v>
      </c>
      <c r="N22" s="20">
        <f t="shared" si="8"/>
        <v>0.12204864</v>
      </c>
      <c r="O22" s="20">
        <f t="shared" si="3"/>
        <v>1.03692524544</v>
      </c>
    </row>
    <row r="23" spans="1:15" x14ac:dyDescent="0.7">
      <c r="A23" s="6"/>
      <c r="B23" s="6"/>
      <c r="C23" s="6">
        <v>21</v>
      </c>
      <c r="D23" s="7">
        <v>14.051</v>
      </c>
      <c r="E23" s="4">
        <v>0</v>
      </c>
      <c r="F23" s="7">
        <v>14.051</v>
      </c>
      <c r="G23" s="15">
        <f t="shared" si="4"/>
        <v>1214006.3999999999</v>
      </c>
      <c r="H23" s="21">
        <f t="shared" si="5"/>
        <v>1.2140063999999999</v>
      </c>
      <c r="I23" s="20">
        <f t="shared" si="6"/>
        <v>54630.287999999993</v>
      </c>
      <c r="J23" s="40">
        <f t="shared" si="0"/>
        <v>5.4630287999999992E-2</v>
      </c>
      <c r="K23" s="20">
        <f t="shared" si="7"/>
        <v>6555.6345599999986</v>
      </c>
      <c r="L23" s="20">
        <f t="shared" si="9"/>
        <v>6.5556345599999989E-3</v>
      </c>
      <c r="M23" s="20">
        <f t="shared" si="2"/>
        <v>6.1185922559999995E-2</v>
      </c>
      <c r="N23" s="20">
        <f t="shared" si="8"/>
        <v>0.12140064</v>
      </c>
      <c r="O23" s="20">
        <f t="shared" si="3"/>
        <v>1.0314198374399999</v>
      </c>
    </row>
    <row r="24" spans="1:15" x14ac:dyDescent="0.7">
      <c r="A24" s="6"/>
      <c r="B24" s="6"/>
      <c r="C24" s="6">
        <v>22</v>
      </c>
      <c r="D24" s="7">
        <v>13.893000000000001</v>
      </c>
      <c r="E24" s="4">
        <v>0</v>
      </c>
      <c r="F24" s="7">
        <v>13.893000000000001</v>
      </c>
      <c r="G24" s="15">
        <f t="shared" si="4"/>
        <v>1200355.2</v>
      </c>
      <c r="H24" s="21">
        <f t="shared" si="5"/>
        <v>1.2003552</v>
      </c>
      <c r="I24" s="20">
        <f t="shared" si="6"/>
        <v>54015.983999999997</v>
      </c>
      <c r="J24" s="40">
        <f t="shared" ref="J24:J33" si="10">I24/1000000</f>
        <v>5.4015983999999996E-2</v>
      </c>
      <c r="K24" s="20">
        <f t="shared" si="7"/>
        <v>6481.9180799999995</v>
      </c>
      <c r="L24" s="20">
        <v>0</v>
      </c>
      <c r="M24" s="20">
        <f t="shared" ref="M24:M42" si="11">J24+L24</f>
        <v>5.4015983999999996E-2</v>
      </c>
      <c r="N24" s="20">
        <f t="shared" si="8"/>
        <v>0.12003552000000001</v>
      </c>
      <c r="O24" s="20">
        <f t="shared" ref="O24:O42" si="12">H24-M24-N24</f>
        <v>1.0263036959999998</v>
      </c>
    </row>
    <row r="25" spans="1:15" x14ac:dyDescent="0.7">
      <c r="A25" s="6"/>
      <c r="B25" s="6"/>
      <c r="C25" s="6">
        <v>23</v>
      </c>
      <c r="D25" s="7">
        <v>13.744</v>
      </c>
      <c r="E25" s="4">
        <v>0</v>
      </c>
      <c r="F25" s="7">
        <v>13.744</v>
      </c>
      <c r="G25" s="15">
        <f t="shared" si="4"/>
        <v>1187481.6000000001</v>
      </c>
      <c r="H25" s="21">
        <f t="shared" si="5"/>
        <v>1.1874816000000001</v>
      </c>
      <c r="I25" s="20">
        <f t="shared" si="6"/>
        <v>53436.671999999999</v>
      </c>
      <c r="J25" s="40">
        <f t="shared" si="10"/>
        <v>5.3436671999999998E-2</v>
      </c>
      <c r="K25" s="20">
        <f t="shared" si="7"/>
        <v>6412.4006399999998</v>
      </c>
      <c r="L25" s="20">
        <v>0</v>
      </c>
      <c r="M25" s="20">
        <f t="shared" si="11"/>
        <v>5.3436671999999998E-2</v>
      </c>
      <c r="N25" s="20">
        <f t="shared" si="8"/>
        <v>0.11874816000000002</v>
      </c>
      <c r="O25" s="20">
        <f t="shared" si="12"/>
        <v>1.0152967680000002</v>
      </c>
    </row>
    <row r="26" spans="1:15" x14ac:dyDescent="0.7">
      <c r="A26" s="6"/>
      <c r="B26" s="6"/>
      <c r="C26" s="6">
        <v>24</v>
      </c>
      <c r="D26" s="7">
        <v>13.510999999999999</v>
      </c>
      <c r="E26" s="4">
        <v>0</v>
      </c>
      <c r="F26" s="7">
        <v>13.510999999999999</v>
      </c>
      <c r="G26" s="15">
        <f t="shared" si="4"/>
        <v>1167350.3999999999</v>
      </c>
      <c r="H26" s="21">
        <f t="shared" si="5"/>
        <v>1.1673503999999999</v>
      </c>
      <c r="I26" s="20">
        <f t="shared" si="6"/>
        <v>52530.767999999996</v>
      </c>
      <c r="J26" s="40">
        <f t="shared" si="10"/>
        <v>5.2530767999999999E-2</v>
      </c>
      <c r="K26" s="20">
        <f t="shared" si="7"/>
        <v>6303.6921599999996</v>
      </c>
      <c r="L26" s="20">
        <v>0</v>
      </c>
      <c r="M26" s="20">
        <f t="shared" si="11"/>
        <v>5.2530767999999999E-2</v>
      </c>
      <c r="N26" s="20">
        <f t="shared" si="8"/>
        <v>0.11673504</v>
      </c>
      <c r="O26" s="20">
        <f t="shared" si="12"/>
        <v>0.99808459199999988</v>
      </c>
    </row>
    <row r="27" spans="1:15" x14ac:dyDescent="0.7">
      <c r="A27" s="6"/>
      <c r="B27" s="6"/>
      <c r="C27" s="6">
        <v>25</v>
      </c>
      <c r="D27" s="7">
        <v>13.353</v>
      </c>
      <c r="E27" s="4">
        <v>0</v>
      </c>
      <c r="F27" s="7">
        <v>13.353</v>
      </c>
      <c r="G27" s="15">
        <f t="shared" si="4"/>
        <v>1153699.2</v>
      </c>
      <c r="H27" s="21">
        <f t="shared" si="5"/>
        <v>1.1536991999999999</v>
      </c>
      <c r="I27" s="20">
        <f t="shared" si="6"/>
        <v>51916.463999999993</v>
      </c>
      <c r="J27" s="40">
        <f t="shared" si="10"/>
        <v>5.1916463999999996E-2</v>
      </c>
      <c r="K27" s="20">
        <f t="shared" si="7"/>
        <v>6229.9756799999986</v>
      </c>
      <c r="L27" s="20">
        <f t="shared" ref="L27:L30" si="13">K27/1000000</f>
        <v>6.2299756799999986E-3</v>
      </c>
      <c r="M27" s="20">
        <f t="shared" si="11"/>
        <v>5.8146439679999995E-2</v>
      </c>
      <c r="N27" s="20">
        <f t="shared" si="8"/>
        <v>0.11536992</v>
      </c>
      <c r="O27" s="20">
        <f t="shared" si="12"/>
        <v>0.98018284031999992</v>
      </c>
    </row>
    <row r="28" spans="1:15" x14ac:dyDescent="0.7">
      <c r="A28" s="6"/>
      <c r="B28" s="6"/>
      <c r="C28" s="6">
        <v>26</v>
      </c>
      <c r="D28" s="7">
        <v>12.928000000000001</v>
      </c>
      <c r="E28" s="4">
        <v>0</v>
      </c>
      <c r="F28" s="7">
        <v>12.928000000000001</v>
      </c>
      <c r="G28" s="15">
        <f t="shared" si="4"/>
        <v>1116979.2000000002</v>
      </c>
      <c r="H28" s="21">
        <f t="shared" si="5"/>
        <v>1.1169792000000003</v>
      </c>
      <c r="I28" s="20">
        <f t="shared" si="6"/>
        <v>50264.064000000006</v>
      </c>
      <c r="J28" s="40">
        <f t="shared" si="10"/>
        <v>5.0264064000000004E-2</v>
      </c>
      <c r="K28" s="20">
        <f t="shared" si="7"/>
        <v>6031.6876800000009</v>
      </c>
      <c r="L28" s="20">
        <f t="shared" si="13"/>
        <v>6.0316876800000007E-3</v>
      </c>
      <c r="M28" s="20">
        <f t="shared" si="11"/>
        <v>5.6295751680000006E-2</v>
      </c>
      <c r="N28" s="20">
        <f t="shared" si="8"/>
        <v>0.11169792000000003</v>
      </c>
      <c r="O28" s="20">
        <f t="shared" si="12"/>
        <v>0.94898552832000027</v>
      </c>
    </row>
    <row r="29" spans="1:15" x14ac:dyDescent="0.7">
      <c r="A29" s="6"/>
      <c r="B29" s="6"/>
      <c r="C29" s="6">
        <v>27</v>
      </c>
      <c r="D29" s="7">
        <v>12.564</v>
      </c>
      <c r="E29" s="4">
        <v>0</v>
      </c>
      <c r="F29" s="7">
        <v>12.564</v>
      </c>
      <c r="G29" s="15">
        <f t="shared" si="4"/>
        <v>1085529.6000000001</v>
      </c>
      <c r="H29" s="21">
        <f t="shared" si="5"/>
        <v>1.0855296000000001</v>
      </c>
      <c r="I29" s="20">
        <f t="shared" si="6"/>
        <v>48848.832000000002</v>
      </c>
      <c r="J29" s="40">
        <f t="shared" si="10"/>
        <v>4.8848832000000002E-2</v>
      </c>
      <c r="K29" s="20">
        <f t="shared" si="7"/>
        <v>5861.8598400000001</v>
      </c>
      <c r="L29" s="20">
        <f t="shared" si="13"/>
        <v>5.8618598399999998E-3</v>
      </c>
      <c r="M29" s="20">
        <f t="shared" si="11"/>
        <v>5.4710691839999999E-2</v>
      </c>
      <c r="N29" s="20">
        <f t="shared" si="8"/>
        <v>0.10855296000000002</v>
      </c>
      <c r="O29" s="20">
        <f t="shared" si="12"/>
        <v>0.92226594816000007</v>
      </c>
    </row>
    <row r="30" spans="1:15" x14ac:dyDescent="0.7">
      <c r="A30" s="6"/>
      <c r="B30" s="6"/>
      <c r="C30" s="6">
        <v>28</v>
      </c>
      <c r="D30" s="7">
        <v>12.494</v>
      </c>
      <c r="E30" s="4">
        <v>0</v>
      </c>
      <c r="F30" s="7">
        <v>12.494</v>
      </c>
      <c r="G30" s="15">
        <f t="shared" si="4"/>
        <v>1079481.6000000001</v>
      </c>
      <c r="H30" s="21">
        <f t="shared" si="5"/>
        <v>1.0794816</v>
      </c>
      <c r="I30" s="20">
        <f t="shared" si="6"/>
        <v>48576.672000000006</v>
      </c>
      <c r="J30" s="40">
        <f t="shared" si="10"/>
        <v>4.8576672000000008E-2</v>
      </c>
      <c r="K30" s="20">
        <f t="shared" si="7"/>
        <v>5829.2006400000009</v>
      </c>
      <c r="L30" s="20">
        <f t="shared" si="13"/>
        <v>5.8292006400000006E-3</v>
      </c>
      <c r="M30" s="20">
        <f t="shared" si="11"/>
        <v>5.4405872640000005E-2</v>
      </c>
      <c r="N30" s="20">
        <f t="shared" si="8"/>
        <v>0.10794816000000002</v>
      </c>
      <c r="O30" s="20">
        <f t="shared" si="12"/>
        <v>0.9171275673599999</v>
      </c>
    </row>
    <row r="31" spans="1:15" x14ac:dyDescent="0.7">
      <c r="A31" s="6"/>
      <c r="B31" s="6"/>
      <c r="C31" s="6">
        <v>29</v>
      </c>
      <c r="D31" s="7">
        <v>12.494</v>
      </c>
      <c r="E31" s="4">
        <v>0</v>
      </c>
      <c r="F31" s="7">
        <v>12.494</v>
      </c>
      <c r="G31" s="15">
        <f t="shared" si="4"/>
        <v>1079481.6000000001</v>
      </c>
      <c r="H31" s="21">
        <f t="shared" si="5"/>
        <v>1.0794816</v>
      </c>
      <c r="I31" s="20">
        <f t="shared" si="6"/>
        <v>48576.672000000006</v>
      </c>
      <c r="J31" s="40">
        <f t="shared" si="10"/>
        <v>4.8576672000000008E-2</v>
      </c>
      <c r="K31" s="20">
        <f t="shared" si="7"/>
        <v>5829.2006400000009</v>
      </c>
      <c r="L31" s="20">
        <v>0</v>
      </c>
      <c r="M31" s="20">
        <f t="shared" si="11"/>
        <v>4.8576672000000008E-2</v>
      </c>
      <c r="N31" s="20">
        <f t="shared" si="8"/>
        <v>0.10794816000000002</v>
      </c>
      <c r="O31" s="20">
        <f t="shared" si="12"/>
        <v>0.92295676799999993</v>
      </c>
    </row>
    <row r="32" spans="1:15" x14ac:dyDescent="0.7">
      <c r="A32" s="6"/>
      <c r="B32" s="6"/>
      <c r="C32" s="6">
        <v>30</v>
      </c>
      <c r="D32" s="7">
        <v>12.416</v>
      </c>
      <c r="E32" s="4">
        <v>0</v>
      </c>
      <c r="F32" s="7">
        <v>12.416</v>
      </c>
      <c r="G32" s="15">
        <f t="shared" si="4"/>
        <v>1072742.4000000001</v>
      </c>
      <c r="H32" s="21">
        <f t="shared" si="5"/>
        <v>1.0727424000000001</v>
      </c>
      <c r="I32" s="20">
        <f t="shared" si="6"/>
        <v>48273.408000000003</v>
      </c>
      <c r="J32" s="40">
        <f t="shared" si="10"/>
        <v>4.8273408000000004E-2</v>
      </c>
      <c r="K32" s="20">
        <f t="shared" si="7"/>
        <v>5792.8089600000003</v>
      </c>
      <c r="L32" s="20">
        <v>0</v>
      </c>
      <c r="M32" s="20">
        <f t="shared" si="11"/>
        <v>4.8273408000000004E-2</v>
      </c>
      <c r="N32" s="20">
        <f t="shared" si="8"/>
        <v>0.10727424000000002</v>
      </c>
      <c r="O32" s="20">
        <f t="shared" si="12"/>
        <v>0.91719475200000011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12.416</v>
      </c>
      <c r="E33" s="19">
        <v>0</v>
      </c>
      <c r="F33" s="10">
        <v>12.416</v>
      </c>
      <c r="G33" s="26">
        <f t="shared" si="4"/>
        <v>1072742.4000000001</v>
      </c>
      <c r="H33" s="27">
        <f t="shared" si="5"/>
        <v>1.0727424000000001</v>
      </c>
      <c r="I33" s="22">
        <f t="shared" si="6"/>
        <v>48273.408000000003</v>
      </c>
      <c r="J33" s="41">
        <f t="shared" si="10"/>
        <v>4.8273408000000004E-2</v>
      </c>
      <c r="K33" s="22">
        <f t="shared" si="7"/>
        <v>5792.8089600000003</v>
      </c>
      <c r="L33" s="22">
        <v>0</v>
      </c>
      <c r="M33" s="22">
        <f t="shared" si="11"/>
        <v>4.8273408000000004E-2</v>
      </c>
      <c r="N33" s="22">
        <f t="shared" si="8"/>
        <v>0.10727424000000002</v>
      </c>
      <c r="O33" s="22">
        <f t="shared" si="12"/>
        <v>0.91719475200000011</v>
      </c>
    </row>
    <row r="34" spans="1:15" x14ac:dyDescent="0.7">
      <c r="A34" s="3"/>
      <c r="B34" s="3" t="s">
        <v>16</v>
      </c>
      <c r="C34" s="3">
        <v>1</v>
      </c>
      <c r="D34" s="4">
        <v>12.416</v>
      </c>
      <c r="E34" s="4">
        <v>0.5</v>
      </c>
      <c r="F34" s="4">
        <v>12.416</v>
      </c>
      <c r="G34" s="15">
        <f t="shared" si="4"/>
        <v>1072742.4000000001</v>
      </c>
      <c r="H34" s="21">
        <f t="shared" si="5"/>
        <v>1.0727424000000001</v>
      </c>
      <c r="I34" s="21">
        <f t="shared" si="6"/>
        <v>48273.408000000003</v>
      </c>
      <c r="J34" s="25">
        <v>1.3301E-2</v>
      </c>
      <c r="K34" s="21">
        <f t="shared" si="7"/>
        <v>5792.8089600000003</v>
      </c>
      <c r="L34" s="16">
        <v>0</v>
      </c>
      <c r="M34" s="16">
        <f t="shared" si="11"/>
        <v>1.3301E-2</v>
      </c>
      <c r="N34" s="21">
        <f t="shared" si="8"/>
        <v>0.10727424000000002</v>
      </c>
      <c r="O34" s="4">
        <f t="shared" si="12"/>
        <v>0.95216716000000012</v>
      </c>
    </row>
    <row r="35" spans="1:15" x14ac:dyDescent="0.7">
      <c r="A35" s="6"/>
      <c r="B35" s="6"/>
      <c r="C35" s="6">
        <v>2</v>
      </c>
      <c r="D35" s="7">
        <v>12.416</v>
      </c>
      <c r="E35" s="4">
        <v>0</v>
      </c>
      <c r="F35" s="7">
        <v>12.416</v>
      </c>
      <c r="G35" s="15">
        <f t="shared" si="4"/>
        <v>1072742.4000000001</v>
      </c>
      <c r="H35" s="21">
        <f t="shared" si="5"/>
        <v>1.0727424000000001</v>
      </c>
      <c r="I35" s="20">
        <f t="shared" si="6"/>
        <v>48273.408000000003</v>
      </c>
      <c r="J35" s="28">
        <v>1.3717999999999999E-2</v>
      </c>
      <c r="K35" s="20">
        <f t="shared" si="7"/>
        <v>5792.8089600000003</v>
      </c>
      <c r="L35" s="17">
        <v>8.5389999999999997E-3</v>
      </c>
      <c r="M35" s="17">
        <f t="shared" si="11"/>
        <v>2.2256999999999999E-2</v>
      </c>
      <c r="N35" s="20">
        <f t="shared" si="8"/>
        <v>0.10727424000000002</v>
      </c>
      <c r="O35" s="7">
        <f t="shared" si="12"/>
        <v>0.94321116000000016</v>
      </c>
    </row>
    <row r="36" spans="1:15" x14ac:dyDescent="0.7">
      <c r="A36" s="6"/>
      <c r="B36" s="6"/>
      <c r="C36" s="6">
        <v>3</v>
      </c>
      <c r="D36" s="7">
        <v>13.744</v>
      </c>
      <c r="E36" s="4">
        <v>0</v>
      </c>
      <c r="F36" s="7">
        <v>13.744</v>
      </c>
      <c r="G36" s="15">
        <f t="shared" si="4"/>
        <v>1187481.6000000001</v>
      </c>
      <c r="H36" s="21">
        <f t="shared" si="5"/>
        <v>1.1874816000000001</v>
      </c>
      <c r="I36" s="20">
        <f t="shared" si="6"/>
        <v>53436.671999999999</v>
      </c>
      <c r="J36" s="28">
        <v>1.3702000000000001E-2</v>
      </c>
      <c r="K36" s="20">
        <f t="shared" si="7"/>
        <v>6412.4006399999998</v>
      </c>
      <c r="L36" s="17">
        <v>5.0959999999999998E-3</v>
      </c>
      <c r="M36" s="17">
        <f t="shared" si="11"/>
        <v>1.8798000000000002E-2</v>
      </c>
      <c r="N36" s="20">
        <f t="shared" si="8"/>
        <v>0.11874816000000002</v>
      </c>
      <c r="O36" s="7">
        <f t="shared" si="12"/>
        <v>1.0499354400000001</v>
      </c>
    </row>
    <row r="37" spans="1:15" x14ac:dyDescent="0.7">
      <c r="A37" s="6"/>
      <c r="B37" s="6"/>
      <c r="C37" s="6">
        <v>4</v>
      </c>
      <c r="D37" s="7">
        <v>11.888</v>
      </c>
      <c r="E37" s="4">
        <v>0</v>
      </c>
      <c r="F37" s="7">
        <v>11.888</v>
      </c>
      <c r="G37" s="15">
        <f t="shared" si="4"/>
        <v>1027123.2</v>
      </c>
      <c r="H37" s="21">
        <f t="shared" si="5"/>
        <v>1.0271231999999999</v>
      </c>
      <c r="I37" s="20">
        <f t="shared" si="6"/>
        <v>46220.543999999994</v>
      </c>
      <c r="J37" s="28">
        <v>1.521E-2</v>
      </c>
      <c r="K37" s="20">
        <f t="shared" si="7"/>
        <v>5546.4652799999994</v>
      </c>
      <c r="L37" s="17">
        <v>6.0730000000000003E-3</v>
      </c>
      <c r="M37" s="17">
        <f t="shared" si="11"/>
        <v>2.1283E-2</v>
      </c>
      <c r="N37" s="20">
        <f t="shared" si="8"/>
        <v>0.10271232</v>
      </c>
      <c r="O37" s="7">
        <f t="shared" si="12"/>
        <v>0.90312787999999999</v>
      </c>
    </row>
    <row r="38" spans="1:15" x14ac:dyDescent="0.7">
      <c r="A38" s="6"/>
      <c r="B38" s="6"/>
      <c r="C38" s="6">
        <v>5</v>
      </c>
      <c r="D38" s="7">
        <v>11.750999999999999</v>
      </c>
      <c r="E38" s="4">
        <v>0</v>
      </c>
      <c r="F38" s="7">
        <v>11.750999999999999</v>
      </c>
      <c r="G38" s="15">
        <f t="shared" si="4"/>
        <v>1015286.3999999999</v>
      </c>
      <c r="H38" s="21">
        <f t="shared" si="5"/>
        <v>1.0152863999999999</v>
      </c>
      <c r="I38" s="20">
        <f t="shared" si="6"/>
        <v>45687.887999999992</v>
      </c>
      <c r="J38" s="28">
        <v>1.5396E-2</v>
      </c>
      <c r="K38" s="20">
        <f t="shared" si="7"/>
        <v>5482.5465599999989</v>
      </c>
      <c r="L38" s="17">
        <v>6.2989999999999999E-3</v>
      </c>
      <c r="M38" s="17">
        <f t="shared" si="11"/>
        <v>2.1694999999999999E-2</v>
      </c>
      <c r="N38" s="20">
        <f t="shared" si="8"/>
        <v>0.10152864</v>
      </c>
      <c r="O38" s="7">
        <f t="shared" si="12"/>
        <v>0.89206275999999995</v>
      </c>
    </row>
    <row r="39" spans="1:15" x14ac:dyDescent="0.7">
      <c r="A39" s="6"/>
      <c r="B39" s="6"/>
      <c r="C39" s="6">
        <v>6</v>
      </c>
      <c r="D39" s="7">
        <v>11.688000000000001</v>
      </c>
      <c r="E39" s="4">
        <v>0</v>
      </c>
      <c r="F39" s="7">
        <v>11.688000000000001</v>
      </c>
      <c r="G39" s="15">
        <f t="shared" si="4"/>
        <v>1009843.2000000001</v>
      </c>
      <c r="H39" s="21">
        <f t="shared" si="5"/>
        <v>1.0098432000000002</v>
      </c>
      <c r="I39" s="20">
        <f t="shared" si="6"/>
        <v>45442.944000000003</v>
      </c>
      <c r="J39" s="28">
        <v>1.7770000000000001E-2</v>
      </c>
      <c r="K39" s="20">
        <f t="shared" si="7"/>
        <v>5453.1532800000004</v>
      </c>
      <c r="L39" s="17">
        <v>5.947E-3</v>
      </c>
      <c r="M39" s="17">
        <f t="shared" si="11"/>
        <v>2.3717000000000002E-2</v>
      </c>
      <c r="N39" s="20">
        <f t="shared" si="8"/>
        <v>0.10098432000000002</v>
      </c>
      <c r="O39" s="7">
        <f t="shared" si="12"/>
        <v>0.88514188000000016</v>
      </c>
    </row>
    <row r="40" spans="1:15" x14ac:dyDescent="0.7">
      <c r="A40" s="6"/>
      <c r="B40" s="6"/>
      <c r="C40" s="6">
        <v>7</v>
      </c>
      <c r="D40" s="7">
        <v>11.346</v>
      </c>
      <c r="E40" s="4">
        <v>0</v>
      </c>
      <c r="F40" s="7">
        <v>11.346</v>
      </c>
      <c r="G40" s="15">
        <f t="shared" si="4"/>
        <v>980294.4</v>
      </c>
      <c r="H40" s="21">
        <f t="shared" si="5"/>
        <v>0.98029440000000001</v>
      </c>
      <c r="I40" s="20">
        <f t="shared" si="6"/>
        <v>44113.248</v>
      </c>
      <c r="J40" s="28">
        <v>1.8159000000000002E-2</v>
      </c>
      <c r="K40" s="20">
        <f t="shared" si="7"/>
        <v>5293.5897599999998</v>
      </c>
      <c r="L40" s="17">
        <v>6.0689999999999997E-3</v>
      </c>
      <c r="M40" s="17">
        <f t="shared" si="11"/>
        <v>2.4228E-2</v>
      </c>
      <c r="N40" s="20">
        <f t="shared" si="8"/>
        <v>9.8029440000000009E-2</v>
      </c>
      <c r="O40" s="7">
        <f t="shared" si="12"/>
        <v>0.85803695999999996</v>
      </c>
    </row>
    <row r="41" spans="1:15" x14ac:dyDescent="0.7">
      <c r="A41" s="6"/>
      <c r="B41" s="6"/>
      <c r="C41" s="6">
        <v>8</v>
      </c>
      <c r="D41" s="7">
        <v>11.204000000000001</v>
      </c>
      <c r="E41" s="4">
        <v>0</v>
      </c>
      <c r="F41" s="7">
        <v>11.204000000000001</v>
      </c>
      <c r="G41" s="15">
        <f t="shared" si="4"/>
        <v>968025.60000000009</v>
      </c>
      <c r="H41" s="21">
        <f t="shared" si="5"/>
        <v>0.96802560000000004</v>
      </c>
      <c r="I41" s="20">
        <f t="shared" si="6"/>
        <v>43561.152000000002</v>
      </c>
      <c r="J41" s="28">
        <v>1.5637000000000002E-2</v>
      </c>
      <c r="K41" s="20">
        <f t="shared" si="7"/>
        <v>5227.33824</v>
      </c>
      <c r="L41" s="17">
        <v>6.2630000000000003E-3</v>
      </c>
      <c r="M41" s="17">
        <f t="shared" si="11"/>
        <v>2.1900000000000003E-2</v>
      </c>
      <c r="N41" s="20">
        <f t="shared" si="8"/>
        <v>9.680256000000001E-2</v>
      </c>
      <c r="O41" s="7">
        <f t="shared" si="12"/>
        <v>0.84932304000000003</v>
      </c>
    </row>
    <row r="42" spans="1:15" x14ac:dyDescent="0.7">
      <c r="A42" s="6"/>
      <c r="B42" s="6"/>
      <c r="C42" s="6">
        <v>9</v>
      </c>
      <c r="D42" s="7">
        <v>11.204000000000001</v>
      </c>
      <c r="E42" s="4">
        <v>0</v>
      </c>
      <c r="F42" s="7">
        <v>11.204000000000001</v>
      </c>
      <c r="G42" s="15">
        <f t="shared" si="4"/>
        <v>968025.60000000009</v>
      </c>
      <c r="H42" s="21">
        <f t="shared" si="5"/>
        <v>0.96802560000000004</v>
      </c>
      <c r="I42" s="20">
        <f t="shared" si="6"/>
        <v>43561.152000000002</v>
      </c>
      <c r="J42" s="28">
        <v>1.4685E-2</v>
      </c>
      <c r="K42" s="20">
        <f t="shared" si="7"/>
        <v>5227.33824</v>
      </c>
      <c r="L42" s="17">
        <v>6.8100000000000001E-3</v>
      </c>
      <c r="M42" s="17">
        <f t="shared" si="11"/>
        <v>2.1495E-2</v>
      </c>
      <c r="N42" s="20">
        <f t="shared" si="8"/>
        <v>9.680256000000001E-2</v>
      </c>
      <c r="O42" s="7">
        <f t="shared" si="12"/>
        <v>0.84972804000000002</v>
      </c>
    </row>
    <row r="43" spans="1:15" x14ac:dyDescent="0.7">
      <c r="A43" s="6"/>
      <c r="B43" s="6"/>
      <c r="C43" s="6">
        <v>10</v>
      </c>
      <c r="D43" s="7">
        <v>11.204000000000001</v>
      </c>
      <c r="E43" s="4">
        <v>0</v>
      </c>
      <c r="F43" s="7">
        <v>11.204000000000001</v>
      </c>
      <c r="G43" s="15">
        <f t="shared" si="4"/>
        <v>968025.60000000009</v>
      </c>
      <c r="H43" s="21">
        <f t="shared" si="5"/>
        <v>0.96802560000000004</v>
      </c>
      <c r="I43" s="20">
        <f t="shared" si="6"/>
        <v>43561.152000000002</v>
      </c>
      <c r="J43" s="28">
        <v>1.7183694444444401E-2</v>
      </c>
      <c r="K43" s="20">
        <f t="shared" si="7"/>
        <v>5227.33824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9.680256000000001E-2</v>
      </c>
      <c r="O43" s="7">
        <f t="shared" ref="O43:O58" si="15">H43-M43-N43</f>
        <v>0.84650934555555568</v>
      </c>
    </row>
    <row r="44" spans="1:15" x14ac:dyDescent="0.7">
      <c r="A44" s="6"/>
      <c r="B44" s="6"/>
      <c r="C44" s="6">
        <v>11</v>
      </c>
      <c r="D44" s="7">
        <v>11.204000000000001</v>
      </c>
      <c r="E44" s="4">
        <v>0</v>
      </c>
      <c r="F44" s="7">
        <v>11.204000000000001</v>
      </c>
      <c r="G44" s="15">
        <f t="shared" si="4"/>
        <v>968025.60000000009</v>
      </c>
      <c r="H44" s="21">
        <f t="shared" si="5"/>
        <v>0.96802560000000004</v>
      </c>
      <c r="I44" s="20">
        <f t="shared" si="6"/>
        <v>43561.152000000002</v>
      </c>
      <c r="J44" s="28">
        <v>1.7563144444444401E-2</v>
      </c>
      <c r="K44" s="20">
        <f t="shared" si="7"/>
        <v>5227.33824</v>
      </c>
      <c r="L44" s="17">
        <v>7.9005333333333292E-3</v>
      </c>
      <c r="M44" s="17">
        <f t="shared" si="14"/>
        <v>2.5463677777777728E-2</v>
      </c>
      <c r="N44" s="20">
        <f t="shared" si="8"/>
        <v>9.680256000000001E-2</v>
      </c>
      <c r="O44" s="7">
        <f t="shared" si="15"/>
        <v>0.84575936222222237</v>
      </c>
    </row>
    <row r="45" spans="1:15" x14ac:dyDescent="0.7">
      <c r="A45" s="6"/>
      <c r="B45" s="6"/>
      <c r="C45" s="6">
        <v>12</v>
      </c>
      <c r="D45" s="7">
        <v>11.204000000000001</v>
      </c>
      <c r="E45" s="4">
        <v>0</v>
      </c>
      <c r="F45" s="7">
        <v>11.204000000000001</v>
      </c>
      <c r="G45" s="15">
        <f t="shared" si="4"/>
        <v>968025.60000000009</v>
      </c>
      <c r="H45" s="21">
        <f t="shared" si="5"/>
        <v>0.96802560000000004</v>
      </c>
      <c r="I45" s="20">
        <f t="shared" si="6"/>
        <v>43561.152000000002</v>
      </c>
      <c r="J45" s="28">
        <v>1.7942594444444401E-2</v>
      </c>
      <c r="K45" s="20">
        <f t="shared" si="7"/>
        <v>5227.33824</v>
      </c>
      <c r="L45" s="17">
        <v>8.2710666666666703E-3</v>
      </c>
      <c r="M45" s="17">
        <f t="shared" si="14"/>
        <v>2.6213661111111071E-2</v>
      </c>
      <c r="N45" s="20">
        <f t="shared" si="8"/>
        <v>9.680256000000001E-2</v>
      </c>
      <c r="O45" s="7">
        <f t="shared" si="15"/>
        <v>0.84500937888888894</v>
      </c>
    </row>
    <row r="46" spans="1:15" x14ac:dyDescent="0.7">
      <c r="A46" s="6"/>
      <c r="B46" s="6"/>
      <c r="C46" s="6">
        <v>13</v>
      </c>
      <c r="D46" s="7">
        <v>11.204000000000001</v>
      </c>
      <c r="E46" s="4">
        <v>0</v>
      </c>
      <c r="F46" s="7">
        <v>11.204000000000001</v>
      </c>
      <c r="G46" s="15">
        <f t="shared" si="4"/>
        <v>968025.60000000009</v>
      </c>
      <c r="H46" s="21">
        <f t="shared" si="5"/>
        <v>0.96802560000000004</v>
      </c>
      <c r="I46" s="20">
        <f t="shared" si="6"/>
        <v>43561.152000000002</v>
      </c>
      <c r="J46" s="28">
        <v>1.8322044444444401E-2</v>
      </c>
      <c r="K46" s="20">
        <f t="shared" si="7"/>
        <v>5227.33824</v>
      </c>
      <c r="L46" s="17">
        <v>8.6415999999999993E-3</v>
      </c>
      <c r="M46" s="17">
        <f t="shared" si="14"/>
        <v>2.69636444444444E-2</v>
      </c>
      <c r="N46" s="20">
        <f t="shared" si="8"/>
        <v>9.680256000000001E-2</v>
      </c>
      <c r="O46" s="7">
        <f t="shared" si="15"/>
        <v>0.84425939555555563</v>
      </c>
    </row>
    <row r="47" spans="1:15" x14ac:dyDescent="0.7">
      <c r="A47" s="6"/>
      <c r="B47" s="6"/>
      <c r="C47" s="6">
        <v>14</v>
      </c>
      <c r="D47" s="7">
        <v>10.996</v>
      </c>
      <c r="E47" s="4">
        <v>0</v>
      </c>
      <c r="F47" s="7">
        <v>10.996</v>
      </c>
      <c r="G47" s="15">
        <f t="shared" si="4"/>
        <v>950054.40000000002</v>
      </c>
      <c r="H47" s="21">
        <f t="shared" si="5"/>
        <v>0.95005440000000008</v>
      </c>
      <c r="I47" s="20">
        <f t="shared" si="6"/>
        <v>42752.447999999997</v>
      </c>
      <c r="J47" s="28">
        <v>1.87014944444444E-2</v>
      </c>
      <c r="K47" s="20">
        <f t="shared" si="7"/>
        <v>5130.2937599999996</v>
      </c>
      <c r="L47" s="17">
        <v>9.01213333333333E-3</v>
      </c>
      <c r="M47" s="17">
        <f t="shared" si="14"/>
        <v>2.7713627777777729E-2</v>
      </c>
      <c r="N47" s="20">
        <f t="shared" si="8"/>
        <v>9.500544000000001E-2</v>
      </c>
      <c r="O47" s="7">
        <f t="shared" si="15"/>
        <v>0.82733533222222233</v>
      </c>
    </row>
    <row r="48" spans="1:15" x14ac:dyDescent="0.7">
      <c r="A48" s="6"/>
      <c r="B48" s="6"/>
      <c r="C48" s="6">
        <v>15</v>
      </c>
      <c r="D48" s="7">
        <v>10.996</v>
      </c>
      <c r="E48" s="4">
        <v>0</v>
      </c>
      <c r="F48" s="7">
        <v>10.996</v>
      </c>
      <c r="G48" s="15">
        <f t="shared" si="4"/>
        <v>950054.40000000002</v>
      </c>
      <c r="H48" s="21">
        <f t="shared" si="5"/>
        <v>0.95005440000000008</v>
      </c>
      <c r="I48" s="20">
        <f t="shared" si="6"/>
        <v>42752.447999999997</v>
      </c>
      <c r="J48" s="28">
        <v>1.90809444444444E-2</v>
      </c>
      <c r="K48" s="20">
        <f t="shared" si="7"/>
        <v>5130.2937599999996</v>
      </c>
      <c r="L48" s="17">
        <v>9.3826666666666694E-3</v>
      </c>
      <c r="M48" s="17">
        <f t="shared" si="14"/>
        <v>2.8463611111111072E-2</v>
      </c>
      <c r="N48" s="20">
        <f t="shared" si="8"/>
        <v>9.500544000000001E-2</v>
      </c>
      <c r="O48" s="7">
        <f t="shared" si="15"/>
        <v>0.82658534888888902</v>
      </c>
    </row>
    <row r="49" spans="1:15" x14ac:dyDescent="0.7">
      <c r="A49" s="6"/>
      <c r="B49" s="6"/>
      <c r="C49" s="6">
        <v>16</v>
      </c>
      <c r="D49" s="7">
        <v>10.863</v>
      </c>
      <c r="E49" s="4">
        <v>0</v>
      </c>
      <c r="F49" s="7">
        <v>10.863</v>
      </c>
      <c r="G49" s="15">
        <f t="shared" si="4"/>
        <v>938563.2</v>
      </c>
      <c r="H49" s="21">
        <f t="shared" si="5"/>
        <v>0.93856319999999993</v>
      </c>
      <c r="I49" s="20">
        <f t="shared" si="6"/>
        <v>42235.343999999997</v>
      </c>
      <c r="J49" s="28">
        <v>1.94603944444444E-2</v>
      </c>
      <c r="K49" s="20">
        <f t="shared" si="7"/>
        <v>5068.2412799999993</v>
      </c>
      <c r="L49" s="17">
        <v>9.7532000000000001E-3</v>
      </c>
      <c r="M49" s="17">
        <f t="shared" si="14"/>
        <v>2.92135944444444E-2</v>
      </c>
      <c r="N49" s="20">
        <f t="shared" si="8"/>
        <v>9.3856319999999993E-2</v>
      </c>
      <c r="O49" s="7">
        <f t="shared" si="15"/>
        <v>0.81549328555555556</v>
      </c>
    </row>
    <row r="50" spans="1:15" x14ac:dyDescent="0.7">
      <c r="A50" s="6"/>
      <c r="B50" s="6"/>
      <c r="C50" s="6">
        <v>17</v>
      </c>
      <c r="D50" s="7">
        <v>10.423</v>
      </c>
      <c r="E50" s="4">
        <v>0</v>
      </c>
      <c r="F50" s="7">
        <v>10.423</v>
      </c>
      <c r="G50" s="15">
        <f t="shared" si="4"/>
        <v>900547.2</v>
      </c>
      <c r="H50" s="21">
        <f t="shared" si="5"/>
        <v>0.90054719999999999</v>
      </c>
      <c r="I50" s="20">
        <f t="shared" si="6"/>
        <v>40524.623999999996</v>
      </c>
      <c r="J50" s="28">
        <v>1.98398444444444E-2</v>
      </c>
      <c r="K50" s="20">
        <f t="shared" si="7"/>
        <v>4862.9548799999993</v>
      </c>
      <c r="L50" s="17">
        <v>1.01237333333333E-2</v>
      </c>
      <c r="M50" s="17">
        <f t="shared" si="14"/>
        <v>2.9963577777777702E-2</v>
      </c>
      <c r="N50" s="20">
        <f t="shared" si="8"/>
        <v>9.0054720000000005E-2</v>
      </c>
      <c r="O50" s="7">
        <f t="shared" si="15"/>
        <v>0.78052890222222227</v>
      </c>
    </row>
    <row r="51" spans="1:15" x14ac:dyDescent="0.7">
      <c r="A51" s="6"/>
      <c r="B51" s="6"/>
      <c r="C51" s="6">
        <v>18</v>
      </c>
      <c r="D51" s="7">
        <v>10.423</v>
      </c>
      <c r="E51" s="4">
        <v>0</v>
      </c>
      <c r="F51" s="7">
        <v>10.423</v>
      </c>
      <c r="G51" s="15">
        <f t="shared" si="4"/>
        <v>900547.2</v>
      </c>
      <c r="H51" s="21">
        <f t="shared" si="5"/>
        <v>0.90054719999999999</v>
      </c>
      <c r="I51" s="20">
        <f t="shared" si="6"/>
        <v>40524.623999999996</v>
      </c>
      <c r="J51" s="28">
        <v>2.02192944444444E-2</v>
      </c>
      <c r="K51" s="20">
        <f t="shared" si="7"/>
        <v>4862.9548799999993</v>
      </c>
      <c r="L51" s="17">
        <v>1.04942666666667E-2</v>
      </c>
      <c r="M51" s="17">
        <f t="shared" si="14"/>
        <v>3.07135611111111E-2</v>
      </c>
      <c r="N51" s="20">
        <f t="shared" si="8"/>
        <v>9.0054720000000005E-2</v>
      </c>
      <c r="O51" s="7">
        <f t="shared" si="15"/>
        <v>0.77977891888888884</v>
      </c>
    </row>
    <row r="52" spans="1:15" x14ac:dyDescent="0.7">
      <c r="A52" s="6"/>
      <c r="B52" s="6"/>
      <c r="C52" s="6">
        <v>19</v>
      </c>
      <c r="D52" s="7">
        <v>10.423</v>
      </c>
      <c r="E52" s="4">
        <v>0</v>
      </c>
      <c r="F52" s="7">
        <v>10.423</v>
      </c>
      <c r="G52" s="15">
        <f t="shared" si="4"/>
        <v>900547.2</v>
      </c>
      <c r="H52" s="21">
        <f t="shared" si="5"/>
        <v>0.90054719999999999</v>
      </c>
      <c r="I52" s="20">
        <f t="shared" si="6"/>
        <v>40524.623999999996</v>
      </c>
      <c r="J52" s="28">
        <v>2.05987444444444E-2</v>
      </c>
      <c r="K52" s="20">
        <f t="shared" si="7"/>
        <v>4862.9548799999993</v>
      </c>
      <c r="L52" s="17">
        <v>1.0864800000000001E-2</v>
      </c>
      <c r="M52" s="17">
        <f t="shared" si="14"/>
        <v>3.1463544444444401E-2</v>
      </c>
      <c r="N52" s="20">
        <f t="shared" si="8"/>
        <v>9.0054720000000005E-2</v>
      </c>
      <c r="O52" s="7">
        <f t="shared" si="15"/>
        <v>0.77902893555555552</v>
      </c>
    </row>
    <row r="53" spans="1:15" x14ac:dyDescent="0.7">
      <c r="A53" s="6"/>
      <c r="B53" s="6"/>
      <c r="C53" s="6">
        <v>20</v>
      </c>
      <c r="D53" s="7">
        <v>10.359</v>
      </c>
      <c r="E53" s="4">
        <v>0</v>
      </c>
      <c r="F53" s="7">
        <v>10.359</v>
      </c>
      <c r="G53" s="15">
        <f t="shared" si="4"/>
        <v>895017.6</v>
      </c>
      <c r="H53" s="21">
        <f t="shared" si="5"/>
        <v>0.89501759999999997</v>
      </c>
      <c r="I53" s="20">
        <f t="shared" si="6"/>
        <v>40275.791999999994</v>
      </c>
      <c r="J53" s="28">
        <v>2.09781944444444E-2</v>
      </c>
      <c r="K53" s="20">
        <f t="shared" si="7"/>
        <v>4833.0950399999992</v>
      </c>
      <c r="L53" s="17">
        <v>1.12353333333333E-2</v>
      </c>
      <c r="M53" s="17">
        <f t="shared" si="14"/>
        <v>3.2213527777777702E-2</v>
      </c>
      <c r="N53" s="20">
        <f t="shared" si="8"/>
        <v>8.950176E-2</v>
      </c>
      <c r="O53" s="7">
        <f t="shared" si="15"/>
        <v>0.77330231222222223</v>
      </c>
    </row>
    <row r="54" spans="1:15" x14ac:dyDescent="0.7">
      <c r="A54" s="6"/>
      <c r="B54" s="6"/>
      <c r="C54" s="6">
        <v>21</v>
      </c>
      <c r="D54" s="7">
        <v>9.9060000000000006</v>
      </c>
      <c r="E54" s="4">
        <v>0</v>
      </c>
      <c r="F54" s="7">
        <v>9.9060000000000006</v>
      </c>
      <c r="G54" s="15">
        <f t="shared" si="4"/>
        <v>855878.4</v>
      </c>
      <c r="H54" s="21">
        <f t="shared" si="5"/>
        <v>0.85587840000000004</v>
      </c>
      <c r="I54" s="20">
        <f t="shared" si="6"/>
        <v>38514.527999999998</v>
      </c>
      <c r="J54" s="28">
        <v>2.13576444444444E-2</v>
      </c>
      <c r="K54" s="20">
        <f t="shared" si="7"/>
        <v>4621.7433599999995</v>
      </c>
      <c r="L54" s="17">
        <v>1.16058666666667E-2</v>
      </c>
      <c r="M54" s="17">
        <f t="shared" si="14"/>
        <v>3.29635111111111E-2</v>
      </c>
      <c r="N54" s="20">
        <f t="shared" si="8"/>
        <v>8.5587840000000012E-2</v>
      </c>
      <c r="O54" s="7">
        <f t="shared" si="15"/>
        <v>0.737327048888889</v>
      </c>
    </row>
    <row r="55" spans="1:15" x14ac:dyDescent="0.7">
      <c r="A55" s="6"/>
      <c r="B55" s="6"/>
      <c r="C55" s="6">
        <v>22</v>
      </c>
      <c r="D55" s="7">
        <v>9.8520000000000003</v>
      </c>
      <c r="E55" s="4">
        <v>0</v>
      </c>
      <c r="F55" s="7">
        <v>9.8520000000000003</v>
      </c>
      <c r="G55" s="15">
        <f t="shared" si="4"/>
        <v>851212.80000000005</v>
      </c>
      <c r="H55" s="21">
        <f t="shared" si="5"/>
        <v>0.85121279999999999</v>
      </c>
      <c r="I55" s="20">
        <f t="shared" si="6"/>
        <v>38304.576000000001</v>
      </c>
      <c r="J55" s="28">
        <v>2.17370944444444E-2</v>
      </c>
      <c r="K55" s="20">
        <f t="shared" si="7"/>
        <v>4596.5491199999997</v>
      </c>
      <c r="L55" s="17">
        <v>1.19764E-2</v>
      </c>
      <c r="M55" s="17">
        <f t="shared" si="14"/>
        <v>3.3713494444444402E-2</v>
      </c>
      <c r="N55" s="20">
        <f t="shared" si="8"/>
        <v>8.5121280000000007E-2</v>
      </c>
      <c r="O55" s="7">
        <f t="shared" si="15"/>
        <v>0.73237802555555565</v>
      </c>
    </row>
    <row r="56" spans="1:15" x14ac:dyDescent="0.7">
      <c r="A56" s="6"/>
      <c r="B56" s="6"/>
      <c r="C56" s="6">
        <v>23</v>
      </c>
      <c r="D56" s="7">
        <v>9.6539999999999999</v>
      </c>
      <c r="E56" s="4">
        <v>0</v>
      </c>
      <c r="F56" s="7">
        <v>9.6539999999999999</v>
      </c>
      <c r="G56" s="15">
        <f t="shared" si="4"/>
        <v>834105.6</v>
      </c>
      <c r="H56" s="21">
        <f t="shared" si="5"/>
        <v>0.8341056</v>
      </c>
      <c r="I56" s="20">
        <f t="shared" si="6"/>
        <v>37534.752</v>
      </c>
      <c r="J56" s="28">
        <v>2.21165444444444E-2</v>
      </c>
      <c r="K56" s="20">
        <f t="shared" si="7"/>
        <v>4504.1702399999995</v>
      </c>
      <c r="L56" s="17">
        <v>1.2346933333333299E-2</v>
      </c>
      <c r="M56" s="17">
        <f t="shared" si="14"/>
        <v>3.4463477777777696E-2</v>
      </c>
      <c r="N56" s="20">
        <f t="shared" si="8"/>
        <v>8.3410560000000009E-2</v>
      </c>
      <c r="O56" s="7">
        <f t="shared" si="15"/>
        <v>0.71623156222222228</v>
      </c>
    </row>
    <row r="57" spans="1:15" x14ac:dyDescent="0.7">
      <c r="A57" s="6"/>
      <c r="B57" s="6"/>
      <c r="C57" s="6">
        <v>24</v>
      </c>
      <c r="D57" s="7">
        <v>9.3420000000000005</v>
      </c>
      <c r="E57" s="4">
        <v>0</v>
      </c>
      <c r="F57" s="7">
        <v>9.3420000000000005</v>
      </c>
      <c r="G57" s="15">
        <f t="shared" si="4"/>
        <v>807148.8</v>
      </c>
      <c r="H57" s="21">
        <f t="shared" si="5"/>
        <v>0.8071488</v>
      </c>
      <c r="I57" s="20">
        <f t="shared" si="6"/>
        <v>36321.696000000004</v>
      </c>
      <c r="J57" s="28">
        <v>2.24959944444444E-2</v>
      </c>
      <c r="K57" s="20">
        <f t="shared" si="7"/>
        <v>4358.6035200000006</v>
      </c>
      <c r="L57" s="17">
        <v>1.2717466666666699E-2</v>
      </c>
      <c r="M57" s="17">
        <f t="shared" si="14"/>
        <v>3.5213461111111101E-2</v>
      </c>
      <c r="N57" s="20">
        <f t="shared" si="8"/>
        <v>8.0714880000000003E-2</v>
      </c>
      <c r="O57" s="7">
        <f t="shared" si="15"/>
        <v>0.69122045888888883</v>
      </c>
    </row>
    <row r="58" spans="1:15" x14ac:dyDescent="0.7">
      <c r="A58" s="6"/>
      <c r="B58" s="6"/>
      <c r="C58" s="6">
        <v>25</v>
      </c>
      <c r="D58" s="7">
        <v>8.7959999999999994</v>
      </c>
      <c r="E58" s="4">
        <v>0</v>
      </c>
      <c r="F58" s="7">
        <v>8.7959999999999994</v>
      </c>
      <c r="G58" s="15">
        <f t="shared" si="4"/>
        <v>759974.39999999991</v>
      </c>
      <c r="H58" s="21">
        <f t="shared" si="5"/>
        <v>0.75997439999999994</v>
      </c>
      <c r="I58" s="20">
        <f t="shared" si="6"/>
        <v>34198.847999999998</v>
      </c>
      <c r="J58" s="28">
        <v>2.28754444444444E-2</v>
      </c>
      <c r="K58" s="20">
        <f t="shared" si="7"/>
        <v>4103.8617599999998</v>
      </c>
      <c r="L58" s="17">
        <v>1.3088000000000001E-2</v>
      </c>
      <c r="M58" s="17">
        <f t="shared" si="14"/>
        <v>3.5963444444444402E-2</v>
      </c>
      <c r="N58" s="20">
        <f t="shared" si="8"/>
        <v>7.5997439999999999E-2</v>
      </c>
      <c r="O58" s="7">
        <f t="shared" si="15"/>
        <v>0.64801351555555553</v>
      </c>
    </row>
    <row r="59" spans="1:15" x14ac:dyDescent="0.7">
      <c r="A59" s="6"/>
      <c r="B59" s="6"/>
      <c r="C59" s="6">
        <v>26</v>
      </c>
      <c r="D59" s="7">
        <v>8.7959999999999994</v>
      </c>
      <c r="E59" s="4">
        <v>0</v>
      </c>
      <c r="F59" s="7">
        <v>8.7959999999999994</v>
      </c>
      <c r="G59" s="15">
        <f t="shared" si="4"/>
        <v>759974.39999999991</v>
      </c>
      <c r="H59" s="21">
        <f t="shared" si="5"/>
        <v>0.75997439999999994</v>
      </c>
      <c r="I59" s="20">
        <f t="shared" si="6"/>
        <v>34198.847999999998</v>
      </c>
      <c r="J59" s="28">
        <v>2.32548944444444E-2</v>
      </c>
      <c r="K59" s="20">
        <f t="shared" si="7"/>
        <v>4103.8617599999998</v>
      </c>
      <c r="L59" s="17">
        <v>1.34585333333333E-2</v>
      </c>
      <c r="M59" s="17">
        <f t="shared" ref="M59:M62" si="16">J59+L59</f>
        <v>3.6713427777777696E-2</v>
      </c>
      <c r="N59" s="20">
        <f t="shared" si="8"/>
        <v>7.5997439999999999E-2</v>
      </c>
      <c r="O59" s="7">
        <f t="shared" ref="O59:O62" si="17">H59-M59-N59</f>
        <v>0.64726353222222233</v>
      </c>
    </row>
    <row r="60" spans="1:15" x14ac:dyDescent="0.7">
      <c r="A60" s="12"/>
      <c r="B60" s="12"/>
      <c r="C60" s="12">
        <v>27</v>
      </c>
      <c r="D60" s="30">
        <v>8.7959999999999994</v>
      </c>
      <c r="E60" s="4">
        <v>0</v>
      </c>
      <c r="F60" s="30">
        <v>8.7959999999999994</v>
      </c>
      <c r="G60" s="31">
        <f t="shared" si="4"/>
        <v>759974.39999999991</v>
      </c>
      <c r="H60" s="32">
        <f t="shared" si="5"/>
        <v>0.75997439999999994</v>
      </c>
      <c r="I60" s="20">
        <f t="shared" si="6"/>
        <v>34198.847999999998</v>
      </c>
      <c r="J60" s="34">
        <v>2.36343444444444E-2</v>
      </c>
      <c r="K60" s="20">
        <f t="shared" si="7"/>
        <v>4103.8617599999998</v>
      </c>
      <c r="L60" s="33">
        <v>1.38290666666667E-2</v>
      </c>
      <c r="M60" s="33">
        <f t="shared" si="16"/>
        <v>3.7463411111111102E-2</v>
      </c>
      <c r="N60" s="20">
        <f t="shared" si="8"/>
        <v>7.5997439999999999E-2</v>
      </c>
      <c r="O60" s="30">
        <f t="shared" si="17"/>
        <v>0.6465135488888889</v>
      </c>
    </row>
    <row r="61" spans="1:15" s="37" customFormat="1" x14ac:dyDescent="0.7">
      <c r="A61" s="6"/>
      <c r="B61" s="6"/>
      <c r="C61" s="6">
        <v>28</v>
      </c>
      <c r="D61" s="7">
        <v>8.7409999999999997</v>
      </c>
      <c r="E61" s="4">
        <v>0</v>
      </c>
      <c r="F61" s="7">
        <v>8.7409999999999997</v>
      </c>
      <c r="G61" s="35">
        <f t="shared" si="4"/>
        <v>755222.4</v>
      </c>
      <c r="H61" s="20">
        <f t="shared" si="5"/>
        <v>0.75522240000000007</v>
      </c>
      <c r="I61" s="20">
        <f t="shared" si="6"/>
        <v>33985.008000000002</v>
      </c>
      <c r="J61" s="28">
        <v>2.4013794444444399E-2</v>
      </c>
      <c r="K61" s="20">
        <f t="shared" si="7"/>
        <v>4078.2009600000001</v>
      </c>
      <c r="L61" s="17">
        <v>1.41996E-2</v>
      </c>
      <c r="M61" s="17">
        <f t="shared" si="16"/>
        <v>3.8213394444444396E-2</v>
      </c>
      <c r="N61" s="20">
        <f t="shared" si="8"/>
        <v>7.5522240000000018E-2</v>
      </c>
      <c r="O61" s="7">
        <f t="shared" si="17"/>
        <v>0.64148676555555562</v>
      </c>
    </row>
    <row r="62" spans="1:15" s="13" customFormat="1" ht="25.2" thickBot="1" x14ac:dyDescent="0.75">
      <c r="A62" s="11"/>
      <c r="B62" s="11" t="s">
        <v>16</v>
      </c>
      <c r="C62" s="11">
        <v>29</v>
      </c>
      <c r="D62" s="19">
        <v>8.57</v>
      </c>
      <c r="E62" s="19">
        <v>0</v>
      </c>
      <c r="F62" s="10">
        <v>8.57</v>
      </c>
      <c r="G62" s="36">
        <f t="shared" si="4"/>
        <v>740448</v>
      </c>
      <c r="H62" s="22">
        <f t="shared" si="5"/>
        <v>0.740448</v>
      </c>
      <c r="I62" s="22">
        <f t="shared" si="6"/>
        <v>33320.159999999996</v>
      </c>
      <c r="J62" s="29">
        <v>1.94603944444444E-2</v>
      </c>
      <c r="K62" s="22">
        <f t="shared" si="7"/>
        <v>3998.4191999999994</v>
      </c>
      <c r="L62" s="18">
        <v>1.41996E-2</v>
      </c>
      <c r="M62" s="18">
        <f t="shared" si="16"/>
        <v>3.3659994444444397E-2</v>
      </c>
      <c r="N62" s="22">
        <f t="shared" si="8"/>
        <v>7.4044800000000008E-2</v>
      </c>
      <c r="O62" s="10">
        <f t="shared" si="17"/>
        <v>0.63274320555555552</v>
      </c>
    </row>
    <row r="63" spans="1:15" x14ac:dyDescent="0.7">
      <c r="A63" s="3"/>
      <c r="B63" s="3" t="s">
        <v>17</v>
      </c>
      <c r="C63" s="3">
        <v>1</v>
      </c>
      <c r="D63" s="4">
        <v>8.0630000000000006</v>
      </c>
      <c r="E63" s="4">
        <v>0</v>
      </c>
      <c r="F63" s="4">
        <v>8.0630000000000006</v>
      </c>
      <c r="G63" s="15">
        <f t="shared" ref="G63" si="18">F63*86400</f>
        <v>696643.20000000007</v>
      </c>
      <c r="H63" s="21">
        <f t="shared" ref="H63" si="19">G63/1000000</f>
        <v>0.69664320000000002</v>
      </c>
      <c r="I63" s="21">
        <f t="shared" si="6"/>
        <v>31348.944000000003</v>
      </c>
      <c r="J63" s="25">
        <v>2.4393244444444399E-2</v>
      </c>
      <c r="K63" s="21">
        <f t="shared" si="7"/>
        <v>3761.8732800000002</v>
      </c>
      <c r="L63" s="16">
        <v>1.45701333333332E-2</v>
      </c>
      <c r="M63" s="16">
        <f t="shared" ref="M63" si="20">J63+L63</f>
        <v>3.89633777777776E-2</v>
      </c>
      <c r="N63" s="21">
        <f t="shared" si="8"/>
        <v>6.9664320000000002E-2</v>
      </c>
      <c r="O63" s="4">
        <f t="shared" ref="O63" si="21">H63-M63-N63</f>
        <v>0.58801550222222243</v>
      </c>
    </row>
    <row r="64" spans="1:15" x14ac:dyDescent="0.7">
      <c r="A64" s="6"/>
      <c r="B64" s="6"/>
      <c r="C64" s="6">
        <v>2</v>
      </c>
      <c r="D64" s="7">
        <v>8.0630000000000006</v>
      </c>
      <c r="E64" s="4">
        <v>0</v>
      </c>
      <c r="F64" s="7">
        <v>8.0630000000000006</v>
      </c>
      <c r="G64" s="15">
        <f t="shared" ref="G64" si="22">F64*86400</f>
        <v>696643.20000000007</v>
      </c>
      <c r="H64" s="21">
        <f t="shared" ref="H64" si="23">G64/1000000</f>
        <v>0.69664320000000002</v>
      </c>
      <c r="I64" s="20">
        <f t="shared" si="6"/>
        <v>31348.944000000003</v>
      </c>
      <c r="J64" s="28">
        <v>2.4772694444444399E-2</v>
      </c>
      <c r="K64" s="20">
        <f t="shared" si="7"/>
        <v>3761.8732800000002</v>
      </c>
      <c r="L64" s="17">
        <v>1.49406666666665E-2</v>
      </c>
      <c r="M64" s="17">
        <f t="shared" ref="M64" si="24">J64+L64</f>
        <v>3.9713361111110901E-2</v>
      </c>
      <c r="N64" s="20">
        <f t="shared" si="8"/>
        <v>6.9664320000000002E-2</v>
      </c>
      <c r="O64" s="7">
        <f t="shared" ref="O64" si="25">H64-M64-N64</f>
        <v>0.58726551888888912</v>
      </c>
    </row>
    <row r="65" spans="1:15" x14ac:dyDescent="0.7">
      <c r="A65" s="6"/>
      <c r="B65" s="6"/>
      <c r="C65" s="6">
        <v>3</v>
      </c>
      <c r="D65" s="7">
        <v>8.0630000000000006</v>
      </c>
      <c r="E65" s="4">
        <v>0</v>
      </c>
      <c r="F65" s="7">
        <v>8.0630000000000006</v>
      </c>
      <c r="G65" s="15">
        <f t="shared" ref="G65" si="26">F65*86400</f>
        <v>696643.20000000007</v>
      </c>
      <c r="H65" s="21">
        <f t="shared" ref="H65" si="27">G65/1000000</f>
        <v>0.69664320000000002</v>
      </c>
      <c r="I65" s="20">
        <f t="shared" si="6"/>
        <v>31348.944000000003</v>
      </c>
      <c r="J65" s="28">
        <v>2.5152144444444399E-2</v>
      </c>
      <c r="K65" s="20">
        <f t="shared" si="7"/>
        <v>3761.8732800000002</v>
      </c>
      <c r="L65" s="17">
        <v>1.5311199999999799E-2</v>
      </c>
      <c r="M65" s="17">
        <f t="shared" ref="M65" si="28">J65+L65</f>
        <v>4.0463344444444202E-2</v>
      </c>
      <c r="N65" s="20">
        <f t="shared" si="8"/>
        <v>6.9664320000000002E-2</v>
      </c>
      <c r="O65" s="7">
        <f t="shared" ref="O65" si="29">H65-M65-N65</f>
        <v>0.5865155355555558</v>
      </c>
    </row>
    <row r="66" spans="1:15" x14ac:dyDescent="0.7">
      <c r="A66" s="6"/>
      <c r="B66" s="6"/>
      <c r="C66" s="6">
        <v>4</v>
      </c>
      <c r="D66" s="7">
        <v>8.0079999999999991</v>
      </c>
      <c r="E66" s="4">
        <v>0</v>
      </c>
      <c r="F66" s="7">
        <v>8.0079999999999991</v>
      </c>
      <c r="G66" s="15">
        <f t="shared" ref="G66" si="30">F66*86400</f>
        <v>691891.19999999995</v>
      </c>
      <c r="H66" s="21">
        <f t="shared" ref="H66" si="31">G66/1000000</f>
        <v>0.69189119999999993</v>
      </c>
      <c r="I66" s="20">
        <f t="shared" si="6"/>
        <v>31135.103999999996</v>
      </c>
      <c r="J66" s="28">
        <v>2.5531594444444399E-2</v>
      </c>
      <c r="K66" s="20">
        <f t="shared" si="7"/>
        <v>3736.2124799999992</v>
      </c>
      <c r="L66" s="17">
        <v>1.56817333333331E-2</v>
      </c>
      <c r="M66" s="17">
        <f t="shared" ref="M66" si="32">J66+L66</f>
        <v>4.1213327777777503E-2</v>
      </c>
      <c r="N66" s="20">
        <f t="shared" si="8"/>
        <v>6.9189119999999993E-2</v>
      </c>
      <c r="O66" s="7">
        <f t="shared" ref="O66" si="33">H66-M66-N66</f>
        <v>0.5814887522222224</v>
      </c>
    </row>
    <row r="67" spans="1:15" x14ac:dyDescent="0.7">
      <c r="A67" s="6"/>
      <c r="B67" s="6"/>
      <c r="C67" s="6">
        <v>5</v>
      </c>
      <c r="D67" s="7">
        <v>7.9539999999999997</v>
      </c>
      <c r="E67" s="4">
        <v>0</v>
      </c>
      <c r="F67" s="7">
        <v>7.9539999999999997</v>
      </c>
      <c r="G67" s="15">
        <f t="shared" ref="G67" si="34">F67*86400</f>
        <v>687225.6</v>
      </c>
      <c r="H67" s="21">
        <f t="shared" ref="H67" si="35">G67/1000000</f>
        <v>0.68722559999999999</v>
      </c>
      <c r="I67" s="20">
        <f t="shared" si="6"/>
        <v>30925.151999999998</v>
      </c>
      <c r="J67" s="28">
        <v>2.5911044444444399E-2</v>
      </c>
      <c r="K67" s="20">
        <f t="shared" si="7"/>
        <v>3711.0182399999994</v>
      </c>
      <c r="L67" s="17">
        <v>1.6052266666666402E-2</v>
      </c>
      <c r="M67" s="17">
        <f t="shared" ref="M67" si="36">J67+L67</f>
        <v>4.1963311111110804E-2</v>
      </c>
      <c r="N67" s="20">
        <f t="shared" si="8"/>
        <v>6.8722560000000002E-2</v>
      </c>
      <c r="O67" s="7">
        <f t="shared" ref="O67" si="37">H67-M67-N67</f>
        <v>0.57653972888888916</v>
      </c>
    </row>
    <row r="68" spans="1:15" x14ac:dyDescent="0.7">
      <c r="A68" s="6"/>
      <c r="B68" s="6"/>
      <c r="C68" s="6">
        <v>6</v>
      </c>
      <c r="D68" s="7">
        <v>7.9539999999999997</v>
      </c>
      <c r="E68" s="4">
        <v>0</v>
      </c>
      <c r="F68" s="7">
        <v>7.9539999999999997</v>
      </c>
      <c r="G68" s="15">
        <f t="shared" ref="G68" si="38">F68*86400</f>
        <v>687225.6</v>
      </c>
      <c r="H68" s="21">
        <f t="shared" ref="H68" si="39">G68/1000000</f>
        <v>0.68722559999999999</v>
      </c>
      <c r="I68" s="20">
        <f t="shared" ref="I68:I131" si="40">H68*1000000*0.045</f>
        <v>30925.151999999998</v>
      </c>
      <c r="J68" s="28">
        <v>2.6290494444444399E-2</v>
      </c>
      <c r="K68" s="20">
        <f t="shared" ref="K68:K131" si="41">I68*0.12</f>
        <v>3711.0182399999994</v>
      </c>
      <c r="L68" s="17">
        <v>1.6422799999999699E-2</v>
      </c>
      <c r="M68" s="17">
        <f t="shared" ref="M68" si="42">J68+L68</f>
        <v>4.2713294444444098E-2</v>
      </c>
      <c r="N68" s="20">
        <f t="shared" ref="N68:N131" si="43">H68*0.1</f>
        <v>6.8722560000000002E-2</v>
      </c>
      <c r="O68" s="7">
        <f t="shared" ref="O68" si="44">H68-M68-N68</f>
        <v>0.57578974555555595</v>
      </c>
    </row>
    <row r="69" spans="1:15" x14ac:dyDescent="0.7">
      <c r="A69" s="6"/>
      <c r="B69" s="6"/>
      <c r="C69" s="6">
        <v>7</v>
      </c>
      <c r="D69" s="7">
        <v>7.9539999999999997</v>
      </c>
      <c r="E69" s="4">
        <v>0</v>
      </c>
      <c r="F69" s="7">
        <v>7.9539999999999997</v>
      </c>
      <c r="G69" s="15">
        <f t="shared" ref="G69" si="45">F69*86400</f>
        <v>687225.6</v>
      </c>
      <c r="H69" s="21">
        <f t="shared" ref="H69" si="46">G69/1000000</f>
        <v>0.68722559999999999</v>
      </c>
      <c r="I69" s="20">
        <f t="shared" si="40"/>
        <v>30925.151999999998</v>
      </c>
      <c r="J69" s="28">
        <v>2.6669944444444399E-2</v>
      </c>
      <c r="K69" s="20">
        <f t="shared" si="41"/>
        <v>3711.0182399999994</v>
      </c>
      <c r="L69" s="17">
        <v>1.6793333333333001E-2</v>
      </c>
      <c r="M69" s="17">
        <f t="shared" ref="M69" si="47">J69+L69</f>
        <v>4.34632777777774E-2</v>
      </c>
      <c r="N69" s="20">
        <f t="shared" si="43"/>
        <v>6.8722560000000002E-2</v>
      </c>
      <c r="O69" s="7">
        <f t="shared" ref="O69" si="48">H69-M69-N69</f>
        <v>0.57503976222222264</v>
      </c>
    </row>
    <row r="70" spans="1:15" x14ac:dyDescent="0.7">
      <c r="A70" s="6"/>
      <c r="B70" s="6"/>
      <c r="C70" s="6">
        <v>8</v>
      </c>
      <c r="D70" s="7">
        <v>7.9539999999999997</v>
      </c>
      <c r="E70" s="4">
        <v>0</v>
      </c>
      <c r="F70" s="7">
        <v>7.9539999999999997</v>
      </c>
      <c r="G70" s="15">
        <f t="shared" ref="G70" si="49">F70*86400</f>
        <v>687225.6</v>
      </c>
      <c r="H70" s="21">
        <f t="shared" ref="H70" si="50">G70/1000000</f>
        <v>0.68722559999999999</v>
      </c>
      <c r="I70" s="20">
        <f t="shared" si="40"/>
        <v>30925.151999999998</v>
      </c>
      <c r="J70" s="28">
        <v>2.7049394444444399E-2</v>
      </c>
      <c r="K70" s="20">
        <f t="shared" si="41"/>
        <v>3711.0182399999994</v>
      </c>
      <c r="L70" s="17">
        <v>1.7163866666666298E-2</v>
      </c>
      <c r="M70" s="17">
        <f t="shared" ref="M70" si="51">J70+L70</f>
        <v>4.4213261111110694E-2</v>
      </c>
      <c r="N70" s="20">
        <f t="shared" si="43"/>
        <v>6.8722560000000002E-2</v>
      </c>
      <c r="O70" s="7">
        <f t="shared" ref="O70" si="52">H70-M70-N70</f>
        <v>0.57428977888888932</v>
      </c>
    </row>
    <row r="71" spans="1:15" x14ac:dyDescent="0.7">
      <c r="A71" s="6"/>
      <c r="B71" s="6"/>
      <c r="C71" s="6">
        <v>9</v>
      </c>
      <c r="D71" s="7">
        <v>7.7249999999999996</v>
      </c>
      <c r="E71" s="4">
        <v>0</v>
      </c>
      <c r="F71" s="7">
        <v>7.7249999999999996</v>
      </c>
      <c r="G71" s="15">
        <f t="shared" ref="G71" si="53">F71*86400</f>
        <v>667440</v>
      </c>
      <c r="H71" s="21">
        <f t="shared" ref="H71" si="54">G71/1000000</f>
        <v>0.66744000000000003</v>
      </c>
      <c r="I71" s="20">
        <f t="shared" si="40"/>
        <v>30034.799999999999</v>
      </c>
      <c r="J71" s="28">
        <v>2.7428844444444399E-2</v>
      </c>
      <c r="K71" s="20">
        <f t="shared" si="41"/>
        <v>3604.1759999999999</v>
      </c>
      <c r="L71" s="17">
        <v>1.75343999999996E-2</v>
      </c>
      <c r="M71" s="17">
        <f t="shared" ref="M71" si="55">J71+L71</f>
        <v>4.4963244444443995E-2</v>
      </c>
      <c r="N71" s="20">
        <f t="shared" si="43"/>
        <v>6.6744000000000012E-2</v>
      </c>
      <c r="O71" s="7">
        <f t="shared" ref="O71" si="56">H71-M71-N71</f>
        <v>0.55573275555555601</v>
      </c>
    </row>
    <row r="72" spans="1:15" x14ac:dyDescent="0.7">
      <c r="A72" s="6"/>
      <c r="B72" s="6"/>
      <c r="C72" s="6">
        <v>10</v>
      </c>
      <c r="D72" s="7">
        <v>7.5129999999999999</v>
      </c>
      <c r="E72" s="4">
        <v>0</v>
      </c>
      <c r="F72" s="7">
        <v>7.5129999999999999</v>
      </c>
      <c r="G72" s="15">
        <f t="shared" ref="G72" si="57">F72*86400</f>
        <v>649123.19999999995</v>
      </c>
      <c r="H72" s="21">
        <f t="shared" ref="H72" si="58">G72/1000000</f>
        <v>0.6491231999999999</v>
      </c>
      <c r="I72" s="20">
        <f t="shared" si="40"/>
        <v>29210.543999999998</v>
      </c>
      <c r="J72" s="28">
        <v>2.7808294444444399E-2</v>
      </c>
      <c r="K72" s="20">
        <f t="shared" si="41"/>
        <v>3505.2652799999996</v>
      </c>
      <c r="L72" s="17">
        <v>1.7904933333332901E-2</v>
      </c>
      <c r="M72" s="17">
        <f t="shared" ref="M72" si="59">J72+L72</f>
        <v>4.5713227777777296E-2</v>
      </c>
      <c r="N72" s="20">
        <f t="shared" si="43"/>
        <v>6.4912319999999996E-2</v>
      </c>
      <c r="O72" s="7">
        <f t="shared" ref="O72" si="60">H72-M72-N72</f>
        <v>0.53849765222222257</v>
      </c>
    </row>
    <row r="73" spans="1:15" x14ac:dyDescent="0.7">
      <c r="A73" s="6"/>
      <c r="B73" s="6"/>
      <c r="C73" s="6">
        <v>11</v>
      </c>
      <c r="D73" s="7">
        <v>7.5129999999999999</v>
      </c>
      <c r="E73" s="4">
        <v>0</v>
      </c>
      <c r="F73" s="7">
        <v>7.5129999999999999</v>
      </c>
      <c r="G73" s="15">
        <f t="shared" ref="G73" si="61">F73*86400</f>
        <v>649123.19999999995</v>
      </c>
      <c r="H73" s="21">
        <f t="shared" ref="H73" si="62">G73/1000000</f>
        <v>0.6491231999999999</v>
      </c>
      <c r="I73" s="20">
        <f t="shared" si="40"/>
        <v>29210.543999999998</v>
      </c>
      <c r="J73" s="28">
        <v>2.8187744444444399E-2</v>
      </c>
      <c r="K73" s="20">
        <f t="shared" si="41"/>
        <v>3505.2652799999996</v>
      </c>
      <c r="L73" s="17">
        <v>1.8275466666666199E-2</v>
      </c>
      <c r="M73" s="17">
        <f t="shared" ref="M73" si="63">J73+L73</f>
        <v>4.6463211111110597E-2</v>
      </c>
      <c r="N73" s="20">
        <f t="shared" si="43"/>
        <v>6.4912319999999996E-2</v>
      </c>
      <c r="O73" s="7">
        <f t="shared" ref="O73" si="64">H73-M73-N73</f>
        <v>0.53774766888888925</v>
      </c>
    </row>
    <row r="74" spans="1:15" x14ac:dyDescent="0.7">
      <c r="A74" s="6"/>
      <c r="B74" s="6"/>
      <c r="C74" s="6">
        <v>12</v>
      </c>
      <c r="D74" s="7">
        <v>7.37</v>
      </c>
      <c r="E74" s="4">
        <v>0</v>
      </c>
      <c r="F74" s="7">
        <v>7.37</v>
      </c>
      <c r="G74" s="15">
        <f t="shared" ref="G74" si="65">F74*86400</f>
        <v>636768</v>
      </c>
      <c r="H74" s="21">
        <f t="shared" ref="H74" si="66">G74/1000000</f>
        <v>0.636768</v>
      </c>
      <c r="I74" s="20">
        <f t="shared" si="40"/>
        <v>28654.559999999998</v>
      </c>
      <c r="J74" s="28">
        <v>2.8567194444444399E-2</v>
      </c>
      <c r="K74" s="20">
        <f t="shared" si="41"/>
        <v>3438.5471999999995</v>
      </c>
      <c r="L74" s="17">
        <v>1.86459999999995E-2</v>
      </c>
      <c r="M74" s="17">
        <f t="shared" ref="M74" si="67">J74+L74</f>
        <v>4.7213194444443898E-2</v>
      </c>
      <c r="N74" s="20">
        <f t="shared" si="43"/>
        <v>6.3676800000000006E-2</v>
      </c>
      <c r="O74" s="7">
        <f t="shared" ref="O74" si="68">H74-M74-N74</f>
        <v>0.52587800555555608</v>
      </c>
    </row>
    <row r="75" spans="1:15" x14ac:dyDescent="0.7">
      <c r="A75" s="6"/>
      <c r="B75" s="6"/>
      <c r="C75" s="6">
        <v>13</v>
      </c>
      <c r="D75" s="7">
        <v>7.37</v>
      </c>
      <c r="E75" s="4">
        <v>0</v>
      </c>
      <c r="F75" s="7">
        <v>7.37</v>
      </c>
      <c r="G75" s="15">
        <f t="shared" ref="G75" si="69">F75*86400</f>
        <v>636768</v>
      </c>
      <c r="H75" s="21">
        <f t="shared" ref="H75" si="70">G75/1000000</f>
        <v>0.636768</v>
      </c>
      <c r="I75" s="20">
        <f t="shared" si="40"/>
        <v>28654.559999999998</v>
      </c>
      <c r="J75" s="28">
        <v>2.8946644444444398E-2</v>
      </c>
      <c r="K75" s="20">
        <f t="shared" si="41"/>
        <v>3438.5471999999995</v>
      </c>
      <c r="L75" s="17">
        <v>1.9016533333332801E-2</v>
      </c>
      <c r="M75" s="17">
        <f t="shared" ref="M75" si="71">J75+L75</f>
        <v>4.7963177777777199E-2</v>
      </c>
      <c r="N75" s="20">
        <f t="shared" si="43"/>
        <v>6.3676800000000006E-2</v>
      </c>
      <c r="O75" s="7">
        <f t="shared" ref="O75" si="72">H75-M75-N75</f>
        <v>0.52512802222222288</v>
      </c>
    </row>
    <row r="76" spans="1:15" x14ac:dyDescent="0.7">
      <c r="A76" s="6"/>
      <c r="B76" s="6"/>
      <c r="C76" s="6">
        <v>14</v>
      </c>
      <c r="D76" s="7">
        <v>7.774</v>
      </c>
      <c r="E76" s="4">
        <v>0</v>
      </c>
      <c r="F76" s="7">
        <v>7.774</v>
      </c>
      <c r="G76" s="15">
        <f t="shared" ref="G76" si="73">F76*86400</f>
        <v>671673.6</v>
      </c>
      <c r="H76" s="21">
        <f t="shared" ref="H76" si="74">G76/1000000</f>
        <v>0.67167359999999998</v>
      </c>
      <c r="I76" s="20">
        <f t="shared" si="40"/>
        <v>30225.311999999998</v>
      </c>
      <c r="J76" s="28">
        <v>2.9326094444444398E-2</v>
      </c>
      <c r="K76" s="20">
        <f t="shared" si="41"/>
        <v>3627.0374399999996</v>
      </c>
      <c r="L76" s="17">
        <v>1.9387066666666099E-2</v>
      </c>
      <c r="M76" s="17">
        <f t="shared" ref="M76" si="75">J76+L76</f>
        <v>4.8713161111110501E-2</v>
      </c>
      <c r="N76" s="20">
        <f t="shared" si="43"/>
        <v>6.7167359999999995E-2</v>
      </c>
      <c r="O76" s="7">
        <f t="shared" ref="O76" si="76">H76-M76-N76</f>
        <v>0.55579307888888951</v>
      </c>
    </row>
    <row r="77" spans="1:15" x14ac:dyDescent="0.7">
      <c r="A77" s="6"/>
      <c r="B77" s="6"/>
      <c r="C77" s="6">
        <v>15</v>
      </c>
      <c r="D77" s="7">
        <v>7.774</v>
      </c>
      <c r="E77" s="4">
        <v>0</v>
      </c>
      <c r="F77" s="7">
        <v>7.774</v>
      </c>
      <c r="G77" s="15">
        <f t="shared" ref="G77" si="77">F77*86400</f>
        <v>671673.6</v>
      </c>
      <c r="H77" s="21">
        <f t="shared" ref="H77" si="78">G77/1000000</f>
        <v>0.67167359999999998</v>
      </c>
      <c r="I77" s="20">
        <f t="shared" si="40"/>
        <v>30225.311999999998</v>
      </c>
      <c r="J77" s="28">
        <v>2.9705544444444398E-2</v>
      </c>
      <c r="K77" s="20">
        <f t="shared" si="41"/>
        <v>3627.0374399999996</v>
      </c>
      <c r="L77" s="17">
        <v>1.97575999999994E-2</v>
      </c>
      <c r="M77" s="17">
        <f t="shared" ref="M77" si="79">J77+L77</f>
        <v>4.9463144444443802E-2</v>
      </c>
      <c r="N77" s="20">
        <f t="shared" si="43"/>
        <v>6.7167359999999995E-2</v>
      </c>
      <c r="O77" s="7">
        <f t="shared" ref="O77" si="80">H77-M77-N77</f>
        <v>0.5550430955555562</v>
      </c>
    </row>
    <row r="78" spans="1:15" x14ac:dyDescent="0.7">
      <c r="A78" s="6"/>
      <c r="B78" s="6"/>
      <c r="C78" s="6">
        <v>16</v>
      </c>
      <c r="D78" s="7">
        <v>8.407</v>
      </c>
      <c r="E78" s="4">
        <v>0</v>
      </c>
      <c r="F78" s="7">
        <v>8.407</v>
      </c>
      <c r="G78" s="15">
        <f t="shared" ref="G78" si="81">F78*86400</f>
        <v>726364.8</v>
      </c>
      <c r="H78" s="21">
        <f t="shared" ref="H78" si="82">G78/1000000</f>
        <v>0.72636480000000003</v>
      </c>
      <c r="I78" s="20">
        <f t="shared" si="40"/>
        <v>32686.416000000001</v>
      </c>
      <c r="J78" s="28">
        <v>3.0084994444444398E-2</v>
      </c>
      <c r="K78" s="20">
        <f t="shared" si="41"/>
        <v>3922.3699200000001</v>
      </c>
      <c r="L78" s="17">
        <v>2.0128133333332701E-2</v>
      </c>
      <c r="M78" s="17">
        <f t="shared" ref="M78" si="83">J78+L78</f>
        <v>5.0213127777777103E-2</v>
      </c>
      <c r="N78" s="20">
        <f t="shared" si="43"/>
        <v>7.2636480000000003E-2</v>
      </c>
      <c r="O78" s="7">
        <f t="shared" ref="O78" si="84">H78-M78-N78</f>
        <v>0.60351519222222294</v>
      </c>
    </row>
    <row r="79" spans="1:15" x14ac:dyDescent="0.7">
      <c r="A79" s="6"/>
      <c r="B79" s="6"/>
      <c r="C79" s="6">
        <v>17</v>
      </c>
      <c r="D79" s="7">
        <v>7.2270000000000003</v>
      </c>
      <c r="E79" s="4">
        <v>0</v>
      </c>
      <c r="F79" s="7">
        <v>7.2270000000000003</v>
      </c>
      <c r="G79" s="15">
        <f t="shared" ref="G79" si="85">F79*86400</f>
        <v>624412.80000000005</v>
      </c>
      <c r="H79" s="21">
        <f t="shared" ref="H79" si="86">G79/1000000</f>
        <v>0.6244128000000001</v>
      </c>
      <c r="I79" s="20">
        <f t="shared" si="40"/>
        <v>28098.576000000001</v>
      </c>
      <c r="J79" s="28">
        <v>3.0464444444444402E-2</v>
      </c>
      <c r="K79" s="20">
        <f t="shared" si="41"/>
        <v>3371.8291199999999</v>
      </c>
      <c r="L79" s="17">
        <v>2.0498666666665999E-2</v>
      </c>
      <c r="M79" s="17">
        <f t="shared" ref="M79" si="87">J79+L79</f>
        <v>5.0963111111110404E-2</v>
      </c>
      <c r="N79" s="20">
        <f t="shared" si="43"/>
        <v>6.2441280000000016E-2</v>
      </c>
      <c r="O79" s="7">
        <f t="shared" ref="O79" si="88">H79-M79-N79</f>
        <v>0.51100840888888965</v>
      </c>
    </row>
    <row r="80" spans="1:15" x14ac:dyDescent="0.7">
      <c r="A80" s="6"/>
      <c r="B80" s="6"/>
      <c r="C80" s="6">
        <v>18</v>
      </c>
      <c r="D80" s="7">
        <v>7.1260000000000003</v>
      </c>
      <c r="E80" s="4">
        <v>0</v>
      </c>
      <c r="F80" s="7">
        <v>7.1260000000000003</v>
      </c>
      <c r="G80" s="15">
        <f t="shared" ref="G80" si="89">F80*86400</f>
        <v>615686.40000000002</v>
      </c>
      <c r="H80" s="21">
        <f t="shared" ref="H80" si="90">G80/1000000</f>
        <v>0.61568640000000008</v>
      </c>
      <c r="I80" s="20">
        <f t="shared" si="40"/>
        <v>27705.887999999999</v>
      </c>
      <c r="J80" s="28">
        <v>3.0843894444444402E-2</v>
      </c>
      <c r="K80" s="20">
        <f t="shared" si="41"/>
        <v>3324.7065599999996</v>
      </c>
      <c r="L80" s="17">
        <v>2.08691999999993E-2</v>
      </c>
      <c r="M80" s="17">
        <f t="shared" ref="M80" si="91">J80+L80</f>
        <v>5.1713094444443705E-2</v>
      </c>
      <c r="N80" s="20">
        <f t="shared" si="43"/>
        <v>6.1568640000000008E-2</v>
      </c>
      <c r="O80" s="7">
        <f t="shared" ref="O80" si="92">H80-M80-N80</f>
        <v>0.5024046655555563</v>
      </c>
    </row>
    <row r="81" spans="1:15" x14ac:dyDescent="0.7">
      <c r="A81" s="6"/>
      <c r="B81" s="6"/>
      <c r="C81" s="6">
        <v>19</v>
      </c>
      <c r="D81" s="7">
        <v>7.0780000000000003</v>
      </c>
      <c r="E81" s="4">
        <v>0</v>
      </c>
      <c r="F81" s="7">
        <v>7.0780000000000003</v>
      </c>
      <c r="G81" s="15">
        <f t="shared" ref="G81" si="93">F81*86400</f>
        <v>611539.20000000007</v>
      </c>
      <c r="H81" s="21">
        <f t="shared" ref="H81" si="94">G81/1000000</f>
        <v>0.61153920000000006</v>
      </c>
      <c r="I81" s="20">
        <f t="shared" si="40"/>
        <v>27519.264000000003</v>
      </c>
      <c r="J81" s="28">
        <v>3.1223344444444402E-2</v>
      </c>
      <c r="K81" s="20">
        <f t="shared" si="41"/>
        <v>3302.3116800000003</v>
      </c>
      <c r="L81" s="17">
        <v>2.1239733333332601E-2</v>
      </c>
      <c r="M81" s="17">
        <f t="shared" ref="M81" si="95">J81+L81</f>
        <v>5.2463077777777006E-2</v>
      </c>
      <c r="N81" s="20">
        <f t="shared" si="43"/>
        <v>6.1153920000000007E-2</v>
      </c>
      <c r="O81" s="7">
        <f t="shared" ref="O81" si="96">H81-M81-N81</f>
        <v>0.497922202222223</v>
      </c>
    </row>
    <row r="82" spans="1:15" x14ac:dyDescent="0.7">
      <c r="A82" s="6"/>
      <c r="B82" s="6"/>
      <c r="C82" s="6">
        <v>20</v>
      </c>
      <c r="D82" s="7">
        <v>6.9820000000000002</v>
      </c>
      <c r="E82" s="4">
        <v>0</v>
      </c>
      <c r="F82" s="7">
        <v>6.9820000000000002</v>
      </c>
      <c r="G82" s="15">
        <f t="shared" ref="G82" si="97">F82*86400</f>
        <v>603244.80000000005</v>
      </c>
      <c r="H82" s="21">
        <f t="shared" ref="H82" si="98">G82/1000000</f>
        <v>0.60324480000000003</v>
      </c>
      <c r="I82" s="20">
        <f t="shared" si="40"/>
        <v>27146.016</v>
      </c>
      <c r="J82" s="28">
        <v>3.1602794444444401E-2</v>
      </c>
      <c r="K82" s="20">
        <f t="shared" si="41"/>
        <v>3257.5219199999997</v>
      </c>
      <c r="L82" s="17">
        <v>2.1610266666665899E-2</v>
      </c>
      <c r="M82" s="17">
        <f t="shared" ref="M82" si="99">J82+L82</f>
        <v>5.3213061111110301E-2</v>
      </c>
      <c r="N82" s="20">
        <f t="shared" si="43"/>
        <v>6.0324480000000007E-2</v>
      </c>
      <c r="O82" s="7">
        <f t="shared" ref="O82" si="100">H82-M82-N82</f>
        <v>0.48970725888888966</v>
      </c>
    </row>
    <row r="83" spans="1:15" x14ac:dyDescent="0.7">
      <c r="A83" s="6"/>
      <c r="B83" s="6"/>
      <c r="C83" s="6">
        <v>21</v>
      </c>
      <c r="D83" s="7">
        <v>6.9290000000000003</v>
      </c>
      <c r="E83" s="4">
        <v>0</v>
      </c>
      <c r="F83" s="7">
        <v>6.9290000000000003</v>
      </c>
      <c r="G83" s="15">
        <f t="shared" ref="G83" si="101">F83*86400</f>
        <v>598665.6</v>
      </c>
      <c r="H83" s="21">
        <f t="shared" ref="H83" si="102">G83/1000000</f>
        <v>0.59866560000000002</v>
      </c>
      <c r="I83" s="20">
        <f t="shared" si="40"/>
        <v>26939.951999999997</v>
      </c>
      <c r="J83" s="28">
        <v>3.1982244444444398E-2</v>
      </c>
      <c r="K83" s="20">
        <f t="shared" si="41"/>
        <v>3232.7942399999997</v>
      </c>
      <c r="L83" s="17">
        <v>2.19807999999992E-2</v>
      </c>
      <c r="M83" s="17">
        <f t="shared" ref="M83" si="103">J83+L83</f>
        <v>5.3963044444443595E-2</v>
      </c>
      <c r="N83" s="20">
        <f t="shared" si="43"/>
        <v>5.9866560000000006E-2</v>
      </c>
      <c r="O83" s="7">
        <f t="shared" ref="O83" si="104">H83-M83-N83</f>
        <v>0.48483599555555645</v>
      </c>
    </row>
    <row r="84" spans="1:15" x14ac:dyDescent="0.7">
      <c r="A84" s="6"/>
      <c r="B84" s="6"/>
      <c r="C84" s="6">
        <v>22</v>
      </c>
      <c r="D84" s="7">
        <v>6.93</v>
      </c>
      <c r="E84" s="4">
        <v>0</v>
      </c>
      <c r="F84" s="7">
        <v>6.93</v>
      </c>
      <c r="G84" s="15">
        <f t="shared" ref="G84" si="105">F84*86400</f>
        <v>598752</v>
      </c>
      <c r="H84" s="21">
        <f t="shared" ref="H84" si="106">G84/1000000</f>
        <v>0.59875199999999995</v>
      </c>
      <c r="I84" s="20">
        <f t="shared" si="40"/>
        <v>26943.84</v>
      </c>
      <c r="J84" s="28">
        <v>3.2361694444444401E-2</v>
      </c>
      <c r="K84" s="20">
        <f t="shared" si="41"/>
        <v>3233.2608</v>
      </c>
      <c r="L84" s="17">
        <v>2.2351333333332501E-2</v>
      </c>
      <c r="M84" s="17">
        <f t="shared" ref="M84" si="107">J84+L84</f>
        <v>5.4713027777776903E-2</v>
      </c>
      <c r="N84" s="20">
        <f t="shared" si="43"/>
        <v>5.9875199999999996E-2</v>
      </c>
      <c r="O84" s="7">
        <f t="shared" ref="O84" si="108">H84-M84-N84</f>
        <v>0.48416377222222307</v>
      </c>
    </row>
    <row r="85" spans="1:15" x14ac:dyDescent="0.7">
      <c r="A85" s="6"/>
      <c r="B85" s="6"/>
      <c r="C85" s="6">
        <v>23</v>
      </c>
      <c r="D85" s="7">
        <v>6.8360000000000003</v>
      </c>
      <c r="E85" s="4">
        <v>0</v>
      </c>
      <c r="F85" s="7">
        <v>6.8360000000000003</v>
      </c>
      <c r="G85" s="15">
        <f t="shared" ref="G85" si="109">F85*86400</f>
        <v>590630.40000000002</v>
      </c>
      <c r="H85" s="21">
        <f t="shared" ref="H85" si="110">G85/1000000</f>
        <v>0.5906304</v>
      </c>
      <c r="I85" s="20">
        <f t="shared" si="40"/>
        <v>26578.367999999999</v>
      </c>
      <c r="J85" s="28">
        <v>3.2741144444444398E-2</v>
      </c>
      <c r="K85" s="20">
        <f t="shared" si="41"/>
        <v>3189.4041599999996</v>
      </c>
      <c r="L85" s="17">
        <v>2.2721866666665799E-2</v>
      </c>
      <c r="M85" s="17">
        <f t="shared" ref="M85" si="111">J85+L85</f>
        <v>5.5463011111110197E-2</v>
      </c>
      <c r="N85" s="20">
        <f t="shared" si="43"/>
        <v>5.9063040000000004E-2</v>
      </c>
      <c r="O85" s="7">
        <f t="shared" ref="O85" si="112">H85-M85-N85</f>
        <v>0.47610434888888981</v>
      </c>
    </row>
    <row r="86" spans="1:15" x14ac:dyDescent="0.7">
      <c r="A86" s="6"/>
      <c r="B86" s="6"/>
      <c r="C86" s="6">
        <v>24</v>
      </c>
      <c r="D86" s="7">
        <v>6.5949999999999998</v>
      </c>
      <c r="E86" s="4">
        <v>0</v>
      </c>
      <c r="F86" s="7">
        <v>6.5949999999999998</v>
      </c>
      <c r="G86" s="15">
        <f t="shared" ref="G86" si="113">F86*86400</f>
        <v>569808</v>
      </c>
      <c r="H86" s="21">
        <f t="shared" ref="H86" si="114">G86/1000000</f>
        <v>0.56980799999999998</v>
      </c>
      <c r="I86" s="20">
        <f t="shared" si="40"/>
        <v>25641.360000000001</v>
      </c>
      <c r="J86" s="28">
        <v>3.3120594444444401E-2</v>
      </c>
      <c r="K86" s="20">
        <f t="shared" si="41"/>
        <v>3076.9632000000001</v>
      </c>
      <c r="L86" s="17">
        <v>2.30923999999991E-2</v>
      </c>
      <c r="M86" s="17">
        <f t="shared" ref="M86" si="115">J86+L86</f>
        <v>5.6212994444443498E-2</v>
      </c>
      <c r="N86" s="20">
        <f t="shared" si="43"/>
        <v>5.6980799999999998E-2</v>
      </c>
      <c r="O86" s="7">
        <f t="shared" ref="O86" si="116">H86-M86-N86</f>
        <v>0.45661420555555648</v>
      </c>
    </row>
    <row r="87" spans="1:15" x14ac:dyDescent="0.7">
      <c r="A87" s="6"/>
      <c r="B87" s="6"/>
      <c r="C87" s="6">
        <v>25</v>
      </c>
      <c r="D87" s="7">
        <v>6.5949999999999998</v>
      </c>
      <c r="E87" s="4">
        <v>0</v>
      </c>
      <c r="F87" s="7">
        <v>6.5949999999999998</v>
      </c>
      <c r="G87" s="15">
        <f t="shared" ref="G87" si="117">F87*86400</f>
        <v>569808</v>
      </c>
      <c r="H87" s="21">
        <f t="shared" ref="H87" si="118">G87/1000000</f>
        <v>0.56980799999999998</v>
      </c>
      <c r="I87" s="20">
        <f t="shared" si="40"/>
        <v>25641.360000000001</v>
      </c>
      <c r="J87" s="28">
        <v>3.3500044444444398E-2</v>
      </c>
      <c r="K87" s="20">
        <f t="shared" si="41"/>
        <v>3076.9632000000001</v>
      </c>
      <c r="L87" s="17">
        <v>2.3462933333332402E-2</v>
      </c>
      <c r="M87" s="17">
        <f t="shared" ref="M87" si="119">J87+L87</f>
        <v>5.6962977777776799E-2</v>
      </c>
      <c r="N87" s="20">
        <f t="shared" si="43"/>
        <v>5.6980799999999998E-2</v>
      </c>
      <c r="O87" s="7">
        <f t="shared" ref="O87" si="120">H87-M87-N87</f>
        <v>0.45586422222222317</v>
      </c>
    </row>
    <row r="88" spans="1:15" x14ac:dyDescent="0.7">
      <c r="A88" s="6"/>
      <c r="B88" s="6"/>
      <c r="C88" s="6">
        <v>26</v>
      </c>
      <c r="D88" s="7">
        <v>6.5949999999999998</v>
      </c>
      <c r="E88" s="4">
        <v>0</v>
      </c>
      <c r="F88" s="7">
        <v>6.5949999999999998</v>
      </c>
      <c r="G88" s="15">
        <f t="shared" ref="G88" si="121">F88*86400</f>
        <v>569808</v>
      </c>
      <c r="H88" s="21">
        <f t="shared" ref="H88" si="122">G88/1000000</f>
        <v>0.56980799999999998</v>
      </c>
      <c r="I88" s="20">
        <f t="shared" si="40"/>
        <v>25641.360000000001</v>
      </c>
      <c r="J88" s="28">
        <v>3.3879494444444401E-2</v>
      </c>
      <c r="K88" s="20">
        <f t="shared" si="41"/>
        <v>3076.9632000000001</v>
      </c>
      <c r="L88" s="17">
        <v>2.3833466666665699E-2</v>
      </c>
      <c r="M88" s="17">
        <f t="shared" ref="M88" si="123">J88+L88</f>
        <v>5.77129611111101E-2</v>
      </c>
      <c r="N88" s="20">
        <f t="shared" si="43"/>
        <v>5.6980799999999998E-2</v>
      </c>
      <c r="O88" s="7">
        <f t="shared" ref="O88" si="124">H88-M88-N88</f>
        <v>0.45511423888888985</v>
      </c>
    </row>
    <row r="89" spans="1:15" x14ac:dyDescent="0.7">
      <c r="A89" s="6"/>
      <c r="B89" s="6"/>
      <c r="C89" s="6">
        <v>27</v>
      </c>
      <c r="D89" s="7">
        <v>6.4130000000000003</v>
      </c>
      <c r="E89" s="4">
        <v>0</v>
      </c>
      <c r="F89" s="7">
        <v>6.4130000000000003</v>
      </c>
      <c r="G89" s="15">
        <f t="shared" ref="G89" si="125">F89*86400</f>
        <v>554083.20000000007</v>
      </c>
      <c r="H89" s="21">
        <f t="shared" ref="H89" si="126">G89/1000000</f>
        <v>0.55408320000000011</v>
      </c>
      <c r="I89" s="20">
        <f t="shared" si="40"/>
        <v>24933.744000000002</v>
      </c>
      <c r="J89" s="28">
        <v>3.4258944444444397E-2</v>
      </c>
      <c r="K89" s="20">
        <f t="shared" si="41"/>
        <v>2992.0492800000002</v>
      </c>
      <c r="L89" s="17">
        <v>2.4203999999999001E-2</v>
      </c>
      <c r="M89" s="17">
        <f t="shared" ref="M89" si="127">J89+L89</f>
        <v>5.8462944444443402E-2</v>
      </c>
      <c r="N89" s="20">
        <f t="shared" si="43"/>
        <v>5.5408320000000011E-2</v>
      </c>
      <c r="O89" s="7">
        <f t="shared" ref="O89" si="128">H89-M89-N89</f>
        <v>0.44021193555555671</v>
      </c>
    </row>
    <row r="90" spans="1:15" x14ac:dyDescent="0.7">
      <c r="A90" s="6"/>
      <c r="B90" s="6"/>
      <c r="C90" s="6">
        <v>28</v>
      </c>
      <c r="D90" s="7">
        <v>6.3339999999999996</v>
      </c>
      <c r="E90" s="4">
        <v>0</v>
      </c>
      <c r="F90" s="7">
        <v>6.3339999999999996</v>
      </c>
      <c r="G90" s="15">
        <f t="shared" ref="G90" si="129">F90*86400</f>
        <v>547257.59999999998</v>
      </c>
      <c r="H90" s="21">
        <f t="shared" ref="H90" si="130">G90/1000000</f>
        <v>0.54725760000000001</v>
      </c>
      <c r="I90" s="20">
        <f t="shared" si="40"/>
        <v>24626.591999999997</v>
      </c>
      <c r="J90" s="28">
        <v>3.4638394444444401E-2</v>
      </c>
      <c r="K90" s="20">
        <f t="shared" si="41"/>
        <v>2955.1910399999997</v>
      </c>
      <c r="L90" s="17">
        <v>2.4574533333332298E-2</v>
      </c>
      <c r="M90" s="17">
        <f t="shared" ref="M90" si="131">J90+L90</f>
        <v>5.9212927777776703E-2</v>
      </c>
      <c r="N90" s="20">
        <f t="shared" si="43"/>
        <v>5.4725760000000005E-2</v>
      </c>
      <c r="O90" s="7">
        <f t="shared" ref="O90" si="132">H90-M90-N90</f>
        <v>0.4333189122222233</v>
      </c>
    </row>
    <row r="91" spans="1:15" x14ac:dyDescent="0.7">
      <c r="A91" s="12"/>
      <c r="B91" s="12"/>
      <c r="C91" s="12">
        <v>29</v>
      </c>
      <c r="D91" s="30">
        <v>6.0380000000000003</v>
      </c>
      <c r="E91" s="4">
        <v>0</v>
      </c>
      <c r="F91" s="30">
        <v>6.0380000000000003</v>
      </c>
      <c r="G91" s="31">
        <f t="shared" ref="G91" si="133">F91*86400</f>
        <v>521683.20000000001</v>
      </c>
      <c r="H91" s="32">
        <f t="shared" ref="H91" si="134">G91/1000000</f>
        <v>0.52168320000000001</v>
      </c>
      <c r="I91" s="20">
        <f t="shared" si="40"/>
        <v>23475.743999999999</v>
      </c>
      <c r="J91" s="34">
        <v>3.5017844444444397E-2</v>
      </c>
      <c r="K91" s="20">
        <f t="shared" si="41"/>
        <v>2817.0892799999997</v>
      </c>
      <c r="L91" s="33">
        <v>2.49450666666656E-2</v>
      </c>
      <c r="M91" s="33">
        <f t="shared" ref="M91" si="135">J91+L91</f>
        <v>5.9962911111109997E-2</v>
      </c>
      <c r="N91" s="20">
        <f t="shared" si="43"/>
        <v>5.2168320000000004E-2</v>
      </c>
      <c r="O91" s="30">
        <f t="shared" ref="O91" si="136">H91-M91-N91</f>
        <v>0.40955196888889001</v>
      </c>
    </row>
    <row r="92" spans="1:15" s="37" customFormat="1" x14ac:dyDescent="0.7">
      <c r="A92" s="6"/>
      <c r="B92" s="6"/>
      <c r="C92" s="6">
        <v>30</v>
      </c>
      <c r="D92" s="7">
        <v>5.9020000000000001</v>
      </c>
      <c r="E92" s="4">
        <v>0</v>
      </c>
      <c r="F92" s="7">
        <v>5.9020000000000001</v>
      </c>
      <c r="G92" s="35">
        <f t="shared" ref="G92" si="137">F92*86400</f>
        <v>509932.79999999999</v>
      </c>
      <c r="H92" s="20">
        <f t="shared" ref="H92" si="138">G92/1000000</f>
        <v>0.50993279999999996</v>
      </c>
      <c r="I92" s="20">
        <f t="shared" si="40"/>
        <v>22946.975999999999</v>
      </c>
      <c r="J92" s="28">
        <v>3.5397294444444401E-2</v>
      </c>
      <c r="K92" s="20">
        <f t="shared" si="41"/>
        <v>2753.6371199999999</v>
      </c>
      <c r="L92" s="17">
        <v>2.5315599999998901E-2</v>
      </c>
      <c r="M92" s="17">
        <f t="shared" ref="M92" si="139">J92+L92</f>
        <v>6.0712894444443305E-2</v>
      </c>
      <c r="N92" s="20">
        <f t="shared" si="43"/>
        <v>5.0993280000000002E-2</v>
      </c>
      <c r="O92" s="7">
        <f t="shared" ref="O92" si="140">H92-M92-N92</f>
        <v>0.39822662555555666</v>
      </c>
    </row>
    <row r="93" spans="1:15" s="13" customFormat="1" ht="25.2" thickBot="1" x14ac:dyDescent="0.75">
      <c r="A93" s="11"/>
      <c r="B93" s="11" t="s">
        <v>17</v>
      </c>
      <c r="C93" s="11">
        <v>31</v>
      </c>
      <c r="D93" s="19">
        <v>5.859</v>
      </c>
      <c r="E93" s="19">
        <v>20.7</v>
      </c>
      <c r="F93" s="19">
        <v>5.859</v>
      </c>
      <c r="G93" s="26">
        <f t="shared" ref="G93" si="141">F93*86400</f>
        <v>506217.6</v>
      </c>
      <c r="H93" s="27">
        <f t="shared" ref="H93" si="142">G93/1000000</f>
        <v>0.50621759999999993</v>
      </c>
      <c r="I93" s="22">
        <f t="shared" si="40"/>
        <v>22779.791999999994</v>
      </c>
      <c r="J93" s="39">
        <v>3.5776744444444397E-2</v>
      </c>
      <c r="K93" s="22">
        <f t="shared" si="41"/>
        <v>2733.5750399999993</v>
      </c>
      <c r="L93" s="38">
        <v>2.5686133333332199E-2</v>
      </c>
      <c r="M93" s="38">
        <f t="shared" ref="M93" si="143">J93+L93</f>
        <v>6.1462877777776592E-2</v>
      </c>
      <c r="N93" s="22">
        <f t="shared" si="43"/>
        <v>5.0621759999999995E-2</v>
      </c>
      <c r="O93" s="19">
        <f t="shared" ref="O93" si="144">H93-M93-N93</f>
        <v>0.39413296222222333</v>
      </c>
    </row>
    <row r="94" spans="1:15" x14ac:dyDescent="0.7">
      <c r="A94" s="3"/>
      <c r="B94" s="3" t="s">
        <v>18</v>
      </c>
      <c r="C94" s="3">
        <v>1</v>
      </c>
      <c r="D94" s="4">
        <v>7.1989999999999998</v>
      </c>
      <c r="E94" s="4">
        <v>0.1</v>
      </c>
      <c r="F94" s="4">
        <v>7.1989999999999998</v>
      </c>
      <c r="G94" s="15">
        <f t="shared" ref="G94" si="145">F94*86400</f>
        <v>621993.6</v>
      </c>
      <c r="H94" s="21">
        <f t="shared" ref="H94" si="146">G94/1000000</f>
        <v>0.62199359999999992</v>
      </c>
      <c r="I94" s="21">
        <f t="shared" si="40"/>
        <v>27989.712</v>
      </c>
      <c r="J94" s="25">
        <v>3.6156194444444401E-2</v>
      </c>
      <c r="K94" s="21">
        <f t="shared" si="41"/>
        <v>3358.7654399999997</v>
      </c>
      <c r="L94" s="16">
        <v>2.60566666666655E-2</v>
      </c>
      <c r="M94" s="16">
        <f t="shared" ref="M94" si="147">J94+L94</f>
        <v>6.22128611111099E-2</v>
      </c>
      <c r="N94" s="21">
        <f t="shared" si="43"/>
        <v>6.2199359999999995E-2</v>
      </c>
      <c r="O94" s="4">
        <f t="shared" ref="O94" si="148">H94-M94-N94</f>
        <v>0.49758137888889004</v>
      </c>
    </row>
    <row r="95" spans="1:15" x14ac:dyDescent="0.7">
      <c r="A95" s="6"/>
      <c r="B95" s="6"/>
      <c r="C95" s="6">
        <v>2</v>
      </c>
      <c r="D95" s="7">
        <v>7.359</v>
      </c>
      <c r="E95" s="4">
        <v>0</v>
      </c>
      <c r="F95" s="7">
        <v>7.359</v>
      </c>
      <c r="G95" s="15">
        <f t="shared" ref="G95" si="149">F95*86400</f>
        <v>635817.6</v>
      </c>
      <c r="H95" s="21">
        <f t="shared" ref="H95" si="150">G95/1000000</f>
        <v>0.63581759999999998</v>
      </c>
      <c r="I95" s="20">
        <f t="shared" si="40"/>
        <v>28611.791999999998</v>
      </c>
      <c r="J95" s="28">
        <v>3.6535644444444397E-2</v>
      </c>
      <c r="K95" s="20">
        <f t="shared" si="41"/>
        <v>3433.4150399999994</v>
      </c>
      <c r="L95" s="17">
        <v>2.6427199999998801E-2</v>
      </c>
      <c r="M95" s="17">
        <f t="shared" ref="M95" si="151">J95+L95</f>
        <v>6.2962844444443195E-2</v>
      </c>
      <c r="N95" s="20">
        <f t="shared" si="43"/>
        <v>6.3581760000000001E-2</v>
      </c>
      <c r="O95" s="7">
        <f t="shared" ref="O95" si="152">H95-M95-N95</f>
        <v>0.50927299555555672</v>
      </c>
    </row>
    <row r="96" spans="1:15" x14ac:dyDescent="0.7">
      <c r="A96" s="6"/>
      <c r="B96" s="6"/>
      <c r="C96" s="6">
        <v>3</v>
      </c>
      <c r="D96" s="7">
        <v>7.359</v>
      </c>
      <c r="E96" s="4">
        <v>0</v>
      </c>
      <c r="F96" s="7">
        <v>7.359</v>
      </c>
      <c r="G96" s="15">
        <f t="shared" ref="G96" si="153">F96*86400</f>
        <v>635817.6</v>
      </c>
      <c r="H96" s="21">
        <f t="shared" ref="H96" si="154">G96/1000000</f>
        <v>0.63581759999999998</v>
      </c>
      <c r="I96" s="20">
        <f t="shared" si="40"/>
        <v>28611.791999999998</v>
      </c>
      <c r="J96" s="28">
        <v>3.69150944444444E-2</v>
      </c>
      <c r="K96" s="20">
        <f t="shared" si="41"/>
        <v>3433.4150399999994</v>
      </c>
      <c r="L96" s="17">
        <v>2.6797733333332099E-2</v>
      </c>
      <c r="M96" s="17">
        <f t="shared" ref="M96" si="155">J96+L96</f>
        <v>6.3712827777776496E-2</v>
      </c>
      <c r="N96" s="20">
        <f t="shared" si="43"/>
        <v>6.3581760000000001E-2</v>
      </c>
      <c r="O96" s="7">
        <f t="shared" ref="O96" si="156">H96-M96-N96</f>
        <v>0.5085230122222234</v>
      </c>
    </row>
    <row r="97" spans="1:15" x14ac:dyDescent="0.7">
      <c r="A97" s="6"/>
      <c r="B97" s="6"/>
      <c r="C97" s="6">
        <v>4</v>
      </c>
      <c r="D97" s="7">
        <v>7.1989999999999998</v>
      </c>
      <c r="E97" s="4">
        <v>19.8</v>
      </c>
      <c r="F97" s="7">
        <v>7.1989999999999998</v>
      </c>
      <c r="G97" s="15">
        <f t="shared" ref="G97" si="157">F97*86400</f>
        <v>621993.6</v>
      </c>
      <c r="H97" s="21">
        <f t="shared" ref="H97" si="158">G97/1000000</f>
        <v>0.62199359999999992</v>
      </c>
      <c r="I97" s="20">
        <f t="shared" si="40"/>
        <v>27989.712</v>
      </c>
      <c r="J97" s="28">
        <v>3.7294544444444397E-2</v>
      </c>
      <c r="K97" s="20">
        <f t="shared" si="41"/>
        <v>3358.7654399999997</v>
      </c>
      <c r="L97" s="17">
        <v>2.71682666666654E-2</v>
      </c>
      <c r="M97" s="17">
        <f t="shared" ref="M97" si="159">J97+L97</f>
        <v>6.4462811111109797E-2</v>
      </c>
      <c r="N97" s="20">
        <f t="shared" si="43"/>
        <v>6.2199359999999995E-2</v>
      </c>
      <c r="O97" s="7">
        <f t="shared" ref="O97" si="160">H97-M97-N97</f>
        <v>0.49533142888889009</v>
      </c>
    </row>
    <row r="98" spans="1:15" x14ac:dyDescent="0.7">
      <c r="A98" s="6"/>
      <c r="B98" s="6"/>
      <c r="C98" s="6">
        <v>5</v>
      </c>
      <c r="D98" s="7">
        <v>7.359</v>
      </c>
      <c r="E98" s="4">
        <v>0</v>
      </c>
      <c r="F98" s="7">
        <v>7.359</v>
      </c>
      <c r="G98" s="15">
        <f t="shared" ref="G98" si="161">F98*86400</f>
        <v>635817.6</v>
      </c>
      <c r="H98" s="21">
        <f t="shared" ref="H98" si="162">G98/1000000</f>
        <v>0.63581759999999998</v>
      </c>
      <c r="I98" s="20">
        <f t="shared" si="40"/>
        <v>28611.791999999998</v>
      </c>
      <c r="J98" s="28">
        <v>3.76739944444444E-2</v>
      </c>
      <c r="K98" s="20">
        <f t="shared" si="41"/>
        <v>3433.4150399999994</v>
      </c>
      <c r="L98" s="17">
        <v>2.7538799999998701E-2</v>
      </c>
      <c r="M98" s="17">
        <f t="shared" ref="M98" si="163">J98+L98</f>
        <v>6.5212794444443098E-2</v>
      </c>
      <c r="N98" s="20">
        <f t="shared" si="43"/>
        <v>6.3581760000000001E-2</v>
      </c>
      <c r="O98" s="7">
        <f t="shared" ref="O98" si="164">H98-M98-N98</f>
        <v>0.50702304555555688</v>
      </c>
    </row>
    <row r="99" spans="1:15" x14ac:dyDescent="0.7">
      <c r="A99" s="6"/>
      <c r="B99" s="6"/>
      <c r="C99" s="6">
        <v>6</v>
      </c>
      <c r="D99" s="7">
        <v>14.38</v>
      </c>
      <c r="E99" s="4">
        <v>24</v>
      </c>
      <c r="F99" s="7">
        <v>14.38</v>
      </c>
      <c r="G99" s="15">
        <f t="shared" ref="G99" si="165">F99*86400</f>
        <v>1242432</v>
      </c>
      <c r="H99" s="21">
        <f t="shared" ref="H99" si="166">G99/1000000</f>
        <v>1.242432</v>
      </c>
      <c r="I99" s="20">
        <f t="shared" si="40"/>
        <v>55909.439999999995</v>
      </c>
      <c r="J99" s="28">
        <v>3.8053444444444397E-2</v>
      </c>
      <c r="K99" s="20">
        <f t="shared" si="41"/>
        <v>6709.1327999999994</v>
      </c>
      <c r="L99" s="17">
        <v>2.7909333333331999E-2</v>
      </c>
      <c r="M99" s="17">
        <f t="shared" ref="M99" si="167">J99+L99</f>
        <v>6.5962777777776399E-2</v>
      </c>
      <c r="N99" s="20">
        <f t="shared" si="43"/>
        <v>0.1242432</v>
      </c>
      <c r="O99" s="7">
        <f t="shared" ref="O99" si="168">H99-M99-N99</f>
        <v>1.0522260222222235</v>
      </c>
    </row>
    <row r="100" spans="1:15" x14ac:dyDescent="0.7">
      <c r="A100" s="6"/>
      <c r="B100" s="6"/>
      <c r="C100" s="6">
        <v>7</v>
      </c>
      <c r="D100" s="7">
        <v>13.798</v>
      </c>
      <c r="E100" s="4">
        <v>0.5</v>
      </c>
      <c r="F100" s="7">
        <v>13.798</v>
      </c>
      <c r="G100" s="15">
        <f t="shared" ref="G100" si="169">F100*86400</f>
        <v>1192147.2</v>
      </c>
      <c r="H100" s="21">
        <f t="shared" ref="H100" si="170">G100/1000000</f>
        <v>1.1921472</v>
      </c>
      <c r="I100" s="20">
        <f t="shared" si="40"/>
        <v>53646.623999999996</v>
      </c>
      <c r="J100" s="28">
        <v>3.84328944444444E-2</v>
      </c>
      <c r="K100" s="20">
        <f t="shared" si="41"/>
        <v>6437.5948799999996</v>
      </c>
      <c r="L100" s="17">
        <v>2.82798666666653E-2</v>
      </c>
      <c r="M100" s="17">
        <f t="shared" ref="M100" si="171">J100+L100</f>
        <v>6.67127611111097E-2</v>
      </c>
      <c r="N100" s="20">
        <f t="shared" si="43"/>
        <v>0.11921472</v>
      </c>
      <c r="O100" s="7">
        <f t="shared" ref="O100" si="172">H100-M100-N100</f>
        <v>1.0062197188888902</v>
      </c>
    </row>
    <row r="101" spans="1:15" x14ac:dyDescent="0.7">
      <c r="A101" s="6"/>
      <c r="B101" s="6"/>
      <c r="C101" s="6">
        <v>8</v>
      </c>
      <c r="D101" s="7">
        <v>13.053000000000001</v>
      </c>
      <c r="E101" s="4">
        <v>0</v>
      </c>
      <c r="F101" s="7">
        <v>13.053000000000001</v>
      </c>
      <c r="G101" s="15">
        <f t="shared" ref="G101" si="173">F101*86400</f>
        <v>1127779.2000000002</v>
      </c>
      <c r="H101" s="21">
        <f t="shared" ref="H101" si="174">G101/1000000</f>
        <v>1.1277792000000002</v>
      </c>
      <c r="I101" s="20">
        <f t="shared" si="40"/>
        <v>50750.064000000006</v>
      </c>
      <c r="J101" s="28">
        <v>3.8812344444444397E-2</v>
      </c>
      <c r="K101" s="20">
        <f t="shared" si="41"/>
        <v>6090.0076800000006</v>
      </c>
      <c r="L101" s="17">
        <v>2.8650399999998601E-2</v>
      </c>
      <c r="M101" s="17">
        <f t="shared" ref="M101" si="175">J101+L101</f>
        <v>6.7462744444443001E-2</v>
      </c>
      <c r="N101" s="20">
        <f t="shared" si="43"/>
        <v>0.11277792000000003</v>
      </c>
      <c r="O101" s="7">
        <f t="shared" ref="O101" si="176">H101-M101-N101</f>
        <v>0.947538535555557</v>
      </c>
    </row>
    <row r="102" spans="1:15" x14ac:dyDescent="0.7">
      <c r="A102" s="6"/>
      <c r="B102" s="6"/>
      <c r="C102" s="6">
        <v>9</v>
      </c>
      <c r="D102" s="7">
        <v>11.055999999999999</v>
      </c>
      <c r="E102" s="4">
        <v>0</v>
      </c>
      <c r="F102" s="7">
        <v>11.055999999999999</v>
      </c>
      <c r="G102" s="15">
        <f t="shared" ref="G102" si="177">F102*86400</f>
        <v>955238.39999999991</v>
      </c>
      <c r="H102" s="21">
        <f t="shared" ref="H102" si="178">G102/1000000</f>
        <v>0.95523839999999993</v>
      </c>
      <c r="I102" s="20">
        <f t="shared" si="40"/>
        <v>42985.727999999996</v>
      </c>
      <c r="J102" s="28">
        <v>3.91917944444444E-2</v>
      </c>
      <c r="K102" s="20">
        <f t="shared" si="41"/>
        <v>5158.2873599999994</v>
      </c>
      <c r="L102" s="17">
        <v>2.9020933333331899E-2</v>
      </c>
      <c r="M102" s="17">
        <f t="shared" ref="M102" si="179">J102+L102</f>
        <v>6.8212727777776302E-2</v>
      </c>
      <c r="N102" s="20">
        <f t="shared" si="43"/>
        <v>9.5523839999999999E-2</v>
      </c>
      <c r="O102" s="7">
        <f t="shared" ref="O102" si="180">H102-M102-N102</f>
        <v>0.79150183222222359</v>
      </c>
    </row>
    <row r="103" spans="1:15" x14ac:dyDescent="0.7">
      <c r="A103" s="6"/>
      <c r="B103" s="6"/>
      <c r="C103" s="6">
        <v>10</v>
      </c>
      <c r="D103" s="7">
        <v>11.010999999999999</v>
      </c>
      <c r="E103" s="4">
        <v>0</v>
      </c>
      <c r="F103" s="7">
        <v>11.010999999999999</v>
      </c>
      <c r="G103" s="15">
        <f t="shared" ref="G103" si="181">F103*86400</f>
        <v>951350.39999999991</v>
      </c>
      <c r="H103" s="21">
        <f t="shared" ref="H103" si="182">G103/1000000</f>
        <v>0.95135039999999993</v>
      </c>
      <c r="I103" s="20">
        <f t="shared" si="40"/>
        <v>42810.767999999996</v>
      </c>
      <c r="J103" s="28">
        <v>3.9571244444444403E-2</v>
      </c>
      <c r="K103" s="20">
        <f t="shared" si="41"/>
        <v>5137.2921599999991</v>
      </c>
      <c r="L103" s="17">
        <v>2.93914666666652E-2</v>
      </c>
      <c r="M103" s="17">
        <f t="shared" ref="M103" si="183">J103+L103</f>
        <v>6.8962711111109604E-2</v>
      </c>
      <c r="N103" s="20">
        <f t="shared" si="43"/>
        <v>9.5135040000000004E-2</v>
      </c>
      <c r="O103" s="7">
        <f t="shared" ref="O103" si="184">H103-M103-N103</f>
        <v>0.78725264888889024</v>
      </c>
    </row>
    <row r="104" spans="1:15" x14ac:dyDescent="0.7">
      <c r="A104" s="6"/>
      <c r="B104" s="6"/>
      <c r="C104" s="6">
        <v>11</v>
      </c>
      <c r="D104" s="7">
        <v>9.6280000000000001</v>
      </c>
      <c r="E104" s="4">
        <v>0</v>
      </c>
      <c r="F104" s="7">
        <v>9.6280000000000001</v>
      </c>
      <c r="G104" s="15">
        <f t="shared" ref="G104" si="185">F104*86400</f>
        <v>831859.19999999995</v>
      </c>
      <c r="H104" s="21">
        <f t="shared" ref="H104" si="186">G104/1000000</f>
        <v>0.83185919999999991</v>
      </c>
      <c r="I104" s="20">
        <f t="shared" si="40"/>
        <v>37433.663999999997</v>
      </c>
      <c r="J104" s="28">
        <v>3.99506944444444E-2</v>
      </c>
      <c r="K104" s="20">
        <f t="shared" si="41"/>
        <v>4492.0396799999999</v>
      </c>
      <c r="L104" s="17">
        <v>2.9761999999998501E-2</v>
      </c>
      <c r="M104" s="17">
        <f t="shared" ref="M104" si="187">J104+L104</f>
        <v>6.9712694444442905E-2</v>
      </c>
      <c r="N104" s="20">
        <f t="shared" si="43"/>
        <v>8.3185919999999997E-2</v>
      </c>
      <c r="O104" s="7">
        <f t="shared" ref="O104" si="188">H104-M104-N104</f>
        <v>0.67896058555555694</v>
      </c>
    </row>
    <row r="105" spans="1:15" x14ac:dyDescent="0.7">
      <c r="A105" s="6"/>
      <c r="B105" s="6"/>
      <c r="C105" s="6">
        <v>12</v>
      </c>
      <c r="D105" s="7">
        <v>9.6280000000000001</v>
      </c>
      <c r="E105" s="4">
        <v>0</v>
      </c>
      <c r="F105" s="7">
        <v>9.6280000000000001</v>
      </c>
      <c r="G105" s="15">
        <f t="shared" ref="G105" si="189">F105*86400</f>
        <v>831859.19999999995</v>
      </c>
      <c r="H105" s="21">
        <f t="shared" ref="H105" si="190">G105/1000000</f>
        <v>0.83185919999999991</v>
      </c>
      <c r="I105" s="20">
        <f t="shared" si="40"/>
        <v>37433.663999999997</v>
      </c>
      <c r="J105" s="28">
        <v>4.0330144444444403E-2</v>
      </c>
      <c r="K105" s="20">
        <f t="shared" si="41"/>
        <v>4492.0396799999999</v>
      </c>
      <c r="L105" s="17">
        <v>3.0132533333331799E-2</v>
      </c>
      <c r="M105" s="17">
        <f t="shared" ref="M105" si="191">J105+L105</f>
        <v>7.0462677777776206E-2</v>
      </c>
      <c r="N105" s="20">
        <f t="shared" si="43"/>
        <v>8.3185919999999997E-2</v>
      </c>
      <c r="O105" s="7">
        <f t="shared" ref="O105" si="192">H105-M105-N105</f>
        <v>0.67821060222222362</v>
      </c>
    </row>
    <row r="106" spans="1:15" x14ac:dyDescent="0.7">
      <c r="A106" s="6"/>
      <c r="B106" s="6"/>
      <c r="C106" s="6">
        <v>13</v>
      </c>
      <c r="D106" s="7">
        <v>8.5939999999999994</v>
      </c>
      <c r="E106" s="4">
        <v>0</v>
      </c>
      <c r="F106" s="7">
        <v>8.5939999999999994</v>
      </c>
      <c r="G106" s="15">
        <f t="shared" ref="G106" si="193">F106*86400</f>
        <v>742521.6</v>
      </c>
      <c r="H106" s="21">
        <f t="shared" ref="H106" si="194">G106/1000000</f>
        <v>0.7425216</v>
      </c>
      <c r="I106" s="20">
        <f t="shared" si="40"/>
        <v>33413.471999999994</v>
      </c>
      <c r="J106" s="28">
        <v>4.07095944444444E-2</v>
      </c>
      <c r="K106" s="20">
        <f t="shared" si="41"/>
        <v>4009.6166399999993</v>
      </c>
      <c r="L106" s="17">
        <v>3.05030666666651E-2</v>
      </c>
      <c r="M106" s="17">
        <f t="shared" ref="M106" si="195">J106+L106</f>
        <v>7.1212661111109493E-2</v>
      </c>
      <c r="N106" s="20">
        <f t="shared" si="43"/>
        <v>7.4252159999999998E-2</v>
      </c>
      <c r="O106" s="7">
        <f t="shared" ref="O106" si="196">H106-M106-N106</f>
        <v>0.59705677888889053</v>
      </c>
    </row>
    <row r="107" spans="1:15" x14ac:dyDescent="0.7">
      <c r="A107" s="6"/>
      <c r="B107" s="6"/>
      <c r="C107" s="6">
        <v>14</v>
      </c>
      <c r="D107" s="7">
        <v>8.5939999999999994</v>
      </c>
      <c r="E107" s="4">
        <v>0</v>
      </c>
      <c r="F107" s="7">
        <v>8.5939999999999994</v>
      </c>
      <c r="G107" s="15">
        <f t="shared" ref="G107" si="197">F107*86400</f>
        <v>742521.6</v>
      </c>
      <c r="H107" s="21">
        <f t="shared" ref="H107" si="198">G107/1000000</f>
        <v>0.7425216</v>
      </c>
      <c r="I107" s="20">
        <f t="shared" si="40"/>
        <v>33413.471999999994</v>
      </c>
      <c r="J107" s="28">
        <v>4.1089044444444403E-2</v>
      </c>
      <c r="K107" s="20">
        <f t="shared" si="41"/>
        <v>4009.6166399999993</v>
      </c>
      <c r="L107" s="17">
        <v>3.0873599999998402E-2</v>
      </c>
      <c r="M107" s="17">
        <f t="shared" ref="M107" si="199">J107+L107</f>
        <v>7.1962644444442808E-2</v>
      </c>
      <c r="N107" s="20">
        <f t="shared" si="43"/>
        <v>7.4252159999999998E-2</v>
      </c>
      <c r="O107" s="7">
        <f t="shared" ref="O107" si="200">H107-M107-N107</f>
        <v>0.59630679555555721</v>
      </c>
    </row>
    <row r="108" spans="1:15" x14ac:dyDescent="0.7">
      <c r="A108" s="6"/>
      <c r="B108" s="6"/>
      <c r="C108" s="6">
        <v>15</v>
      </c>
      <c r="D108" s="7">
        <v>7.9089999999999998</v>
      </c>
      <c r="E108" s="4">
        <v>0</v>
      </c>
      <c r="F108" s="7">
        <v>7.9089999999999998</v>
      </c>
      <c r="G108" s="15">
        <f t="shared" ref="G108" si="201">F108*86400</f>
        <v>683337.6</v>
      </c>
      <c r="H108" s="21">
        <f t="shared" ref="H108" si="202">G108/1000000</f>
        <v>0.68333759999999999</v>
      </c>
      <c r="I108" s="20">
        <f t="shared" si="40"/>
        <v>30750.191999999999</v>
      </c>
      <c r="J108" s="28">
        <v>4.14684944444444E-2</v>
      </c>
      <c r="K108" s="20">
        <f t="shared" si="41"/>
        <v>3690.0230399999996</v>
      </c>
      <c r="L108" s="17">
        <v>3.1244133333331699E-2</v>
      </c>
      <c r="M108" s="17">
        <f t="shared" ref="M108" si="203">J108+L108</f>
        <v>7.2712627777776095E-2</v>
      </c>
      <c r="N108" s="20">
        <f t="shared" si="43"/>
        <v>6.8333760000000007E-2</v>
      </c>
      <c r="O108" s="7">
        <f t="shared" ref="O108" si="204">H108-M108-N108</f>
        <v>0.54229121222222387</v>
      </c>
    </row>
    <row r="109" spans="1:15" x14ac:dyDescent="0.7">
      <c r="A109" s="6"/>
      <c r="B109" s="6"/>
      <c r="C109" s="6">
        <v>16</v>
      </c>
      <c r="D109" s="7">
        <v>7.9089999999999998</v>
      </c>
      <c r="E109" s="4">
        <v>0</v>
      </c>
      <c r="F109" s="7">
        <v>7.9089999999999998</v>
      </c>
      <c r="G109" s="15">
        <f t="shared" ref="G109" si="205">F109*86400</f>
        <v>683337.6</v>
      </c>
      <c r="H109" s="21">
        <f t="shared" ref="H109" si="206">G109/1000000</f>
        <v>0.68333759999999999</v>
      </c>
      <c r="I109" s="20">
        <f t="shared" si="40"/>
        <v>30750.191999999999</v>
      </c>
      <c r="J109" s="28">
        <v>4.1847944444444403E-2</v>
      </c>
      <c r="K109" s="20">
        <f t="shared" si="41"/>
        <v>3690.0230399999996</v>
      </c>
      <c r="L109" s="17">
        <v>3.1614666666665001E-2</v>
      </c>
      <c r="M109" s="17">
        <f t="shared" ref="M109" si="207">J109+L109</f>
        <v>7.346261111110941E-2</v>
      </c>
      <c r="N109" s="20">
        <f t="shared" si="43"/>
        <v>6.8333760000000007E-2</v>
      </c>
      <c r="O109" s="7">
        <f t="shared" ref="O109" si="208">H109-M109-N109</f>
        <v>0.54154122888889056</v>
      </c>
    </row>
    <row r="110" spans="1:15" x14ac:dyDescent="0.7">
      <c r="A110" s="6"/>
      <c r="B110" s="6"/>
      <c r="C110" s="6">
        <v>17</v>
      </c>
      <c r="D110" s="7">
        <v>8.7080000000000002</v>
      </c>
      <c r="E110" s="4">
        <v>0</v>
      </c>
      <c r="F110" s="7">
        <v>8.7080000000000002</v>
      </c>
      <c r="G110" s="15">
        <f t="shared" ref="G110" si="209">F110*86400</f>
        <v>752371.20000000007</v>
      </c>
      <c r="H110" s="21">
        <f t="shared" ref="H110" si="210">G110/1000000</f>
        <v>0.75237120000000002</v>
      </c>
      <c r="I110" s="20">
        <f t="shared" si="40"/>
        <v>33856.704000000005</v>
      </c>
      <c r="J110" s="28">
        <v>4.2227394444444399E-2</v>
      </c>
      <c r="K110" s="20">
        <f t="shared" si="41"/>
        <v>4062.8044800000007</v>
      </c>
      <c r="L110" s="17">
        <v>3.1985199999998298E-2</v>
      </c>
      <c r="M110" s="17">
        <f t="shared" ref="M110" si="211">J110+L110</f>
        <v>7.4212594444442698E-2</v>
      </c>
      <c r="N110" s="20">
        <f t="shared" si="43"/>
        <v>7.5237120000000005E-2</v>
      </c>
      <c r="O110" s="7">
        <f t="shared" ref="O110" si="212">H110-M110-N110</f>
        <v>0.60292148555555725</v>
      </c>
    </row>
    <row r="111" spans="1:15" x14ac:dyDescent="0.7">
      <c r="A111" s="6"/>
      <c r="B111" s="6"/>
      <c r="C111" s="6">
        <v>18</v>
      </c>
      <c r="D111" s="7">
        <v>7.5819999999999999</v>
      </c>
      <c r="E111" s="4">
        <v>0</v>
      </c>
      <c r="F111" s="7">
        <v>7.5819999999999999</v>
      </c>
      <c r="G111" s="15">
        <f t="shared" ref="G111" si="213">F111*86400</f>
        <v>655084.79999999993</v>
      </c>
      <c r="H111" s="21">
        <f t="shared" ref="H111" si="214">G111/1000000</f>
        <v>0.65508479999999991</v>
      </c>
      <c r="I111" s="20">
        <f t="shared" si="40"/>
        <v>29478.815999999995</v>
      </c>
      <c r="J111" s="28">
        <v>4.2606844444444403E-2</v>
      </c>
      <c r="K111" s="20">
        <f t="shared" si="41"/>
        <v>3537.4579199999994</v>
      </c>
      <c r="L111" s="17">
        <v>3.2355733333331603E-2</v>
      </c>
      <c r="M111" s="17">
        <f t="shared" ref="M111" si="215">J111+L111</f>
        <v>7.4962577777776013E-2</v>
      </c>
      <c r="N111" s="20">
        <f t="shared" si="43"/>
        <v>6.5508479999999994E-2</v>
      </c>
      <c r="O111" s="7">
        <f t="shared" ref="O111" si="216">H111-M111-N111</f>
        <v>0.51461374222222389</v>
      </c>
    </row>
    <row r="112" spans="1:15" x14ac:dyDescent="0.7">
      <c r="A112" s="6"/>
      <c r="B112" s="6"/>
      <c r="C112" s="6">
        <v>19</v>
      </c>
      <c r="D112" s="7">
        <v>7.5819999999999999</v>
      </c>
      <c r="E112" s="4">
        <v>0</v>
      </c>
      <c r="F112" s="7">
        <v>7.5819999999999999</v>
      </c>
      <c r="G112" s="15">
        <f t="shared" ref="G112" si="217">F112*86400</f>
        <v>655084.79999999993</v>
      </c>
      <c r="H112" s="21">
        <f t="shared" ref="H112" si="218">G112/1000000</f>
        <v>0.65508479999999991</v>
      </c>
      <c r="I112" s="20">
        <f t="shared" si="40"/>
        <v>29478.815999999995</v>
      </c>
      <c r="J112" s="28">
        <v>4.2986294444444399E-2</v>
      </c>
      <c r="K112" s="20">
        <f t="shared" si="41"/>
        <v>3537.4579199999994</v>
      </c>
      <c r="L112" s="17">
        <v>3.2726266666664901E-2</v>
      </c>
      <c r="M112" s="17">
        <f t="shared" ref="M112" si="219">J112+L112</f>
        <v>7.57125611111093E-2</v>
      </c>
      <c r="N112" s="20">
        <f t="shared" si="43"/>
        <v>6.5508479999999994E-2</v>
      </c>
      <c r="O112" s="7">
        <f t="shared" ref="O112" si="220">H112-M112-N112</f>
        <v>0.51386375888889069</v>
      </c>
    </row>
    <row r="113" spans="1:15" x14ac:dyDescent="0.7">
      <c r="A113" s="6"/>
      <c r="B113" s="6"/>
      <c r="C113" s="6">
        <v>20</v>
      </c>
      <c r="D113" s="7">
        <v>7.5220000000000002</v>
      </c>
      <c r="E113" s="4">
        <v>0</v>
      </c>
      <c r="F113" s="7">
        <v>7.5220000000000002</v>
      </c>
      <c r="G113" s="15">
        <f t="shared" ref="G113" si="221">F113*86400</f>
        <v>649900.80000000005</v>
      </c>
      <c r="H113" s="21">
        <f t="shared" ref="H113" si="222">G113/1000000</f>
        <v>0.64990080000000006</v>
      </c>
      <c r="I113" s="20">
        <f t="shared" si="40"/>
        <v>29245.536</v>
      </c>
      <c r="J113" s="28">
        <v>4.3365744444444403E-2</v>
      </c>
      <c r="K113" s="20">
        <f t="shared" si="41"/>
        <v>3509.46432</v>
      </c>
      <c r="L113" s="17">
        <v>3.3096799999998198E-2</v>
      </c>
      <c r="M113" s="17">
        <f t="shared" ref="M113" si="223">J113+L113</f>
        <v>7.6462544444442601E-2</v>
      </c>
      <c r="N113" s="20">
        <f t="shared" si="43"/>
        <v>6.4990080000000006E-2</v>
      </c>
      <c r="O113" s="7">
        <f t="shared" ref="O113" si="224">H113-M113-N113</f>
        <v>0.50844817555555744</v>
      </c>
    </row>
    <row r="114" spans="1:15" x14ac:dyDescent="0.7">
      <c r="A114" s="6"/>
      <c r="B114" s="6"/>
      <c r="C114" s="6">
        <v>21</v>
      </c>
      <c r="D114" s="7">
        <v>7.5220000000000002</v>
      </c>
      <c r="E114" s="4">
        <v>0</v>
      </c>
      <c r="F114" s="7">
        <v>7.5220000000000002</v>
      </c>
      <c r="G114" s="15">
        <f t="shared" ref="G114" si="225">F114*86400</f>
        <v>649900.80000000005</v>
      </c>
      <c r="H114" s="21">
        <f t="shared" ref="H114" si="226">G114/1000000</f>
        <v>0.64990080000000006</v>
      </c>
      <c r="I114" s="20">
        <f t="shared" si="40"/>
        <v>29245.536</v>
      </c>
      <c r="J114" s="28">
        <v>4.3745194444444399E-2</v>
      </c>
      <c r="K114" s="20">
        <f t="shared" si="41"/>
        <v>3509.46432</v>
      </c>
      <c r="L114" s="17">
        <v>3.3467333333331503E-2</v>
      </c>
      <c r="M114" s="17">
        <f t="shared" ref="M114" si="227">J114+L114</f>
        <v>7.7212527777775902E-2</v>
      </c>
      <c r="N114" s="20">
        <f t="shared" si="43"/>
        <v>6.4990080000000006E-2</v>
      </c>
      <c r="O114" s="7">
        <f t="shared" ref="O114" si="228">H114-M114-N114</f>
        <v>0.50769819222222412</v>
      </c>
    </row>
    <row r="115" spans="1:15" x14ac:dyDescent="0.7">
      <c r="A115" s="6"/>
      <c r="B115" s="6"/>
      <c r="C115" s="6">
        <v>22</v>
      </c>
      <c r="D115" s="7">
        <v>7.4550000000000001</v>
      </c>
      <c r="E115" s="4">
        <v>0</v>
      </c>
      <c r="F115" s="7">
        <v>7.4550000000000001</v>
      </c>
      <c r="G115" s="15">
        <f t="shared" ref="G115" si="229">F115*86400</f>
        <v>644112</v>
      </c>
      <c r="H115" s="21">
        <f t="shared" ref="H115" si="230">G115/1000000</f>
        <v>0.64411200000000002</v>
      </c>
      <c r="I115" s="20">
        <f t="shared" si="40"/>
        <v>28985.039999999997</v>
      </c>
      <c r="J115" s="28">
        <v>4.4124644444444402E-2</v>
      </c>
      <c r="K115" s="20">
        <f t="shared" si="41"/>
        <v>3478.2047999999995</v>
      </c>
      <c r="L115" s="17">
        <v>3.3837866666664801E-2</v>
      </c>
      <c r="M115" s="17">
        <f t="shared" ref="M115" si="231">J115+L115</f>
        <v>7.7962511111109203E-2</v>
      </c>
      <c r="N115" s="20">
        <f t="shared" si="43"/>
        <v>6.4411200000000002E-2</v>
      </c>
      <c r="O115" s="7">
        <f t="shared" ref="O115" si="232">H115-M115-N115</f>
        <v>0.50173828888889083</v>
      </c>
    </row>
    <row r="116" spans="1:15" x14ac:dyDescent="0.7">
      <c r="A116" s="6"/>
      <c r="B116" s="6"/>
      <c r="C116" s="6">
        <v>23</v>
      </c>
      <c r="D116" s="7">
        <v>7.2679999999999998</v>
      </c>
      <c r="E116" s="4">
        <v>0</v>
      </c>
      <c r="F116" s="7">
        <v>7.2679999999999998</v>
      </c>
      <c r="G116" s="15">
        <f t="shared" ref="G116" si="233">F116*86400</f>
        <v>627955.19999999995</v>
      </c>
      <c r="H116" s="21">
        <f t="shared" ref="H116" si="234">G116/1000000</f>
        <v>0.62795519999999994</v>
      </c>
      <c r="I116" s="20">
        <f t="shared" si="40"/>
        <v>28257.983999999997</v>
      </c>
      <c r="J116" s="28">
        <v>4.4504094444444399E-2</v>
      </c>
      <c r="K116" s="20">
        <f t="shared" si="41"/>
        <v>3390.9580799999994</v>
      </c>
      <c r="L116" s="17">
        <v>3.4208399999998099E-2</v>
      </c>
      <c r="M116" s="17">
        <f t="shared" ref="M116" si="235">J116+L116</f>
        <v>7.8712494444442505E-2</v>
      </c>
      <c r="N116" s="20">
        <f t="shared" si="43"/>
        <v>6.2795519999999994E-2</v>
      </c>
      <c r="O116" s="7">
        <f t="shared" ref="O116" si="236">H116-M116-N116</f>
        <v>0.48644718555555744</v>
      </c>
    </row>
    <row r="117" spans="1:15" x14ac:dyDescent="0.7">
      <c r="A117" s="6"/>
      <c r="B117" s="6"/>
      <c r="C117" s="6">
        <v>24</v>
      </c>
      <c r="D117" s="7">
        <v>7.2679999999999998</v>
      </c>
      <c r="E117" s="4">
        <v>0</v>
      </c>
      <c r="F117" s="7">
        <v>7.2679999999999998</v>
      </c>
      <c r="G117" s="15">
        <f t="shared" ref="G117" si="237">F117*86400</f>
        <v>627955.19999999995</v>
      </c>
      <c r="H117" s="21">
        <f t="shared" ref="H117" si="238">G117/1000000</f>
        <v>0.62795519999999994</v>
      </c>
      <c r="I117" s="20">
        <f t="shared" si="40"/>
        <v>28257.983999999997</v>
      </c>
      <c r="J117" s="28">
        <v>4.4883544444444402E-2</v>
      </c>
      <c r="K117" s="20">
        <f t="shared" si="41"/>
        <v>3390.9580799999994</v>
      </c>
      <c r="L117" s="17">
        <v>3.4578933333331403E-2</v>
      </c>
      <c r="M117" s="17">
        <f t="shared" ref="M117" si="239">J117+L117</f>
        <v>7.9462477777775806E-2</v>
      </c>
      <c r="N117" s="20">
        <f t="shared" si="43"/>
        <v>6.2795519999999994E-2</v>
      </c>
      <c r="O117" s="7">
        <f t="shared" ref="O117" si="240">H117-M117-N117</f>
        <v>0.48569720222222412</v>
      </c>
    </row>
    <row r="118" spans="1:15" x14ac:dyDescent="0.7">
      <c r="A118" s="6"/>
      <c r="B118" s="6"/>
      <c r="C118" s="6">
        <v>25</v>
      </c>
      <c r="D118" s="7">
        <v>7.2679999999999998</v>
      </c>
      <c r="E118" s="4">
        <v>0</v>
      </c>
      <c r="F118" s="7">
        <v>7.2679999999999998</v>
      </c>
      <c r="G118" s="15">
        <f t="shared" ref="G118" si="241">F118*86400</f>
        <v>627955.19999999995</v>
      </c>
      <c r="H118" s="21">
        <f t="shared" ref="H118" si="242">G118/1000000</f>
        <v>0.62795519999999994</v>
      </c>
      <c r="I118" s="20">
        <f t="shared" si="40"/>
        <v>28257.983999999997</v>
      </c>
      <c r="J118" s="28">
        <v>4.5262994444444399E-2</v>
      </c>
      <c r="K118" s="20">
        <f t="shared" si="41"/>
        <v>3390.9580799999994</v>
      </c>
      <c r="L118" s="17">
        <v>3.4949466666664701E-2</v>
      </c>
      <c r="M118" s="17">
        <f t="shared" ref="M118" si="243">J118+L118</f>
        <v>8.0212461111109107E-2</v>
      </c>
      <c r="N118" s="20">
        <f t="shared" si="43"/>
        <v>6.2795519999999994E-2</v>
      </c>
      <c r="O118" s="7">
        <f t="shared" ref="O118" si="244">H118-M118-N118</f>
        <v>0.48494721888889081</v>
      </c>
    </row>
    <row r="119" spans="1:15" x14ac:dyDescent="0.7">
      <c r="A119" s="6"/>
      <c r="B119" s="6"/>
      <c r="C119" s="6">
        <v>26</v>
      </c>
      <c r="D119" s="7">
        <v>7.2679999999999998</v>
      </c>
      <c r="E119" s="4">
        <v>0</v>
      </c>
      <c r="F119" s="7">
        <v>7.2679999999999998</v>
      </c>
      <c r="G119" s="15">
        <f t="shared" ref="G119" si="245">F119*86400</f>
        <v>627955.19999999995</v>
      </c>
      <c r="H119" s="21">
        <f t="shared" ref="H119" si="246">G119/1000000</f>
        <v>0.62795519999999994</v>
      </c>
      <c r="I119" s="20">
        <f t="shared" si="40"/>
        <v>28257.983999999997</v>
      </c>
      <c r="J119" s="28">
        <v>4.5642444444444402E-2</v>
      </c>
      <c r="K119" s="20">
        <f t="shared" si="41"/>
        <v>3390.9580799999994</v>
      </c>
      <c r="L119" s="17">
        <v>3.5319999999997999E-2</v>
      </c>
      <c r="M119" s="17">
        <f t="shared" ref="M119" si="247">J119+L119</f>
        <v>8.0962444444442394E-2</v>
      </c>
      <c r="N119" s="20">
        <f t="shared" si="43"/>
        <v>6.2795519999999994E-2</v>
      </c>
      <c r="O119" s="7">
        <f t="shared" ref="O119" si="248">H119-M119-N119</f>
        <v>0.4841972355555576</v>
      </c>
    </row>
    <row r="120" spans="1:15" x14ac:dyDescent="0.7">
      <c r="A120" s="6"/>
      <c r="B120" s="6"/>
      <c r="C120" s="6">
        <v>27</v>
      </c>
      <c r="D120" s="7">
        <v>7.2679999999999998</v>
      </c>
      <c r="E120" s="4">
        <v>0</v>
      </c>
      <c r="F120" s="7">
        <v>7.2679999999999998</v>
      </c>
      <c r="G120" s="15">
        <f t="shared" ref="G120" si="249">F120*86400</f>
        <v>627955.19999999995</v>
      </c>
      <c r="H120" s="21">
        <f t="shared" ref="H120" si="250">G120/1000000</f>
        <v>0.62795519999999994</v>
      </c>
      <c r="I120" s="20">
        <f t="shared" si="40"/>
        <v>28257.983999999997</v>
      </c>
      <c r="J120" s="28">
        <v>4.6021894444444399E-2</v>
      </c>
      <c r="K120" s="20">
        <f t="shared" si="41"/>
        <v>3390.9580799999994</v>
      </c>
      <c r="L120" s="17">
        <v>3.5690533333331297E-2</v>
      </c>
      <c r="M120" s="17">
        <f t="shared" ref="M120" si="251">J120+L120</f>
        <v>8.1712427777775695E-2</v>
      </c>
      <c r="N120" s="20">
        <f t="shared" si="43"/>
        <v>6.2795519999999994E-2</v>
      </c>
      <c r="O120" s="7">
        <f t="shared" ref="O120" si="252">H120-M120-N120</f>
        <v>0.48344725222222429</v>
      </c>
    </row>
    <row r="121" spans="1:15" x14ac:dyDescent="0.7">
      <c r="A121" s="12"/>
      <c r="B121" s="12"/>
      <c r="C121" s="12">
        <v>28</v>
      </c>
      <c r="D121" s="30">
        <v>7.2080000000000002</v>
      </c>
      <c r="E121" s="4">
        <v>0</v>
      </c>
      <c r="F121" s="30">
        <v>7.2080000000000002</v>
      </c>
      <c r="G121" s="31">
        <f t="shared" ref="G121" si="253">F121*86400</f>
        <v>622771.20000000007</v>
      </c>
      <c r="H121" s="32">
        <f t="shared" ref="H121" si="254">G121/1000000</f>
        <v>0.62277120000000008</v>
      </c>
      <c r="I121" s="20">
        <f t="shared" si="40"/>
        <v>28024.704000000002</v>
      </c>
      <c r="J121" s="34">
        <v>4.6401344444444402E-2</v>
      </c>
      <c r="K121" s="20">
        <f t="shared" si="41"/>
        <v>3362.9644800000001</v>
      </c>
      <c r="L121" s="33">
        <v>3.6061066666664601E-2</v>
      </c>
      <c r="M121" s="33">
        <f t="shared" ref="M121" si="255">J121+L121</f>
        <v>8.2462411111108996E-2</v>
      </c>
      <c r="N121" s="20">
        <f t="shared" si="43"/>
        <v>6.2277120000000012E-2</v>
      </c>
      <c r="O121" s="30">
        <f t="shared" ref="O121" si="256">H121-M121-N121</f>
        <v>0.47803166888889109</v>
      </c>
    </row>
    <row r="122" spans="1:15" s="37" customFormat="1" x14ac:dyDescent="0.7">
      <c r="A122" s="6"/>
      <c r="B122" s="6"/>
      <c r="C122" s="6">
        <v>29</v>
      </c>
      <c r="D122" s="7">
        <v>6.89</v>
      </c>
      <c r="E122" s="4">
        <v>0</v>
      </c>
      <c r="F122" s="7">
        <v>6.89</v>
      </c>
      <c r="G122" s="35">
        <f t="shared" ref="G122" si="257">F122*86400</f>
        <v>595296</v>
      </c>
      <c r="H122" s="20">
        <f t="shared" ref="H122" si="258">G122/1000000</f>
        <v>0.59529600000000005</v>
      </c>
      <c r="I122" s="20">
        <f t="shared" si="40"/>
        <v>26788.32</v>
      </c>
      <c r="J122" s="28">
        <v>4.6780794444444398E-2</v>
      </c>
      <c r="K122" s="20">
        <f t="shared" si="41"/>
        <v>3214.5983999999999</v>
      </c>
      <c r="L122" s="17">
        <v>3.6431599999997899E-2</v>
      </c>
      <c r="M122" s="17">
        <f t="shared" ref="M122" si="259">J122+L122</f>
        <v>8.3212394444442297E-2</v>
      </c>
      <c r="N122" s="20">
        <f t="shared" si="43"/>
        <v>5.9529600000000009E-2</v>
      </c>
      <c r="O122" s="7">
        <f t="shared" ref="O122" si="260">H122-M122-N122</f>
        <v>0.45255400555555775</v>
      </c>
    </row>
    <row r="123" spans="1:15" s="13" customFormat="1" ht="25.2" thickBot="1" x14ac:dyDescent="0.75">
      <c r="A123" s="11"/>
      <c r="B123" s="9" t="s">
        <v>18</v>
      </c>
      <c r="C123" s="11">
        <v>30</v>
      </c>
      <c r="D123" s="19">
        <v>6.89</v>
      </c>
      <c r="E123" s="19">
        <v>1.4</v>
      </c>
      <c r="F123" s="19">
        <v>6.89</v>
      </c>
      <c r="G123" s="26">
        <f t="shared" ref="G123" si="261">F123*86400</f>
        <v>595296</v>
      </c>
      <c r="H123" s="27">
        <f t="shared" ref="H123" si="262">G123/1000000</f>
        <v>0.59529600000000005</v>
      </c>
      <c r="I123" s="22">
        <f t="shared" si="40"/>
        <v>26788.32</v>
      </c>
      <c r="J123" s="39">
        <v>4.7160244444444402E-2</v>
      </c>
      <c r="K123" s="22">
        <f t="shared" si="41"/>
        <v>3214.5983999999999</v>
      </c>
      <c r="L123" s="38">
        <v>3.6802133333331197E-2</v>
      </c>
      <c r="M123" s="38">
        <f t="shared" ref="M123" si="263">J123+L123</f>
        <v>8.3962377777775599E-2</v>
      </c>
      <c r="N123" s="22">
        <f t="shared" si="43"/>
        <v>5.9529600000000009E-2</v>
      </c>
      <c r="O123" s="19">
        <f t="shared" ref="O123" si="264">H123-M123-N123</f>
        <v>0.45180402222222443</v>
      </c>
    </row>
    <row r="124" spans="1:15" x14ac:dyDescent="0.7">
      <c r="A124" s="3"/>
      <c r="B124" s="3" t="s">
        <v>19</v>
      </c>
      <c r="C124" s="3">
        <v>1</v>
      </c>
      <c r="D124" s="4">
        <v>6.0869999999999997</v>
      </c>
      <c r="E124" s="4">
        <v>0</v>
      </c>
      <c r="F124" s="4">
        <v>6.0869999999999997</v>
      </c>
      <c r="G124" s="15">
        <f t="shared" ref="G124" si="265">F124*86400</f>
        <v>525916.79999999993</v>
      </c>
      <c r="H124" s="21">
        <f t="shared" ref="H124" si="266">G124/1000000</f>
        <v>0.52591679999999996</v>
      </c>
      <c r="I124" s="21">
        <f t="shared" si="40"/>
        <v>23666.255999999998</v>
      </c>
      <c r="J124" s="25">
        <v>4.7539694444444398E-2</v>
      </c>
      <c r="K124" s="21">
        <f t="shared" si="41"/>
        <v>2839.9507199999998</v>
      </c>
      <c r="L124" s="16">
        <v>3.7172666666664501E-2</v>
      </c>
      <c r="M124" s="16">
        <f t="shared" ref="M124" si="267">J124+L124</f>
        <v>8.47123611111089E-2</v>
      </c>
      <c r="N124" s="21">
        <f t="shared" si="43"/>
        <v>5.2591680000000002E-2</v>
      </c>
      <c r="O124" s="4">
        <f t="shared" ref="O124" si="268">H124-M124-N124</f>
        <v>0.38861275888889102</v>
      </c>
    </row>
    <row r="125" spans="1:15" x14ac:dyDescent="0.7">
      <c r="A125" s="6"/>
      <c r="B125" s="3"/>
      <c r="C125" s="6">
        <v>2</v>
      </c>
      <c r="D125" s="7">
        <v>6.0869999999999997</v>
      </c>
      <c r="E125" s="4">
        <v>9.6999999999999993</v>
      </c>
      <c r="F125" s="7">
        <v>6.0869999999999997</v>
      </c>
      <c r="G125" s="15">
        <f t="shared" ref="G125" si="269">F125*86400</f>
        <v>525916.79999999993</v>
      </c>
      <c r="H125" s="21">
        <f t="shared" ref="H125" si="270">G125/1000000</f>
        <v>0.52591679999999996</v>
      </c>
      <c r="I125" s="20">
        <f t="shared" si="40"/>
        <v>23666.255999999998</v>
      </c>
      <c r="J125" s="28">
        <v>4.7919144444444402E-2</v>
      </c>
      <c r="K125" s="20">
        <f t="shared" si="41"/>
        <v>2839.9507199999998</v>
      </c>
      <c r="L125" s="17">
        <v>3.7543199999997799E-2</v>
      </c>
      <c r="M125" s="17">
        <f t="shared" ref="M125" si="271">J125+L125</f>
        <v>8.5462344444442201E-2</v>
      </c>
      <c r="N125" s="20">
        <f t="shared" si="43"/>
        <v>5.2591680000000002E-2</v>
      </c>
      <c r="O125" s="7">
        <f t="shared" ref="O125" si="272">H125-M125-N125</f>
        <v>0.3878627755555577</v>
      </c>
    </row>
    <row r="126" spans="1:15" x14ac:dyDescent="0.7">
      <c r="A126" s="6"/>
      <c r="B126" s="6"/>
      <c r="C126" s="6">
        <v>3</v>
      </c>
      <c r="D126" s="7">
        <v>6.0869999999999997</v>
      </c>
      <c r="E126" s="4">
        <v>5.3</v>
      </c>
      <c r="F126" s="7">
        <v>6.0869999999999997</v>
      </c>
      <c r="G126" s="15">
        <f t="shared" ref="G126" si="273">F126*86400</f>
        <v>525916.79999999993</v>
      </c>
      <c r="H126" s="21">
        <f t="shared" ref="H126" si="274">G126/1000000</f>
        <v>0.52591679999999996</v>
      </c>
      <c r="I126" s="20">
        <f t="shared" si="40"/>
        <v>23666.255999999998</v>
      </c>
      <c r="J126" s="28">
        <v>4.8298594444444398E-2</v>
      </c>
      <c r="K126" s="20">
        <f t="shared" si="41"/>
        <v>2839.9507199999998</v>
      </c>
      <c r="L126" s="17">
        <v>3.7913733333331097E-2</v>
      </c>
      <c r="M126" s="17">
        <f t="shared" ref="M126" si="275">J126+L126</f>
        <v>8.6212327777775488E-2</v>
      </c>
      <c r="N126" s="20">
        <f t="shared" si="43"/>
        <v>5.2591680000000002E-2</v>
      </c>
      <c r="O126" s="7">
        <f t="shared" ref="O126" si="276">H126-M126-N126</f>
        <v>0.3871127922222245</v>
      </c>
    </row>
    <row r="127" spans="1:15" x14ac:dyDescent="0.7">
      <c r="A127" s="6"/>
      <c r="B127" s="6"/>
      <c r="C127" s="6">
        <v>4</v>
      </c>
      <c r="D127" s="7">
        <v>6.0869999999999997</v>
      </c>
      <c r="E127" s="4">
        <v>0.2</v>
      </c>
      <c r="F127" s="7">
        <v>6.0869999999999997</v>
      </c>
      <c r="G127" s="15">
        <f t="shared" ref="G127" si="277">F127*86400</f>
        <v>525916.79999999993</v>
      </c>
      <c r="H127" s="21">
        <f t="shared" ref="H127" si="278">G127/1000000</f>
        <v>0.52591679999999996</v>
      </c>
      <c r="I127" s="20">
        <f t="shared" si="40"/>
        <v>23666.255999999998</v>
      </c>
      <c r="J127" s="28">
        <v>4.8678044444444402E-2</v>
      </c>
      <c r="K127" s="20">
        <f t="shared" si="41"/>
        <v>2839.9507199999998</v>
      </c>
      <c r="L127" s="17">
        <v>3.8284266666664402E-2</v>
      </c>
      <c r="M127" s="17">
        <f t="shared" ref="M127" si="279">J127+L127</f>
        <v>8.6962311111108803E-2</v>
      </c>
      <c r="N127" s="20">
        <f t="shared" si="43"/>
        <v>5.2591680000000002E-2</v>
      </c>
      <c r="O127" s="7">
        <f t="shared" ref="O127" si="280">H127-M127-N127</f>
        <v>0.38636280888889118</v>
      </c>
    </row>
    <row r="128" spans="1:15" x14ac:dyDescent="0.7">
      <c r="A128" s="6"/>
      <c r="B128" s="6"/>
      <c r="C128" s="6">
        <v>5</v>
      </c>
      <c r="D128" s="7">
        <v>6.2510000000000003</v>
      </c>
      <c r="E128" s="4">
        <v>4.4000000000000004</v>
      </c>
      <c r="F128" s="7">
        <v>6.2510000000000003</v>
      </c>
      <c r="G128" s="15">
        <f t="shared" ref="G128" si="281">F128*86400</f>
        <v>540086.4</v>
      </c>
      <c r="H128" s="21">
        <f t="shared" ref="H128" si="282">G128/1000000</f>
        <v>0.54008640000000008</v>
      </c>
      <c r="I128" s="20">
        <f t="shared" si="40"/>
        <v>24303.887999999999</v>
      </c>
      <c r="J128" s="28">
        <v>4.9057494444444398E-2</v>
      </c>
      <c r="K128" s="20">
        <f t="shared" si="41"/>
        <v>2916.4665599999998</v>
      </c>
      <c r="L128" s="17">
        <v>3.8654799999997699E-2</v>
      </c>
      <c r="M128" s="17">
        <f t="shared" ref="M128" si="283">J128+L128</f>
        <v>8.771229444444209E-2</v>
      </c>
      <c r="N128" s="20">
        <f t="shared" si="43"/>
        <v>5.4008640000000011E-2</v>
      </c>
      <c r="O128" s="7">
        <f t="shared" ref="O128" si="284">H128-M128-N128</f>
        <v>0.39836546555555802</v>
      </c>
    </row>
    <row r="129" spans="1:15" x14ac:dyDescent="0.7">
      <c r="A129" s="6"/>
      <c r="B129" s="6"/>
      <c r="C129" s="6">
        <v>6</v>
      </c>
      <c r="D129" s="7">
        <v>11.645</v>
      </c>
      <c r="E129" s="4">
        <v>38.799999999999997</v>
      </c>
      <c r="F129" s="7">
        <v>11.645</v>
      </c>
      <c r="G129" s="15">
        <f t="shared" ref="G129" si="285">F129*86400</f>
        <v>1006128</v>
      </c>
      <c r="H129" s="21">
        <f t="shared" ref="H129" si="286">G129/1000000</f>
        <v>1.0061279999999999</v>
      </c>
      <c r="I129" s="20">
        <f t="shared" si="40"/>
        <v>45275.759999999995</v>
      </c>
      <c r="J129" s="28">
        <v>4.9436944444444401E-2</v>
      </c>
      <c r="K129" s="20">
        <f t="shared" si="41"/>
        <v>5433.0911999999989</v>
      </c>
      <c r="L129" s="17">
        <v>3.9025333333330997E-2</v>
      </c>
      <c r="M129" s="17">
        <f t="shared" ref="M129" si="287">J129+L129</f>
        <v>8.8462277777775405E-2</v>
      </c>
      <c r="N129" s="20">
        <f t="shared" si="43"/>
        <v>0.1006128</v>
      </c>
      <c r="O129" s="7">
        <f t="shared" ref="O129" si="288">H129-M129-N129</f>
        <v>0.81705292222222448</v>
      </c>
    </row>
    <row r="130" spans="1:15" x14ac:dyDescent="0.7">
      <c r="A130" s="6"/>
      <c r="B130" s="6"/>
      <c r="C130" s="6">
        <v>7</v>
      </c>
      <c r="D130" s="7">
        <v>21.042999999999999</v>
      </c>
      <c r="E130" s="4">
        <v>22.1</v>
      </c>
      <c r="F130" s="7">
        <v>21.042999999999999</v>
      </c>
      <c r="G130" s="15">
        <f t="shared" ref="G130" si="289">F130*86400</f>
        <v>1818115.2</v>
      </c>
      <c r="H130" s="21">
        <f t="shared" ref="H130" si="290">G130/1000000</f>
        <v>1.8181152</v>
      </c>
      <c r="I130" s="20">
        <f t="shared" si="40"/>
        <v>81815.183999999994</v>
      </c>
      <c r="J130" s="28">
        <v>4.9816394444444398E-2</v>
      </c>
      <c r="K130" s="20">
        <f t="shared" si="41"/>
        <v>9817.8220799999981</v>
      </c>
      <c r="L130" s="17">
        <v>3.9395866666664302E-2</v>
      </c>
      <c r="M130" s="17">
        <f t="shared" ref="M130" si="291">J130+L130</f>
        <v>8.9212261111108693E-2</v>
      </c>
      <c r="N130" s="20">
        <f t="shared" si="43"/>
        <v>0.18181152</v>
      </c>
      <c r="O130" s="7">
        <f t="shared" ref="O130" si="292">H130-M130-N130</f>
        <v>1.5470914188888911</v>
      </c>
    </row>
    <row r="131" spans="1:15" x14ac:dyDescent="0.7">
      <c r="A131" s="6"/>
      <c r="B131" s="6"/>
      <c r="C131" s="6">
        <v>8</v>
      </c>
      <c r="D131" s="7">
        <v>13.531000000000001</v>
      </c>
      <c r="E131" s="4">
        <v>0</v>
      </c>
      <c r="F131" s="7">
        <v>13.531000000000001</v>
      </c>
      <c r="G131" s="15">
        <f t="shared" ref="G131" si="293">F131*86400</f>
        <v>1169078.4000000001</v>
      </c>
      <c r="H131" s="21">
        <f t="shared" ref="H131" si="294">G131/1000000</f>
        <v>1.1690784000000001</v>
      </c>
      <c r="I131" s="20">
        <f t="shared" si="40"/>
        <v>52608.528000000006</v>
      </c>
      <c r="J131" s="28">
        <v>5.0195844444444401E-2</v>
      </c>
      <c r="K131" s="20">
        <f t="shared" si="41"/>
        <v>6313.0233600000001</v>
      </c>
      <c r="L131" s="17">
        <v>3.97663999999976E-2</v>
      </c>
      <c r="M131" s="17">
        <f t="shared" ref="M131" si="295">J131+L131</f>
        <v>8.9962244444442008E-2</v>
      </c>
      <c r="N131" s="20">
        <f t="shared" si="43"/>
        <v>0.11690784000000001</v>
      </c>
      <c r="O131" s="7">
        <f t="shared" ref="O131" si="296">H131-M131-N131</f>
        <v>0.96220831555555819</v>
      </c>
    </row>
    <row r="132" spans="1:15" x14ac:dyDescent="0.7">
      <c r="A132" s="6"/>
      <c r="B132" s="6"/>
      <c r="C132" s="6">
        <v>9</v>
      </c>
      <c r="D132" s="7">
        <v>15.428000000000001</v>
      </c>
      <c r="E132" s="4">
        <v>0</v>
      </c>
      <c r="F132" s="7">
        <v>15.428000000000001</v>
      </c>
      <c r="G132" s="15">
        <f t="shared" ref="G132" si="297">F132*86400</f>
        <v>1332979.2000000002</v>
      </c>
      <c r="H132" s="21">
        <f t="shared" ref="H132" si="298">G132/1000000</f>
        <v>1.3329792000000003</v>
      </c>
      <c r="I132" s="20">
        <f t="shared" ref="I132:I195" si="299">H132*1000000*0.045</f>
        <v>59984.064000000006</v>
      </c>
      <c r="J132" s="28">
        <v>5.0575294444444398E-2</v>
      </c>
      <c r="K132" s="20">
        <f t="shared" ref="K132:K195" si="300">I132*0.12</f>
        <v>7198.0876800000005</v>
      </c>
      <c r="L132" s="17">
        <v>4.0136933333330897E-2</v>
      </c>
      <c r="M132" s="17">
        <f t="shared" ref="M132" si="301">J132+L132</f>
        <v>9.0712227777775295E-2</v>
      </c>
      <c r="N132" s="20">
        <f t="shared" ref="N132:N195" si="302">H132*0.1</f>
        <v>0.13329792000000004</v>
      </c>
      <c r="O132" s="7">
        <f t="shared" ref="O132" si="303">H132-M132-N132</f>
        <v>1.1089690522222251</v>
      </c>
    </row>
    <row r="133" spans="1:15" x14ac:dyDescent="0.7">
      <c r="A133" s="6"/>
      <c r="B133" s="6"/>
      <c r="C133" s="6">
        <v>10</v>
      </c>
      <c r="D133" s="7">
        <v>19.655999999999999</v>
      </c>
      <c r="E133" s="4">
        <v>14</v>
      </c>
      <c r="F133" s="7">
        <v>19.655999999999999</v>
      </c>
      <c r="G133" s="15">
        <f t="shared" ref="G133" si="304">F133*86400</f>
        <v>1698278.3999999999</v>
      </c>
      <c r="H133" s="21">
        <f t="shared" ref="H133" si="305">G133/1000000</f>
        <v>1.6982784</v>
      </c>
      <c r="I133" s="20">
        <f t="shared" si="299"/>
        <v>76422.527999999991</v>
      </c>
      <c r="J133" s="28">
        <v>5.0954744444444401E-2</v>
      </c>
      <c r="K133" s="20">
        <f t="shared" si="300"/>
        <v>9170.7033599999977</v>
      </c>
      <c r="L133" s="17">
        <v>4.0507466666664202E-2</v>
      </c>
      <c r="M133" s="17">
        <f t="shared" ref="M133" si="306">J133+L133</f>
        <v>9.146221111110861E-2</v>
      </c>
      <c r="N133" s="20">
        <f t="shared" si="302"/>
        <v>0.16982784000000001</v>
      </c>
      <c r="O133" s="7">
        <f t="shared" ref="O133" si="307">H133-M133-N133</f>
        <v>1.4369883488888915</v>
      </c>
    </row>
    <row r="134" spans="1:15" x14ac:dyDescent="0.7">
      <c r="A134" s="6"/>
      <c r="B134" s="6"/>
      <c r="C134" s="6">
        <v>11</v>
      </c>
      <c r="D134" s="7">
        <v>17.52</v>
      </c>
      <c r="E134" s="4">
        <v>0</v>
      </c>
      <c r="F134" s="7">
        <v>17.52</v>
      </c>
      <c r="G134" s="15">
        <f t="shared" ref="G134" si="308">F134*86400</f>
        <v>1513728</v>
      </c>
      <c r="H134" s="21">
        <f t="shared" ref="H134" si="309">G134/1000000</f>
        <v>1.513728</v>
      </c>
      <c r="I134" s="20">
        <f t="shared" si="299"/>
        <v>68117.759999999995</v>
      </c>
      <c r="J134" s="28">
        <v>5.1334194444444398E-2</v>
      </c>
      <c r="K134" s="20">
        <f t="shared" si="300"/>
        <v>8174.1311999999989</v>
      </c>
      <c r="L134" s="17">
        <v>4.08779999999975E-2</v>
      </c>
      <c r="M134" s="17">
        <f t="shared" ref="M134" si="310">J134+L134</f>
        <v>9.2212194444441897E-2</v>
      </c>
      <c r="N134" s="20">
        <f t="shared" si="302"/>
        <v>0.1513728</v>
      </c>
      <c r="O134" s="7">
        <f t="shared" ref="O134" si="311">H134-M134-N134</f>
        <v>1.270143005555558</v>
      </c>
    </row>
    <row r="135" spans="1:15" x14ac:dyDescent="0.7">
      <c r="A135" s="6"/>
      <c r="B135" s="6"/>
      <c r="C135" s="6">
        <v>12</v>
      </c>
      <c r="D135" s="7">
        <v>15.478999999999999</v>
      </c>
      <c r="E135" s="4">
        <v>0</v>
      </c>
      <c r="F135" s="7">
        <v>15.478999999999999</v>
      </c>
      <c r="G135" s="15">
        <f t="shared" ref="G135" si="312">F135*86400</f>
        <v>1337385.5999999999</v>
      </c>
      <c r="H135" s="21">
        <f t="shared" ref="H135" si="313">G135/1000000</f>
        <v>1.3373856</v>
      </c>
      <c r="I135" s="20">
        <f t="shared" si="299"/>
        <v>60182.351999999992</v>
      </c>
      <c r="J135" s="28">
        <v>5.1713644444444401E-2</v>
      </c>
      <c r="K135" s="20">
        <f t="shared" si="300"/>
        <v>7221.882239999999</v>
      </c>
      <c r="L135" s="17">
        <v>4.1248533333330797E-2</v>
      </c>
      <c r="M135" s="17">
        <f t="shared" ref="M135" si="314">J135+L135</f>
        <v>9.2962177777775198E-2</v>
      </c>
      <c r="N135" s="20">
        <f t="shared" si="302"/>
        <v>0.13373856000000001</v>
      </c>
      <c r="O135" s="7">
        <f t="shared" ref="O135" si="315">H135-M135-N135</f>
        <v>1.1106848622222247</v>
      </c>
    </row>
    <row r="136" spans="1:15" x14ac:dyDescent="0.7">
      <c r="A136" s="6"/>
      <c r="B136" s="6"/>
      <c r="C136" s="6">
        <v>13</v>
      </c>
      <c r="D136" s="7">
        <v>11.641999999999999</v>
      </c>
      <c r="E136" s="4">
        <v>0</v>
      </c>
      <c r="F136" s="7">
        <v>11.641999999999999</v>
      </c>
      <c r="G136" s="15">
        <f t="shared" ref="G136" si="316">F136*86400</f>
        <v>1005868.7999999999</v>
      </c>
      <c r="H136" s="21">
        <f t="shared" ref="H136" si="317">G136/1000000</f>
        <v>1.0058688</v>
      </c>
      <c r="I136" s="20">
        <f t="shared" si="299"/>
        <v>45264.095999999998</v>
      </c>
      <c r="J136" s="28">
        <v>5.2093094444444397E-2</v>
      </c>
      <c r="K136" s="20">
        <f t="shared" si="300"/>
        <v>5431.6915199999994</v>
      </c>
      <c r="L136" s="17">
        <v>4.1619066666664102E-2</v>
      </c>
      <c r="M136" s="17">
        <f t="shared" ref="M136" si="318">J136+L136</f>
        <v>9.37121611111085E-2</v>
      </c>
      <c r="N136" s="20">
        <f t="shared" si="302"/>
        <v>0.10058688</v>
      </c>
      <c r="O136" s="7">
        <f t="shared" ref="O136" si="319">H136-M136-N136</f>
        <v>0.81156975888889149</v>
      </c>
    </row>
    <row r="137" spans="1:15" x14ac:dyDescent="0.7">
      <c r="A137" s="6"/>
      <c r="B137" s="6"/>
      <c r="C137" s="6">
        <v>14</v>
      </c>
      <c r="D137" s="7">
        <v>8.2680000000000007</v>
      </c>
      <c r="E137" s="4">
        <v>0</v>
      </c>
      <c r="F137" s="7">
        <v>8.2680000000000007</v>
      </c>
      <c r="G137" s="15">
        <f t="shared" ref="G137" si="320">F137*86400</f>
        <v>714355.20000000007</v>
      </c>
      <c r="H137" s="21">
        <f t="shared" ref="H137" si="321">G137/1000000</f>
        <v>0.71435520000000008</v>
      </c>
      <c r="I137" s="20">
        <f t="shared" si="299"/>
        <v>32145.984</v>
      </c>
      <c r="J137" s="28">
        <v>5.2472544444444401E-2</v>
      </c>
      <c r="K137" s="20">
        <f t="shared" si="300"/>
        <v>3857.5180799999998</v>
      </c>
      <c r="L137" s="17">
        <v>4.19895999999974E-2</v>
      </c>
      <c r="M137" s="17">
        <f t="shared" ref="M137" si="322">J137+L137</f>
        <v>9.4462144444441801E-2</v>
      </c>
      <c r="N137" s="20">
        <f t="shared" si="302"/>
        <v>7.1435520000000016E-2</v>
      </c>
      <c r="O137" s="7">
        <f t="shared" ref="O137" si="323">H137-M137-N137</f>
        <v>0.54845753555555832</v>
      </c>
    </row>
    <row r="138" spans="1:15" x14ac:dyDescent="0.7">
      <c r="A138" s="6"/>
      <c r="B138" s="6"/>
      <c r="C138" s="6">
        <v>15</v>
      </c>
      <c r="D138" s="7">
        <v>6.74</v>
      </c>
      <c r="E138" s="4">
        <v>0</v>
      </c>
      <c r="F138" s="7">
        <v>6.74</v>
      </c>
      <c r="G138" s="15">
        <f t="shared" ref="G138" si="324">F138*86400</f>
        <v>582336</v>
      </c>
      <c r="H138" s="21">
        <f t="shared" ref="H138" si="325">G138/1000000</f>
        <v>0.58233599999999996</v>
      </c>
      <c r="I138" s="20">
        <f t="shared" si="299"/>
        <v>26205.119999999999</v>
      </c>
      <c r="J138" s="28">
        <v>5.2851994444444397E-2</v>
      </c>
      <c r="K138" s="20">
        <f t="shared" si="300"/>
        <v>3144.6143999999999</v>
      </c>
      <c r="L138" s="17">
        <v>4.2360133333330698E-2</v>
      </c>
      <c r="M138" s="17">
        <f t="shared" ref="M138" si="326">J138+L138</f>
        <v>9.5212127777775102E-2</v>
      </c>
      <c r="N138" s="20">
        <f t="shared" si="302"/>
        <v>5.8233599999999996E-2</v>
      </c>
      <c r="O138" s="7">
        <f t="shared" ref="O138" si="327">H138-M138-N138</f>
        <v>0.42889027222222487</v>
      </c>
    </row>
    <row r="139" spans="1:15" x14ac:dyDescent="0.7">
      <c r="A139" s="6"/>
      <c r="B139" s="6"/>
      <c r="C139" s="6">
        <v>16</v>
      </c>
      <c r="D139" s="7">
        <v>5.3140000000000001</v>
      </c>
      <c r="E139" s="4">
        <v>0.5</v>
      </c>
      <c r="F139" s="7">
        <v>5.3140000000000001</v>
      </c>
      <c r="G139" s="15">
        <f t="shared" ref="G139" si="328">F139*86400</f>
        <v>459129.59999999998</v>
      </c>
      <c r="H139" s="21">
        <f t="shared" ref="H139" si="329">G139/1000000</f>
        <v>0.45912959999999997</v>
      </c>
      <c r="I139" s="20">
        <f t="shared" si="299"/>
        <v>20660.831999999999</v>
      </c>
      <c r="J139" s="28">
        <v>5.3231444444444401E-2</v>
      </c>
      <c r="K139" s="20">
        <f t="shared" si="300"/>
        <v>2479.2998399999997</v>
      </c>
      <c r="L139" s="17">
        <v>4.2730666666664002E-2</v>
      </c>
      <c r="M139" s="17">
        <f t="shared" ref="M139" si="330">J139+L139</f>
        <v>9.5962111111108403E-2</v>
      </c>
      <c r="N139" s="20">
        <f t="shared" si="302"/>
        <v>4.5912960000000003E-2</v>
      </c>
      <c r="O139" s="7">
        <f t="shared" ref="O139" si="331">H139-M139-N139</f>
        <v>0.31725452888889155</v>
      </c>
    </row>
    <row r="140" spans="1:15" x14ac:dyDescent="0.7">
      <c r="A140" s="6"/>
      <c r="B140" s="6"/>
      <c r="C140" s="6">
        <v>17</v>
      </c>
      <c r="D140" s="7">
        <v>5.3179999999999996</v>
      </c>
      <c r="E140" s="4">
        <v>0</v>
      </c>
      <c r="F140" s="7">
        <v>5.3179999999999996</v>
      </c>
      <c r="G140" s="15">
        <f t="shared" ref="G140" si="332">F140*86400</f>
        <v>459475.19999999995</v>
      </c>
      <c r="H140" s="21">
        <f t="shared" ref="H140" si="333">G140/1000000</f>
        <v>0.45947519999999997</v>
      </c>
      <c r="I140" s="20">
        <f t="shared" si="299"/>
        <v>20676.383999999998</v>
      </c>
      <c r="J140" s="28">
        <v>5.3610894444444397E-2</v>
      </c>
      <c r="K140" s="20">
        <f t="shared" si="300"/>
        <v>2481.1660799999995</v>
      </c>
      <c r="L140" s="17">
        <v>4.31011999999973E-2</v>
      </c>
      <c r="M140" s="17">
        <f t="shared" ref="M140" si="334">J140+L140</f>
        <v>9.6712094444441704E-2</v>
      </c>
      <c r="N140" s="20">
        <f t="shared" si="302"/>
        <v>4.5947519999999999E-2</v>
      </c>
      <c r="O140" s="7">
        <f t="shared" ref="O140" si="335">H140-M140-N140</f>
        <v>0.31681558555555822</v>
      </c>
    </row>
    <row r="141" spans="1:15" x14ac:dyDescent="0.7">
      <c r="A141" s="6"/>
      <c r="B141" s="6"/>
      <c r="C141" s="6">
        <v>18</v>
      </c>
      <c r="D141" s="7">
        <v>5.3179999999999996</v>
      </c>
      <c r="E141" s="4">
        <v>0</v>
      </c>
      <c r="F141" s="7">
        <v>5.3179999999999996</v>
      </c>
      <c r="G141" s="15">
        <f t="shared" ref="G141" si="336">F141*86400</f>
        <v>459475.19999999995</v>
      </c>
      <c r="H141" s="21">
        <f t="shared" ref="H141" si="337">G141/1000000</f>
        <v>0.45947519999999997</v>
      </c>
      <c r="I141" s="20">
        <f t="shared" si="299"/>
        <v>20676.383999999998</v>
      </c>
      <c r="J141" s="28">
        <v>5.3990344444444401E-2</v>
      </c>
      <c r="K141" s="20">
        <f t="shared" si="300"/>
        <v>2481.1660799999995</v>
      </c>
      <c r="L141" s="17">
        <v>4.3471733333330598E-2</v>
      </c>
      <c r="M141" s="17">
        <f t="shared" ref="M141" si="338">J141+L141</f>
        <v>9.7462077777774991E-2</v>
      </c>
      <c r="N141" s="20">
        <f t="shared" si="302"/>
        <v>4.5947519999999999E-2</v>
      </c>
      <c r="O141" s="7">
        <f t="shared" ref="O141" si="339">H141-M141-N141</f>
        <v>0.31606560222222496</v>
      </c>
    </row>
    <row r="142" spans="1:15" x14ac:dyDescent="0.7">
      <c r="A142" s="6"/>
      <c r="B142" s="6"/>
      <c r="C142" s="6">
        <v>19</v>
      </c>
      <c r="D142" s="7">
        <v>8.2520000000000007</v>
      </c>
      <c r="E142" s="4">
        <v>6.7</v>
      </c>
      <c r="F142" s="7">
        <v>8.2520000000000007</v>
      </c>
      <c r="G142" s="15">
        <f t="shared" ref="G142" si="340">F142*86400</f>
        <v>712972.80000000005</v>
      </c>
      <c r="H142" s="21">
        <f t="shared" ref="H142" si="341">G142/1000000</f>
        <v>0.71297280000000007</v>
      </c>
      <c r="I142" s="20">
        <f t="shared" si="299"/>
        <v>32083.776000000002</v>
      </c>
      <c r="J142" s="28">
        <v>5.4369794444444397E-2</v>
      </c>
      <c r="K142" s="20">
        <f t="shared" si="300"/>
        <v>3850.05312</v>
      </c>
      <c r="L142" s="17">
        <v>4.3842266666663902E-2</v>
      </c>
      <c r="M142" s="17">
        <f t="shared" ref="M142" si="342">J142+L142</f>
        <v>9.8212061111108306E-2</v>
      </c>
      <c r="N142" s="20">
        <f t="shared" si="302"/>
        <v>7.1297280000000005E-2</v>
      </c>
      <c r="O142" s="7">
        <f t="shared" ref="O142" si="343">H142-M142-N142</f>
        <v>0.5434634588888918</v>
      </c>
    </row>
    <row r="143" spans="1:15" x14ac:dyDescent="0.7">
      <c r="A143" s="6"/>
      <c r="B143" s="6"/>
      <c r="C143" s="6">
        <v>20</v>
      </c>
      <c r="D143" s="7">
        <v>7.4749999999999996</v>
      </c>
      <c r="E143" s="4">
        <v>6.3</v>
      </c>
      <c r="F143" s="7">
        <v>7.4749999999999996</v>
      </c>
      <c r="G143" s="15">
        <f t="shared" ref="G143" si="344">F143*86400</f>
        <v>645840</v>
      </c>
      <c r="H143" s="21">
        <f t="shared" ref="H143" si="345">G143/1000000</f>
        <v>0.64583999999999997</v>
      </c>
      <c r="I143" s="20">
        <f t="shared" si="299"/>
        <v>29062.799999999999</v>
      </c>
      <c r="J143" s="28">
        <v>5.47492444444444E-2</v>
      </c>
      <c r="K143" s="20">
        <f t="shared" si="300"/>
        <v>3487.5359999999996</v>
      </c>
      <c r="L143" s="17">
        <v>4.42127999999972E-2</v>
      </c>
      <c r="M143" s="17">
        <f t="shared" ref="M143" si="346">J143+L143</f>
        <v>9.8962044444441594E-2</v>
      </c>
      <c r="N143" s="20">
        <f t="shared" si="302"/>
        <v>6.4584000000000003E-2</v>
      </c>
      <c r="O143" s="7">
        <f t="shared" ref="O143" si="347">H143-M143-N143</f>
        <v>0.48229395555555843</v>
      </c>
    </row>
    <row r="144" spans="1:15" x14ac:dyDescent="0.7">
      <c r="A144" s="6"/>
      <c r="B144" s="6"/>
      <c r="C144" s="6">
        <v>21</v>
      </c>
      <c r="D144" s="7">
        <v>6.726</v>
      </c>
      <c r="E144" s="4">
        <v>0</v>
      </c>
      <c r="F144" s="7">
        <v>6.726</v>
      </c>
      <c r="G144" s="15">
        <f t="shared" ref="G144" si="348">F144*86400</f>
        <v>581126.40000000002</v>
      </c>
      <c r="H144" s="21">
        <f t="shared" ref="H144" si="349">G144/1000000</f>
        <v>0.58112640000000004</v>
      </c>
      <c r="I144" s="20">
        <f t="shared" si="299"/>
        <v>26150.687999999998</v>
      </c>
      <c r="J144" s="28">
        <v>5.5128694444444397E-2</v>
      </c>
      <c r="K144" s="20">
        <f t="shared" si="300"/>
        <v>3138.0825599999998</v>
      </c>
      <c r="L144" s="17">
        <v>4.4583333333330498E-2</v>
      </c>
      <c r="M144" s="17">
        <f t="shared" ref="M144" si="350">J144+L144</f>
        <v>9.9712027777774895E-2</v>
      </c>
      <c r="N144" s="20">
        <f t="shared" si="302"/>
        <v>5.8112640000000007E-2</v>
      </c>
      <c r="O144" s="7">
        <f t="shared" ref="O144" si="351">H144-M144-N144</f>
        <v>0.42330173222222517</v>
      </c>
    </row>
    <row r="145" spans="1:15" x14ac:dyDescent="0.7">
      <c r="A145" s="6"/>
      <c r="B145" s="6"/>
      <c r="C145" s="6">
        <v>22</v>
      </c>
      <c r="D145" s="7">
        <v>6.726</v>
      </c>
      <c r="E145" s="4">
        <v>0</v>
      </c>
      <c r="F145" s="7">
        <v>6.726</v>
      </c>
      <c r="G145" s="15">
        <f t="shared" ref="G145" si="352">F145*86400</f>
        <v>581126.40000000002</v>
      </c>
      <c r="H145" s="21">
        <f t="shared" ref="H145" si="353">G145/1000000</f>
        <v>0.58112640000000004</v>
      </c>
      <c r="I145" s="20">
        <f t="shared" si="299"/>
        <v>26150.687999999998</v>
      </c>
      <c r="J145" s="28">
        <v>5.55081444444444E-2</v>
      </c>
      <c r="K145" s="20">
        <f t="shared" si="300"/>
        <v>3138.0825599999998</v>
      </c>
      <c r="L145" s="17">
        <v>4.4953866666663803E-2</v>
      </c>
      <c r="M145" s="17">
        <f t="shared" ref="M145" si="354">J145+L145</f>
        <v>0.1004620111111082</v>
      </c>
      <c r="N145" s="20">
        <f t="shared" si="302"/>
        <v>5.8112640000000007E-2</v>
      </c>
      <c r="O145" s="7">
        <f t="shared" ref="O145" si="355">H145-M145-N145</f>
        <v>0.42255174888889185</v>
      </c>
    </row>
    <row r="146" spans="1:15" x14ac:dyDescent="0.7">
      <c r="A146" s="6"/>
      <c r="B146" s="6"/>
      <c r="C146" s="6">
        <v>23</v>
      </c>
      <c r="D146" s="7">
        <v>14.663</v>
      </c>
      <c r="E146" s="4">
        <v>0</v>
      </c>
      <c r="F146" s="7">
        <v>14.663</v>
      </c>
      <c r="G146" s="15">
        <f t="shared" ref="G146" si="356">F146*86400</f>
        <v>1266883.2</v>
      </c>
      <c r="H146" s="21">
        <f t="shared" ref="H146" si="357">G146/1000000</f>
        <v>1.2668831999999999</v>
      </c>
      <c r="I146" s="20">
        <f t="shared" si="299"/>
        <v>57009.743999999999</v>
      </c>
      <c r="J146" s="28">
        <v>5.5887594444444397E-2</v>
      </c>
      <c r="K146" s="20">
        <f t="shared" si="300"/>
        <v>6841.1692799999992</v>
      </c>
      <c r="L146" s="17">
        <v>4.53243999999971E-2</v>
      </c>
      <c r="M146" s="17">
        <f t="shared" ref="M146" si="358">J146+L146</f>
        <v>0.1012119944444415</v>
      </c>
      <c r="N146" s="20">
        <f t="shared" si="302"/>
        <v>0.12668831999999999</v>
      </c>
      <c r="O146" s="7">
        <f t="shared" ref="O146" si="359">H146-M146-N146</f>
        <v>1.0389828855555585</v>
      </c>
    </row>
    <row r="147" spans="1:15" x14ac:dyDescent="0.7">
      <c r="A147" s="6"/>
      <c r="B147" s="6"/>
      <c r="C147" s="6">
        <v>24</v>
      </c>
      <c r="D147" s="7">
        <v>14.663</v>
      </c>
      <c r="E147" s="4">
        <v>0</v>
      </c>
      <c r="F147" s="7">
        <v>14.663</v>
      </c>
      <c r="G147" s="15">
        <f t="shared" ref="G147" si="360">F147*86400</f>
        <v>1266883.2</v>
      </c>
      <c r="H147" s="21">
        <f t="shared" ref="H147" si="361">G147/1000000</f>
        <v>1.2668831999999999</v>
      </c>
      <c r="I147" s="20">
        <f t="shared" si="299"/>
        <v>57009.743999999999</v>
      </c>
      <c r="J147" s="28">
        <v>5.62670444444444E-2</v>
      </c>
      <c r="K147" s="20">
        <f t="shared" si="300"/>
        <v>6841.1692799999992</v>
      </c>
      <c r="L147" s="17">
        <v>4.5694933333330398E-2</v>
      </c>
      <c r="M147" s="17">
        <f t="shared" ref="M147" si="362">J147+L147</f>
        <v>0.1019619777777748</v>
      </c>
      <c r="N147" s="20">
        <f t="shared" si="302"/>
        <v>0.12668831999999999</v>
      </c>
      <c r="O147" s="7">
        <f t="shared" ref="O147" si="363">H147-M147-N147</f>
        <v>1.0382329022222252</v>
      </c>
    </row>
    <row r="148" spans="1:15" x14ac:dyDescent="0.7">
      <c r="A148" s="6"/>
      <c r="B148" s="6"/>
      <c r="C148" s="6">
        <v>25</v>
      </c>
      <c r="D148" s="7">
        <v>14.663</v>
      </c>
      <c r="E148" s="4">
        <v>0</v>
      </c>
      <c r="F148" s="7">
        <v>14.663</v>
      </c>
      <c r="G148" s="15">
        <f t="shared" ref="G148" si="364">F148*86400</f>
        <v>1266883.2</v>
      </c>
      <c r="H148" s="21">
        <f t="shared" ref="H148" si="365">G148/1000000</f>
        <v>1.2668831999999999</v>
      </c>
      <c r="I148" s="20">
        <f t="shared" si="299"/>
        <v>57009.743999999999</v>
      </c>
      <c r="J148" s="28">
        <v>5.6646494444444397E-2</v>
      </c>
      <c r="K148" s="20">
        <f t="shared" si="300"/>
        <v>6841.1692799999992</v>
      </c>
      <c r="L148" s="17">
        <v>4.6065466666663703E-2</v>
      </c>
      <c r="M148" s="17">
        <f t="shared" ref="M148" si="366">J148+L148</f>
        <v>0.1027119611111081</v>
      </c>
      <c r="N148" s="20">
        <f t="shared" si="302"/>
        <v>0.12668831999999999</v>
      </c>
      <c r="O148" s="7">
        <f t="shared" ref="O148" si="367">H148-M148-N148</f>
        <v>1.0374829188888919</v>
      </c>
    </row>
    <row r="149" spans="1:15" x14ac:dyDescent="0.7">
      <c r="A149" s="6"/>
      <c r="B149" s="6"/>
      <c r="C149" s="6">
        <v>26</v>
      </c>
      <c r="D149" s="7">
        <v>14.663</v>
      </c>
      <c r="E149" s="4">
        <v>4.4000000000000004</v>
      </c>
      <c r="F149" s="7">
        <v>14.663</v>
      </c>
      <c r="G149" s="15">
        <f t="shared" ref="G149" si="368">F149*86400</f>
        <v>1266883.2</v>
      </c>
      <c r="H149" s="21">
        <f t="shared" ref="H149" si="369">G149/1000000</f>
        <v>1.2668831999999999</v>
      </c>
      <c r="I149" s="20">
        <f t="shared" si="299"/>
        <v>57009.743999999999</v>
      </c>
      <c r="J149" s="28">
        <v>5.70259444444444E-2</v>
      </c>
      <c r="K149" s="20">
        <f t="shared" si="300"/>
        <v>6841.1692799999992</v>
      </c>
      <c r="L149" s="17">
        <v>4.6435999999996903E-2</v>
      </c>
      <c r="M149" s="17">
        <f t="shared" ref="M149" si="370">J149+L149</f>
        <v>0.1034619444444413</v>
      </c>
      <c r="N149" s="20">
        <f t="shared" si="302"/>
        <v>0.12668831999999999</v>
      </c>
      <c r="O149" s="7">
        <f t="shared" ref="O149" si="371">H149-M149-N149</f>
        <v>1.0367329355555586</v>
      </c>
    </row>
    <row r="150" spans="1:15" x14ac:dyDescent="0.7">
      <c r="A150" s="6"/>
      <c r="B150" s="6"/>
      <c r="C150" s="6">
        <v>27</v>
      </c>
      <c r="D150" s="7">
        <v>15.266</v>
      </c>
      <c r="E150" s="4">
        <v>0</v>
      </c>
      <c r="F150" s="7">
        <v>15.266</v>
      </c>
      <c r="G150" s="15">
        <f t="shared" ref="G150" si="372">F150*86400</f>
        <v>1318982.3999999999</v>
      </c>
      <c r="H150" s="21">
        <f t="shared" ref="H150" si="373">G150/1000000</f>
        <v>1.3189823999999999</v>
      </c>
      <c r="I150" s="20">
        <f t="shared" si="299"/>
        <v>59354.207999999991</v>
      </c>
      <c r="J150" s="28">
        <v>5.7405394444444403E-2</v>
      </c>
      <c r="K150" s="20">
        <f t="shared" si="300"/>
        <v>7122.5049599999984</v>
      </c>
      <c r="L150" s="17">
        <v>4.6806533333330298E-2</v>
      </c>
      <c r="M150" s="17">
        <f t="shared" ref="M150" si="374">J150+L150</f>
        <v>0.1042119277777747</v>
      </c>
      <c r="N150" s="20">
        <f t="shared" si="302"/>
        <v>0.13189824</v>
      </c>
      <c r="O150" s="7">
        <f t="shared" ref="O150" si="375">H150-M150-N150</f>
        <v>1.0828722322222253</v>
      </c>
    </row>
    <row r="151" spans="1:15" x14ac:dyDescent="0.7">
      <c r="A151" s="6"/>
      <c r="B151" s="6"/>
      <c r="C151" s="6">
        <v>28</v>
      </c>
      <c r="D151" s="7">
        <v>16.181000000000001</v>
      </c>
      <c r="E151" s="4">
        <v>16</v>
      </c>
      <c r="F151" s="7">
        <v>16.181000000000001</v>
      </c>
      <c r="G151" s="15">
        <f t="shared" ref="G151" si="376">F151*86400</f>
        <v>1398038.4000000001</v>
      </c>
      <c r="H151" s="21">
        <f t="shared" ref="H151" si="377">G151/1000000</f>
        <v>1.3980384000000001</v>
      </c>
      <c r="I151" s="20">
        <f t="shared" si="299"/>
        <v>62911.728000000003</v>
      </c>
      <c r="J151" s="28">
        <v>5.77848444444444E-2</v>
      </c>
      <c r="K151" s="20">
        <f t="shared" si="300"/>
        <v>7549.4073600000002</v>
      </c>
      <c r="L151" s="17">
        <v>4.7177066666663603E-2</v>
      </c>
      <c r="M151" s="17">
        <f t="shared" ref="M151" si="378">J151+L151</f>
        <v>0.104961911111108</v>
      </c>
      <c r="N151" s="20">
        <f t="shared" si="302"/>
        <v>0.13980384000000001</v>
      </c>
      <c r="O151" s="7">
        <f t="shared" ref="O151" si="379">H151-M151-N151</f>
        <v>1.1532726488888922</v>
      </c>
    </row>
    <row r="152" spans="1:15" x14ac:dyDescent="0.7">
      <c r="A152" s="12"/>
      <c r="B152" s="12"/>
      <c r="C152" s="12">
        <v>29</v>
      </c>
      <c r="D152" s="30">
        <v>14.663</v>
      </c>
      <c r="E152" s="4">
        <v>3.5</v>
      </c>
      <c r="F152" s="30">
        <v>14.663</v>
      </c>
      <c r="G152" s="31">
        <f t="shared" ref="G152" si="380">F152*86400</f>
        <v>1266883.2</v>
      </c>
      <c r="H152" s="32">
        <f t="shared" ref="H152" si="381">G152/1000000</f>
        <v>1.2668831999999999</v>
      </c>
      <c r="I152" s="20">
        <f t="shared" si="299"/>
        <v>57009.743999999999</v>
      </c>
      <c r="J152" s="34">
        <v>5.8164294444444403E-2</v>
      </c>
      <c r="K152" s="20">
        <f t="shared" si="300"/>
        <v>6841.1692799999992</v>
      </c>
      <c r="L152" s="33">
        <v>4.7547599999996797E-2</v>
      </c>
      <c r="M152" s="33">
        <f t="shared" ref="M152" si="382">J152+L152</f>
        <v>0.10571189444444121</v>
      </c>
      <c r="N152" s="20">
        <f t="shared" si="302"/>
        <v>0.12668831999999999</v>
      </c>
      <c r="O152" s="30">
        <f t="shared" ref="O152" si="383">H152-M152-N152</f>
        <v>1.0344829855555586</v>
      </c>
    </row>
    <row r="153" spans="1:15" s="37" customFormat="1" x14ac:dyDescent="0.7">
      <c r="A153" s="6"/>
      <c r="B153" s="6"/>
      <c r="C153" s="6">
        <v>30</v>
      </c>
      <c r="D153" s="7">
        <v>14.663</v>
      </c>
      <c r="E153" s="4">
        <v>0</v>
      </c>
      <c r="F153" s="7">
        <v>14.663</v>
      </c>
      <c r="G153" s="35">
        <f t="shared" ref="G153" si="384">F153*86400</f>
        <v>1266883.2</v>
      </c>
      <c r="H153" s="20">
        <f t="shared" ref="H153" si="385">G153/1000000</f>
        <v>1.2668831999999999</v>
      </c>
      <c r="I153" s="20">
        <f t="shared" si="299"/>
        <v>57009.743999999999</v>
      </c>
      <c r="J153" s="28">
        <v>5.85437444444444E-2</v>
      </c>
      <c r="K153" s="20">
        <f t="shared" si="300"/>
        <v>6841.1692799999992</v>
      </c>
      <c r="L153" s="17">
        <v>4.7918133333330198E-2</v>
      </c>
      <c r="M153" s="17">
        <f t="shared" ref="M153" si="386">J153+L153</f>
        <v>0.10646187777777461</v>
      </c>
      <c r="N153" s="20">
        <f t="shared" si="302"/>
        <v>0.12668831999999999</v>
      </c>
      <c r="O153" s="7">
        <f t="shared" ref="O153" si="387">H153-M153-N153</f>
        <v>1.0337330022222253</v>
      </c>
    </row>
    <row r="154" spans="1:15" s="13" customFormat="1" ht="25.2" thickBot="1" x14ac:dyDescent="0.75">
      <c r="A154" s="11"/>
      <c r="B154" s="11" t="s">
        <v>19</v>
      </c>
      <c r="C154" s="11">
        <v>31</v>
      </c>
      <c r="D154" s="19">
        <v>17.718</v>
      </c>
      <c r="E154" s="19">
        <v>0.7</v>
      </c>
      <c r="F154" s="19">
        <v>17.718</v>
      </c>
      <c r="G154" s="26">
        <f t="shared" ref="G154" si="388">F154*86400</f>
        <v>1530835.2</v>
      </c>
      <c r="H154" s="27">
        <f t="shared" ref="H154" si="389">G154/1000000</f>
        <v>1.5308352000000001</v>
      </c>
      <c r="I154" s="22">
        <f t="shared" si="299"/>
        <v>68887.584000000003</v>
      </c>
      <c r="J154" s="39">
        <v>5.8923194444444403E-2</v>
      </c>
      <c r="K154" s="22">
        <f t="shared" si="300"/>
        <v>8266.51008</v>
      </c>
      <c r="L154" s="38">
        <v>4.8288666666663503E-2</v>
      </c>
      <c r="M154" s="38">
        <f t="shared" ref="M154" si="390">J154+L154</f>
        <v>0.10721186111110791</v>
      </c>
      <c r="N154" s="22">
        <f t="shared" si="302"/>
        <v>0.15308352000000003</v>
      </c>
      <c r="O154" s="19">
        <f t="shared" ref="O154" si="391">H154-M154-N154</f>
        <v>1.2705398188888921</v>
      </c>
    </row>
    <row r="155" spans="1:15" x14ac:dyDescent="0.7">
      <c r="A155" s="3"/>
      <c r="B155" s="3" t="s">
        <v>20</v>
      </c>
      <c r="C155" s="3">
        <v>1</v>
      </c>
      <c r="D155" s="4">
        <v>19.257000000000001</v>
      </c>
      <c r="E155" s="4">
        <v>0</v>
      </c>
      <c r="F155" s="4">
        <v>19.257000000000001</v>
      </c>
      <c r="G155" s="15">
        <f t="shared" ref="G155" si="392">F155*86400</f>
        <v>1663804.8</v>
      </c>
      <c r="H155" s="21">
        <f t="shared" ref="H155" si="393">G155/1000000</f>
        <v>1.6638048000000001</v>
      </c>
      <c r="I155" s="21">
        <f t="shared" si="299"/>
        <v>74871.216</v>
      </c>
      <c r="J155" s="25">
        <v>5.93026444444444E-2</v>
      </c>
      <c r="K155" s="21">
        <f t="shared" si="300"/>
        <v>8984.5459200000005</v>
      </c>
      <c r="L155" s="16">
        <v>4.8659199999996697E-2</v>
      </c>
      <c r="M155" s="16">
        <f t="shared" ref="M155" si="394">J155+L155</f>
        <v>0.1079618444444411</v>
      </c>
      <c r="N155" s="21">
        <f t="shared" si="302"/>
        <v>0.16638048000000003</v>
      </c>
      <c r="O155" s="4">
        <f t="shared" ref="O155" si="395">H155-M155-N155</f>
        <v>1.3894624755555591</v>
      </c>
    </row>
    <row r="156" spans="1:15" x14ac:dyDescent="0.7">
      <c r="A156" s="6"/>
      <c r="B156" s="6"/>
      <c r="C156" s="6">
        <v>2</v>
      </c>
      <c r="D156" s="7">
        <v>19.257000000000001</v>
      </c>
      <c r="E156" s="4">
        <v>14.2</v>
      </c>
      <c r="F156" s="7">
        <v>19.257000000000001</v>
      </c>
      <c r="G156" s="15">
        <f t="shared" ref="G156" si="396">F156*86400</f>
        <v>1663804.8</v>
      </c>
      <c r="H156" s="21">
        <f t="shared" ref="H156" si="397">G156/1000000</f>
        <v>1.6638048000000001</v>
      </c>
      <c r="I156" s="20">
        <f t="shared" si="299"/>
        <v>74871.216</v>
      </c>
      <c r="J156" s="28">
        <v>5.9682094444444403E-2</v>
      </c>
      <c r="K156" s="20">
        <f t="shared" si="300"/>
        <v>8984.5459200000005</v>
      </c>
      <c r="L156" s="17">
        <v>4.9029733333330001E-2</v>
      </c>
      <c r="M156" s="17">
        <f t="shared" ref="M156" si="398">J156+L156</f>
        <v>0.10871182777777441</v>
      </c>
      <c r="N156" s="20">
        <f t="shared" si="302"/>
        <v>0.16638048000000003</v>
      </c>
      <c r="O156" s="7">
        <f t="shared" ref="O156" si="399">H156-M156-N156</f>
        <v>1.3887124922222258</v>
      </c>
    </row>
    <row r="157" spans="1:15" x14ac:dyDescent="0.7">
      <c r="A157" s="6"/>
      <c r="B157" s="6"/>
      <c r="C157" s="6">
        <v>3</v>
      </c>
      <c r="D157" s="7">
        <v>14.663</v>
      </c>
      <c r="E157" s="4">
        <v>1</v>
      </c>
      <c r="F157" s="7">
        <v>14.663</v>
      </c>
      <c r="G157" s="15">
        <f t="shared" ref="G157" si="400">F157*86400</f>
        <v>1266883.2</v>
      </c>
      <c r="H157" s="21">
        <f t="shared" ref="H157" si="401">G157/1000000</f>
        <v>1.2668831999999999</v>
      </c>
      <c r="I157" s="20">
        <f t="shared" si="299"/>
        <v>57009.743999999999</v>
      </c>
      <c r="J157" s="28">
        <v>6.0061544444444399E-2</v>
      </c>
      <c r="K157" s="20">
        <f t="shared" si="300"/>
        <v>6841.1692799999992</v>
      </c>
      <c r="L157" s="17">
        <v>4.9400266666663299E-2</v>
      </c>
      <c r="M157" s="17">
        <f t="shared" ref="M157" si="402">J157+L157</f>
        <v>0.1094618111111077</v>
      </c>
      <c r="N157" s="20">
        <f t="shared" si="302"/>
        <v>0.12668831999999999</v>
      </c>
      <c r="O157" s="7">
        <f t="shared" ref="O157" si="403">H157-M157-N157</f>
        <v>1.0307330688888923</v>
      </c>
    </row>
    <row r="158" spans="1:15" x14ac:dyDescent="0.7">
      <c r="A158" s="6"/>
      <c r="B158" s="6"/>
      <c r="C158" s="3">
        <v>4</v>
      </c>
      <c r="D158" s="7">
        <v>11.645</v>
      </c>
      <c r="E158" s="4">
        <v>2.1</v>
      </c>
      <c r="F158" s="7">
        <v>11.645</v>
      </c>
      <c r="G158" s="15">
        <f t="shared" ref="G158" si="404">F158*86400</f>
        <v>1006128</v>
      </c>
      <c r="H158" s="21">
        <f t="shared" ref="H158" si="405">G158/1000000</f>
        <v>1.0061279999999999</v>
      </c>
      <c r="I158" s="20">
        <f t="shared" si="299"/>
        <v>45275.759999999995</v>
      </c>
      <c r="J158" s="28">
        <v>6.0440994444444403E-2</v>
      </c>
      <c r="K158" s="20">
        <f t="shared" si="300"/>
        <v>5433.0911999999989</v>
      </c>
      <c r="L158" s="17">
        <v>4.9770799999996701E-2</v>
      </c>
      <c r="M158" s="17">
        <f t="shared" ref="M158" si="406">J158+L158</f>
        <v>0.1102117944444411</v>
      </c>
      <c r="N158" s="20">
        <f t="shared" si="302"/>
        <v>0.1006128</v>
      </c>
      <c r="O158" s="7">
        <f t="shared" ref="O158" si="407">H158-M158-N158</f>
        <v>0.79530340555555878</v>
      </c>
    </row>
    <row r="159" spans="1:15" x14ac:dyDescent="0.7">
      <c r="A159" s="6"/>
      <c r="B159" s="6"/>
      <c r="C159" s="6">
        <v>5</v>
      </c>
      <c r="D159" s="7">
        <v>8.6750000000000007</v>
      </c>
      <c r="E159" s="4">
        <v>14.5</v>
      </c>
      <c r="F159" s="7">
        <v>8.6750000000000007</v>
      </c>
      <c r="G159" s="15">
        <f t="shared" ref="G159" si="408">F159*86400</f>
        <v>749520.00000000012</v>
      </c>
      <c r="H159" s="21">
        <f t="shared" ref="H159" si="409">G159/1000000</f>
        <v>0.74952000000000008</v>
      </c>
      <c r="I159" s="20">
        <f t="shared" si="299"/>
        <v>33728.400000000001</v>
      </c>
      <c r="J159" s="28">
        <v>6.0820444444444399E-2</v>
      </c>
      <c r="K159" s="20">
        <f t="shared" si="300"/>
        <v>4047.4079999999999</v>
      </c>
      <c r="L159" s="17">
        <v>5.0141333333329902E-2</v>
      </c>
      <c r="M159" s="17">
        <f t="shared" ref="M159" si="410">J159+L159</f>
        <v>0.1109617777777743</v>
      </c>
      <c r="N159" s="20">
        <f t="shared" si="302"/>
        <v>7.4952000000000019E-2</v>
      </c>
      <c r="O159" s="7">
        <f t="shared" ref="O159" si="411">H159-M159-N159</f>
        <v>0.56360622222222578</v>
      </c>
    </row>
    <row r="160" spans="1:15" x14ac:dyDescent="0.7">
      <c r="A160" s="6"/>
      <c r="B160" s="6"/>
      <c r="C160" s="6">
        <v>6</v>
      </c>
      <c r="D160" s="7">
        <v>8.6750000000000007</v>
      </c>
      <c r="E160" s="4">
        <v>0.4</v>
      </c>
      <c r="F160" s="7">
        <v>8.6750000000000007</v>
      </c>
      <c r="G160" s="15">
        <f t="shared" ref="G160" si="412">F160*86400</f>
        <v>749520.00000000012</v>
      </c>
      <c r="H160" s="21">
        <f t="shared" ref="H160" si="413">G160/1000000</f>
        <v>0.74952000000000008</v>
      </c>
      <c r="I160" s="20">
        <f t="shared" si="299"/>
        <v>33728.400000000001</v>
      </c>
      <c r="J160" s="28">
        <v>6.1199894444444403E-2</v>
      </c>
      <c r="K160" s="20">
        <f t="shared" si="300"/>
        <v>4047.4079999999999</v>
      </c>
      <c r="L160" s="17">
        <v>5.0511866666663199E-2</v>
      </c>
      <c r="M160" s="17">
        <f t="shared" ref="M160" si="414">J160+L160</f>
        <v>0.1117117611111076</v>
      </c>
      <c r="N160" s="20">
        <f t="shared" si="302"/>
        <v>7.4952000000000019E-2</v>
      </c>
      <c r="O160" s="7">
        <f t="shared" ref="O160" si="415">H160-M160-N160</f>
        <v>0.56285623888889247</v>
      </c>
    </row>
    <row r="161" spans="1:15" x14ac:dyDescent="0.7">
      <c r="A161" s="6"/>
      <c r="B161" s="6"/>
      <c r="C161" s="3">
        <v>7</v>
      </c>
      <c r="D161" s="7">
        <v>8.6750000000000007</v>
      </c>
      <c r="E161" s="4">
        <v>0</v>
      </c>
      <c r="F161" s="7">
        <v>8.6750000000000007</v>
      </c>
      <c r="G161" s="15">
        <f t="shared" ref="G161" si="416">F161*86400</f>
        <v>749520.00000000012</v>
      </c>
      <c r="H161" s="21">
        <f t="shared" ref="H161" si="417">G161/1000000</f>
        <v>0.74952000000000008</v>
      </c>
      <c r="I161" s="20">
        <f t="shared" si="299"/>
        <v>33728.400000000001</v>
      </c>
      <c r="J161" s="28">
        <v>6.1579344444444399E-2</v>
      </c>
      <c r="K161" s="20">
        <f t="shared" si="300"/>
        <v>4047.4079999999999</v>
      </c>
      <c r="L161" s="17">
        <v>5.0882399999996601E-2</v>
      </c>
      <c r="M161" s="17">
        <f t="shared" ref="M161" si="418">J161+L161</f>
        <v>0.112461744444441</v>
      </c>
      <c r="N161" s="20">
        <f t="shared" si="302"/>
        <v>7.4952000000000019E-2</v>
      </c>
      <c r="O161" s="7">
        <f t="shared" ref="O161" si="419">H161-M161-N161</f>
        <v>0.56210625555555904</v>
      </c>
    </row>
    <row r="162" spans="1:15" x14ac:dyDescent="0.7">
      <c r="A162" s="6"/>
      <c r="B162" s="6"/>
      <c r="C162" s="6">
        <v>8</v>
      </c>
      <c r="D162" s="7">
        <v>11.645</v>
      </c>
      <c r="E162" s="4">
        <v>0</v>
      </c>
      <c r="F162" s="7">
        <v>11.645</v>
      </c>
      <c r="G162" s="15">
        <f t="shared" ref="G162" si="420">F162*86400</f>
        <v>1006128</v>
      </c>
      <c r="H162" s="21">
        <f t="shared" ref="H162" si="421">G162/1000000</f>
        <v>1.0061279999999999</v>
      </c>
      <c r="I162" s="20">
        <f t="shared" si="299"/>
        <v>45275.759999999995</v>
      </c>
      <c r="J162" s="28">
        <v>6.1958794444444402E-2</v>
      </c>
      <c r="K162" s="20">
        <f t="shared" si="300"/>
        <v>5433.0911999999989</v>
      </c>
      <c r="L162" s="17">
        <v>5.1252933333329802E-2</v>
      </c>
      <c r="M162" s="17">
        <f t="shared" ref="M162" si="422">J162+L162</f>
        <v>0.1132117277777742</v>
      </c>
      <c r="N162" s="20">
        <f t="shared" si="302"/>
        <v>0.1006128</v>
      </c>
      <c r="O162" s="7">
        <f t="shared" ref="O162" si="423">H162-M162-N162</f>
        <v>0.79230347222222575</v>
      </c>
    </row>
    <row r="163" spans="1:15" x14ac:dyDescent="0.7">
      <c r="A163" s="6"/>
      <c r="B163" s="6"/>
      <c r="C163" s="6">
        <v>9</v>
      </c>
      <c r="D163" s="7">
        <v>11.663</v>
      </c>
      <c r="E163" s="4">
        <v>0.9</v>
      </c>
      <c r="F163" s="7">
        <v>11.663</v>
      </c>
      <c r="G163" s="15">
        <f t="shared" ref="G163" si="424">F163*86400</f>
        <v>1007683.2000000001</v>
      </c>
      <c r="H163" s="21">
        <f t="shared" ref="H163" si="425">G163/1000000</f>
        <v>1.0076832</v>
      </c>
      <c r="I163" s="20">
        <f t="shared" si="299"/>
        <v>45345.743999999999</v>
      </c>
      <c r="J163" s="28">
        <v>6.2338244444444399E-2</v>
      </c>
      <c r="K163" s="20">
        <f t="shared" si="300"/>
        <v>5441.4892799999998</v>
      </c>
      <c r="L163" s="17">
        <v>5.16234666666631E-2</v>
      </c>
      <c r="M163" s="17">
        <f t="shared" ref="M163" si="426">J163+L163</f>
        <v>0.11396171111110751</v>
      </c>
      <c r="N163" s="20">
        <f t="shared" si="302"/>
        <v>0.10076832000000001</v>
      </c>
      <c r="O163" s="7">
        <f t="shared" ref="O163" si="427">H163-M163-N163</f>
        <v>0.79295316888889245</v>
      </c>
    </row>
    <row r="164" spans="1:15" x14ac:dyDescent="0.7">
      <c r="A164" s="6"/>
      <c r="B164" s="6"/>
      <c r="C164" s="3">
        <v>10</v>
      </c>
      <c r="D164" s="7">
        <v>19.257000000000001</v>
      </c>
      <c r="E164" s="4">
        <v>25.1</v>
      </c>
      <c r="F164" s="7">
        <v>19.257000000000001</v>
      </c>
      <c r="G164" s="15">
        <f t="shared" ref="G164" si="428">F164*86400</f>
        <v>1663804.8</v>
      </c>
      <c r="H164" s="21">
        <f t="shared" ref="H164" si="429">G164/1000000</f>
        <v>1.6638048000000001</v>
      </c>
      <c r="I164" s="20">
        <f t="shared" si="299"/>
        <v>74871.216</v>
      </c>
      <c r="J164" s="28">
        <v>6.2717694444444402E-2</v>
      </c>
      <c r="K164" s="20">
        <f t="shared" si="300"/>
        <v>8984.5459200000005</v>
      </c>
      <c r="L164" s="17">
        <v>5.1993999999996397E-2</v>
      </c>
      <c r="M164" s="17">
        <f t="shared" ref="M164" si="430">J164+L164</f>
        <v>0.11471169444444079</v>
      </c>
      <c r="N164" s="20">
        <f t="shared" si="302"/>
        <v>0.16638048000000003</v>
      </c>
      <c r="O164" s="7">
        <f t="shared" ref="O164" si="431">H164-M164-N164</f>
        <v>1.3827126255555593</v>
      </c>
    </row>
    <row r="165" spans="1:15" x14ac:dyDescent="0.7">
      <c r="A165" s="6"/>
      <c r="B165" s="6"/>
      <c r="C165" s="6">
        <v>11</v>
      </c>
      <c r="D165" s="7">
        <v>19.257000000000001</v>
      </c>
      <c r="E165" s="4">
        <v>0</v>
      </c>
      <c r="F165" s="7">
        <v>19.257000000000001</v>
      </c>
      <c r="G165" s="15">
        <f t="shared" ref="G165" si="432">F165*86400</f>
        <v>1663804.8</v>
      </c>
      <c r="H165" s="21">
        <f t="shared" ref="H165" si="433">G165/1000000</f>
        <v>1.6638048000000001</v>
      </c>
      <c r="I165" s="20">
        <f t="shared" si="299"/>
        <v>74871.216</v>
      </c>
      <c r="J165" s="28">
        <v>6.3097144444444406E-2</v>
      </c>
      <c r="K165" s="20">
        <f t="shared" si="300"/>
        <v>8984.5459200000005</v>
      </c>
      <c r="L165" s="17">
        <v>5.2364533333329702E-2</v>
      </c>
      <c r="M165" s="17">
        <f t="shared" ref="M165" si="434">J165+L165</f>
        <v>0.11546167777777411</v>
      </c>
      <c r="N165" s="20">
        <f t="shared" si="302"/>
        <v>0.16638048000000003</v>
      </c>
      <c r="O165" s="7">
        <f t="shared" ref="O165" si="435">H165-M165-N165</f>
        <v>1.381962642222226</v>
      </c>
    </row>
    <row r="166" spans="1:15" x14ac:dyDescent="0.7">
      <c r="A166" s="6"/>
      <c r="B166" s="6"/>
      <c r="C166" s="6">
        <v>12</v>
      </c>
      <c r="D166" s="7">
        <v>14.663</v>
      </c>
      <c r="E166" s="4">
        <v>0</v>
      </c>
      <c r="F166" s="7">
        <v>14.663</v>
      </c>
      <c r="G166" s="15">
        <f t="shared" ref="G166" si="436">F166*86400</f>
        <v>1266883.2</v>
      </c>
      <c r="H166" s="21">
        <f t="shared" ref="H166" si="437">G166/1000000</f>
        <v>1.2668831999999999</v>
      </c>
      <c r="I166" s="20">
        <f t="shared" si="299"/>
        <v>57009.743999999999</v>
      </c>
      <c r="J166" s="28">
        <v>6.3476594444444395E-2</v>
      </c>
      <c r="K166" s="20">
        <f t="shared" si="300"/>
        <v>6841.1692799999992</v>
      </c>
      <c r="L166" s="17">
        <v>5.2735066666663E-2</v>
      </c>
      <c r="M166" s="17">
        <f t="shared" ref="M166" si="438">J166+L166</f>
        <v>0.11621166111110739</v>
      </c>
      <c r="N166" s="20">
        <f t="shared" si="302"/>
        <v>0.12668831999999999</v>
      </c>
      <c r="O166" s="7">
        <f t="shared" ref="O166" si="439">H166-M166-N166</f>
        <v>1.0239832188888924</v>
      </c>
    </row>
    <row r="167" spans="1:15" x14ac:dyDescent="0.7">
      <c r="A167" s="6"/>
      <c r="B167" s="6"/>
      <c r="C167" s="3">
        <v>13</v>
      </c>
      <c r="D167" s="7">
        <v>14.663</v>
      </c>
      <c r="E167" s="4">
        <v>0</v>
      </c>
      <c r="F167" s="7">
        <v>14.663</v>
      </c>
      <c r="G167" s="15">
        <f t="shared" ref="G167" si="440">F167*86400</f>
        <v>1266883.2</v>
      </c>
      <c r="H167" s="21">
        <f t="shared" ref="H167" si="441">G167/1000000</f>
        <v>1.2668831999999999</v>
      </c>
      <c r="I167" s="20">
        <f t="shared" si="299"/>
        <v>57009.743999999999</v>
      </c>
      <c r="J167" s="28">
        <v>6.3856044444444399E-2</v>
      </c>
      <c r="K167" s="20">
        <f t="shared" si="300"/>
        <v>6841.1692799999992</v>
      </c>
      <c r="L167" s="17">
        <v>5.3105599999996297E-2</v>
      </c>
      <c r="M167" s="17">
        <f t="shared" ref="M167" si="442">J167+L167</f>
        <v>0.1169616444444407</v>
      </c>
      <c r="N167" s="20">
        <f t="shared" si="302"/>
        <v>0.12668831999999999</v>
      </c>
      <c r="O167" s="7">
        <f t="shared" ref="O167" si="443">H167-M167-N167</f>
        <v>1.0232332355555591</v>
      </c>
    </row>
    <row r="168" spans="1:15" x14ac:dyDescent="0.7">
      <c r="A168" s="6"/>
      <c r="B168" s="6"/>
      <c r="C168" s="6">
        <v>14</v>
      </c>
      <c r="D168" s="7">
        <v>11.645</v>
      </c>
      <c r="E168" s="4">
        <v>0</v>
      </c>
      <c r="F168" s="7">
        <v>11.645</v>
      </c>
      <c r="G168" s="15">
        <f t="shared" ref="G168" si="444">F168*86400</f>
        <v>1006128</v>
      </c>
      <c r="H168" s="21">
        <f t="shared" ref="H168" si="445">G168/1000000</f>
        <v>1.0061279999999999</v>
      </c>
      <c r="I168" s="20">
        <f t="shared" si="299"/>
        <v>45275.759999999995</v>
      </c>
      <c r="J168" s="28">
        <v>6.4235494444444402E-2</v>
      </c>
      <c r="K168" s="20">
        <f t="shared" si="300"/>
        <v>5433.0911999999989</v>
      </c>
      <c r="L168" s="17">
        <v>5.3476133333329602E-2</v>
      </c>
      <c r="M168" s="17">
        <f t="shared" ref="M168" si="446">J168+L168</f>
        <v>0.117711627777774</v>
      </c>
      <c r="N168" s="20">
        <f t="shared" si="302"/>
        <v>0.1006128</v>
      </c>
      <c r="O168" s="7">
        <f t="shared" ref="O168" si="447">H168-M168-N168</f>
        <v>0.78780357222222586</v>
      </c>
    </row>
    <row r="169" spans="1:15" x14ac:dyDescent="0.7">
      <c r="A169" s="6"/>
      <c r="B169" s="6"/>
      <c r="C169" s="6">
        <v>15</v>
      </c>
      <c r="D169" s="7">
        <v>11.645</v>
      </c>
      <c r="E169" s="4">
        <v>0</v>
      </c>
      <c r="F169" s="7">
        <v>11.645</v>
      </c>
      <c r="G169" s="15">
        <f t="shared" ref="G169" si="448">F169*86400</f>
        <v>1006128</v>
      </c>
      <c r="H169" s="21">
        <f t="shared" ref="H169" si="449">G169/1000000</f>
        <v>1.0061279999999999</v>
      </c>
      <c r="I169" s="20">
        <f t="shared" si="299"/>
        <v>45275.759999999995</v>
      </c>
      <c r="J169" s="28">
        <v>6.4614944444444405E-2</v>
      </c>
      <c r="K169" s="20">
        <f t="shared" si="300"/>
        <v>5433.0911999999989</v>
      </c>
      <c r="L169" s="17">
        <v>5.38466666666629E-2</v>
      </c>
      <c r="M169" s="17">
        <f t="shared" ref="M169" si="450">J169+L169</f>
        <v>0.11846161111110731</v>
      </c>
      <c r="N169" s="20">
        <f t="shared" si="302"/>
        <v>0.1006128</v>
      </c>
      <c r="O169" s="7">
        <f t="shared" ref="O169" si="451">H169-M169-N169</f>
        <v>0.78705358888889254</v>
      </c>
    </row>
    <row r="170" spans="1:15" x14ac:dyDescent="0.7">
      <c r="A170" s="6"/>
      <c r="B170" s="6"/>
      <c r="C170" s="3">
        <v>16</v>
      </c>
      <c r="D170" s="7">
        <v>12</v>
      </c>
      <c r="E170" s="4">
        <v>0</v>
      </c>
      <c r="F170" s="7">
        <v>12</v>
      </c>
      <c r="G170" s="15">
        <f t="shared" ref="G170" si="452">F170*86400</f>
        <v>1036800</v>
      </c>
      <c r="H170" s="21">
        <f t="shared" ref="H170" si="453">G170/1000000</f>
        <v>1.0367999999999999</v>
      </c>
      <c r="I170" s="20">
        <f t="shared" si="299"/>
        <v>46656</v>
      </c>
      <c r="J170" s="28">
        <v>6.4994394444444395E-2</v>
      </c>
      <c r="K170" s="20">
        <f t="shared" si="300"/>
        <v>5598.7199999999993</v>
      </c>
      <c r="L170" s="17">
        <v>5.4217199999996198E-2</v>
      </c>
      <c r="M170" s="17">
        <f t="shared" ref="M170" si="454">J170+L170</f>
        <v>0.1192115944444406</v>
      </c>
      <c r="N170" s="20">
        <f t="shared" si="302"/>
        <v>0.10367999999999999</v>
      </c>
      <c r="O170" s="7">
        <f t="shared" ref="O170" si="455">H170-M170-N170</f>
        <v>0.81390840555555932</v>
      </c>
    </row>
    <row r="171" spans="1:15" x14ac:dyDescent="0.7">
      <c r="A171" s="6"/>
      <c r="B171" s="6"/>
      <c r="C171" s="6">
        <v>17</v>
      </c>
      <c r="D171" s="7">
        <v>12.449</v>
      </c>
      <c r="E171" s="4">
        <v>0</v>
      </c>
      <c r="F171" s="7">
        <v>12.449</v>
      </c>
      <c r="G171" s="15">
        <f t="shared" ref="G171" si="456">F171*86400</f>
        <v>1075593.6000000001</v>
      </c>
      <c r="H171" s="21">
        <f t="shared" ref="H171" si="457">G171/1000000</f>
        <v>1.0755936000000001</v>
      </c>
      <c r="I171" s="20">
        <f t="shared" si="299"/>
        <v>48401.712</v>
      </c>
      <c r="J171" s="28">
        <v>6.5373844444444398E-2</v>
      </c>
      <c r="K171" s="20">
        <f t="shared" si="300"/>
        <v>5808.2054399999997</v>
      </c>
      <c r="L171" s="17">
        <v>5.4587733333329502E-2</v>
      </c>
      <c r="M171" s="17">
        <f t="shared" ref="M171" si="458">J171+L171</f>
        <v>0.1199615777777739</v>
      </c>
      <c r="N171" s="20">
        <f t="shared" si="302"/>
        <v>0.10755936000000002</v>
      </c>
      <c r="O171" s="7">
        <f t="shared" ref="O171" si="459">H171-M171-N171</f>
        <v>0.84807266222222621</v>
      </c>
    </row>
    <row r="172" spans="1:15" x14ac:dyDescent="0.7">
      <c r="A172" s="6"/>
      <c r="B172" s="6"/>
      <c r="C172" s="6">
        <v>18</v>
      </c>
      <c r="D172" s="7">
        <v>13.457000000000001</v>
      </c>
      <c r="E172" s="4">
        <v>0</v>
      </c>
      <c r="F172" s="7">
        <v>13.457000000000001</v>
      </c>
      <c r="G172" s="15">
        <f t="shared" ref="G172" si="460">F172*86400</f>
        <v>1162684.8</v>
      </c>
      <c r="H172" s="21">
        <f t="shared" ref="H172" si="461">G172/1000000</f>
        <v>1.1626848000000001</v>
      </c>
      <c r="I172" s="20">
        <f t="shared" si="299"/>
        <v>52320.815999999999</v>
      </c>
      <c r="J172" s="28">
        <v>6.5753294444444402E-2</v>
      </c>
      <c r="K172" s="20">
        <f t="shared" si="300"/>
        <v>6278.4979199999998</v>
      </c>
      <c r="L172" s="17">
        <v>5.49582666666628E-2</v>
      </c>
      <c r="M172" s="17">
        <f t="shared" ref="M172" si="462">J172+L172</f>
        <v>0.1207115611111072</v>
      </c>
      <c r="N172" s="20">
        <f t="shared" si="302"/>
        <v>0.11626848000000001</v>
      </c>
      <c r="O172" s="7">
        <f t="shared" ref="O172" si="463">H172-M172-N172</f>
        <v>0.92570475888889292</v>
      </c>
    </row>
    <row r="173" spans="1:15" x14ac:dyDescent="0.7">
      <c r="A173" s="6"/>
      <c r="B173" s="6"/>
      <c r="C173" s="3">
        <v>19</v>
      </c>
      <c r="D173" s="7">
        <v>12.449</v>
      </c>
      <c r="E173" s="4">
        <v>0</v>
      </c>
      <c r="F173" s="7">
        <v>12.449</v>
      </c>
      <c r="G173" s="15">
        <f t="shared" ref="G173" si="464">F173*86400</f>
        <v>1075593.6000000001</v>
      </c>
      <c r="H173" s="21">
        <f t="shared" ref="H173" si="465">G173/1000000</f>
        <v>1.0755936000000001</v>
      </c>
      <c r="I173" s="20">
        <f t="shared" si="299"/>
        <v>48401.712</v>
      </c>
      <c r="J173" s="28">
        <v>6.6132744444444405E-2</v>
      </c>
      <c r="K173" s="20">
        <f t="shared" si="300"/>
        <v>5808.2054399999997</v>
      </c>
      <c r="L173" s="17">
        <v>5.5328799999996098E-2</v>
      </c>
      <c r="M173" s="17">
        <f t="shared" ref="M173" si="466">J173+L173</f>
        <v>0.1214615444444405</v>
      </c>
      <c r="N173" s="20">
        <f t="shared" si="302"/>
        <v>0.10755936000000002</v>
      </c>
      <c r="O173" s="7">
        <f t="shared" ref="O173" si="467">H173-M173-N173</f>
        <v>0.8465726955555597</v>
      </c>
    </row>
    <row r="174" spans="1:15" x14ac:dyDescent="0.7">
      <c r="A174" s="6"/>
      <c r="B174" s="6"/>
      <c r="C174" s="6">
        <v>20</v>
      </c>
      <c r="D174" s="7">
        <v>11.555999999999999</v>
      </c>
      <c r="E174" s="4">
        <v>0</v>
      </c>
      <c r="F174" s="7">
        <v>11.555999999999999</v>
      </c>
      <c r="G174" s="15">
        <f t="shared" ref="G174" si="468">F174*86400</f>
        <v>998438.39999999991</v>
      </c>
      <c r="H174" s="21">
        <f t="shared" ref="H174" si="469">G174/1000000</f>
        <v>0.99843839999999995</v>
      </c>
      <c r="I174" s="20">
        <f t="shared" si="299"/>
        <v>44929.727999999996</v>
      </c>
      <c r="J174" s="28">
        <v>6.6512194444444395E-2</v>
      </c>
      <c r="K174" s="20">
        <f t="shared" si="300"/>
        <v>5391.5673599999991</v>
      </c>
      <c r="L174" s="17">
        <v>5.5699333333329402E-2</v>
      </c>
      <c r="M174" s="17">
        <f t="shared" ref="M174" si="470">J174+L174</f>
        <v>0.1222115277777738</v>
      </c>
      <c r="N174" s="20">
        <f t="shared" si="302"/>
        <v>9.9843840000000003E-2</v>
      </c>
      <c r="O174" s="7">
        <f t="shared" ref="O174" si="471">H174-M174-N174</f>
        <v>0.77638303222222615</v>
      </c>
    </row>
    <row r="175" spans="1:15" x14ac:dyDescent="0.7">
      <c r="A175" s="6"/>
      <c r="B175" s="6"/>
      <c r="C175" s="6">
        <v>21</v>
      </c>
      <c r="D175" s="7">
        <v>13.756</v>
      </c>
      <c r="E175" s="4">
        <v>0</v>
      </c>
      <c r="F175" s="7">
        <v>13.756</v>
      </c>
      <c r="G175" s="15">
        <f t="shared" ref="G175" si="472">F175*86400</f>
        <v>1188518.3999999999</v>
      </c>
      <c r="H175" s="21">
        <f t="shared" ref="H175" si="473">G175/1000000</f>
        <v>1.1885184</v>
      </c>
      <c r="I175" s="20">
        <f t="shared" si="299"/>
        <v>53483.327999999994</v>
      </c>
      <c r="J175" s="28">
        <v>6.6891644444444398E-2</v>
      </c>
      <c r="K175" s="20">
        <f t="shared" si="300"/>
        <v>6417.9993599999989</v>
      </c>
      <c r="L175" s="17">
        <v>5.60698666666627E-2</v>
      </c>
      <c r="M175" s="17">
        <f t="shared" ref="M175" si="474">J175+L175</f>
        <v>0.12296151111110709</v>
      </c>
      <c r="N175" s="20">
        <f t="shared" si="302"/>
        <v>0.11885184</v>
      </c>
      <c r="O175" s="7">
        <f t="shared" ref="O175" si="475">H175-M175-N175</f>
        <v>0.94670504888889284</v>
      </c>
    </row>
    <row r="176" spans="1:15" x14ac:dyDescent="0.7">
      <c r="A176" s="6"/>
      <c r="B176" s="6"/>
      <c r="C176" s="3">
        <v>22</v>
      </c>
      <c r="D176" s="7">
        <v>12.739000000000001</v>
      </c>
      <c r="E176" s="4">
        <v>0</v>
      </c>
      <c r="F176" s="7">
        <v>12.739000000000001</v>
      </c>
      <c r="G176" s="15">
        <f t="shared" ref="G176" si="476">F176*86400</f>
        <v>1100649.6000000001</v>
      </c>
      <c r="H176" s="21">
        <f t="shared" ref="H176" si="477">G176/1000000</f>
        <v>1.1006496000000001</v>
      </c>
      <c r="I176" s="20">
        <f t="shared" si="299"/>
        <v>49529.232000000004</v>
      </c>
      <c r="J176" s="28">
        <v>6.7271094444444401E-2</v>
      </c>
      <c r="K176" s="20">
        <f t="shared" si="300"/>
        <v>5943.5078400000002</v>
      </c>
      <c r="L176" s="17">
        <v>5.6440399999995998E-2</v>
      </c>
      <c r="M176" s="17">
        <f t="shared" ref="M176" si="478">J176+L176</f>
        <v>0.12371149444444041</v>
      </c>
      <c r="N176" s="20">
        <f t="shared" si="302"/>
        <v>0.11006496000000002</v>
      </c>
      <c r="O176" s="7">
        <f t="shared" ref="O176" si="479">H176-M176-N176</f>
        <v>0.86687314555555972</v>
      </c>
    </row>
    <row r="177" spans="1:15" x14ac:dyDescent="0.7">
      <c r="A177" s="6"/>
      <c r="B177" s="6"/>
      <c r="C177" s="6">
        <v>23</v>
      </c>
      <c r="D177" s="7">
        <v>12</v>
      </c>
      <c r="E177" s="4">
        <v>29.5</v>
      </c>
      <c r="F177" s="7">
        <v>12</v>
      </c>
      <c r="G177" s="15">
        <f t="shared" ref="G177" si="480">F177*86400</f>
        <v>1036800</v>
      </c>
      <c r="H177" s="21">
        <f t="shared" ref="H177" si="481">G177/1000000</f>
        <v>1.0367999999999999</v>
      </c>
      <c r="I177" s="20">
        <f t="shared" si="299"/>
        <v>46656</v>
      </c>
      <c r="J177" s="28">
        <v>6.7650544444444405E-2</v>
      </c>
      <c r="K177" s="20">
        <f t="shared" si="300"/>
        <v>5598.7199999999993</v>
      </c>
      <c r="L177" s="17">
        <v>5.6810933333329303E-2</v>
      </c>
      <c r="M177" s="17">
        <f t="shared" ref="M177" si="482">J177+L177</f>
        <v>0.12446147777777371</v>
      </c>
      <c r="N177" s="20">
        <f t="shared" si="302"/>
        <v>0.10367999999999999</v>
      </c>
      <c r="O177" s="7">
        <f t="shared" ref="O177" si="483">H177-M177-N177</f>
        <v>0.80865852222222623</v>
      </c>
    </row>
    <row r="178" spans="1:15" x14ac:dyDescent="0.7">
      <c r="A178" s="6"/>
      <c r="B178" s="6"/>
      <c r="C178" s="6">
        <v>24</v>
      </c>
      <c r="D178" s="7">
        <v>11.698</v>
      </c>
      <c r="E178" s="4">
        <v>0</v>
      </c>
      <c r="F178" s="7">
        <v>11.698</v>
      </c>
      <c r="G178" s="15">
        <f t="shared" ref="G178" si="484">F178*86400</f>
        <v>1010707.2000000001</v>
      </c>
      <c r="H178" s="21">
        <f t="shared" ref="H178" si="485">G178/1000000</f>
        <v>1.0107072000000001</v>
      </c>
      <c r="I178" s="20">
        <f t="shared" si="299"/>
        <v>45481.824000000008</v>
      </c>
      <c r="J178" s="28">
        <v>6.8029994444444394E-2</v>
      </c>
      <c r="K178" s="20">
        <f t="shared" si="300"/>
        <v>5457.8188800000007</v>
      </c>
      <c r="L178" s="17">
        <v>5.71814666666626E-2</v>
      </c>
      <c r="M178" s="17">
        <f t="shared" ref="M178" si="486">J178+L178</f>
        <v>0.12521146111110698</v>
      </c>
      <c r="N178" s="20">
        <f t="shared" si="302"/>
        <v>0.10107072000000002</v>
      </c>
      <c r="O178" s="7">
        <f t="shared" ref="O178" si="487">H178-M178-N178</f>
        <v>0.78442501888889304</v>
      </c>
    </row>
    <row r="179" spans="1:15" x14ac:dyDescent="0.7">
      <c r="A179" s="6"/>
      <c r="B179" s="6"/>
      <c r="C179" s="3">
        <v>25</v>
      </c>
      <c r="D179" s="7">
        <v>11.474</v>
      </c>
      <c r="E179" s="4">
        <v>27.3</v>
      </c>
      <c r="F179" s="7">
        <v>11.474</v>
      </c>
      <c r="G179" s="15">
        <f t="shared" ref="G179" si="488">F179*86400</f>
        <v>991353.6</v>
      </c>
      <c r="H179" s="21">
        <f t="shared" ref="H179" si="489">G179/1000000</f>
        <v>0.99135359999999995</v>
      </c>
      <c r="I179" s="20">
        <f t="shared" si="299"/>
        <v>44610.911999999997</v>
      </c>
      <c r="J179" s="28">
        <v>6.8409444444444398E-2</v>
      </c>
      <c r="K179" s="20">
        <f t="shared" si="300"/>
        <v>5353.3094399999991</v>
      </c>
      <c r="L179" s="17">
        <v>5.7551999999995898E-2</v>
      </c>
      <c r="M179" s="17">
        <f t="shared" ref="M179" si="490">J179+L179</f>
        <v>0.1259614444444403</v>
      </c>
      <c r="N179" s="20">
        <f t="shared" si="302"/>
        <v>9.9135360000000006E-2</v>
      </c>
      <c r="O179" s="7">
        <f t="shared" ref="O179" si="491">H179-M179-N179</f>
        <v>0.7662567955555597</v>
      </c>
    </row>
    <row r="180" spans="1:15" x14ac:dyDescent="0.7">
      <c r="A180" s="6"/>
      <c r="B180" s="6"/>
      <c r="C180" s="6">
        <v>26</v>
      </c>
      <c r="D180" s="7">
        <v>11.298999999999999</v>
      </c>
      <c r="E180" s="4">
        <v>1</v>
      </c>
      <c r="F180" s="7">
        <v>11.298999999999999</v>
      </c>
      <c r="G180" s="15">
        <f t="shared" ref="G180" si="492">F180*86400</f>
        <v>976233.6</v>
      </c>
      <c r="H180" s="21">
        <f t="shared" ref="H180" si="493">G180/1000000</f>
        <v>0.97623359999999992</v>
      </c>
      <c r="I180" s="20">
        <f t="shared" si="299"/>
        <v>43930.511999999995</v>
      </c>
      <c r="J180" s="28">
        <v>6.8788894444444401E-2</v>
      </c>
      <c r="K180" s="20">
        <f t="shared" si="300"/>
        <v>5271.6614399999989</v>
      </c>
      <c r="L180" s="17">
        <v>5.7922533333329203E-2</v>
      </c>
      <c r="M180" s="17">
        <f t="shared" ref="M180" si="494">J180+L180</f>
        <v>0.12671142777777361</v>
      </c>
      <c r="N180" s="20">
        <f t="shared" si="302"/>
        <v>9.7623359999999992E-2</v>
      </c>
      <c r="O180" s="7">
        <f t="shared" ref="O180" si="495">H180-M180-N180</f>
        <v>0.75189881222222632</v>
      </c>
    </row>
    <row r="181" spans="1:15" x14ac:dyDescent="0.7">
      <c r="A181" s="6"/>
      <c r="B181" s="6"/>
      <c r="C181" s="6">
        <v>27</v>
      </c>
      <c r="D181" s="7">
        <v>11.401</v>
      </c>
      <c r="E181" s="4">
        <v>1.9</v>
      </c>
      <c r="F181" s="7">
        <v>11.401</v>
      </c>
      <c r="G181" s="15">
        <f t="shared" ref="G181" si="496">F181*86400</f>
        <v>985046.4</v>
      </c>
      <c r="H181" s="21">
        <f t="shared" ref="H181" si="497">G181/1000000</f>
        <v>0.98504639999999999</v>
      </c>
      <c r="I181" s="20">
        <f t="shared" si="299"/>
        <v>44327.087999999996</v>
      </c>
      <c r="J181" s="28">
        <v>6.9168344444444405E-2</v>
      </c>
      <c r="K181" s="20">
        <f t="shared" si="300"/>
        <v>5319.2505599999995</v>
      </c>
      <c r="L181" s="17">
        <v>5.8293066666662501E-2</v>
      </c>
      <c r="M181" s="17">
        <f t="shared" ref="M181" si="498">J181+L181</f>
        <v>0.1274614111111069</v>
      </c>
      <c r="N181" s="20">
        <f t="shared" si="302"/>
        <v>9.8504640000000004E-2</v>
      </c>
      <c r="O181" s="7">
        <f t="shared" ref="O181" si="499">H181-M181-N181</f>
        <v>0.75908034888889309</v>
      </c>
    </row>
    <row r="182" spans="1:15" x14ac:dyDescent="0.7">
      <c r="A182" s="12"/>
      <c r="B182" s="12"/>
      <c r="C182" s="43">
        <v>28</v>
      </c>
      <c r="D182" s="30">
        <v>11.055999999999999</v>
      </c>
      <c r="E182" s="4">
        <v>0</v>
      </c>
      <c r="F182" s="30">
        <v>11.055999999999999</v>
      </c>
      <c r="G182" s="31">
        <f t="shared" ref="G182" si="500">F182*86400</f>
        <v>955238.39999999991</v>
      </c>
      <c r="H182" s="32">
        <f t="shared" ref="H182" si="501">G182/1000000</f>
        <v>0.95523839999999993</v>
      </c>
      <c r="I182" s="20">
        <f t="shared" si="299"/>
        <v>42985.727999999996</v>
      </c>
      <c r="J182" s="34">
        <v>6.9547794444444394E-2</v>
      </c>
      <c r="K182" s="20">
        <f t="shared" si="300"/>
        <v>5158.2873599999994</v>
      </c>
      <c r="L182" s="33">
        <v>5.8663599999995798E-2</v>
      </c>
      <c r="M182" s="33">
        <f t="shared" ref="M182" si="502">J182+L182</f>
        <v>0.12821139444444019</v>
      </c>
      <c r="N182" s="20">
        <f t="shared" si="302"/>
        <v>9.5523839999999999E-2</v>
      </c>
      <c r="O182" s="30">
        <f t="shared" ref="O182" si="503">H182-M182-N182</f>
        <v>0.73150316555555972</v>
      </c>
    </row>
    <row r="183" spans="1:15" s="37" customFormat="1" x14ac:dyDescent="0.7">
      <c r="A183" s="6"/>
      <c r="B183" s="6"/>
      <c r="C183" s="6">
        <v>29</v>
      </c>
      <c r="D183" s="7">
        <v>11.07</v>
      </c>
      <c r="E183" s="4">
        <v>5.2</v>
      </c>
      <c r="F183" s="7">
        <v>11.07</v>
      </c>
      <c r="G183" s="35">
        <f t="shared" ref="G183" si="504">F183*86400</f>
        <v>956448</v>
      </c>
      <c r="H183" s="20">
        <f t="shared" ref="H183" si="505">G183/1000000</f>
        <v>0.95644799999999996</v>
      </c>
      <c r="I183" s="20">
        <f t="shared" si="299"/>
        <v>43040.159999999996</v>
      </c>
      <c r="J183" s="28">
        <v>6.9927244444444397E-2</v>
      </c>
      <c r="K183" s="20">
        <f t="shared" si="300"/>
        <v>5164.819199999999</v>
      </c>
      <c r="L183" s="17">
        <v>5.9034133333329103E-2</v>
      </c>
      <c r="M183" s="17">
        <f t="shared" ref="M183" si="506">J183+L183</f>
        <v>0.1289613777777735</v>
      </c>
      <c r="N183" s="20">
        <f t="shared" si="302"/>
        <v>9.5644800000000002E-2</v>
      </c>
      <c r="O183" s="7">
        <f t="shared" ref="O183" si="507">H183-M183-N183</f>
        <v>0.73184182222222649</v>
      </c>
    </row>
    <row r="184" spans="1:15" s="13" customFormat="1" ht="25.2" thickBot="1" x14ac:dyDescent="0.75">
      <c r="A184" s="11"/>
      <c r="B184" s="11" t="s">
        <v>20</v>
      </c>
      <c r="C184" s="11">
        <v>30</v>
      </c>
      <c r="D184" s="19">
        <v>12.975</v>
      </c>
      <c r="E184" s="19">
        <v>2.2999999999999998</v>
      </c>
      <c r="F184" s="19">
        <v>12.975</v>
      </c>
      <c r="G184" s="26">
        <f t="shared" ref="G184" si="508">F184*86400</f>
        <v>1121040</v>
      </c>
      <c r="H184" s="27">
        <f t="shared" ref="H184" si="509">G184/1000000</f>
        <v>1.12104</v>
      </c>
      <c r="I184" s="22">
        <f t="shared" si="299"/>
        <v>50446.799999999996</v>
      </c>
      <c r="J184" s="39">
        <v>7.0306694444444401E-2</v>
      </c>
      <c r="K184" s="22">
        <f t="shared" si="300"/>
        <v>6053.6159999999991</v>
      </c>
      <c r="L184" s="38">
        <v>5.9404666666662401E-2</v>
      </c>
      <c r="M184" s="38">
        <f t="shared" ref="M184" si="510">J184+L184</f>
        <v>0.12971136111110682</v>
      </c>
      <c r="N184" s="22">
        <f t="shared" si="302"/>
        <v>0.11210400000000001</v>
      </c>
      <c r="O184" s="19">
        <f t="shared" ref="O184" si="511">H184-M184-N184</f>
        <v>0.87922463888889324</v>
      </c>
    </row>
    <row r="185" spans="1:15" x14ac:dyDescent="0.7">
      <c r="A185" s="3"/>
      <c r="B185" s="3" t="s">
        <v>21</v>
      </c>
      <c r="C185" s="3">
        <v>1</v>
      </c>
      <c r="D185" s="4">
        <v>17.271000000000001</v>
      </c>
      <c r="E185" s="4">
        <v>0</v>
      </c>
      <c r="F185" s="4">
        <v>17.271000000000001</v>
      </c>
      <c r="G185" s="15">
        <f t="shared" ref="G185" si="512">F185*86400</f>
        <v>1492214.4000000001</v>
      </c>
      <c r="H185" s="21">
        <f t="shared" ref="H185" si="513">G185/1000000</f>
        <v>1.4922144000000002</v>
      </c>
      <c r="I185" s="21">
        <f t="shared" si="299"/>
        <v>67149.648000000001</v>
      </c>
      <c r="J185" s="25">
        <v>7.0686144444444404E-2</v>
      </c>
      <c r="K185" s="21">
        <f t="shared" si="300"/>
        <v>8057.9577600000002</v>
      </c>
      <c r="L185" s="16">
        <v>5.9775199999995698E-2</v>
      </c>
      <c r="M185" s="16">
        <f t="shared" ref="M185" si="514">J185+L185</f>
        <v>0.1304613444444401</v>
      </c>
      <c r="N185" s="21">
        <f t="shared" si="302"/>
        <v>0.14922144000000001</v>
      </c>
      <c r="O185" s="4">
        <f t="shared" ref="O185" si="515">H185-M185-N185</f>
        <v>1.2125316155555601</v>
      </c>
    </row>
    <row r="186" spans="1:15" x14ac:dyDescent="0.7">
      <c r="A186" s="6"/>
      <c r="B186" s="6"/>
      <c r="C186" s="6">
        <v>2</v>
      </c>
      <c r="D186" s="7">
        <v>14.7</v>
      </c>
      <c r="E186" s="4">
        <v>0</v>
      </c>
      <c r="F186" s="7">
        <v>14.7</v>
      </c>
      <c r="G186" s="15">
        <f t="shared" ref="G186" si="516">F186*86400</f>
        <v>1270080</v>
      </c>
      <c r="H186" s="21">
        <f t="shared" ref="H186" si="517">G186/1000000</f>
        <v>1.2700800000000001</v>
      </c>
      <c r="I186" s="20">
        <f t="shared" si="299"/>
        <v>57153.599999999999</v>
      </c>
      <c r="J186" s="28">
        <v>7.1065594444444394E-2</v>
      </c>
      <c r="K186" s="20">
        <f t="shared" si="300"/>
        <v>6858.4319999999998</v>
      </c>
      <c r="L186" s="17">
        <v>6.0145733333329003E-2</v>
      </c>
      <c r="M186" s="17">
        <f t="shared" ref="M186" si="518">J186+L186</f>
        <v>0.13121132777777339</v>
      </c>
      <c r="N186" s="20">
        <f t="shared" si="302"/>
        <v>0.12700800000000001</v>
      </c>
      <c r="O186" s="7">
        <f t="shared" ref="O186" si="519">H186-M186-N186</f>
        <v>1.0118606722222268</v>
      </c>
    </row>
    <row r="187" spans="1:15" x14ac:dyDescent="0.7">
      <c r="A187" s="6"/>
      <c r="B187" s="6"/>
      <c r="C187" s="6">
        <v>3</v>
      </c>
      <c r="D187" s="7">
        <v>12.177</v>
      </c>
      <c r="E187" s="4">
        <v>1</v>
      </c>
      <c r="F187" s="7">
        <v>12.177</v>
      </c>
      <c r="G187" s="15">
        <f t="shared" ref="G187" si="520">F187*86400</f>
        <v>1052092.8</v>
      </c>
      <c r="H187" s="21">
        <f t="shared" ref="H187" si="521">G187/1000000</f>
        <v>1.0520928000000001</v>
      </c>
      <c r="I187" s="20">
        <f t="shared" si="299"/>
        <v>47344.175999999999</v>
      </c>
      <c r="J187" s="28">
        <v>7.1445044444444397E-2</v>
      </c>
      <c r="K187" s="20">
        <f t="shared" si="300"/>
        <v>5681.3011200000001</v>
      </c>
      <c r="L187" s="17">
        <v>6.0516266666662301E-2</v>
      </c>
      <c r="M187" s="17">
        <f t="shared" ref="M187" si="522">J187+L187</f>
        <v>0.1319613111111067</v>
      </c>
      <c r="N187" s="20">
        <f t="shared" si="302"/>
        <v>0.10520928000000002</v>
      </c>
      <c r="O187" s="7">
        <f t="shared" ref="O187" si="523">H187-M187-N187</f>
        <v>0.81492220888889344</v>
      </c>
    </row>
    <row r="188" spans="1:15" x14ac:dyDescent="0.7">
      <c r="A188" s="6"/>
      <c r="B188" s="6"/>
      <c r="C188" s="3">
        <v>4</v>
      </c>
      <c r="D188" s="7">
        <v>12.699</v>
      </c>
      <c r="E188" s="4">
        <v>0</v>
      </c>
      <c r="F188" s="7">
        <v>12.699</v>
      </c>
      <c r="G188" s="15">
        <f t="shared" ref="G188" si="524">F188*86400</f>
        <v>1097193.6000000001</v>
      </c>
      <c r="H188" s="21">
        <f t="shared" ref="H188" si="525">G188/1000000</f>
        <v>1.0971936</v>
      </c>
      <c r="I188" s="20">
        <f t="shared" si="299"/>
        <v>49373.712</v>
      </c>
      <c r="J188" s="28">
        <v>7.1824494444444401E-2</v>
      </c>
      <c r="K188" s="20">
        <f t="shared" si="300"/>
        <v>5924.8454400000001</v>
      </c>
      <c r="L188" s="17">
        <v>6.0886799999995599E-2</v>
      </c>
      <c r="M188" s="17">
        <f t="shared" ref="M188" si="526">J188+L188</f>
        <v>0.13271129444443999</v>
      </c>
      <c r="N188" s="20">
        <f t="shared" si="302"/>
        <v>0.10971936</v>
      </c>
      <c r="O188" s="7">
        <f t="shared" ref="O188" si="527">H188-M188-N188</f>
        <v>0.85476294555555998</v>
      </c>
    </row>
    <row r="189" spans="1:15" x14ac:dyDescent="0.7">
      <c r="A189" s="6"/>
      <c r="B189" s="6"/>
      <c r="C189" s="6">
        <v>5</v>
      </c>
      <c r="D189" s="7">
        <v>12.177</v>
      </c>
      <c r="E189" s="4">
        <v>0</v>
      </c>
      <c r="F189" s="7">
        <v>12.177</v>
      </c>
      <c r="G189" s="15">
        <f t="shared" ref="G189" si="528">F189*86400</f>
        <v>1052092.8</v>
      </c>
      <c r="H189" s="21">
        <f t="shared" ref="H189" si="529">G189/1000000</f>
        <v>1.0520928000000001</v>
      </c>
      <c r="I189" s="20">
        <f t="shared" si="299"/>
        <v>47344.175999999999</v>
      </c>
      <c r="J189" s="28">
        <v>7.2203944444444404E-2</v>
      </c>
      <c r="K189" s="20">
        <f t="shared" si="300"/>
        <v>5681.3011200000001</v>
      </c>
      <c r="L189" s="17">
        <v>6.1257333333328903E-2</v>
      </c>
      <c r="M189" s="17">
        <f t="shared" ref="M189" si="530">J189+L189</f>
        <v>0.13346127777777331</v>
      </c>
      <c r="N189" s="20">
        <f t="shared" si="302"/>
        <v>0.10520928000000002</v>
      </c>
      <c r="O189" s="7">
        <f t="shared" ref="O189" si="531">H189-M189-N189</f>
        <v>0.81342224222222681</v>
      </c>
    </row>
    <row r="190" spans="1:15" x14ac:dyDescent="0.7">
      <c r="A190" s="6"/>
      <c r="B190" s="6"/>
      <c r="C190" s="6">
        <v>6</v>
      </c>
      <c r="D190" s="7">
        <v>12.875999999999999</v>
      </c>
      <c r="E190" s="4">
        <v>0.6</v>
      </c>
      <c r="F190" s="7">
        <v>12.875999999999999</v>
      </c>
      <c r="G190" s="15">
        <f t="shared" ref="G190" si="532">F190*86400</f>
        <v>1112486.3999999999</v>
      </c>
      <c r="H190" s="21">
        <f t="shared" ref="H190" si="533">G190/1000000</f>
        <v>1.1124863999999999</v>
      </c>
      <c r="I190" s="20">
        <f t="shared" si="299"/>
        <v>50061.887999999992</v>
      </c>
      <c r="J190" s="28">
        <v>7.2583394444444393E-2</v>
      </c>
      <c r="K190" s="20">
        <f t="shared" si="300"/>
        <v>6007.426559999999</v>
      </c>
      <c r="L190" s="17">
        <v>6.1627866666662201E-2</v>
      </c>
      <c r="M190" s="17">
        <f t="shared" ref="M190" si="534">J190+L190</f>
        <v>0.13421126111110659</v>
      </c>
      <c r="N190" s="20">
        <f t="shared" si="302"/>
        <v>0.11124864</v>
      </c>
      <c r="O190" s="7">
        <f t="shared" ref="O190" si="535">H190-M190-N190</f>
        <v>0.86702649888889327</v>
      </c>
    </row>
    <row r="191" spans="1:15" x14ac:dyDescent="0.7">
      <c r="A191" s="6"/>
      <c r="B191" s="6"/>
      <c r="C191" s="3">
        <v>7</v>
      </c>
      <c r="D191" s="7">
        <v>18.777999999999999</v>
      </c>
      <c r="E191" s="4">
        <v>0</v>
      </c>
      <c r="F191" s="7">
        <v>18.777999999999999</v>
      </c>
      <c r="G191" s="15">
        <f t="shared" ref="G191" si="536">F191*86400</f>
        <v>1622419.2</v>
      </c>
      <c r="H191" s="21">
        <f t="shared" ref="H191" si="537">G191/1000000</f>
        <v>1.6224192</v>
      </c>
      <c r="I191" s="20">
        <f t="shared" si="299"/>
        <v>73008.864000000001</v>
      </c>
      <c r="J191" s="28">
        <v>7.2962844444444397E-2</v>
      </c>
      <c r="K191" s="20">
        <f t="shared" si="300"/>
        <v>8761.0636799999993</v>
      </c>
      <c r="L191" s="17">
        <v>6.1998399999995499E-2</v>
      </c>
      <c r="M191" s="17">
        <f t="shared" ref="M191" si="538">J191+L191</f>
        <v>0.13496124444443991</v>
      </c>
      <c r="N191" s="20">
        <f t="shared" si="302"/>
        <v>0.16224192000000001</v>
      </c>
      <c r="O191" s="7">
        <f t="shared" ref="O191" si="539">H191-M191-N191</f>
        <v>1.32521603555556</v>
      </c>
    </row>
    <row r="192" spans="1:15" x14ac:dyDescent="0.7">
      <c r="A192" s="6"/>
      <c r="B192" s="6"/>
      <c r="C192" s="6">
        <v>8</v>
      </c>
      <c r="D192" s="7">
        <v>17.481000000000002</v>
      </c>
      <c r="E192" s="4">
        <v>0.2</v>
      </c>
      <c r="F192" s="7">
        <v>17.481000000000002</v>
      </c>
      <c r="G192" s="15">
        <f t="shared" ref="G192" si="540">F192*86400</f>
        <v>1510358.4000000001</v>
      </c>
      <c r="H192" s="21">
        <f t="shared" ref="H192" si="541">G192/1000000</f>
        <v>1.5103584000000001</v>
      </c>
      <c r="I192" s="20">
        <f t="shared" si="299"/>
        <v>67966.127999999997</v>
      </c>
      <c r="J192" s="28">
        <v>7.33422944444444E-2</v>
      </c>
      <c r="K192" s="20">
        <f t="shared" si="300"/>
        <v>8155.9353599999995</v>
      </c>
      <c r="L192" s="17">
        <v>6.2368933333328803E-2</v>
      </c>
      <c r="M192" s="17">
        <f t="shared" ref="M192" si="542">J192+L192</f>
        <v>0.1357112277777732</v>
      </c>
      <c r="N192" s="20">
        <f t="shared" si="302"/>
        <v>0.15103584000000003</v>
      </c>
      <c r="O192" s="7">
        <f t="shared" ref="O192" si="543">H192-M192-N192</f>
        <v>1.2236113322222268</v>
      </c>
    </row>
    <row r="193" spans="1:15" x14ac:dyDescent="0.7">
      <c r="A193" s="6"/>
      <c r="B193" s="6"/>
      <c r="C193" s="6">
        <v>9</v>
      </c>
      <c r="D193" s="7">
        <v>17.814</v>
      </c>
      <c r="E193" s="4">
        <v>0</v>
      </c>
      <c r="F193" s="7">
        <v>17.814</v>
      </c>
      <c r="G193" s="15">
        <f t="shared" ref="G193" si="544">F193*86400</f>
        <v>1539129.6</v>
      </c>
      <c r="H193" s="21">
        <f t="shared" ref="H193" si="545">G193/1000000</f>
        <v>1.5391296000000001</v>
      </c>
      <c r="I193" s="20">
        <f t="shared" si="299"/>
        <v>69260.831999999995</v>
      </c>
      <c r="J193" s="28">
        <v>7.3721744444444404E-2</v>
      </c>
      <c r="K193" s="20">
        <f t="shared" si="300"/>
        <v>8311.2998399999997</v>
      </c>
      <c r="L193" s="17">
        <v>6.2739466666662094E-2</v>
      </c>
      <c r="M193" s="17">
        <f t="shared" ref="M193" si="546">J193+L193</f>
        <v>0.13646121111110648</v>
      </c>
      <c r="N193" s="20">
        <f t="shared" si="302"/>
        <v>0.15391296000000002</v>
      </c>
      <c r="O193" s="7">
        <f t="shared" ref="O193" si="547">H193-M193-N193</f>
        <v>1.2487554288888936</v>
      </c>
    </row>
    <row r="194" spans="1:15" x14ac:dyDescent="0.7">
      <c r="A194" s="6"/>
      <c r="B194" s="6"/>
      <c r="C194" s="3">
        <v>10</v>
      </c>
      <c r="D194" s="7">
        <v>50.385000000000005</v>
      </c>
      <c r="E194" s="4">
        <v>34.5</v>
      </c>
      <c r="F194" s="7">
        <v>50.385000000000005</v>
      </c>
      <c r="G194" s="15">
        <f t="shared" ref="G194" si="548">F194*86400</f>
        <v>4353264</v>
      </c>
      <c r="H194" s="21">
        <f t="shared" ref="H194" si="549">G194/1000000</f>
        <v>4.3532640000000002</v>
      </c>
      <c r="I194" s="20">
        <f t="shared" si="299"/>
        <v>195896.88</v>
      </c>
      <c r="J194" s="28">
        <v>7.4101194444444393E-2</v>
      </c>
      <c r="K194" s="20">
        <f t="shared" si="300"/>
        <v>23507.625599999999</v>
      </c>
      <c r="L194" s="17">
        <v>6.3109999999995406E-2</v>
      </c>
      <c r="M194" s="17">
        <f t="shared" ref="M194" si="550">J194+L194</f>
        <v>0.1372111944444398</v>
      </c>
      <c r="N194" s="20">
        <f t="shared" si="302"/>
        <v>0.43532640000000006</v>
      </c>
      <c r="O194" s="7">
        <f t="shared" ref="O194" si="551">H194-M194-N194</f>
        <v>3.7807264055555603</v>
      </c>
    </row>
    <row r="195" spans="1:15" x14ac:dyDescent="0.7">
      <c r="A195" s="6"/>
      <c r="B195" s="6"/>
      <c r="C195" s="6">
        <v>11</v>
      </c>
      <c r="D195" s="7">
        <v>33.548000000000002</v>
      </c>
      <c r="E195" s="4">
        <v>3.2</v>
      </c>
      <c r="F195" s="7">
        <v>33.548000000000002</v>
      </c>
      <c r="G195" s="15">
        <f t="shared" ref="G195" si="552">F195*86400</f>
        <v>2898547.2</v>
      </c>
      <c r="H195" s="21">
        <f t="shared" ref="H195" si="553">G195/1000000</f>
        <v>2.8985472000000003</v>
      </c>
      <c r="I195" s="20">
        <f t="shared" si="299"/>
        <v>130434.62400000001</v>
      </c>
      <c r="J195" s="28">
        <v>7.4480644444444397E-2</v>
      </c>
      <c r="K195" s="20">
        <f t="shared" si="300"/>
        <v>15652.15488</v>
      </c>
      <c r="L195" s="17">
        <v>6.3480533333328704E-2</v>
      </c>
      <c r="M195" s="17">
        <f t="shared" ref="M195" si="554">J195+L195</f>
        <v>0.13796117777777311</v>
      </c>
      <c r="N195" s="20">
        <f t="shared" si="302"/>
        <v>0.28985472000000007</v>
      </c>
      <c r="O195" s="7">
        <f t="shared" ref="O195" si="555">H195-M195-N195</f>
        <v>2.470731302222227</v>
      </c>
    </row>
    <row r="196" spans="1:15" x14ac:dyDescent="0.7">
      <c r="A196" s="6"/>
      <c r="B196" s="6"/>
      <c r="C196" s="6">
        <v>12</v>
      </c>
      <c r="D196" s="7">
        <v>14.744</v>
      </c>
      <c r="E196" s="4">
        <v>0.3</v>
      </c>
      <c r="F196" s="7">
        <v>14.744</v>
      </c>
      <c r="G196" s="15">
        <f t="shared" ref="G196" si="556">F196*86400</f>
        <v>1273881.6000000001</v>
      </c>
      <c r="H196" s="21">
        <f t="shared" ref="H196" si="557">G196/1000000</f>
        <v>1.2738816000000002</v>
      </c>
      <c r="I196" s="20">
        <f t="shared" ref="I196:I259" si="558">H196*1000000*0.045</f>
        <v>57324.671999999999</v>
      </c>
      <c r="J196" s="28">
        <v>7.48600944444444E-2</v>
      </c>
      <c r="K196" s="20">
        <f t="shared" ref="K196:K259" si="559">I196*0.12</f>
        <v>6878.9606399999993</v>
      </c>
      <c r="L196" s="17">
        <v>6.3851066666662001E-2</v>
      </c>
      <c r="M196" s="17">
        <f t="shared" ref="M196" si="560">J196+L196</f>
        <v>0.1387111611111064</v>
      </c>
      <c r="N196" s="20">
        <f t="shared" ref="N196:N259" si="561">H196*0.1</f>
        <v>0.12738816000000003</v>
      </c>
      <c r="O196" s="7">
        <f t="shared" ref="O196" si="562">H196-M196-N196</f>
        <v>1.0077822788888937</v>
      </c>
    </row>
    <row r="197" spans="1:15" x14ac:dyDescent="0.7">
      <c r="A197" s="6"/>
      <c r="B197" s="6"/>
      <c r="C197" s="3">
        <v>13</v>
      </c>
      <c r="D197" s="7">
        <v>14.94</v>
      </c>
      <c r="E197" s="4">
        <v>0</v>
      </c>
      <c r="F197" s="7">
        <v>14.94</v>
      </c>
      <c r="G197" s="15">
        <f t="shared" ref="G197" si="563">F197*86400</f>
        <v>1290816</v>
      </c>
      <c r="H197" s="21">
        <f t="shared" ref="H197" si="564">G197/1000000</f>
        <v>1.290816</v>
      </c>
      <c r="I197" s="20">
        <f t="shared" si="558"/>
        <v>58086.720000000001</v>
      </c>
      <c r="J197" s="28">
        <v>7.5239544444444403E-2</v>
      </c>
      <c r="K197" s="20">
        <f t="shared" si="559"/>
        <v>6970.4063999999998</v>
      </c>
      <c r="L197" s="17">
        <v>6.4221599999995299E-2</v>
      </c>
      <c r="M197" s="17">
        <f t="shared" ref="M197" si="565">J197+L197</f>
        <v>0.13946114444443969</v>
      </c>
      <c r="N197" s="20">
        <f t="shared" si="561"/>
        <v>0.12908159999999999</v>
      </c>
      <c r="O197" s="7">
        <f t="shared" ref="O197" si="566">H197-M197-N197</f>
        <v>1.0222732555555603</v>
      </c>
    </row>
    <row r="198" spans="1:15" x14ac:dyDescent="0.7">
      <c r="A198" s="6"/>
      <c r="B198" s="6"/>
      <c r="C198" s="6">
        <v>14</v>
      </c>
      <c r="D198" s="7">
        <v>19.213999999999999</v>
      </c>
      <c r="E198" s="4">
        <v>2.7</v>
      </c>
      <c r="F198" s="7">
        <v>19.213999999999999</v>
      </c>
      <c r="G198" s="15">
        <f t="shared" ref="G198" si="567">F198*86400</f>
        <v>1660089.5999999999</v>
      </c>
      <c r="H198" s="21">
        <f t="shared" ref="H198" si="568">G198/1000000</f>
        <v>1.6600895999999998</v>
      </c>
      <c r="I198" s="20">
        <f t="shared" si="558"/>
        <v>74704.031999999992</v>
      </c>
      <c r="J198" s="28">
        <v>7.5618994444444407E-2</v>
      </c>
      <c r="K198" s="20">
        <f t="shared" si="559"/>
        <v>8964.483839999999</v>
      </c>
      <c r="L198" s="17">
        <v>6.4592133333328597E-2</v>
      </c>
      <c r="M198" s="17">
        <f t="shared" ref="M198" si="569">J198+L198</f>
        <v>0.140211127777773</v>
      </c>
      <c r="N198" s="20">
        <f t="shared" si="561"/>
        <v>0.16600895999999998</v>
      </c>
      <c r="O198" s="7">
        <f t="shared" ref="O198" si="570">H198-M198-N198</f>
        <v>1.3538695122222268</v>
      </c>
    </row>
    <row r="199" spans="1:15" x14ac:dyDescent="0.7">
      <c r="A199" s="6"/>
      <c r="B199" s="6"/>
      <c r="C199" s="6">
        <v>15</v>
      </c>
      <c r="D199" s="7">
        <v>18.166</v>
      </c>
      <c r="E199" s="4">
        <v>0</v>
      </c>
      <c r="F199" s="7">
        <v>18.166</v>
      </c>
      <c r="G199" s="15">
        <f t="shared" ref="G199" si="571">F199*86400</f>
        <v>1569542.4000000001</v>
      </c>
      <c r="H199" s="21">
        <f t="shared" ref="H199" si="572">G199/1000000</f>
        <v>1.5695424000000002</v>
      </c>
      <c r="I199" s="20">
        <f t="shared" si="558"/>
        <v>70629.40800000001</v>
      </c>
      <c r="J199" s="28">
        <v>7.5998444444444396E-2</v>
      </c>
      <c r="K199" s="20">
        <f t="shared" si="559"/>
        <v>8475.5289600000015</v>
      </c>
      <c r="L199" s="17">
        <v>6.4962666666661895E-2</v>
      </c>
      <c r="M199" s="17">
        <f t="shared" ref="M199" si="573">J199+L199</f>
        <v>0.14096111111110629</v>
      </c>
      <c r="N199" s="20">
        <f t="shared" si="561"/>
        <v>0.15695424000000002</v>
      </c>
      <c r="O199" s="7">
        <f t="shared" ref="O199" si="574">H199-M199-N199</f>
        <v>1.2716270488888939</v>
      </c>
    </row>
    <row r="200" spans="1:15" x14ac:dyDescent="0.7">
      <c r="A200" s="6"/>
      <c r="B200" s="6"/>
      <c r="C200" s="3">
        <v>16</v>
      </c>
      <c r="D200" s="7">
        <v>17.776</v>
      </c>
      <c r="E200" s="4">
        <v>8.3000000000000007</v>
      </c>
      <c r="F200" s="7">
        <v>17.776</v>
      </c>
      <c r="G200" s="15">
        <f t="shared" ref="G200" si="575">F200*86400</f>
        <v>1535846.3999999999</v>
      </c>
      <c r="H200" s="21">
        <f t="shared" ref="H200" si="576">G200/1000000</f>
        <v>1.5358463999999998</v>
      </c>
      <c r="I200" s="20">
        <f t="shared" si="558"/>
        <v>69113.087999999989</v>
      </c>
      <c r="J200" s="28">
        <v>7.63778944444444E-2</v>
      </c>
      <c r="K200" s="20">
        <f t="shared" si="559"/>
        <v>8293.5705599999983</v>
      </c>
      <c r="L200" s="17">
        <v>6.5333199999995206E-2</v>
      </c>
      <c r="M200" s="17">
        <f t="shared" ref="M200" si="577">J200+L200</f>
        <v>0.14171109444443961</v>
      </c>
      <c r="N200" s="20">
        <f t="shared" si="561"/>
        <v>0.15358463999999999</v>
      </c>
      <c r="O200" s="7">
        <f t="shared" ref="O200" si="578">H200-M200-N200</f>
        <v>1.2405506655555603</v>
      </c>
    </row>
    <row r="201" spans="1:15" x14ac:dyDescent="0.7">
      <c r="A201" s="6"/>
      <c r="B201" s="6"/>
      <c r="C201" s="6">
        <v>17</v>
      </c>
      <c r="D201" s="7">
        <v>15.957000000000001</v>
      </c>
      <c r="E201" s="4">
        <v>14.8</v>
      </c>
      <c r="F201" s="7">
        <v>15.957000000000001</v>
      </c>
      <c r="G201" s="15">
        <f t="shared" ref="G201" si="579">F201*86400</f>
        <v>1378684.8</v>
      </c>
      <c r="H201" s="21">
        <f t="shared" ref="H201" si="580">G201/1000000</f>
        <v>1.3786848</v>
      </c>
      <c r="I201" s="20">
        <f t="shared" si="558"/>
        <v>62040.815999999999</v>
      </c>
      <c r="J201" s="28">
        <v>7.6757344444444403E-2</v>
      </c>
      <c r="K201" s="20">
        <f t="shared" si="559"/>
        <v>7444.8979199999994</v>
      </c>
      <c r="L201" s="17">
        <v>6.5703733333328504E-2</v>
      </c>
      <c r="M201" s="17">
        <f t="shared" ref="M201" si="581">J201+L201</f>
        <v>0.14246107777777289</v>
      </c>
      <c r="N201" s="20">
        <f t="shared" si="561"/>
        <v>0.13786848000000002</v>
      </c>
      <c r="O201" s="7">
        <f t="shared" ref="O201" si="582">H201-M201-N201</f>
        <v>1.0983552422222271</v>
      </c>
    </row>
    <row r="202" spans="1:15" x14ac:dyDescent="0.7">
      <c r="A202" s="6"/>
      <c r="B202" s="6"/>
      <c r="C202" s="6">
        <v>18</v>
      </c>
      <c r="D202" s="7">
        <v>16.742000000000001</v>
      </c>
      <c r="E202" s="4">
        <v>0.4</v>
      </c>
      <c r="F202" s="7">
        <v>16.742000000000001</v>
      </c>
      <c r="G202" s="15">
        <f t="shared" ref="G202" si="583">F202*86400</f>
        <v>1446508.8</v>
      </c>
      <c r="H202" s="21">
        <f t="shared" ref="H202" si="584">G202/1000000</f>
        <v>1.4465088000000002</v>
      </c>
      <c r="I202" s="20">
        <f t="shared" si="558"/>
        <v>65092.896000000001</v>
      </c>
      <c r="J202" s="28">
        <v>7.7136794444444406E-2</v>
      </c>
      <c r="K202" s="20">
        <f t="shared" si="559"/>
        <v>7811.1475199999995</v>
      </c>
      <c r="L202" s="17">
        <v>6.6074266666661802E-2</v>
      </c>
      <c r="M202" s="17">
        <f t="shared" ref="M202" si="585">J202+L202</f>
        <v>0.14321106111110621</v>
      </c>
      <c r="N202" s="20">
        <f t="shared" si="561"/>
        <v>0.14465088000000001</v>
      </c>
      <c r="O202" s="7">
        <f t="shared" ref="O202" si="586">H202-M202-N202</f>
        <v>1.1586468588888941</v>
      </c>
    </row>
    <row r="203" spans="1:15" x14ac:dyDescent="0.7">
      <c r="A203" s="6"/>
      <c r="B203" s="6"/>
      <c r="C203" s="3">
        <v>19</v>
      </c>
      <c r="D203" s="7">
        <v>19.532</v>
      </c>
      <c r="E203" s="4">
        <v>0</v>
      </c>
      <c r="F203" s="7">
        <v>19.532</v>
      </c>
      <c r="G203" s="15">
        <f t="shared" ref="G203" si="587">F203*86400</f>
        <v>1687564.8</v>
      </c>
      <c r="H203" s="21">
        <f t="shared" ref="H203" si="588">G203/1000000</f>
        <v>1.6875648000000001</v>
      </c>
      <c r="I203" s="20">
        <f t="shared" si="558"/>
        <v>75940.415999999997</v>
      </c>
      <c r="J203" s="28">
        <v>7.7516244444444396E-2</v>
      </c>
      <c r="K203" s="20">
        <f t="shared" si="559"/>
        <v>9112.8499199999987</v>
      </c>
      <c r="L203" s="17">
        <v>6.6444799999995099E-2</v>
      </c>
      <c r="M203" s="17">
        <f t="shared" ref="M203" si="589">J203+L203</f>
        <v>0.1439610444444395</v>
      </c>
      <c r="N203" s="20">
        <f t="shared" si="561"/>
        <v>0.16875648000000001</v>
      </c>
      <c r="O203" s="7">
        <f t="shared" ref="O203" si="590">H203-M203-N203</f>
        <v>1.3748472755555605</v>
      </c>
    </row>
    <row r="204" spans="1:15" x14ac:dyDescent="0.7">
      <c r="A204" s="6"/>
      <c r="B204" s="6"/>
      <c r="C204" s="6">
        <v>20</v>
      </c>
      <c r="D204" s="7">
        <v>19.213999999999999</v>
      </c>
      <c r="E204" s="4">
        <v>0</v>
      </c>
      <c r="F204" s="7">
        <v>19.213999999999999</v>
      </c>
      <c r="G204" s="15">
        <f t="shared" ref="G204" si="591">F204*86400</f>
        <v>1660089.5999999999</v>
      </c>
      <c r="H204" s="21">
        <f t="shared" ref="H204" si="592">G204/1000000</f>
        <v>1.6600895999999998</v>
      </c>
      <c r="I204" s="20">
        <f t="shared" si="558"/>
        <v>74704.031999999992</v>
      </c>
      <c r="J204" s="28">
        <v>7.7895694444444399E-2</v>
      </c>
      <c r="K204" s="20">
        <f t="shared" si="559"/>
        <v>8964.483839999999</v>
      </c>
      <c r="L204" s="17">
        <v>6.6815333333328397E-2</v>
      </c>
      <c r="M204" s="17">
        <f t="shared" ref="M204" si="593">J204+L204</f>
        <v>0.14471102777777278</v>
      </c>
      <c r="N204" s="20">
        <f t="shared" si="561"/>
        <v>0.16600895999999998</v>
      </c>
      <c r="O204" s="7">
        <f t="shared" ref="O204" si="594">H204-M204-N204</f>
        <v>1.349369612222227</v>
      </c>
    </row>
    <row r="205" spans="1:15" x14ac:dyDescent="0.7">
      <c r="A205" s="6"/>
      <c r="B205" s="6"/>
      <c r="C205" s="6">
        <v>21</v>
      </c>
      <c r="D205" s="7">
        <v>18.504999999999999</v>
      </c>
      <c r="E205" s="4">
        <v>20</v>
      </c>
      <c r="F205" s="7">
        <v>18.504999999999999</v>
      </c>
      <c r="G205" s="15">
        <f t="shared" ref="G205" si="595">F205*86400</f>
        <v>1598832</v>
      </c>
      <c r="H205" s="21">
        <f t="shared" ref="H205" si="596">G205/1000000</f>
        <v>1.598832</v>
      </c>
      <c r="I205" s="20">
        <f t="shared" si="558"/>
        <v>71947.44</v>
      </c>
      <c r="J205" s="28">
        <v>7.8275144444444403E-2</v>
      </c>
      <c r="K205" s="20">
        <f t="shared" si="559"/>
        <v>8633.6928000000007</v>
      </c>
      <c r="L205" s="17">
        <v>6.7185866666661695E-2</v>
      </c>
      <c r="M205" s="17">
        <f t="shared" ref="M205" si="597">J205+L205</f>
        <v>0.1454610111111061</v>
      </c>
      <c r="N205" s="20">
        <f t="shared" si="561"/>
        <v>0.1598832</v>
      </c>
      <c r="O205" s="7">
        <f t="shared" ref="O205" si="598">H205-M205-N205</f>
        <v>1.293487788888894</v>
      </c>
    </row>
    <row r="206" spans="1:15" x14ac:dyDescent="0.7">
      <c r="A206" s="6"/>
      <c r="B206" s="6"/>
      <c r="C206" s="3">
        <v>22</v>
      </c>
      <c r="D206" s="7">
        <v>16.690000000000001</v>
      </c>
      <c r="E206" s="4">
        <v>2.2000000000000002</v>
      </c>
      <c r="F206" s="7">
        <v>16.690000000000001</v>
      </c>
      <c r="G206" s="15">
        <f t="shared" ref="G206" si="599">F206*86400</f>
        <v>1442016</v>
      </c>
      <c r="H206" s="21">
        <f t="shared" ref="H206" si="600">G206/1000000</f>
        <v>1.442016</v>
      </c>
      <c r="I206" s="20">
        <f t="shared" si="558"/>
        <v>64890.720000000001</v>
      </c>
      <c r="J206" s="28">
        <v>7.8654594444444406E-2</v>
      </c>
      <c r="K206" s="20">
        <f t="shared" si="559"/>
        <v>7786.8863999999994</v>
      </c>
      <c r="L206" s="17">
        <v>6.7556399999995007E-2</v>
      </c>
      <c r="M206" s="17">
        <f t="shared" ref="M206" si="601">J206+L206</f>
        <v>0.14621099444443941</v>
      </c>
      <c r="N206" s="20">
        <f t="shared" si="561"/>
        <v>0.14420160000000001</v>
      </c>
      <c r="O206" s="7">
        <f t="shared" ref="O206" si="602">H206-M206-N206</f>
        <v>1.1516034055555606</v>
      </c>
    </row>
    <row r="207" spans="1:15" x14ac:dyDescent="0.7">
      <c r="A207" s="6"/>
      <c r="B207" s="6"/>
      <c r="C207" s="6">
        <v>23</v>
      </c>
      <c r="D207" s="7">
        <v>16.690000000000001</v>
      </c>
      <c r="E207" s="4">
        <v>43.7</v>
      </c>
      <c r="F207" s="7">
        <v>16.690000000000001</v>
      </c>
      <c r="G207" s="15">
        <f t="shared" ref="G207" si="603">F207*86400</f>
        <v>1442016</v>
      </c>
      <c r="H207" s="21">
        <f t="shared" ref="H207" si="604">G207/1000000</f>
        <v>1.442016</v>
      </c>
      <c r="I207" s="20">
        <f t="shared" si="558"/>
        <v>64890.720000000001</v>
      </c>
      <c r="J207" s="28">
        <v>7.9034044444444396E-2</v>
      </c>
      <c r="K207" s="20">
        <f t="shared" si="559"/>
        <v>7786.8863999999994</v>
      </c>
      <c r="L207" s="17">
        <v>6.7926933333328304E-2</v>
      </c>
      <c r="M207" s="17">
        <f t="shared" ref="M207" si="605">J207+L207</f>
        <v>0.1469609777777727</v>
      </c>
      <c r="N207" s="20">
        <f t="shared" si="561"/>
        <v>0.14420160000000001</v>
      </c>
      <c r="O207" s="7">
        <f t="shared" ref="O207" si="606">H207-M207-N207</f>
        <v>1.1508534222222273</v>
      </c>
    </row>
    <row r="208" spans="1:15" x14ac:dyDescent="0.7">
      <c r="A208" s="6"/>
      <c r="B208" s="6"/>
      <c r="C208" s="6">
        <v>24</v>
      </c>
      <c r="D208" s="7">
        <v>18.501000000000001</v>
      </c>
      <c r="E208" s="4">
        <v>1.9</v>
      </c>
      <c r="F208" s="7">
        <v>18.501000000000001</v>
      </c>
      <c r="G208" s="15">
        <f t="shared" ref="G208" si="607">F208*86400</f>
        <v>1598486.4000000001</v>
      </c>
      <c r="H208" s="21">
        <f t="shared" ref="H208" si="608">G208/1000000</f>
        <v>1.5984864000000001</v>
      </c>
      <c r="I208" s="20">
        <f t="shared" si="558"/>
        <v>71931.888000000006</v>
      </c>
      <c r="J208" s="28">
        <v>7.9413494444444399E-2</v>
      </c>
      <c r="K208" s="20">
        <f t="shared" si="559"/>
        <v>8631.8265600000013</v>
      </c>
      <c r="L208" s="17">
        <v>6.8297466666661602E-2</v>
      </c>
      <c r="M208" s="17">
        <f t="shared" ref="M208" si="609">J208+L208</f>
        <v>0.14771096111110599</v>
      </c>
      <c r="N208" s="20">
        <f t="shared" si="561"/>
        <v>0.15984864000000001</v>
      </c>
      <c r="O208" s="7">
        <f t="shared" ref="O208" si="610">H208-M208-N208</f>
        <v>1.2909267988888939</v>
      </c>
    </row>
    <row r="209" spans="1:15" x14ac:dyDescent="0.7">
      <c r="A209" s="6"/>
      <c r="B209" s="6"/>
      <c r="C209" s="3">
        <v>25</v>
      </c>
      <c r="D209" s="7">
        <v>19.213999999999999</v>
      </c>
      <c r="E209" s="4">
        <v>0.1</v>
      </c>
      <c r="F209" s="7">
        <v>19.213999999999999</v>
      </c>
      <c r="G209" s="15">
        <f t="shared" ref="G209" si="611">F209*86400</f>
        <v>1660089.5999999999</v>
      </c>
      <c r="H209" s="21">
        <f t="shared" ref="H209" si="612">G209/1000000</f>
        <v>1.6600895999999998</v>
      </c>
      <c r="I209" s="20">
        <f t="shared" si="558"/>
        <v>74704.031999999992</v>
      </c>
      <c r="J209" s="28">
        <v>7.9792944444444402E-2</v>
      </c>
      <c r="K209" s="20">
        <f t="shared" si="559"/>
        <v>8964.483839999999</v>
      </c>
      <c r="L209" s="17">
        <v>6.86679999999949E-2</v>
      </c>
      <c r="M209" s="17">
        <f t="shared" ref="M209" si="613">J209+L209</f>
        <v>0.1484609444444393</v>
      </c>
      <c r="N209" s="20">
        <f t="shared" si="561"/>
        <v>0.16600895999999998</v>
      </c>
      <c r="O209" s="7">
        <f t="shared" ref="O209" si="614">H209-M209-N209</f>
        <v>1.3456196955555604</v>
      </c>
    </row>
    <row r="210" spans="1:15" x14ac:dyDescent="0.7">
      <c r="A210" s="6"/>
      <c r="B210" s="6"/>
      <c r="C210" s="6">
        <v>26</v>
      </c>
      <c r="D210" s="7">
        <v>21.654</v>
      </c>
      <c r="E210" s="4">
        <v>1.9</v>
      </c>
      <c r="F210" s="7">
        <v>21.654</v>
      </c>
      <c r="G210" s="15">
        <f t="shared" ref="G210" si="615">F210*86400</f>
        <v>1870905.6</v>
      </c>
      <c r="H210" s="21">
        <f t="shared" ref="H210" si="616">G210/1000000</f>
        <v>1.8709056000000002</v>
      </c>
      <c r="I210" s="20">
        <f t="shared" si="558"/>
        <v>84190.752000000008</v>
      </c>
      <c r="J210" s="28">
        <v>8.0172394444444406E-2</v>
      </c>
      <c r="K210" s="20">
        <f t="shared" si="559"/>
        <v>10102.890240000001</v>
      </c>
      <c r="L210" s="17">
        <v>6.9038533333328198E-2</v>
      </c>
      <c r="M210" s="17">
        <f t="shared" ref="M210" si="617">J210+L210</f>
        <v>0.14921092777777262</v>
      </c>
      <c r="N210" s="20">
        <f t="shared" si="561"/>
        <v>0.18709056000000002</v>
      </c>
      <c r="O210" s="7">
        <f t="shared" ref="O210" si="618">H210-M210-N210</f>
        <v>1.5346041122222274</v>
      </c>
    </row>
    <row r="211" spans="1:15" x14ac:dyDescent="0.7">
      <c r="A211" s="6"/>
      <c r="B211" s="6"/>
      <c r="C211" s="6">
        <v>27</v>
      </c>
      <c r="D211" s="7">
        <v>22.222000000000001</v>
      </c>
      <c r="E211" s="4">
        <v>5.2</v>
      </c>
      <c r="F211" s="7">
        <v>22.222000000000001</v>
      </c>
      <c r="G211" s="15">
        <f t="shared" ref="G211" si="619">F211*86400</f>
        <v>1919980.8</v>
      </c>
      <c r="H211" s="21">
        <f t="shared" ref="H211" si="620">G211/1000000</f>
        <v>1.9199808</v>
      </c>
      <c r="I211" s="20">
        <f t="shared" si="558"/>
        <v>86399.135999999999</v>
      </c>
      <c r="J211" s="28">
        <v>8.0551844444444395E-2</v>
      </c>
      <c r="K211" s="20">
        <f t="shared" si="559"/>
        <v>10367.89632</v>
      </c>
      <c r="L211" s="17">
        <v>6.9409066666661495E-2</v>
      </c>
      <c r="M211" s="17">
        <f t="shared" ref="M211" si="621">J211+L211</f>
        <v>0.14996091111110588</v>
      </c>
      <c r="N211" s="20">
        <f t="shared" si="561"/>
        <v>0.19199808000000002</v>
      </c>
      <c r="O211" s="7">
        <f t="shared" ref="O211" si="622">H211-M211-N211</f>
        <v>1.578021808888894</v>
      </c>
    </row>
    <row r="212" spans="1:15" x14ac:dyDescent="0.7">
      <c r="A212" s="6"/>
      <c r="B212" s="6"/>
      <c r="C212" s="3">
        <v>28</v>
      </c>
      <c r="D212" s="7">
        <v>20.332000000000001</v>
      </c>
      <c r="E212" s="4">
        <v>12.3</v>
      </c>
      <c r="F212" s="7">
        <v>20.332000000000001</v>
      </c>
      <c r="G212" s="15">
        <f t="shared" ref="G212" si="623">F212*86400</f>
        <v>1756684.8</v>
      </c>
      <c r="H212" s="21">
        <f t="shared" ref="H212" si="624">G212/1000000</f>
        <v>1.7566848000000002</v>
      </c>
      <c r="I212" s="20">
        <f t="shared" si="558"/>
        <v>79050.816000000006</v>
      </c>
      <c r="J212" s="28">
        <v>8.0931294444444399E-2</v>
      </c>
      <c r="K212" s="20">
        <f t="shared" si="559"/>
        <v>9486.0979200000002</v>
      </c>
      <c r="L212" s="17">
        <v>6.9779599999994807E-2</v>
      </c>
      <c r="M212" s="17">
        <f t="shared" ref="M212" si="625">J212+L212</f>
        <v>0.15071089444443919</v>
      </c>
      <c r="N212" s="20">
        <f t="shared" si="561"/>
        <v>0.17566848000000002</v>
      </c>
      <c r="O212" s="7">
        <f t="shared" ref="O212" si="626">H212-M212-N212</f>
        <v>1.4303054255555607</v>
      </c>
    </row>
    <row r="213" spans="1:15" x14ac:dyDescent="0.7">
      <c r="A213" s="12"/>
      <c r="B213" s="12"/>
      <c r="C213" s="12">
        <v>29</v>
      </c>
      <c r="D213" s="30">
        <v>20.332000000000001</v>
      </c>
      <c r="E213" s="4">
        <v>13.1</v>
      </c>
      <c r="F213" s="30">
        <v>20.332000000000001</v>
      </c>
      <c r="G213" s="31">
        <f t="shared" ref="G213" si="627">F213*86400</f>
        <v>1756684.8</v>
      </c>
      <c r="H213" s="32">
        <f t="shared" ref="H213" si="628">G213/1000000</f>
        <v>1.7566848000000002</v>
      </c>
      <c r="I213" s="20">
        <f t="shared" si="558"/>
        <v>79050.816000000006</v>
      </c>
      <c r="J213" s="34">
        <v>8.1310744444444402E-2</v>
      </c>
      <c r="K213" s="20">
        <f t="shared" si="559"/>
        <v>9486.0979200000002</v>
      </c>
      <c r="L213" s="33">
        <v>7.0150133333328105E-2</v>
      </c>
      <c r="M213" s="33">
        <f t="shared" ref="M213" si="629">J213+L213</f>
        <v>0.15146087777777251</v>
      </c>
      <c r="N213" s="20">
        <f t="shared" si="561"/>
        <v>0.17566848000000002</v>
      </c>
      <c r="O213" s="30">
        <f t="shared" ref="O213" si="630">H213-M213-N213</f>
        <v>1.4295554422222274</v>
      </c>
    </row>
    <row r="214" spans="1:15" s="37" customFormat="1" x14ac:dyDescent="0.7">
      <c r="A214" s="6"/>
      <c r="B214" s="6"/>
      <c r="C214" s="6">
        <v>30</v>
      </c>
      <c r="D214" s="7">
        <v>20.318000000000001</v>
      </c>
      <c r="E214" s="4">
        <v>0.5</v>
      </c>
      <c r="F214" s="7">
        <v>20.318000000000001</v>
      </c>
      <c r="G214" s="35">
        <f t="shared" ref="G214" si="631">F214*86400</f>
        <v>1755475.2000000002</v>
      </c>
      <c r="H214" s="20">
        <f t="shared" ref="H214" si="632">G214/1000000</f>
        <v>1.7554752000000002</v>
      </c>
      <c r="I214" s="20">
        <f t="shared" si="558"/>
        <v>78996.384000000005</v>
      </c>
      <c r="J214" s="28">
        <v>8.1690194444444406E-2</v>
      </c>
      <c r="K214" s="20">
        <f t="shared" si="559"/>
        <v>9479.5660800000005</v>
      </c>
      <c r="L214" s="17">
        <v>7.0520666666661402E-2</v>
      </c>
      <c r="M214" s="17">
        <f t="shared" ref="M214" si="633">J214+L214</f>
        <v>0.15221086111110582</v>
      </c>
      <c r="N214" s="20">
        <f t="shared" si="561"/>
        <v>0.17554752000000004</v>
      </c>
      <c r="O214" s="7">
        <f t="shared" ref="O214" si="634">H214-M214-N214</f>
        <v>1.4277168188888945</v>
      </c>
    </row>
    <row r="215" spans="1:15" s="13" customFormat="1" ht="25.2" thickBot="1" x14ac:dyDescent="0.75">
      <c r="A215" s="11"/>
      <c r="B215" s="11" t="s">
        <v>21</v>
      </c>
      <c r="C215" s="11">
        <v>31</v>
      </c>
      <c r="D215" s="19">
        <v>20.318000000000001</v>
      </c>
      <c r="E215" s="19">
        <v>12.7</v>
      </c>
      <c r="F215" s="19">
        <v>20.318000000000001</v>
      </c>
      <c r="G215" s="26">
        <f t="shared" ref="G215" si="635">F215*86400</f>
        <v>1755475.2000000002</v>
      </c>
      <c r="H215" s="27">
        <f t="shared" ref="H215" si="636">G215/1000000</f>
        <v>1.7554752000000002</v>
      </c>
      <c r="I215" s="22">
        <f t="shared" si="558"/>
        <v>78996.384000000005</v>
      </c>
      <c r="J215" s="39">
        <v>8.2069644444444395E-2</v>
      </c>
      <c r="K215" s="22">
        <f t="shared" si="559"/>
        <v>9479.5660800000005</v>
      </c>
      <c r="L215" s="38">
        <v>7.08911999999947E-2</v>
      </c>
      <c r="M215" s="38">
        <f t="shared" ref="M215" si="637">J215+L215</f>
        <v>0.15296084444443908</v>
      </c>
      <c r="N215" s="22">
        <f t="shared" si="561"/>
        <v>0.17554752000000004</v>
      </c>
      <c r="O215" s="19">
        <f t="shared" ref="O215" si="638">H215-M215-N215</f>
        <v>1.4269668355555611</v>
      </c>
    </row>
    <row r="216" spans="1:15" x14ac:dyDescent="0.7">
      <c r="A216" s="3"/>
      <c r="B216" s="3" t="s">
        <v>22</v>
      </c>
      <c r="C216" s="3">
        <v>1</v>
      </c>
      <c r="D216" s="4">
        <v>15.255000000000001</v>
      </c>
      <c r="E216" s="4">
        <v>34.200000000000003</v>
      </c>
      <c r="F216" s="4">
        <v>15.255000000000001</v>
      </c>
      <c r="G216" s="15">
        <f t="shared" ref="G216" si="639">F216*86400</f>
        <v>1318032</v>
      </c>
      <c r="H216" s="21">
        <f t="shared" ref="H216" si="640">G216/1000000</f>
        <v>1.3180320000000001</v>
      </c>
      <c r="I216" s="21">
        <f t="shared" si="558"/>
        <v>59311.439999999995</v>
      </c>
      <c r="J216" s="25">
        <v>8.2449094444444398E-2</v>
      </c>
      <c r="K216" s="21">
        <f t="shared" si="559"/>
        <v>7117.3727999999992</v>
      </c>
      <c r="L216" s="16">
        <v>7.1261733333327998E-2</v>
      </c>
      <c r="M216" s="16">
        <f t="shared" ref="M216" si="641">J216+L216</f>
        <v>0.1537108277777724</v>
      </c>
      <c r="N216" s="21">
        <f t="shared" si="561"/>
        <v>0.13180320000000001</v>
      </c>
      <c r="O216" s="4">
        <f t="shared" ref="O216" si="642">H216-M216-N216</f>
        <v>1.0325179722222277</v>
      </c>
    </row>
    <row r="217" spans="1:15" x14ac:dyDescent="0.7">
      <c r="A217" s="6"/>
      <c r="B217" s="6"/>
      <c r="C217" s="6">
        <v>2</v>
      </c>
      <c r="D217" s="7">
        <v>15.255000000000001</v>
      </c>
      <c r="E217" s="4">
        <v>0.3</v>
      </c>
      <c r="F217" s="7">
        <v>15.255000000000001</v>
      </c>
      <c r="G217" s="15">
        <f t="shared" ref="G217" si="643">F217*86400</f>
        <v>1318032</v>
      </c>
      <c r="H217" s="21">
        <f t="shared" ref="H217" si="644">G217/1000000</f>
        <v>1.3180320000000001</v>
      </c>
      <c r="I217" s="20">
        <f t="shared" si="558"/>
        <v>59311.439999999995</v>
      </c>
      <c r="J217" s="28">
        <v>8.2828544444444402E-2</v>
      </c>
      <c r="K217" s="20">
        <f t="shared" si="559"/>
        <v>7117.3727999999992</v>
      </c>
      <c r="L217" s="17">
        <v>7.1632266666661296E-2</v>
      </c>
      <c r="M217" s="17">
        <f t="shared" ref="M217" si="645">J217+L217</f>
        <v>0.15446081111110571</v>
      </c>
      <c r="N217" s="20">
        <f t="shared" si="561"/>
        <v>0.13180320000000001</v>
      </c>
      <c r="O217" s="7">
        <f t="shared" ref="O217" si="646">H217-M217-N217</f>
        <v>1.0317679888888944</v>
      </c>
    </row>
    <row r="218" spans="1:15" x14ac:dyDescent="0.7">
      <c r="A218" s="6"/>
      <c r="B218" s="6"/>
      <c r="C218" s="6">
        <v>3</v>
      </c>
      <c r="D218" s="7">
        <v>13.35</v>
      </c>
      <c r="E218" s="4">
        <v>0.5</v>
      </c>
      <c r="F218" s="7">
        <v>13.35</v>
      </c>
      <c r="G218" s="15">
        <f t="shared" ref="G218" si="647">F218*86400</f>
        <v>1153440</v>
      </c>
      <c r="H218" s="21">
        <f t="shared" ref="H218" si="648">G218/1000000</f>
        <v>1.15344</v>
      </c>
      <c r="I218" s="20">
        <f t="shared" si="558"/>
        <v>51904.799999999996</v>
      </c>
      <c r="J218" s="28">
        <v>8.3207994444444405E-2</v>
      </c>
      <c r="K218" s="20">
        <f t="shared" si="559"/>
        <v>6228.5759999999991</v>
      </c>
      <c r="L218" s="17">
        <v>7.2002799999994593E-2</v>
      </c>
      <c r="M218" s="17">
        <f t="shared" ref="M218" si="649">J218+L218</f>
        <v>0.155210794444439</v>
      </c>
      <c r="N218" s="20">
        <f t="shared" si="561"/>
        <v>0.115344</v>
      </c>
      <c r="O218" s="7">
        <f t="shared" ref="O218" si="650">H218-M218-N218</f>
        <v>0.88288520555556105</v>
      </c>
    </row>
    <row r="219" spans="1:15" x14ac:dyDescent="0.7">
      <c r="A219" s="6"/>
      <c r="B219" s="6"/>
      <c r="C219" s="3">
        <v>4</v>
      </c>
      <c r="D219" s="7">
        <v>15.255000000000001</v>
      </c>
      <c r="E219" s="4">
        <v>8.8000000000000007</v>
      </c>
      <c r="F219" s="7">
        <v>15.255000000000001</v>
      </c>
      <c r="G219" s="15">
        <f t="shared" ref="G219" si="651">F219*86400</f>
        <v>1318032</v>
      </c>
      <c r="H219" s="21">
        <f t="shared" ref="H219" si="652">G219/1000000</f>
        <v>1.3180320000000001</v>
      </c>
      <c r="I219" s="20">
        <f t="shared" si="558"/>
        <v>59311.439999999995</v>
      </c>
      <c r="J219" s="28">
        <v>8.3587444444444395E-2</v>
      </c>
      <c r="K219" s="20">
        <f t="shared" si="559"/>
        <v>7117.3727999999992</v>
      </c>
      <c r="L219" s="17">
        <v>7.2373333333327905E-2</v>
      </c>
      <c r="M219" s="17">
        <f t="shared" ref="M219" si="653">J219+L219</f>
        <v>0.15596077777777229</v>
      </c>
      <c r="N219" s="20">
        <f t="shared" si="561"/>
        <v>0.13180320000000001</v>
      </c>
      <c r="O219" s="7">
        <f t="shared" ref="O219" si="654">H219-M219-N219</f>
        <v>1.0302680222222278</v>
      </c>
    </row>
    <row r="220" spans="1:15" x14ac:dyDescent="0.7">
      <c r="A220" s="6"/>
      <c r="B220" s="6"/>
      <c r="C220" s="6">
        <v>5</v>
      </c>
      <c r="D220" s="7">
        <v>14.81</v>
      </c>
      <c r="E220" s="4">
        <v>10.3</v>
      </c>
      <c r="F220" s="7">
        <v>14.81</v>
      </c>
      <c r="G220" s="15">
        <f t="shared" ref="G220" si="655">F220*86400</f>
        <v>1279584</v>
      </c>
      <c r="H220" s="21">
        <f t="shared" ref="H220" si="656">G220/1000000</f>
        <v>1.2795840000000001</v>
      </c>
      <c r="I220" s="20">
        <f t="shared" si="558"/>
        <v>57581.279999999999</v>
      </c>
      <c r="J220" s="28">
        <v>8.3966894444444398E-2</v>
      </c>
      <c r="K220" s="20">
        <f t="shared" si="559"/>
        <v>6909.7536</v>
      </c>
      <c r="L220" s="17">
        <v>7.2743866666661203E-2</v>
      </c>
      <c r="M220" s="17">
        <f t="shared" ref="M220" si="657">J220+L220</f>
        <v>0.1567107611111056</v>
      </c>
      <c r="N220" s="20">
        <f t="shared" si="561"/>
        <v>0.1279584</v>
      </c>
      <c r="O220" s="7">
        <f t="shared" ref="O220" si="658">H220-M220-N220</f>
        <v>0.99491483888889443</v>
      </c>
    </row>
    <row r="221" spans="1:15" x14ac:dyDescent="0.7">
      <c r="A221" s="6"/>
      <c r="B221" s="6"/>
      <c r="C221" s="6">
        <v>6</v>
      </c>
      <c r="D221" s="7">
        <v>14.81</v>
      </c>
      <c r="E221" s="4">
        <v>1.1000000000000001</v>
      </c>
      <c r="F221" s="7">
        <v>14.81</v>
      </c>
      <c r="G221" s="15">
        <f t="shared" ref="G221" si="659">F221*86400</f>
        <v>1279584</v>
      </c>
      <c r="H221" s="21">
        <f t="shared" ref="H221" si="660">G221/1000000</f>
        <v>1.2795840000000001</v>
      </c>
      <c r="I221" s="20">
        <f t="shared" si="558"/>
        <v>57581.279999999999</v>
      </c>
      <c r="J221" s="28">
        <v>8.4346344444444402E-2</v>
      </c>
      <c r="K221" s="20">
        <f t="shared" si="559"/>
        <v>6909.7536</v>
      </c>
      <c r="L221" s="17">
        <v>7.31143999999945E-2</v>
      </c>
      <c r="M221" s="17">
        <f t="shared" ref="M221" si="661">J221+L221</f>
        <v>0.15746074444443892</v>
      </c>
      <c r="N221" s="20">
        <f t="shared" si="561"/>
        <v>0.1279584</v>
      </c>
      <c r="O221" s="7">
        <f t="shared" ref="O221" si="662">H221-M221-N221</f>
        <v>0.99416485555556111</v>
      </c>
    </row>
    <row r="222" spans="1:15" x14ac:dyDescent="0.7">
      <c r="A222" s="6"/>
      <c r="B222" s="6"/>
      <c r="C222" s="3">
        <v>7</v>
      </c>
      <c r="D222" s="7">
        <v>14.554</v>
      </c>
      <c r="E222" s="4">
        <v>11.9</v>
      </c>
      <c r="F222" s="7">
        <v>14.554</v>
      </c>
      <c r="G222" s="15">
        <f t="shared" ref="G222" si="663">F222*86400</f>
        <v>1257465.6000000001</v>
      </c>
      <c r="H222" s="21">
        <f t="shared" ref="H222" si="664">G222/1000000</f>
        <v>1.2574656000000002</v>
      </c>
      <c r="I222" s="20">
        <f t="shared" si="558"/>
        <v>56585.952000000005</v>
      </c>
      <c r="J222" s="28">
        <v>8.4725794444444405E-2</v>
      </c>
      <c r="K222" s="20">
        <f t="shared" si="559"/>
        <v>6790.3142400000006</v>
      </c>
      <c r="L222" s="17">
        <v>7.3484933333327798E-2</v>
      </c>
      <c r="M222" s="17">
        <f t="shared" ref="M222" si="665">J222+L222</f>
        <v>0.1582107277777722</v>
      </c>
      <c r="N222" s="20">
        <f t="shared" si="561"/>
        <v>0.12574656000000003</v>
      </c>
      <c r="O222" s="7">
        <f t="shared" ref="O222" si="666">H222-M222-N222</f>
        <v>0.97350831222222789</v>
      </c>
    </row>
    <row r="223" spans="1:15" x14ac:dyDescent="0.7">
      <c r="A223" s="6"/>
      <c r="B223" s="6"/>
      <c r="C223" s="6">
        <v>8</v>
      </c>
      <c r="D223" s="7">
        <v>15.398999999999999</v>
      </c>
      <c r="E223" s="4">
        <v>10.8</v>
      </c>
      <c r="F223" s="7">
        <v>15.398999999999999</v>
      </c>
      <c r="G223" s="15">
        <f t="shared" ref="G223" si="667">F223*86400</f>
        <v>1330473.5999999999</v>
      </c>
      <c r="H223" s="21">
        <f t="shared" ref="H223" si="668">G223/1000000</f>
        <v>1.3304735999999999</v>
      </c>
      <c r="I223" s="20">
        <f t="shared" si="558"/>
        <v>59871.311999999991</v>
      </c>
      <c r="J223" s="28">
        <v>8.5105244444444395E-2</v>
      </c>
      <c r="K223" s="20">
        <f t="shared" si="559"/>
        <v>7184.5574399999987</v>
      </c>
      <c r="L223" s="17">
        <v>7.3855466666661096E-2</v>
      </c>
      <c r="M223" s="17">
        <f t="shared" ref="M223" si="669">J223+L223</f>
        <v>0.15896071111110549</v>
      </c>
      <c r="N223" s="20">
        <f t="shared" si="561"/>
        <v>0.13304736</v>
      </c>
      <c r="O223" s="7">
        <f t="shared" ref="O223" si="670">H223-M223-N223</f>
        <v>1.0384655288888944</v>
      </c>
    </row>
    <row r="224" spans="1:15" x14ac:dyDescent="0.7">
      <c r="A224" s="6"/>
      <c r="B224" s="6"/>
      <c r="C224" s="6">
        <v>9</v>
      </c>
      <c r="D224" s="7">
        <v>13.952999999999999</v>
      </c>
      <c r="E224" s="4">
        <v>74.5</v>
      </c>
      <c r="F224" s="7">
        <v>13.952999999999999</v>
      </c>
      <c r="G224" s="15">
        <f t="shared" ref="G224" si="671">F224*86400</f>
        <v>1205539.2</v>
      </c>
      <c r="H224" s="21">
        <f t="shared" ref="H224" si="672">G224/1000000</f>
        <v>1.2055392</v>
      </c>
      <c r="I224" s="20">
        <f t="shared" si="558"/>
        <v>54249.263999999996</v>
      </c>
      <c r="J224" s="28">
        <v>8.5484694444444398E-2</v>
      </c>
      <c r="K224" s="20">
        <f t="shared" si="559"/>
        <v>6509.9116799999993</v>
      </c>
      <c r="L224" s="17">
        <v>7.4225999999994394E-2</v>
      </c>
      <c r="M224" s="17">
        <f t="shared" ref="M224" si="673">J224+L224</f>
        <v>0.15971069444443881</v>
      </c>
      <c r="N224" s="20">
        <f t="shared" si="561"/>
        <v>0.12055392000000001</v>
      </c>
      <c r="O224" s="7">
        <f t="shared" ref="O224" si="674">H224-M224-N224</f>
        <v>0.92527458555556119</v>
      </c>
    </row>
    <row r="225" spans="1:15" x14ac:dyDescent="0.7">
      <c r="A225" s="6"/>
      <c r="B225" s="6"/>
      <c r="C225" s="3">
        <v>10</v>
      </c>
      <c r="D225" s="7">
        <v>0</v>
      </c>
      <c r="E225" s="4">
        <v>41.4</v>
      </c>
      <c r="F225" s="7">
        <v>0</v>
      </c>
      <c r="G225" s="15">
        <f t="shared" ref="G225" si="675">F225*86400</f>
        <v>0</v>
      </c>
      <c r="H225" s="21">
        <f t="shared" ref="H225" si="676">G225/1000000</f>
        <v>0</v>
      </c>
      <c r="I225" s="20">
        <f t="shared" si="558"/>
        <v>0</v>
      </c>
      <c r="J225" s="28">
        <v>8.5864144444444401E-2</v>
      </c>
      <c r="K225" s="20">
        <f t="shared" si="559"/>
        <v>0</v>
      </c>
      <c r="L225" s="17">
        <v>7.4596533333327705E-2</v>
      </c>
      <c r="M225" s="17">
        <f t="shared" ref="M225" si="677">J225+L225</f>
        <v>0.16046067777777212</v>
      </c>
      <c r="N225" s="20">
        <f t="shared" si="561"/>
        <v>0</v>
      </c>
      <c r="O225" s="7">
        <f t="shared" ref="O225" si="678">H225-M225-N225</f>
        <v>-0.16046067777777212</v>
      </c>
    </row>
    <row r="226" spans="1:15" x14ac:dyDescent="0.7">
      <c r="A226" s="6"/>
      <c r="B226" s="6"/>
      <c r="C226" s="6">
        <v>11</v>
      </c>
      <c r="D226" s="7">
        <v>0</v>
      </c>
      <c r="E226" s="4">
        <v>31.6</v>
      </c>
      <c r="F226" s="7">
        <v>0</v>
      </c>
      <c r="G226" s="15">
        <f t="shared" ref="G226" si="679">F226*86400</f>
        <v>0</v>
      </c>
      <c r="H226" s="21">
        <f t="shared" ref="H226" si="680">G226/1000000</f>
        <v>0</v>
      </c>
      <c r="I226" s="20">
        <f t="shared" si="558"/>
        <v>0</v>
      </c>
      <c r="J226" s="28">
        <v>8.6243594444444405E-2</v>
      </c>
      <c r="K226" s="20">
        <f t="shared" si="559"/>
        <v>0</v>
      </c>
      <c r="L226" s="17">
        <v>7.4967066666661003E-2</v>
      </c>
      <c r="M226" s="17">
        <f t="shared" ref="M226" si="681">J226+L226</f>
        <v>0.16121066111110541</v>
      </c>
      <c r="N226" s="20">
        <f t="shared" si="561"/>
        <v>0</v>
      </c>
      <c r="O226" s="7">
        <f t="shared" ref="O226" si="682">H226-M226-N226</f>
        <v>-0.16121066111110541</v>
      </c>
    </row>
    <row r="227" spans="1:15" x14ac:dyDescent="0.7">
      <c r="A227" s="6"/>
      <c r="B227" s="6"/>
      <c r="C227" s="6">
        <v>12</v>
      </c>
      <c r="D227" s="7">
        <v>30.286999999999999</v>
      </c>
      <c r="E227" s="4">
        <v>0.2</v>
      </c>
      <c r="F227" s="7">
        <v>30.286999999999999</v>
      </c>
      <c r="G227" s="15">
        <f t="shared" ref="G227" si="683">F227*86400</f>
        <v>2616796.7999999998</v>
      </c>
      <c r="H227" s="21">
        <f t="shared" ref="H227" si="684">G227/1000000</f>
        <v>2.6167967999999999</v>
      </c>
      <c r="I227" s="20">
        <f t="shared" si="558"/>
        <v>117755.85599999999</v>
      </c>
      <c r="J227" s="28">
        <v>8.6623044444444394E-2</v>
      </c>
      <c r="K227" s="20">
        <f t="shared" si="559"/>
        <v>14130.702719999997</v>
      </c>
      <c r="L227" s="17">
        <v>7.5337599999994301E-2</v>
      </c>
      <c r="M227" s="17">
        <f t="shared" ref="M227" si="685">J227+L227</f>
        <v>0.1619606444444387</v>
      </c>
      <c r="N227" s="20">
        <f t="shared" si="561"/>
        <v>0.26167968000000003</v>
      </c>
      <c r="O227" s="7">
        <f t="shared" ref="O227" si="686">H227-M227-N227</f>
        <v>2.1931564755555613</v>
      </c>
    </row>
    <row r="228" spans="1:15" x14ac:dyDescent="0.7">
      <c r="A228" s="6"/>
      <c r="B228" s="6"/>
      <c r="C228" s="3">
        <v>13</v>
      </c>
      <c r="D228" s="7">
        <v>14.458</v>
      </c>
      <c r="E228" s="4">
        <v>0</v>
      </c>
      <c r="F228" s="7">
        <v>14.458</v>
      </c>
      <c r="G228" s="15">
        <f t="shared" ref="G228" si="687">F228*86400</f>
        <v>1249171.2</v>
      </c>
      <c r="H228" s="21">
        <f t="shared" ref="H228" si="688">G228/1000000</f>
        <v>1.2491711999999999</v>
      </c>
      <c r="I228" s="20">
        <f t="shared" si="558"/>
        <v>56212.703999999998</v>
      </c>
      <c r="J228" s="28">
        <v>8.7002494444444398E-2</v>
      </c>
      <c r="K228" s="20">
        <f t="shared" si="559"/>
        <v>6745.5244799999991</v>
      </c>
      <c r="L228" s="17">
        <v>7.5708133333327599E-2</v>
      </c>
      <c r="M228" s="17">
        <f t="shared" ref="M228" si="689">J228+L228</f>
        <v>0.16271062777777201</v>
      </c>
      <c r="N228" s="20">
        <f t="shared" si="561"/>
        <v>0.12491711999999999</v>
      </c>
      <c r="O228" s="7">
        <f t="shared" ref="O228" si="690">H228-M228-N228</f>
        <v>0.96154345222222803</v>
      </c>
    </row>
    <row r="229" spans="1:15" x14ac:dyDescent="0.7">
      <c r="A229" s="6"/>
      <c r="B229" s="6"/>
      <c r="C229" s="6">
        <v>14</v>
      </c>
      <c r="D229" s="7">
        <v>10.449</v>
      </c>
      <c r="E229" s="4">
        <v>11.7</v>
      </c>
      <c r="F229" s="7">
        <v>10.449</v>
      </c>
      <c r="G229" s="15">
        <f t="shared" ref="G229" si="691">F229*86400</f>
        <v>902793.6</v>
      </c>
      <c r="H229" s="21">
        <f t="shared" ref="H229" si="692">G229/1000000</f>
        <v>0.90279359999999997</v>
      </c>
      <c r="I229" s="20">
        <f t="shared" si="558"/>
        <v>40625.712</v>
      </c>
      <c r="J229" s="28">
        <v>8.7381944444444401E-2</v>
      </c>
      <c r="K229" s="20">
        <f t="shared" si="559"/>
        <v>4875.0854399999998</v>
      </c>
      <c r="L229" s="17">
        <v>7.6078666666660896E-2</v>
      </c>
      <c r="M229" s="17">
        <f t="shared" ref="M229" si="693">J229+L229</f>
        <v>0.1634606111111053</v>
      </c>
      <c r="N229" s="20">
        <f t="shared" si="561"/>
        <v>9.0279360000000003E-2</v>
      </c>
      <c r="O229" s="7">
        <f t="shared" ref="O229" si="694">H229-M229-N229</f>
        <v>0.64905362888889462</v>
      </c>
    </row>
    <row r="230" spans="1:15" x14ac:dyDescent="0.7">
      <c r="A230" s="6"/>
      <c r="B230" s="6"/>
      <c r="C230" s="6">
        <v>15</v>
      </c>
      <c r="D230" s="7">
        <v>13.481999999999999</v>
      </c>
      <c r="E230" s="4">
        <v>0.4</v>
      </c>
      <c r="F230" s="7">
        <v>13.481999999999999</v>
      </c>
      <c r="G230" s="15">
        <f t="shared" ref="G230" si="695">F230*86400</f>
        <v>1164844.8</v>
      </c>
      <c r="H230" s="21">
        <f t="shared" ref="H230" si="696">G230/1000000</f>
        <v>1.1648448</v>
      </c>
      <c r="I230" s="20">
        <f t="shared" si="558"/>
        <v>52418.016000000003</v>
      </c>
      <c r="J230" s="28">
        <v>8.7761394444444404E-2</v>
      </c>
      <c r="K230" s="20">
        <f t="shared" si="559"/>
        <v>6290.1619200000005</v>
      </c>
      <c r="L230" s="17">
        <v>7.6449199999994194E-2</v>
      </c>
      <c r="M230" s="17">
        <f t="shared" ref="M230" si="697">J230+L230</f>
        <v>0.16421059444443858</v>
      </c>
      <c r="N230" s="20">
        <f t="shared" si="561"/>
        <v>0.11648448</v>
      </c>
      <c r="O230" s="7">
        <f t="shared" ref="O230" si="698">H230-M230-N230</f>
        <v>0.88414972555556148</v>
      </c>
    </row>
    <row r="231" spans="1:15" x14ac:dyDescent="0.7">
      <c r="A231" s="6"/>
      <c r="B231" s="6"/>
      <c r="C231" s="3">
        <v>16</v>
      </c>
      <c r="D231" s="7">
        <v>14.503</v>
      </c>
      <c r="E231" s="4">
        <v>0.1</v>
      </c>
      <c r="F231" s="7">
        <v>14.503</v>
      </c>
      <c r="G231" s="15">
        <f t="shared" ref="G231" si="699">F231*86400</f>
        <v>1253059.2</v>
      </c>
      <c r="H231" s="21">
        <f t="shared" ref="H231" si="700">G231/1000000</f>
        <v>1.2530592</v>
      </c>
      <c r="I231" s="20">
        <f t="shared" si="558"/>
        <v>56387.663999999997</v>
      </c>
      <c r="J231" s="28">
        <v>8.8140844444444394E-2</v>
      </c>
      <c r="K231" s="20">
        <f t="shared" si="559"/>
        <v>6766.5196799999994</v>
      </c>
      <c r="L231" s="17">
        <v>7.6819733333327506E-2</v>
      </c>
      <c r="M231" s="17">
        <f t="shared" ref="M231" si="701">J231+L231</f>
        <v>0.1649605777777719</v>
      </c>
      <c r="N231" s="20">
        <f t="shared" si="561"/>
        <v>0.12530592000000002</v>
      </c>
      <c r="O231" s="7">
        <f t="shared" ref="O231" si="702">H231-M231-N231</f>
        <v>0.96279270222222824</v>
      </c>
    </row>
    <row r="232" spans="1:15" x14ac:dyDescent="0.7">
      <c r="A232" s="6"/>
      <c r="B232" s="6"/>
      <c r="C232" s="6">
        <v>17</v>
      </c>
      <c r="D232" s="7">
        <v>26.841000000000001</v>
      </c>
      <c r="E232" s="4">
        <v>1.2</v>
      </c>
      <c r="F232" s="7">
        <v>26.841000000000001</v>
      </c>
      <c r="G232" s="15">
        <f t="shared" ref="G232" si="703">F232*86400</f>
        <v>2319062.4</v>
      </c>
      <c r="H232" s="21">
        <f t="shared" ref="H232" si="704">G232/1000000</f>
        <v>2.3190624</v>
      </c>
      <c r="I232" s="20">
        <f t="shared" si="558"/>
        <v>104357.80799999999</v>
      </c>
      <c r="J232" s="28">
        <v>8.8520294444444397E-2</v>
      </c>
      <c r="K232" s="20">
        <f t="shared" si="559"/>
        <v>12522.936959999999</v>
      </c>
      <c r="L232" s="17">
        <v>7.7190266666660803E-2</v>
      </c>
      <c r="M232" s="17">
        <f t="shared" ref="M232" si="705">J232+L232</f>
        <v>0.16571056111110521</v>
      </c>
      <c r="N232" s="20">
        <f t="shared" si="561"/>
        <v>0.23190624000000001</v>
      </c>
      <c r="O232" s="7">
        <f t="shared" ref="O232" si="706">H232-M232-N232</f>
        <v>1.9214455988888945</v>
      </c>
    </row>
    <row r="233" spans="1:15" x14ac:dyDescent="0.7">
      <c r="A233" s="6"/>
      <c r="B233" s="6"/>
      <c r="C233" s="6">
        <v>18</v>
      </c>
      <c r="D233" s="7">
        <v>15.1</v>
      </c>
      <c r="E233" s="4">
        <v>0.7</v>
      </c>
      <c r="F233" s="7">
        <v>15.1</v>
      </c>
      <c r="G233" s="15">
        <f t="shared" ref="G233" si="707">F233*86400</f>
        <v>1304640</v>
      </c>
      <c r="H233" s="21">
        <f t="shared" ref="H233" si="708">G233/1000000</f>
        <v>1.30464</v>
      </c>
      <c r="I233" s="20">
        <f t="shared" si="558"/>
        <v>58708.799999999996</v>
      </c>
      <c r="J233" s="28">
        <v>8.8899744444444401E-2</v>
      </c>
      <c r="K233" s="20">
        <f t="shared" si="559"/>
        <v>7045.0559999999996</v>
      </c>
      <c r="L233" s="17">
        <v>7.7560799999994101E-2</v>
      </c>
      <c r="M233" s="17">
        <f t="shared" ref="M233" si="709">J233+L233</f>
        <v>0.1664605444444385</v>
      </c>
      <c r="N233" s="20">
        <f t="shared" si="561"/>
        <v>0.130464</v>
      </c>
      <c r="O233" s="7">
        <f t="shared" ref="O233" si="710">H233-M233-N233</f>
        <v>1.0077154555555616</v>
      </c>
    </row>
    <row r="234" spans="1:15" x14ac:dyDescent="0.7">
      <c r="A234" s="6"/>
      <c r="B234" s="6"/>
      <c r="C234" s="3">
        <v>19</v>
      </c>
      <c r="D234" s="7">
        <v>13.4</v>
      </c>
      <c r="E234" s="4">
        <v>9.1999999999999993</v>
      </c>
      <c r="F234" s="7">
        <v>13.4</v>
      </c>
      <c r="G234" s="15">
        <f t="shared" ref="G234" si="711">F234*86400</f>
        <v>1157760</v>
      </c>
      <c r="H234" s="21">
        <f t="shared" ref="H234" si="712">G234/1000000</f>
        <v>1.1577599999999999</v>
      </c>
      <c r="I234" s="20">
        <f t="shared" si="558"/>
        <v>52099.199999999997</v>
      </c>
      <c r="J234" s="28">
        <v>8.9279194444444404E-2</v>
      </c>
      <c r="K234" s="20">
        <f t="shared" si="559"/>
        <v>6251.9039999999995</v>
      </c>
      <c r="L234" s="17">
        <v>7.7931333333327399E-2</v>
      </c>
      <c r="M234" s="17">
        <f t="shared" ref="M234" si="713">J234+L234</f>
        <v>0.16721052777777179</v>
      </c>
      <c r="N234" s="20">
        <f t="shared" si="561"/>
        <v>0.11577599999999999</v>
      </c>
      <c r="O234" s="7">
        <f t="shared" ref="O234" si="714">H234-M234-N234</f>
        <v>0.87477347222222812</v>
      </c>
    </row>
    <row r="235" spans="1:15" x14ac:dyDescent="0.7">
      <c r="A235" s="6"/>
      <c r="B235" s="6"/>
      <c r="C235" s="6">
        <v>20</v>
      </c>
      <c r="D235" s="7">
        <v>15</v>
      </c>
      <c r="E235" s="4">
        <v>4.2</v>
      </c>
      <c r="F235" s="7">
        <v>15</v>
      </c>
      <c r="G235" s="15">
        <f t="shared" ref="G235" si="715">F235*86400</f>
        <v>1296000</v>
      </c>
      <c r="H235" s="21">
        <f t="shared" ref="H235" si="716">G235/1000000</f>
        <v>1.296</v>
      </c>
      <c r="I235" s="20">
        <f t="shared" si="558"/>
        <v>58320</v>
      </c>
      <c r="J235" s="28">
        <v>8.9658644444444394E-2</v>
      </c>
      <c r="K235" s="20">
        <f t="shared" si="559"/>
        <v>6998.4</v>
      </c>
      <c r="L235" s="17">
        <v>7.8301866666660697E-2</v>
      </c>
      <c r="M235" s="17">
        <f t="shared" ref="M235" si="717">J235+L235</f>
        <v>0.1679605111111051</v>
      </c>
      <c r="N235" s="20">
        <f t="shared" si="561"/>
        <v>0.12960000000000002</v>
      </c>
      <c r="O235" s="7">
        <f t="shared" ref="O235" si="718">H235-M235-N235</f>
        <v>0.99843948888889489</v>
      </c>
    </row>
    <row r="236" spans="1:15" x14ac:dyDescent="0.7">
      <c r="A236" s="6"/>
      <c r="B236" s="6"/>
      <c r="C236" s="6">
        <v>21</v>
      </c>
      <c r="D236" s="7">
        <v>21.047999999999998</v>
      </c>
      <c r="E236" s="4">
        <v>22</v>
      </c>
      <c r="F236" s="7">
        <v>21.047999999999998</v>
      </c>
      <c r="G236" s="15">
        <f t="shared" ref="G236" si="719">F236*86400</f>
        <v>1818547.2</v>
      </c>
      <c r="H236" s="21">
        <f t="shared" ref="H236" si="720">G236/1000000</f>
        <v>1.8185472</v>
      </c>
      <c r="I236" s="20">
        <f t="shared" si="558"/>
        <v>81834.623999999996</v>
      </c>
      <c r="J236" s="28">
        <v>9.0038094444444397E-2</v>
      </c>
      <c r="K236" s="20">
        <f t="shared" si="559"/>
        <v>9820.15488</v>
      </c>
      <c r="L236" s="17">
        <v>7.8672399999993994E-2</v>
      </c>
      <c r="M236" s="17">
        <f t="shared" ref="M236" si="721">J236+L236</f>
        <v>0.16871049444443839</v>
      </c>
      <c r="N236" s="20">
        <f t="shared" si="561"/>
        <v>0.18185472000000003</v>
      </c>
      <c r="O236" s="7">
        <f t="shared" ref="O236" si="722">H236-M236-N236</f>
        <v>1.4679819855555616</v>
      </c>
    </row>
    <row r="237" spans="1:15" x14ac:dyDescent="0.7">
      <c r="A237" s="6"/>
      <c r="B237" s="6"/>
      <c r="C237" s="3">
        <v>22</v>
      </c>
      <c r="D237" s="7">
        <v>19.2</v>
      </c>
      <c r="E237" s="4">
        <v>3</v>
      </c>
      <c r="F237" s="7">
        <v>19.2</v>
      </c>
      <c r="G237" s="15">
        <f t="shared" ref="G237" si="723">F237*86400</f>
        <v>1658880</v>
      </c>
      <c r="H237" s="21">
        <f t="shared" ref="H237" si="724">G237/1000000</f>
        <v>1.6588799999999999</v>
      </c>
      <c r="I237" s="20">
        <f t="shared" si="558"/>
        <v>74649.599999999991</v>
      </c>
      <c r="J237" s="28">
        <v>9.04175444444444E-2</v>
      </c>
      <c r="K237" s="20">
        <f t="shared" si="559"/>
        <v>8957.9519999999993</v>
      </c>
      <c r="L237" s="17">
        <v>7.9042933333327306E-2</v>
      </c>
      <c r="M237" s="17">
        <f t="shared" ref="M237" si="725">J237+L237</f>
        <v>0.16946047777777171</v>
      </c>
      <c r="N237" s="20">
        <f t="shared" si="561"/>
        <v>0.16588800000000001</v>
      </c>
      <c r="O237" s="7">
        <f t="shared" ref="O237" si="726">H237-M237-N237</f>
        <v>1.3235315222222281</v>
      </c>
    </row>
    <row r="238" spans="1:15" x14ac:dyDescent="0.7">
      <c r="A238" s="6"/>
      <c r="B238" s="6"/>
      <c r="C238" s="6">
        <v>23</v>
      </c>
      <c r="D238" s="7">
        <v>62.436999999999998</v>
      </c>
      <c r="E238" s="4">
        <v>12.4</v>
      </c>
      <c r="F238" s="7">
        <v>62.436999999999998</v>
      </c>
      <c r="G238" s="15">
        <f t="shared" ref="G238" si="727">F238*86400</f>
        <v>5394556.7999999998</v>
      </c>
      <c r="H238" s="21">
        <f t="shared" ref="H238" si="728">G238/1000000</f>
        <v>5.3945568000000002</v>
      </c>
      <c r="I238" s="20">
        <f t="shared" si="558"/>
        <v>242755.05599999998</v>
      </c>
      <c r="J238" s="28">
        <v>9.0796994444444404E-2</v>
      </c>
      <c r="K238" s="20">
        <f t="shared" si="559"/>
        <v>29130.606719999996</v>
      </c>
      <c r="L238" s="17">
        <v>7.9413466666660604E-2</v>
      </c>
      <c r="M238" s="17">
        <f t="shared" ref="M238" si="729">J238+L238</f>
        <v>0.17021046111110499</v>
      </c>
      <c r="N238" s="20">
        <f t="shared" si="561"/>
        <v>0.53945567999999999</v>
      </c>
      <c r="O238" s="7">
        <f t="shared" ref="O238" si="730">H238-M238-N238</f>
        <v>4.6848906588888957</v>
      </c>
    </row>
    <row r="239" spans="1:15" x14ac:dyDescent="0.7">
      <c r="A239" s="6"/>
      <c r="B239" s="6"/>
      <c r="C239" s="6">
        <v>24</v>
      </c>
      <c r="D239" s="7">
        <v>40.5</v>
      </c>
      <c r="E239" s="4">
        <v>0.3</v>
      </c>
      <c r="F239" s="7">
        <v>40.5</v>
      </c>
      <c r="G239" s="15">
        <f t="shared" ref="G239" si="731">F239*86400</f>
        <v>3499200</v>
      </c>
      <c r="H239" s="21">
        <f t="shared" ref="H239" si="732">G239/1000000</f>
        <v>3.4992000000000001</v>
      </c>
      <c r="I239" s="20">
        <f t="shared" si="558"/>
        <v>157464</v>
      </c>
      <c r="J239" s="28">
        <v>9.1176444444444393E-2</v>
      </c>
      <c r="K239" s="20">
        <f t="shared" si="559"/>
        <v>18895.68</v>
      </c>
      <c r="L239" s="17">
        <v>7.9783999999993901E-2</v>
      </c>
      <c r="M239" s="17">
        <f t="shared" ref="M239" si="733">J239+L239</f>
        <v>0.17096044444443831</v>
      </c>
      <c r="N239" s="20">
        <f t="shared" si="561"/>
        <v>0.34992000000000001</v>
      </c>
      <c r="O239" s="7">
        <f t="shared" ref="O239" si="734">H239-M239-N239</f>
        <v>2.9783195555555619</v>
      </c>
    </row>
    <row r="240" spans="1:15" x14ac:dyDescent="0.7">
      <c r="A240" s="6"/>
      <c r="B240" s="6"/>
      <c r="C240" s="3">
        <v>25</v>
      </c>
      <c r="D240" s="7">
        <v>68.7</v>
      </c>
      <c r="E240" s="4">
        <v>1.8</v>
      </c>
      <c r="F240" s="7">
        <v>68.7</v>
      </c>
      <c r="G240" s="15">
        <f t="shared" ref="G240" si="735">F240*86400</f>
        <v>5935680</v>
      </c>
      <c r="H240" s="21">
        <f t="shared" ref="H240" si="736">G240/1000000</f>
        <v>5.9356799999999996</v>
      </c>
      <c r="I240" s="20">
        <f t="shared" si="558"/>
        <v>267105.59999999998</v>
      </c>
      <c r="J240" s="28">
        <v>9.1555894444444397E-2</v>
      </c>
      <c r="K240" s="20">
        <f t="shared" si="559"/>
        <v>32052.671999999995</v>
      </c>
      <c r="L240" s="17">
        <v>8.0154533333327199E-2</v>
      </c>
      <c r="M240" s="17">
        <f t="shared" ref="M240" si="737">J240+L240</f>
        <v>0.1717104277777716</v>
      </c>
      <c r="N240" s="20">
        <f t="shared" si="561"/>
        <v>0.59356799999999998</v>
      </c>
      <c r="O240" s="7">
        <f t="shared" ref="O240" si="738">H240-M240-N240</f>
        <v>5.1704015722222278</v>
      </c>
    </row>
    <row r="241" spans="1:15" x14ac:dyDescent="0.7">
      <c r="A241" s="6"/>
      <c r="B241" s="6"/>
      <c r="C241" s="6">
        <v>26</v>
      </c>
      <c r="D241" s="7">
        <v>60.550000000000004</v>
      </c>
      <c r="E241" s="4">
        <v>1</v>
      </c>
      <c r="F241" s="7">
        <v>60.550000000000004</v>
      </c>
      <c r="G241" s="15">
        <f t="shared" ref="G241" si="739">F241*86400</f>
        <v>5231520</v>
      </c>
      <c r="H241" s="21">
        <f t="shared" ref="H241" si="740">G241/1000000</f>
        <v>5.2315199999999997</v>
      </c>
      <c r="I241" s="20">
        <f t="shared" si="558"/>
        <v>235418.4</v>
      </c>
      <c r="J241" s="28">
        <v>9.19353444444444E-2</v>
      </c>
      <c r="K241" s="20">
        <f t="shared" si="559"/>
        <v>28250.207999999999</v>
      </c>
      <c r="L241" s="17">
        <v>8.0525066666660497E-2</v>
      </c>
      <c r="M241" s="17">
        <f t="shared" ref="M241" si="741">J241+L241</f>
        <v>0.17246041111110488</v>
      </c>
      <c r="N241" s="20">
        <f t="shared" si="561"/>
        <v>0.52315199999999995</v>
      </c>
      <c r="O241" s="7">
        <f t="shared" ref="O241" si="742">H241-M241-N241</f>
        <v>4.5359075888888949</v>
      </c>
    </row>
    <row r="242" spans="1:15" x14ac:dyDescent="0.7">
      <c r="A242" s="6"/>
      <c r="B242" s="6"/>
      <c r="C242" s="6">
        <v>27</v>
      </c>
      <c r="D242" s="7">
        <v>65.400000000000006</v>
      </c>
      <c r="E242" s="4">
        <v>0.5</v>
      </c>
      <c r="F242" s="7">
        <v>65.400000000000006</v>
      </c>
      <c r="G242" s="15">
        <f t="shared" ref="G242" si="743">F242*86400</f>
        <v>5650560.0000000009</v>
      </c>
      <c r="H242" s="21">
        <f t="shared" ref="H242" si="744">G242/1000000</f>
        <v>5.6505600000000014</v>
      </c>
      <c r="I242" s="20">
        <f t="shared" si="558"/>
        <v>254275.20000000004</v>
      </c>
      <c r="J242" s="28">
        <v>9.2314794444444404E-2</v>
      </c>
      <c r="K242" s="20">
        <f t="shared" si="559"/>
        <v>30513.024000000005</v>
      </c>
      <c r="L242" s="17">
        <v>8.0895599999993795E-2</v>
      </c>
      <c r="M242" s="17">
        <f t="shared" ref="M242" si="745">J242+L242</f>
        <v>0.1732103944444382</v>
      </c>
      <c r="N242" s="20">
        <f t="shared" si="561"/>
        <v>0.56505600000000011</v>
      </c>
      <c r="O242" s="7">
        <f t="shared" ref="O242" si="746">H242-M242-N242</f>
        <v>4.912293605555563</v>
      </c>
    </row>
    <row r="243" spans="1:15" x14ac:dyDescent="0.7">
      <c r="A243" s="6"/>
      <c r="B243" s="6"/>
      <c r="C243" s="3">
        <v>28</v>
      </c>
      <c r="D243" s="7">
        <v>67.019000000000005</v>
      </c>
      <c r="E243" s="4">
        <v>0.5</v>
      </c>
      <c r="F243" s="7">
        <v>67.019000000000005</v>
      </c>
      <c r="G243" s="15">
        <f t="shared" ref="G243" si="747">F243*86400</f>
        <v>5790441.6000000006</v>
      </c>
      <c r="H243" s="21">
        <f t="shared" ref="H243" si="748">G243/1000000</f>
        <v>5.7904416000000003</v>
      </c>
      <c r="I243" s="20">
        <f t="shared" si="558"/>
        <v>260569.872</v>
      </c>
      <c r="J243" s="28">
        <v>9.2694244444444407E-2</v>
      </c>
      <c r="K243" s="20">
        <f t="shared" si="559"/>
        <v>31268.38464</v>
      </c>
      <c r="L243" s="17">
        <v>8.1266133333327106E-2</v>
      </c>
      <c r="M243" s="17">
        <f t="shared" ref="M243" si="749">J243+L243</f>
        <v>0.17396037777777151</v>
      </c>
      <c r="N243" s="20">
        <f t="shared" si="561"/>
        <v>0.57904416000000003</v>
      </c>
      <c r="O243" s="7">
        <f t="shared" ref="O243" si="750">H243-M243-N243</f>
        <v>5.037437062222228</v>
      </c>
    </row>
    <row r="244" spans="1:15" x14ac:dyDescent="0.7">
      <c r="A244" s="12"/>
      <c r="B244" s="12"/>
      <c r="C244" s="12">
        <v>29</v>
      </c>
      <c r="D244" s="30">
        <v>44.224000000000004</v>
      </c>
      <c r="E244" s="4">
        <v>0</v>
      </c>
      <c r="F244" s="30">
        <v>44.224000000000004</v>
      </c>
      <c r="G244" s="31">
        <f t="shared" ref="G244" si="751">F244*86400</f>
        <v>3820953.6000000001</v>
      </c>
      <c r="H244" s="32">
        <f t="shared" ref="H244" si="752">G244/1000000</f>
        <v>3.8209536000000002</v>
      </c>
      <c r="I244" s="20">
        <f t="shared" si="558"/>
        <v>171942.91200000001</v>
      </c>
      <c r="J244" s="34">
        <v>9.3073694444444396E-2</v>
      </c>
      <c r="K244" s="20">
        <f t="shared" si="559"/>
        <v>20633.149440000001</v>
      </c>
      <c r="L244" s="33">
        <v>8.1636666666660404E-2</v>
      </c>
      <c r="M244" s="33">
        <f t="shared" ref="M244" si="753">J244+L244</f>
        <v>0.1747103611111048</v>
      </c>
      <c r="N244" s="20">
        <f t="shared" si="561"/>
        <v>0.38209536000000005</v>
      </c>
      <c r="O244" s="30">
        <f t="shared" ref="O244" si="754">H244-M244-N244</f>
        <v>3.2641478788888953</v>
      </c>
    </row>
    <row r="245" spans="1:15" s="37" customFormat="1" x14ac:dyDescent="0.7">
      <c r="A245" s="6"/>
      <c r="B245" s="6"/>
      <c r="C245" s="6">
        <v>30</v>
      </c>
      <c r="D245" s="7">
        <v>68.667000000000002</v>
      </c>
      <c r="E245" s="4">
        <v>1.1000000000000001</v>
      </c>
      <c r="F245" s="7">
        <v>68.667000000000002</v>
      </c>
      <c r="G245" s="35">
        <f t="shared" ref="G245" si="755">F245*86400</f>
        <v>5932828.7999999998</v>
      </c>
      <c r="H245" s="20">
        <f t="shared" ref="H245" si="756">G245/1000000</f>
        <v>5.9328288000000002</v>
      </c>
      <c r="I245" s="20">
        <f t="shared" si="558"/>
        <v>266977.29599999997</v>
      </c>
      <c r="J245" s="28">
        <v>9.34531444444444E-2</v>
      </c>
      <c r="K245" s="20">
        <f t="shared" si="559"/>
        <v>32037.275519999996</v>
      </c>
      <c r="L245" s="17">
        <v>8.2007199999993702E-2</v>
      </c>
      <c r="M245" s="17">
        <f t="shared" ref="M245" si="757">J245+L245</f>
        <v>0.17546034444443809</v>
      </c>
      <c r="N245" s="20">
        <f t="shared" si="561"/>
        <v>0.59328288000000007</v>
      </c>
      <c r="O245" s="7">
        <f t="shared" ref="O245" si="758">H245-M245-N245</f>
        <v>5.1640855755555615</v>
      </c>
    </row>
    <row r="246" spans="1:15" s="13" customFormat="1" ht="25.2" thickBot="1" x14ac:dyDescent="0.75">
      <c r="A246" s="11"/>
      <c r="B246" s="11" t="s">
        <v>22</v>
      </c>
      <c r="C246" s="11">
        <v>31</v>
      </c>
      <c r="D246" s="19">
        <v>34.956000000000003</v>
      </c>
      <c r="E246" s="19">
        <v>22.9</v>
      </c>
      <c r="F246" s="19">
        <v>34.956000000000003</v>
      </c>
      <c r="G246" s="26">
        <f t="shared" ref="G246" si="759">F246*86400</f>
        <v>3020198.4000000004</v>
      </c>
      <c r="H246" s="27">
        <f t="shared" ref="H246" si="760">G246/1000000</f>
        <v>3.0201984000000004</v>
      </c>
      <c r="I246" s="22">
        <f t="shared" si="558"/>
        <v>135908.92800000001</v>
      </c>
      <c r="J246" s="39">
        <v>9.3832594444444403E-2</v>
      </c>
      <c r="K246" s="22">
        <f t="shared" si="559"/>
        <v>16309.071360000002</v>
      </c>
      <c r="L246" s="38">
        <v>8.2377733333327E-2</v>
      </c>
      <c r="M246" s="38">
        <f t="shared" ref="M246" si="761">J246+L246</f>
        <v>0.1762103277777714</v>
      </c>
      <c r="N246" s="22">
        <f t="shared" si="561"/>
        <v>0.30201984000000004</v>
      </c>
      <c r="O246" s="19">
        <f t="shared" ref="O246" si="762">H246-M246-N246</f>
        <v>2.5419682322222288</v>
      </c>
    </row>
    <row r="247" spans="1:15" x14ac:dyDescent="0.7">
      <c r="A247" s="3"/>
      <c r="B247" s="3" t="s">
        <v>23</v>
      </c>
      <c r="C247" s="3">
        <v>1</v>
      </c>
      <c r="D247" s="4">
        <v>22</v>
      </c>
      <c r="E247" s="4">
        <v>0.9</v>
      </c>
      <c r="F247" s="4">
        <v>22</v>
      </c>
      <c r="G247" s="15">
        <f t="shared" ref="G247" si="763">F247*86400</f>
        <v>1900800</v>
      </c>
      <c r="H247" s="21">
        <f t="shared" ref="H247" si="764">G247/1000000</f>
        <v>1.9008</v>
      </c>
      <c r="I247" s="21">
        <f t="shared" si="558"/>
        <v>85536</v>
      </c>
      <c r="J247" s="25">
        <v>9.4212044444444407E-2</v>
      </c>
      <c r="K247" s="21">
        <f t="shared" si="559"/>
        <v>10264.32</v>
      </c>
      <c r="L247" s="16">
        <v>8.2748266666660297E-2</v>
      </c>
      <c r="M247" s="16">
        <f t="shared" ref="M247" si="765">J247+L247</f>
        <v>0.17696031111110472</v>
      </c>
      <c r="N247" s="21">
        <f t="shared" si="561"/>
        <v>0.19008000000000003</v>
      </c>
      <c r="O247" s="4">
        <f t="shared" ref="O247" si="766">H247-M247-N247</f>
        <v>1.5337596888888954</v>
      </c>
    </row>
    <row r="248" spans="1:15" x14ac:dyDescent="0.7">
      <c r="A248" s="6"/>
      <c r="B248" s="6"/>
      <c r="C248" s="6">
        <v>2</v>
      </c>
      <c r="D248" s="7">
        <v>78.400000000000006</v>
      </c>
      <c r="E248" s="4">
        <v>0</v>
      </c>
      <c r="F248" s="7">
        <v>78.400000000000006</v>
      </c>
      <c r="G248" s="15">
        <f t="shared" ref="G248" si="767">F248*86400</f>
        <v>6773760.0000000009</v>
      </c>
      <c r="H248" s="21">
        <f t="shared" ref="H248" si="768">G248/1000000</f>
        <v>6.7737600000000011</v>
      </c>
      <c r="I248" s="20">
        <f t="shared" si="558"/>
        <v>304819.20000000001</v>
      </c>
      <c r="J248" s="28">
        <v>9.4591494444444396E-2</v>
      </c>
      <c r="K248" s="20">
        <f t="shared" si="559"/>
        <v>36578.303999999996</v>
      </c>
      <c r="L248" s="17">
        <v>8.3118799999993595E-2</v>
      </c>
      <c r="M248" s="17">
        <f t="shared" ref="M248" si="769">J248+L248</f>
        <v>0.17771029444443798</v>
      </c>
      <c r="N248" s="20">
        <f t="shared" si="561"/>
        <v>0.6773760000000002</v>
      </c>
      <c r="O248" s="7">
        <f t="shared" ref="O248" si="770">H248-M248-N248</f>
        <v>5.9186737055555625</v>
      </c>
    </row>
    <row r="249" spans="1:15" x14ac:dyDescent="0.7">
      <c r="A249" s="6"/>
      <c r="B249" s="6"/>
      <c r="C249" s="6">
        <v>3</v>
      </c>
      <c r="D249" s="7">
        <v>35.075999999999993</v>
      </c>
      <c r="E249" s="4">
        <v>0</v>
      </c>
      <c r="F249" s="7">
        <v>35.075999999999993</v>
      </c>
      <c r="G249" s="15">
        <f t="shared" ref="G249" si="771">F249*86400</f>
        <v>3030566.3999999994</v>
      </c>
      <c r="H249" s="21">
        <f t="shared" ref="H249" si="772">G249/1000000</f>
        <v>3.0305663999999997</v>
      </c>
      <c r="I249" s="20">
        <f t="shared" si="558"/>
        <v>136375.48799999998</v>
      </c>
      <c r="J249" s="28">
        <v>9.49709444444444E-2</v>
      </c>
      <c r="K249" s="20">
        <f t="shared" si="559"/>
        <v>16365.058559999998</v>
      </c>
      <c r="L249" s="17">
        <v>8.3489333333326907E-2</v>
      </c>
      <c r="M249" s="17">
        <f t="shared" ref="M249" si="773">J249+L249</f>
        <v>0.17846027777777129</v>
      </c>
      <c r="N249" s="20">
        <f t="shared" si="561"/>
        <v>0.30305663999999999</v>
      </c>
      <c r="O249" s="7">
        <f t="shared" ref="O249" si="774">H249-M249-N249</f>
        <v>2.5490494822222285</v>
      </c>
    </row>
    <row r="250" spans="1:15" x14ac:dyDescent="0.7">
      <c r="A250" s="6"/>
      <c r="B250" s="6"/>
      <c r="C250" s="3">
        <v>4</v>
      </c>
      <c r="D250" s="7">
        <v>66.554000000000002</v>
      </c>
      <c r="E250" s="4">
        <v>3.9</v>
      </c>
      <c r="F250" s="7">
        <v>66.554000000000002</v>
      </c>
      <c r="G250" s="15">
        <f t="shared" ref="G250" si="775">F250*86400</f>
        <v>5750265.6000000006</v>
      </c>
      <c r="H250" s="21">
        <f t="shared" ref="H250" si="776">G250/1000000</f>
        <v>5.7502656000000005</v>
      </c>
      <c r="I250" s="20">
        <f t="shared" si="558"/>
        <v>258761.95200000002</v>
      </c>
      <c r="J250" s="28">
        <v>9.5350394444444403E-2</v>
      </c>
      <c r="K250" s="20">
        <f t="shared" si="559"/>
        <v>31051.434240000002</v>
      </c>
      <c r="L250" s="17">
        <v>8.3859866666660204E-2</v>
      </c>
      <c r="M250" s="17">
        <f t="shared" ref="M250" si="777">J250+L250</f>
        <v>0.17921026111110461</v>
      </c>
      <c r="N250" s="20">
        <f t="shared" si="561"/>
        <v>0.57502656000000008</v>
      </c>
      <c r="O250" s="7">
        <f t="shared" ref="O250" si="778">H250-M250-N250</f>
        <v>4.9960287788888955</v>
      </c>
    </row>
    <row r="251" spans="1:15" x14ac:dyDescent="0.7">
      <c r="A251" s="6"/>
      <c r="B251" s="6"/>
      <c r="C251" s="6">
        <v>5</v>
      </c>
      <c r="D251" s="7">
        <v>60.381</v>
      </c>
      <c r="E251" s="4">
        <v>17.3</v>
      </c>
      <c r="F251" s="7">
        <v>60.381</v>
      </c>
      <c r="G251" s="15">
        <f t="shared" ref="G251" si="779">F251*86400</f>
        <v>5216918.4000000004</v>
      </c>
      <c r="H251" s="21">
        <f t="shared" ref="H251" si="780">G251/1000000</f>
        <v>5.2169184</v>
      </c>
      <c r="I251" s="20">
        <f t="shared" si="558"/>
        <v>234761.32800000001</v>
      </c>
      <c r="J251" s="28">
        <v>9.5729844444444406E-2</v>
      </c>
      <c r="K251" s="20">
        <f t="shared" si="559"/>
        <v>28171.359359999999</v>
      </c>
      <c r="L251" s="17">
        <v>8.4230399999993502E-2</v>
      </c>
      <c r="M251" s="17">
        <f t="shared" ref="M251" si="781">J251+L251</f>
        <v>0.17996024444443792</v>
      </c>
      <c r="N251" s="20">
        <f t="shared" si="561"/>
        <v>0.52169184000000002</v>
      </c>
      <c r="O251" s="7">
        <f t="shared" ref="O251" si="782">H251-M251-N251</f>
        <v>4.5152663155555617</v>
      </c>
    </row>
    <row r="252" spans="1:15" x14ac:dyDescent="0.7">
      <c r="A252" s="6"/>
      <c r="B252" s="6"/>
      <c r="C252" s="6">
        <v>6</v>
      </c>
      <c r="D252" s="7">
        <v>49.966000000000001</v>
      </c>
      <c r="E252" s="4">
        <v>26.9</v>
      </c>
      <c r="F252" s="7">
        <v>49.966000000000001</v>
      </c>
      <c r="G252" s="15">
        <f t="shared" ref="G252" si="783">F252*86400</f>
        <v>4317062.4000000004</v>
      </c>
      <c r="H252" s="21">
        <f t="shared" ref="H252" si="784">G252/1000000</f>
        <v>4.3170624000000002</v>
      </c>
      <c r="I252" s="20">
        <f t="shared" si="558"/>
        <v>194267.80800000002</v>
      </c>
      <c r="J252" s="28">
        <v>9.6109294444444396E-2</v>
      </c>
      <c r="K252" s="20">
        <f t="shared" si="559"/>
        <v>23312.13696</v>
      </c>
      <c r="L252" s="17">
        <v>8.46009333333268E-2</v>
      </c>
      <c r="M252" s="17">
        <f t="shared" ref="M252" si="785">J252+L252</f>
        <v>0.18071022777777118</v>
      </c>
      <c r="N252" s="20">
        <f t="shared" si="561"/>
        <v>0.43170624000000002</v>
      </c>
      <c r="O252" s="7">
        <f t="shared" ref="O252" si="786">H252-M252-N252</f>
        <v>3.7046459322222289</v>
      </c>
    </row>
    <row r="253" spans="1:15" x14ac:dyDescent="0.7">
      <c r="A253" s="6"/>
      <c r="B253" s="6"/>
      <c r="C253" s="3">
        <v>7</v>
      </c>
      <c r="D253" s="7">
        <v>46.021000000000001</v>
      </c>
      <c r="E253" s="4">
        <v>9.4</v>
      </c>
      <c r="F253" s="7">
        <v>46.021000000000001</v>
      </c>
      <c r="G253" s="15">
        <f t="shared" ref="G253" si="787">F253*86400</f>
        <v>3976214.4</v>
      </c>
      <c r="H253" s="21">
        <f t="shared" ref="H253" si="788">G253/1000000</f>
        <v>3.9762143999999999</v>
      </c>
      <c r="I253" s="20">
        <f t="shared" si="558"/>
        <v>178929.64799999999</v>
      </c>
      <c r="J253" s="28">
        <v>9.6488744444444399E-2</v>
      </c>
      <c r="K253" s="20">
        <f t="shared" si="559"/>
        <v>21471.557759999996</v>
      </c>
      <c r="L253" s="17">
        <v>8.4971466666660098E-2</v>
      </c>
      <c r="M253" s="17">
        <f t="shared" ref="M253" si="789">J253+L253</f>
        <v>0.1814602111111045</v>
      </c>
      <c r="N253" s="20">
        <f t="shared" si="561"/>
        <v>0.39762143999999999</v>
      </c>
      <c r="O253" s="7">
        <f t="shared" ref="O253" si="790">H253-M253-N253</f>
        <v>3.3971327488888954</v>
      </c>
    </row>
    <row r="254" spans="1:15" x14ac:dyDescent="0.7">
      <c r="A254" s="6"/>
      <c r="B254" s="6"/>
      <c r="C254" s="6">
        <v>8</v>
      </c>
      <c r="D254" s="7">
        <v>81.099999999999994</v>
      </c>
      <c r="E254" s="4">
        <v>6.4</v>
      </c>
      <c r="F254" s="7">
        <v>81.099999999999994</v>
      </c>
      <c r="G254" s="15">
        <f t="shared" ref="G254" si="791">F254*86400</f>
        <v>7007039.9999999991</v>
      </c>
      <c r="H254" s="21">
        <f t="shared" ref="H254" si="792">G254/1000000</f>
        <v>7.007039999999999</v>
      </c>
      <c r="I254" s="20">
        <f t="shared" si="558"/>
        <v>315316.79999999993</v>
      </c>
      <c r="J254" s="28">
        <v>9.6868194444444403E-2</v>
      </c>
      <c r="K254" s="20">
        <f t="shared" si="559"/>
        <v>37838.015999999989</v>
      </c>
      <c r="L254" s="17">
        <v>8.5341999999993395E-2</v>
      </c>
      <c r="M254" s="17">
        <f t="shared" ref="M254" si="793">J254+L254</f>
        <v>0.18221019444443781</v>
      </c>
      <c r="N254" s="20">
        <f t="shared" si="561"/>
        <v>0.70070399999999999</v>
      </c>
      <c r="O254" s="7">
        <f t="shared" ref="O254" si="794">H254-M254-N254</f>
        <v>6.1241258055555612</v>
      </c>
    </row>
    <row r="255" spans="1:15" x14ac:dyDescent="0.7">
      <c r="A255" s="6"/>
      <c r="B255" s="6"/>
      <c r="C255" s="6">
        <v>9</v>
      </c>
      <c r="D255" s="7">
        <v>91.4</v>
      </c>
      <c r="E255" s="4">
        <v>1.5</v>
      </c>
      <c r="F255" s="7">
        <v>91.4</v>
      </c>
      <c r="G255" s="15">
        <f t="shared" ref="G255" si="795">F255*86400</f>
        <v>7896960.0000000009</v>
      </c>
      <c r="H255" s="21">
        <f t="shared" ref="H255" si="796">G255/1000000</f>
        <v>7.8969600000000009</v>
      </c>
      <c r="I255" s="20">
        <f t="shared" si="558"/>
        <v>355363.2</v>
      </c>
      <c r="J255" s="28">
        <v>9.7247644444444406E-2</v>
      </c>
      <c r="K255" s="20">
        <f t="shared" si="559"/>
        <v>42643.584000000003</v>
      </c>
      <c r="L255" s="17">
        <v>8.5712533333326693E-2</v>
      </c>
      <c r="M255" s="17">
        <f t="shared" ref="M255" si="797">J255+L255</f>
        <v>0.1829601777777711</v>
      </c>
      <c r="N255" s="20">
        <f t="shared" si="561"/>
        <v>0.78969600000000018</v>
      </c>
      <c r="O255" s="7">
        <f t="shared" ref="O255" si="798">H255-M255-N255</f>
        <v>6.92430382222223</v>
      </c>
    </row>
    <row r="256" spans="1:15" x14ac:dyDescent="0.7">
      <c r="A256" s="6"/>
      <c r="B256" s="6"/>
      <c r="C256" s="3">
        <v>10</v>
      </c>
      <c r="D256" s="7">
        <v>80.725999999999999</v>
      </c>
      <c r="E256" s="4">
        <v>0.9</v>
      </c>
      <c r="F256" s="7">
        <v>80.725999999999999</v>
      </c>
      <c r="G256" s="15">
        <f t="shared" ref="G256" si="799">F256*86400</f>
        <v>6974726.4000000004</v>
      </c>
      <c r="H256" s="21">
        <f t="shared" ref="H256" si="800">G256/1000000</f>
        <v>6.9747264000000007</v>
      </c>
      <c r="I256" s="20">
        <f t="shared" si="558"/>
        <v>313862.68800000002</v>
      </c>
      <c r="J256" s="28">
        <v>9.7627094444444396E-2</v>
      </c>
      <c r="K256" s="20">
        <f t="shared" si="559"/>
        <v>37663.522560000005</v>
      </c>
      <c r="L256" s="17">
        <v>8.6083066666660005E-2</v>
      </c>
      <c r="M256" s="17">
        <f t="shared" ref="M256" si="801">J256+L256</f>
        <v>0.18371016111110439</v>
      </c>
      <c r="N256" s="20">
        <f t="shared" si="561"/>
        <v>0.69747264000000009</v>
      </c>
      <c r="O256" s="7">
        <f t="shared" ref="O256" si="802">H256-M256-N256</f>
        <v>6.0935435988888962</v>
      </c>
    </row>
    <row r="257" spans="1:15" x14ac:dyDescent="0.7">
      <c r="A257" s="6"/>
      <c r="B257" s="6"/>
      <c r="C257" s="6">
        <v>11</v>
      </c>
      <c r="D257" s="7">
        <v>73.978999999999999</v>
      </c>
      <c r="E257" s="4">
        <v>1.5</v>
      </c>
      <c r="F257" s="7">
        <v>73.978999999999999</v>
      </c>
      <c r="G257" s="15">
        <f t="shared" ref="G257" si="803">F257*86400</f>
        <v>6391785.5999999996</v>
      </c>
      <c r="H257" s="21">
        <f t="shared" ref="H257" si="804">G257/1000000</f>
        <v>6.3917855999999995</v>
      </c>
      <c r="I257" s="20">
        <f t="shared" si="558"/>
        <v>287630.35199999996</v>
      </c>
      <c r="J257" s="28">
        <v>9.8006544444444399E-2</v>
      </c>
      <c r="K257" s="20">
        <f t="shared" si="559"/>
        <v>34515.642239999994</v>
      </c>
      <c r="L257" s="17">
        <v>8.6453599999993302E-2</v>
      </c>
      <c r="M257" s="17">
        <f t="shared" ref="M257" si="805">J257+L257</f>
        <v>0.1844601444444377</v>
      </c>
      <c r="N257" s="20">
        <f t="shared" si="561"/>
        <v>0.63917855999999995</v>
      </c>
      <c r="O257" s="7">
        <f t="shared" ref="O257" si="806">H257-M257-N257</f>
        <v>5.5681468955555626</v>
      </c>
    </row>
    <row r="258" spans="1:15" x14ac:dyDescent="0.7">
      <c r="A258" s="6"/>
      <c r="B258" s="6"/>
      <c r="C258" s="6">
        <v>12</v>
      </c>
      <c r="D258" s="7">
        <v>169.81100000000001</v>
      </c>
      <c r="E258" s="4">
        <v>10</v>
      </c>
      <c r="F258" s="7">
        <v>169.81100000000001</v>
      </c>
      <c r="G258" s="15">
        <f t="shared" ref="G258" si="807">F258*86400</f>
        <v>14671670.4</v>
      </c>
      <c r="H258" s="21">
        <f t="shared" ref="H258" si="808">G258/1000000</f>
        <v>14.6716704</v>
      </c>
      <c r="I258" s="20">
        <f t="shared" si="558"/>
        <v>660225.16799999995</v>
      </c>
      <c r="J258" s="28">
        <v>9.8385994444444402E-2</v>
      </c>
      <c r="K258" s="20">
        <f t="shared" si="559"/>
        <v>79227.020159999985</v>
      </c>
      <c r="L258" s="17">
        <v>8.68241333333266E-2</v>
      </c>
      <c r="M258" s="17">
        <f t="shared" ref="M258" si="809">J258+L258</f>
        <v>0.18521012777777102</v>
      </c>
      <c r="N258" s="20">
        <f t="shared" si="561"/>
        <v>1.4671670400000001</v>
      </c>
      <c r="O258" s="7">
        <f t="shared" ref="O258" si="810">H258-M258-N258</f>
        <v>13.01929323222223</v>
      </c>
    </row>
    <row r="259" spans="1:15" x14ac:dyDescent="0.7">
      <c r="A259" s="6"/>
      <c r="B259" s="6"/>
      <c r="C259" s="3">
        <v>13</v>
      </c>
      <c r="D259" s="7">
        <v>93.908000000000001</v>
      </c>
      <c r="E259" s="4">
        <v>0.3</v>
      </c>
      <c r="F259" s="7">
        <v>93.908000000000001</v>
      </c>
      <c r="G259" s="15">
        <f t="shared" ref="G259" si="811">F259*86400</f>
        <v>8113651.2000000002</v>
      </c>
      <c r="H259" s="21">
        <f t="shared" ref="H259" si="812">G259/1000000</f>
        <v>8.1136511999999996</v>
      </c>
      <c r="I259" s="20">
        <f t="shared" si="558"/>
        <v>365114.30399999995</v>
      </c>
      <c r="J259" s="28">
        <v>9.8765444444444406E-2</v>
      </c>
      <c r="K259" s="20">
        <f t="shared" si="559"/>
        <v>43813.716479999988</v>
      </c>
      <c r="L259" s="17">
        <v>8.7194666666659898E-2</v>
      </c>
      <c r="M259" s="17">
        <f t="shared" ref="M259" si="813">J259+L259</f>
        <v>0.1859601111111043</v>
      </c>
      <c r="N259" s="20">
        <f t="shared" si="561"/>
        <v>0.81136512000000005</v>
      </c>
      <c r="O259" s="7">
        <f t="shared" ref="O259" si="814">H259-M259-N259</f>
        <v>7.116325968888896</v>
      </c>
    </row>
    <row r="260" spans="1:15" x14ac:dyDescent="0.7">
      <c r="A260" s="6"/>
      <c r="B260" s="6"/>
      <c r="C260" s="6">
        <v>14</v>
      </c>
      <c r="D260" s="7">
        <v>52.057000000000002</v>
      </c>
      <c r="E260" s="4">
        <v>3.7</v>
      </c>
      <c r="F260" s="7">
        <v>52.057000000000002</v>
      </c>
      <c r="G260" s="15">
        <f t="shared" ref="G260" si="815">F260*86400</f>
        <v>4497724.8</v>
      </c>
      <c r="H260" s="21">
        <f t="shared" ref="H260" si="816">G260/1000000</f>
        <v>4.4977247999999994</v>
      </c>
      <c r="I260" s="20">
        <f t="shared" ref="I260:I323" si="817">H260*1000000*0.045</f>
        <v>202397.61599999998</v>
      </c>
      <c r="J260" s="28">
        <v>9.9144894444444395E-2</v>
      </c>
      <c r="K260" s="20">
        <f t="shared" ref="K260:K323" si="818">I260*0.12</f>
        <v>24287.713919999998</v>
      </c>
      <c r="L260" s="17">
        <v>8.7565199999993196E-2</v>
      </c>
      <c r="M260" s="17">
        <f t="shared" ref="M260" si="819">J260+L260</f>
        <v>0.18671009444443759</v>
      </c>
      <c r="N260" s="20">
        <f t="shared" ref="N260:N323" si="820">H260*0.1</f>
        <v>0.44977247999999997</v>
      </c>
      <c r="O260" s="7">
        <f t="shared" ref="O260" si="821">H260-M260-N260</f>
        <v>3.8612422255555616</v>
      </c>
    </row>
    <row r="261" spans="1:15" x14ac:dyDescent="0.7">
      <c r="A261" s="6"/>
      <c r="B261" s="6"/>
      <c r="C261" s="6">
        <v>15</v>
      </c>
      <c r="D261" s="7">
        <v>112.10000000000001</v>
      </c>
      <c r="E261" s="4">
        <v>1.1000000000000001</v>
      </c>
      <c r="F261" s="7">
        <v>112.10000000000001</v>
      </c>
      <c r="G261" s="15">
        <f t="shared" ref="G261" si="822">F261*86400</f>
        <v>9685440</v>
      </c>
      <c r="H261" s="21">
        <f t="shared" ref="H261" si="823">G261/1000000</f>
        <v>9.6854399999999998</v>
      </c>
      <c r="I261" s="20">
        <f t="shared" si="817"/>
        <v>435844.8</v>
      </c>
      <c r="J261" s="28">
        <v>9.9524344444444399E-2</v>
      </c>
      <c r="K261" s="20">
        <f t="shared" si="818"/>
        <v>52301.375999999997</v>
      </c>
      <c r="L261" s="17">
        <v>8.7935733333326493E-2</v>
      </c>
      <c r="M261" s="17">
        <f t="shared" ref="M261" si="824">J261+L261</f>
        <v>0.18746007777777091</v>
      </c>
      <c r="N261" s="20">
        <f t="shared" si="820"/>
        <v>0.96854400000000007</v>
      </c>
      <c r="O261" s="7">
        <f t="shared" ref="O261" si="825">H261-M261-N261</f>
        <v>8.5294359222222287</v>
      </c>
    </row>
    <row r="262" spans="1:15" x14ac:dyDescent="0.7">
      <c r="A262" s="6"/>
      <c r="B262" s="6"/>
      <c r="C262" s="3">
        <v>16</v>
      </c>
      <c r="D262" s="7">
        <v>70.126000000000005</v>
      </c>
      <c r="E262" s="4">
        <v>3.3</v>
      </c>
      <c r="F262" s="7">
        <v>70.126000000000005</v>
      </c>
      <c r="G262" s="15">
        <f t="shared" ref="G262" si="826">F262*86400</f>
        <v>6058886.4000000004</v>
      </c>
      <c r="H262" s="21">
        <f t="shared" ref="H262" si="827">G262/1000000</f>
        <v>6.0588864000000004</v>
      </c>
      <c r="I262" s="20">
        <f t="shared" si="817"/>
        <v>272649.88800000004</v>
      </c>
      <c r="J262" s="28">
        <v>9.9903794444444402E-2</v>
      </c>
      <c r="K262" s="20">
        <f t="shared" si="818"/>
        <v>32717.986560000005</v>
      </c>
      <c r="L262" s="17">
        <v>8.8306266666659805E-2</v>
      </c>
      <c r="M262" s="17">
        <f t="shared" ref="M262" si="828">J262+L262</f>
        <v>0.18821006111110422</v>
      </c>
      <c r="N262" s="20">
        <f t="shared" si="820"/>
        <v>0.60588864000000009</v>
      </c>
      <c r="O262" s="7">
        <f t="shared" ref="O262" si="829">H262-M262-N262</f>
        <v>5.2647876988888962</v>
      </c>
    </row>
    <row r="263" spans="1:15" x14ac:dyDescent="0.7">
      <c r="A263" s="6"/>
      <c r="B263" s="6"/>
      <c r="C263" s="6">
        <v>17</v>
      </c>
      <c r="D263" s="7">
        <v>57.259</v>
      </c>
      <c r="E263" s="4">
        <v>14.6</v>
      </c>
      <c r="F263" s="7">
        <v>57.259</v>
      </c>
      <c r="G263" s="15">
        <f t="shared" ref="G263" si="830">F263*86400</f>
        <v>4947177.5999999996</v>
      </c>
      <c r="H263" s="21">
        <f t="shared" ref="H263" si="831">G263/1000000</f>
        <v>4.9471775999999998</v>
      </c>
      <c r="I263" s="20">
        <f t="shared" si="817"/>
        <v>222622.99199999997</v>
      </c>
      <c r="J263" s="28">
        <v>0.100283244444444</v>
      </c>
      <c r="K263" s="20">
        <f t="shared" si="818"/>
        <v>26714.759039999994</v>
      </c>
      <c r="L263" s="17">
        <v>8.8676799999993103E-2</v>
      </c>
      <c r="M263" s="17">
        <f t="shared" ref="M263" si="832">J263+L263</f>
        <v>0.18896004444443709</v>
      </c>
      <c r="N263" s="20">
        <f t="shared" si="820"/>
        <v>0.49471776000000001</v>
      </c>
      <c r="O263" s="7">
        <f t="shared" ref="O263" si="833">H263-M263-N263</f>
        <v>4.2634997955555622</v>
      </c>
    </row>
    <row r="264" spans="1:15" x14ac:dyDescent="0.7">
      <c r="A264" s="6"/>
      <c r="B264" s="6"/>
      <c r="C264" s="6">
        <v>18</v>
      </c>
      <c r="D264" s="7">
        <v>51.334000000000003</v>
      </c>
      <c r="E264" s="4">
        <v>0.6</v>
      </c>
      <c r="F264" s="7">
        <v>51.334000000000003</v>
      </c>
      <c r="G264" s="15">
        <f t="shared" ref="G264" si="834">F264*86400</f>
        <v>4435257.6000000006</v>
      </c>
      <c r="H264" s="21">
        <f t="shared" ref="H264" si="835">G264/1000000</f>
        <v>4.4352576000000008</v>
      </c>
      <c r="I264" s="20">
        <f t="shared" si="817"/>
        <v>199586.592</v>
      </c>
      <c r="J264" s="28">
        <v>0.10066269444444401</v>
      </c>
      <c r="K264" s="20">
        <f t="shared" si="818"/>
        <v>23950.391039999999</v>
      </c>
      <c r="L264" s="17">
        <v>8.9047333333326401E-2</v>
      </c>
      <c r="M264" s="17">
        <f t="shared" ref="M264" si="836">J264+L264</f>
        <v>0.18971002777777041</v>
      </c>
      <c r="N264" s="20">
        <f t="shared" si="820"/>
        <v>0.4435257600000001</v>
      </c>
      <c r="O264" s="7">
        <f t="shared" ref="O264" si="837">H264-M264-N264</f>
        <v>3.8020218122222307</v>
      </c>
    </row>
    <row r="265" spans="1:15" x14ac:dyDescent="0.7">
      <c r="A265" s="6"/>
      <c r="B265" s="6"/>
      <c r="C265" s="3">
        <v>19</v>
      </c>
      <c r="D265" s="7">
        <v>41.028999999999996</v>
      </c>
      <c r="E265" s="4">
        <v>0</v>
      </c>
      <c r="F265" s="7">
        <v>41.028999999999996</v>
      </c>
      <c r="G265" s="15">
        <f t="shared" ref="G265" si="838">F265*86400</f>
        <v>3544905.5999999996</v>
      </c>
      <c r="H265" s="21">
        <f t="shared" ref="H265" si="839">G265/1000000</f>
        <v>3.5449055999999994</v>
      </c>
      <c r="I265" s="20">
        <f t="shared" si="817"/>
        <v>159520.75199999998</v>
      </c>
      <c r="J265" s="28">
        <v>0.101042144444444</v>
      </c>
      <c r="K265" s="20">
        <f t="shared" si="818"/>
        <v>19142.490239999996</v>
      </c>
      <c r="L265" s="17">
        <v>8.9417866666659698E-2</v>
      </c>
      <c r="M265" s="17">
        <f t="shared" ref="M265" si="840">J265+L265</f>
        <v>0.19046001111110369</v>
      </c>
      <c r="N265" s="20">
        <f t="shared" si="820"/>
        <v>0.35449055999999995</v>
      </c>
      <c r="O265" s="7">
        <f t="shared" ref="O265" si="841">H265-M265-N265</f>
        <v>2.9999550288888956</v>
      </c>
    </row>
    <row r="266" spans="1:15" x14ac:dyDescent="0.7">
      <c r="A266" s="6"/>
      <c r="B266" s="6"/>
      <c r="C266" s="6">
        <v>20</v>
      </c>
      <c r="D266" s="7">
        <v>43.3</v>
      </c>
      <c r="E266" s="4">
        <v>0</v>
      </c>
      <c r="F266" s="7">
        <v>43.3</v>
      </c>
      <c r="G266" s="15">
        <f t="shared" ref="G266" si="842">F266*86400</f>
        <v>3741119.9999999995</v>
      </c>
      <c r="H266" s="21">
        <f t="shared" ref="H266" si="843">G266/1000000</f>
        <v>3.7411199999999996</v>
      </c>
      <c r="I266" s="20">
        <f t="shared" si="817"/>
        <v>168350.39999999997</v>
      </c>
      <c r="J266" s="28">
        <v>0.101421594444444</v>
      </c>
      <c r="K266" s="20">
        <f t="shared" si="818"/>
        <v>20202.047999999995</v>
      </c>
      <c r="L266" s="17">
        <v>8.9788399999992996E-2</v>
      </c>
      <c r="M266" s="17">
        <f t="shared" ref="M266" si="844">J266+L266</f>
        <v>0.19120999444443698</v>
      </c>
      <c r="N266" s="20">
        <f t="shared" si="820"/>
        <v>0.374112</v>
      </c>
      <c r="O266" s="7">
        <f t="shared" ref="O266" si="845">H266-M266-N266</f>
        <v>3.1757980055555626</v>
      </c>
    </row>
    <row r="267" spans="1:15" x14ac:dyDescent="0.7">
      <c r="A267" s="6"/>
      <c r="B267" s="6"/>
      <c r="C267" s="6">
        <v>21</v>
      </c>
      <c r="D267" s="7">
        <v>51.228000000000002</v>
      </c>
      <c r="E267" s="4">
        <v>0</v>
      </c>
      <c r="F267" s="7">
        <v>51.228000000000002</v>
      </c>
      <c r="G267" s="15">
        <f t="shared" ref="G267" si="846">F267*86400</f>
        <v>4426099.2</v>
      </c>
      <c r="H267" s="21">
        <f t="shared" ref="H267" si="847">G267/1000000</f>
        <v>4.4260992000000003</v>
      </c>
      <c r="I267" s="20">
        <f t="shared" si="817"/>
        <v>199174.46400000001</v>
      </c>
      <c r="J267" s="28">
        <v>0.101801044444444</v>
      </c>
      <c r="K267" s="20">
        <f t="shared" si="818"/>
        <v>23900.935679999999</v>
      </c>
      <c r="L267" s="17">
        <v>9.0158933333326294E-2</v>
      </c>
      <c r="M267" s="17">
        <f t="shared" ref="M267" si="848">J267+L267</f>
        <v>0.1919599777777703</v>
      </c>
      <c r="N267" s="20">
        <f t="shared" si="820"/>
        <v>0.44260992000000005</v>
      </c>
      <c r="O267" s="7">
        <f t="shared" ref="O267" si="849">H267-M267-N267</f>
        <v>3.7915293022222296</v>
      </c>
    </row>
    <row r="268" spans="1:15" x14ac:dyDescent="0.7">
      <c r="A268" s="6"/>
      <c r="B268" s="6"/>
      <c r="C268" s="3">
        <v>22</v>
      </c>
      <c r="D268" s="7">
        <v>47.006</v>
      </c>
      <c r="E268" s="4">
        <v>0</v>
      </c>
      <c r="F268" s="7">
        <v>47.006</v>
      </c>
      <c r="G268" s="15">
        <f t="shared" ref="G268" si="850">F268*86400</f>
        <v>4061318.4</v>
      </c>
      <c r="H268" s="21">
        <f t="shared" ref="H268" si="851">G268/1000000</f>
        <v>4.0613184000000002</v>
      </c>
      <c r="I268" s="20">
        <f t="shared" si="817"/>
        <v>182759.32800000001</v>
      </c>
      <c r="J268" s="28">
        <v>0.10218049444444401</v>
      </c>
      <c r="K268" s="20">
        <f t="shared" si="818"/>
        <v>21931.119360000001</v>
      </c>
      <c r="L268" s="17">
        <v>9.0529466666659605E-2</v>
      </c>
      <c r="M268" s="17">
        <f t="shared" ref="M268" si="852">J268+L268</f>
        <v>0.19270996111110361</v>
      </c>
      <c r="N268" s="20">
        <f t="shared" si="820"/>
        <v>0.40613184000000002</v>
      </c>
      <c r="O268" s="7">
        <f t="shared" ref="O268" si="853">H268-M268-N268</f>
        <v>3.4624765988888968</v>
      </c>
    </row>
    <row r="269" spans="1:15" x14ac:dyDescent="0.7">
      <c r="A269" s="6"/>
      <c r="B269" s="6"/>
      <c r="C269" s="6">
        <v>23</v>
      </c>
      <c r="D269" s="7">
        <v>39.314</v>
      </c>
      <c r="E269" s="4">
        <v>0</v>
      </c>
      <c r="F269" s="7">
        <v>39.314</v>
      </c>
      <c r="G269" s="15">
        <f t="shared" ref="G269" si="854">F269*86400</f>
        <v>3396729.6</v>
      </c>
      <c r="H269" s="21">
        <f t="shared" ref="H269" si="855">G269/1000000</f>
        <v>3.3967296</v>
      </c>
      <c r="I269" s="20">
        <f t="shared" si="817"/>
        <v>152852.83199999999</v>
      </c>
      <c r="J269" s="28">
        <v>0.102559944444444</v>
      </c>
      <c r="K269" s="20">
        <f t="shared" si="818"/>
        <v>18342.339839999997</v>
      </c>
      <c r="L269" s="17">
        <v>9.0899999999992903E-2</v>
      </c>
      <c r="M269" s="17">
        <f t="shared" ref="M269" si="856">J269+L269</f>
        <v>0.1934599444444369</v>
      </c>
      <c r="N269" s="20">
        <f t="shared" si="820"/>
        <v>0.33967296000000002</v>
      </c>
      <c r="O269" s="7">
        <f t="shared" ref="O269" si="857">H269-M269-N269</f>
        <v>2.8635966955555632</v>
      </c>
    </row>
    <row r="270" spans="1:15" x14ac:dyDescent="0.7">
      <c r="A270" s="6"/>
      <c r="B270" s="6"/>
      <c r="C270" s="6">
        <v>24</v>
      </c>
      <c r="D270" s="7">
        <v>39.314</v>
      </c>
      <c r="E270" s="4">
        <v>1.1000000000000001</v>
      </c>
      <c r="F270" s="7">
        <v>39.314</v>
      </c>
      <c r="G270" s="15">
        <f t="shared" ref="G270" si="858">F270*86400</f>
        <v>3396729.6</v>
      </c>
      <c r="H270" s="21">
        <f t="shared" ref="H270" si="859">G270/1000000</f>
        <v>3.3967296</v>
      </c>
      <c r="I270" s="20">
        <f t="shared" si="817"/>
        <v>152852.83199999999</v>
      </c>
      <c r="J270" s="28">
        <v>0.102939394444444</v>
      </c>
      <c r="K270" s="20">
        <f t="shared" si="818"/>
        <v>18342.339839999997</v>
      </c>
      <c r="L270" s="17">
        <v>9.1270533333326201E-2</v>
      </c>
      <c r="M270" s="17">
        <f t="shared" ref="M270" si="860">J270+L270</f>
        <v>0.19420992777777019</v>
      </c>
      <c r="N270" s="20">
        <f t="shared" si="820"/>
        <v>0.33967296000000002</v>
      </c>
      <c r="O270" s="7">
        <f t="shared" ref="O270" si="861">H270-M270-N270</f>
        <v>2.8628467122222299</v>
      </c>
    </row>
    <row r="271" spans="1:15" x14ac:dyDescent="0.7">
      <c r="A271" s="6"/>
      <c r="B271" s="6"/>
      <c r="C271" s="3">
        <v>25</v>
      </c>
      <c r="D271" s="7">
        <v>39.314</v>
      </c>
      <c r="E271" s="4">
        <v>14.5</v>
      </c>
      <c r="F271" s="7">
        <v>39.314</v>
      </c>
      <c r="G271" s="15">
        <f t="shared" ref="G271" si="862">F271*86400</f>
        <v>3396729.6</v>
      </c>
      <c r="H271" s="21">
        <f t="shared" ref="H271" si="863">G271/1000000</f>
        <v>3.3967296</v>
      </c>
      <c r="I271" s="20">
        <f t="shared" si="817"/>
        <v>152852.83199999999</v>
      </c>
      <c r="J271" s="28">
        <v>0.103318844444444</v>
      </c>
      <c r="K271" s="20">
        <f t="shared" si="818"/>
        <v>18342.339839999997</v>
      </c>
      <c r="L271" s="17">
        <v>9.1641066666659499E-2</v>
      </c>
      <c r="M271" s="17">
        <f t="shared" ref="M271" si="864">J271+L271</f>
        <v>0.1949599111111035</v>
      </c>
      <c r="N271" s="20">
        <f t="shared" si="820"/>
        <v>0.33967296000000002</v>
      </c>
      <c r="O271" s="7">
        <f t="shared" ref="O271" si="865">H271-M271-N271</f>
        <v>2.8620967288888965</v>
      </c>
    </row>
    <row r="272" spans="1:15" x14ac:dyDescent="0.7">
      <c r="A272" s="6"/>
      <c r="B272" s="6"/>
      <c r="C272" s="6">
        <v>26</v>
      </c>
      <c r="D272" s="7">
        <v>38.030999999999999</v>
      </c>
      <c r="E272" s="4">
        <v>37.9</v>
      </c>
      <c r="F272" s="7">
        <v>38.030999999999999</v>
      </c>
      <c r="G272" s="15">
        <f t="shared" ref="G272" si="866">F272*86400</f>
        <v>3285878.4</v>
      </c>
      <c r="H272" s="21">
        <f t="shared" ref="H272" si="867">G272/1000000</f>
        <v>3.2858784000000001</v>
      </c>
      <c r="I272" s="20">
        <f t="shared" si="817"/>
        <v>147864.52799999999</v>
      </c>
      <c r="J272" s="28">
        <v>0.10369829444444401</v>
      </c>
      <c r="K272" s="20">
        <f t="shared" si="818"/>
        <v>17743.743359999997</v>
      </c>
      <c r="L272" s="17">
        <v>9.2011599999992796E-2</v>
      </c>
      <c r="M272" s="17">
        <f t="shared" ref="M272" si="868">J272+L272</f>
        <v>0.19570989444443682</v>
      </c>
      <c r="N272" s="20">
        <f t="shared" si="820"/>
        <v>0.32858784000000002</v>
      </c>
      <c r="O272" s="7">
        <f t="shared" ref="O272" si="869">H272-M272-N272</f>
        <v>2.7615806655555635</v>
      </c>
    </row>
    <row r="273" spans="1:15" x14ac:dyDescent="0.7">
      <c r="A273" s="6"/>
      <c r="B273" s="6"/>
      <c r="C273" s="6">
        <v>27</v>
      </c>
      <c r="D273" s="7">
        <v>39.546999999999997</v>
      </c>
      <c r="E273" s="4">
        <v>39</v>
      </c>
      <c r="F273" s="7">
        <v>39.546999999999997</v>
      </c>
      <c r="G273" s="15">
        <f t="shared" ref="G273" si="870">F273*86400</f>
        <v>3416860.8</v>
      </c>
      <c r="H273" s="21">
        <f t="shared" ref="H273" si="871">G273/1000000</f>
        <v>3.4168607999999998</v>
      </c>
      <c r="I273" s="20">
        <f t="shared" si="817"/>
        <v>153758.73599999998</v>
      </c>
      <c r="J273" s="28">
        <v>0.104077744444444</v>
      </c>
      <c r="K273" s="20">
        <f t="shared" si="818"/>
        <v>18451.048319999998</v>
      </c>
      <c r="L273" s="17">
        <v>9.2382133333326094E-2</v>
      </c>
      <c r="M273" s="17">
        <f t="shared" ref="M273" si="872">J273+L273</f>
        <v>0.19645987777777008</v>
      </c>
      <c r="N273" s="20">
        <f t="shared" si="820"/>
        <v>0.34168608</v>
      </c>
      <c r="O273" s="7">
        <f t="shared" ref="O273" si="873">H273-M273-N273</f>
        <v>2.8787148422222297</v>
      </c>
    </row>
    <row r="274" spans="1:15" x14ac:dyDescent="0.7">
      <c r="A274" s="12"/>
      <c r="B274" s="12"/>
      <c r="C274" s="43">
        <v>28</v>
      </c>
      <c r="D274" s="30">
        <v>39.519999999999996</v>
      </c>
      <c r="E274" s="4">
        <v>6.1</v>
      </c>
      <c r="F274" s="30">
        <v>39.519999999999996</v>
      </c>
      <c r="G274" s="31">
        <f t="shared" ref="G274" si="874">F274*86400</f>
        <v>3414527.9999999995</v>
      </c>
      <c r="H274" s="32">
        <f t="shared" ref="H274" si="875">G274/1000000</f>
        <v>3.4145279999999993</v>
      </c>
      <c r="I274" s="20">
        <f t="shared" si="817"/>
        <v>153653.75999999998</v>
      </c>
      <c r="J274" s="34">
        <v>0.104457194444444</v>
      </c>
      <c r="K274" s="20">
        <f t="shared" si="818"/>
        <v>18438.451199999996</v>
      </c>
      <c r="L274" s="33">
        <v>9.2752666666659406E-2</v>
      </c>
      <c r="M274" s="33">
        <f t="shared" ref="M274" si="876">J274+L274</f>
        <v>0.19720986111110339</v>
      </c>
      <c r="N274" s="20">
        <f t="shared" si="820"/>
        <v>0.34145279999999995</v>
      </c>
      <c r="O274" s="30">
        <f t="shared" ref="O274" si="877">H274-M274-N274</f>
        <v>2.8758653388888962</v>
      </c>
    </row>
    <row r="275" spans="1:15" s="37" customFormat="1" x14ac:dyDescent="0.7">
      <c r="A275" s="6"/>
      <c r="B275" s="6"/>
      <c r="C275" s="6">
        <v>29</v>
      </c>
      <c r="D275" s="7">
        <v>30.538999999999998</v>
      </c>
      <c r="E275" s="4">
        <v>0</v>
      </c>
      <c r="F275" s="7">
        <v>30.538999999999998</v>
      </c>
      <c r="G275" s="35">
        <f t="shared" ref="G275" si="878">F275*86400</f>
        <v>2638569.5999999996</v>
      </c>
      <c r="H275" s="20">
        <f t="shared" ref="H275" si="879">G275/1000000</f>
        <v>2.6385695999999998</v>
      </c>
      <c r="I275" s="20">
        <f t="shared" si="817"/>
        <v>118735.63199999998</v>
      </c>
      <c r="J275" s="28">
        <v>0.104836644444444</v>
      </c>
      <c r="K275" s="20">
        <f t="shared" si="818"/>
        <v>14248.275839999997</v>
      </c>
      <c r="L275" s="17">
        <v>9.3123199999992703E-2</v>
      </c>
      <c r="M275" s="17">
        <f t="shared" ref="M275" si="880">J275+L275</f>
        <v>0.19795984444443671</v>
      </c>
      <c r="N275" s="20">
        <f t="shared" si="820"/>
        <v>0.26385695999999997</v>
      </c>
      <c r="O275" s="7">
        <f t="shared" ref="O275" si="881">H275-M275-N275</f>
        <v>2.1767527955555632</v>
      </c>
    </row>
    <row r="276" spans="1:15" s="13" customFormat="1" ht="25.2" thickBot="1" x14ac:dyDescent="0.75">
      <c r="A276" s="11"/>
      <c r="B276" s="11" t="s">
        <v>23</v>
      </c>
      <c r="C276" s="11">
        <v>30</v>
      </c>
      <c r="D276" s="19">
        <v>31.631999999999998</v>
      </c>
      <c r="E276" s="19">
        <v>0</v>
      </c>
      <c r="F276" s="19">
        <v>31.631999999999998</v>
      </c>
      <c r="G276" s="26">
        <f t="shared" ref="G276" si="882">F276*86400</f>
        <v>2733004.7999999998</v>
      </c>
      <c r="H276" s="27">
        <f t="shared" ref="H276" si="883">G276/1000000</f>
        <v>2.7330047999999998</v>
      </c>
      <c r="I276" s="22">
        <f t="shared" si="817"/>
        <v>122985.21599999999</v>
      </c>
      <c r="J276" s="39">
        <v>0.10521609444444401</v>
      </c>
      <c r="K276" s="22">
        <f t="shared" si="818"/>
        <v>14758.225919999997</v>
      </c>
      <c r="L276" s="38">
        <v>9.3493733333326001E-2</v>
      </c>
      <c r="M276" s="38">
        <f t="shared" ref="M276" si="884">J276+L276</f>
        <v>0.19870982777777002</v>
      </c>
      <c r="N276" s="22">
        <f t="shared" si="820"/>
        <v>0.27330048000000001</v>
      </c>
      <c r="O276" s="19">
        <f t="shared" ref="O276" si="885">H276-M276-N276</f>
        <v>2.2609944922222298</v>
      </c>
    </row>
    <row r="277" spans="1:15" x14ac:dyDescent="0.7">
      <c r="A277" s="3"/>
      <c r="B277" s="3" t="s">
        <v>24</v>
      </c>
      <c r="C277" s="3">
        <v>1</v>
      </c>
      <c r="D277" s="4">
        <v>34.896000000000001</v>
      </c>
      <c r="E277" s="4">
        <v>11.2</v>
      </c>
      <c r="F277" s="4">
        <v>34.896000000000001</v>
      </c>
      <c r="G277" s="15">
        <f t="shared" ref="G277" si="886">F277*86400</f>
        <v>3015014.3999999999</v>
      </c>
      <c r="H277" s="21">
        <f t="shared" ref="H277" si="887">G277/1000000</f>
        <v>3.0150144000000001</v>
      </c>
      <c r="I277" s="21">
        <f t="shared" si="817"/>
        <v>135675.64799999999</v>
      </c>
      <c r="J277" s="25">
        <v>0.105595544444444</v>
      </c>
      <c r="K277" s="21">
        <f t="shared" si="818"/>
        <v>16281.077759999998</v>
      </c>
      <c r="L277" s="16">
        <v>9.3864266666659299E-2</v>
      </c>
      <c r="M277" s="16">
        <f t="shared" ref="M277" si="888">J277+L277</f>
        <v>0.19945981111110328</v>
      </c>
      <c r="N277" s="21">
        <f t="shared" si="820"/>
        <v>0.30150144000000001</v>
      </c>
      <c r="O277" s="4">
        <f t="shared" ref="O277" si="889">H277-M277-N277</f>
        <v>2.5140531488888969</v>
      </c>
    </row>
    <row r="278" spans="1:15" x14ac:dyDescent="0.7">
      <c r="A278" s="6"/>
      <c r="B278" s="6"/>
      <c r="C278" s="6">
        <v>2</v>
      </c>
      <c r="D278" s="7">
        <v>42.139000000000003</v>
      </c>
      <c r="E278" s="4">
        <v>8.6999999999999993</v>
      </c>
      <c r="F278" s="7">
        <v>42.139000000000003</v>
      </c>
      <c r="G278" s="15">
        <f t="shared" ref="G278" si="890">F278*86400</f>
        <v>3640809.6</v>
      </c>
      <c r="H278" s="21">
        <f t="shared" ref="H278" si="891">G278/1000000</f>
        <v>3.6408096000000003</v>
      </c>
      <c r="I278" s="20">
        <f t="shared" si="817"/>
        <v>163836.432</v>
      </c>
      <c r="J278" s="28">
        <v>0.105974994444444</v>
      </c>
      <c r="K278" s="20">
        <f t="shared" si="818"/>
        <v>19660.37184</v>
      </c>
      <c r="L278" s="17">
        <v>9.4234799999992597E-2</v>
      </c>
      <c r="M278" s="17">
        <f t="shared" ref="M278" si="892">J278+L278</f>
        <v>0.2002097944444366</v>
      </c>
      <c r="N278" s="20">
        <f t="shared" si="820"/>
        <v>0.36408096000000006</v>
      </c>
      <c r="O278" s="7">
        <f t="shared" ref="O278" si="893">H278-M278-N278</f>
        <v>3.0765188455555639</v>
      </c>
    </row>
    <row r="279" spans="1:15" x14ac:dyDescent="0.7">
      <c r="A279" s="6"/>
      <c r="B279" s="6"/>
      <c r="C279" s="6">
        <v>3</v>
      </c>
      <c r="D279" s="7">
        <v>38.483000000000004</v>
      </c>
      <c r="E279" s="4">
        <v>0.7</v>
      </c>
      <c r="F279" s="7">
        <v>38.483000000000004</v>
      </c>
      <c r="G279" s="15">
        <f t="shared" ref="G279" si="894">F279*86400</f>
        <v>3324931.2</v>
      </c>
      <c r="H279" s="21">
        <f t="shared" ref="H279" si="895">G279/1000000</f>
        <v>3.3249312</v>
      </c>
      <c r="I279" s="20">
        <f t="shared" si="817"/>
        <v>149621.90400000001</v>
      </c>
      <c r="J279" s="28">
        <v>0.106354444444444</v>
      </c>
      <c r="K279" s="20">
        <f t="shared" si="818"/>
        <v>17954.628479999999</v>
      </c>
      <c r="L279" s="17">
        <v>9.4605333333325894E-2</v>
      </c>
      <c r="M279" s="17">
        <f t="shared" ref="M279" si="896">J279+L279</f>
        <v>0.20095977777776991</v>
      </c>
      <c r="N279" s="20">
        <f t="shared" si="820"/>
        <v>0.33249312000000003</v>
      </c>
      <c r="O279" s="7">
        <f t="shared" ref="O279" si="897">H279-M279-N279</f>
        <v>2.79147830222223</v>
      </c>
    </row>
    <row r="280" spans="1:15" x14ac:dyDescent="0.7">
      <c r="A280" s="6"/>
      <c r="B280" s="6"/>
      <c r="C280" s="3">
        <v>4</v>
      </c>
      <c r="D280" s="7">
        <v>30.507999999999999</v>
      </c>
      <c r="E280" s="4">
        <v>0</v>
      </c>
      <c r="F280" s="7">
        <v>30.507999999999999</v>
      </c>
      <c r="G280" s="15">
        <f t="shared" ref="G280" si="898">F280*86400</f>
        <v>2635891.1999999997</v>
      </c>
      <c r="H280" s="21">
        <f t="shared" ref="H280" si="899">G280/1000000</f>
        <v>2.6358911999999997</v>
      </c>
      <c r="I280" s="20">
        <f t="shared" si="817"/>
        <v>118615.10399999998</v>
      </c>
      <c r="J280" s="28">
        <v>0.10673389444444401</v>
      </c>
      <c r="K280" s="20">
        <f t="shared" si="818"/>
        <v>14233.812479999997</v>
      </c>
      <c r="L280" s="17">
        <v>9.4975866666659206E-2</v>
      </c>
      <c r="M280" s="17">
        <f t="shared" ref="M280" si="900">J280+L280</f>
        <v>0.20170976111110323</v>
      </c>
      <c r="N280" s="20">
        <f t="shared" si="820"/>
        <v>0.26358911999999995</v>
      </c>
      <c r="O280" s="7">
        <f t="shared" ref="O280" si="901">H280-M280-N280</f>
        <v>2.1705923188888967</v>
      </c>
    </row>
    <row r="281" spans="1:15" x14ac:dyDescent="0.7">
      <c r="A281" s="6"/>
      <c r="B281" s="6"/>
      <c r="C281" s="6">
        <v>5</v>
      </c>
      <c r="D281" s="7">
        <v>30.507999999999999</v>
      </c>
      <c r="E281" s="4">
        <v>0</v>
      </c>
      <c r="F281" s="7">
        <v>30.507999999999999</v>
      </c>
      <c r="G281" s="15">
        <f t="shared" ref="G281" si="902">F281*86400</f>
        <v>2635891.1999999997</v>
      </c>
      <c r="H281" s="21">
        <f t="shared" ref="H281" si="903">G281/1000000</f>
        <v>2.6358911999999997</v>
      </c>
      <c r="I281" s="20">
        <f t="shared" si="817"/>
        <v>118615.10399999998</v>
      </c>
      <c r="J281" s="28">
        <v>0.10711334444444399</v>
      </c>
      <c r="K281" s="20">
        <f t="shared" si="818"/>
        <v>14233.812479999997</v>
      </c>
      <c r="L281" s="17">
        <v>9.5346399999992504E-2</v>
      </c>
      <c r="M281" s="17">
        <f t="shared" ref="M281" si="904">J281+L281</f>
        <v>0.20245974444443648</v>
      </c>
      <c r="N281" s="20">
        <f t="shared" si="820"/>
        <v>0.26358911999999995</v>
      </c>
      <c r="O281" s="7">
        <f t="shared" ref="O281" si="905">H281-M281-N281</f>
        <v>2.1698423355555634</v>
      </c>
    </row>
    <row r="282" spans="1:15" x14ac:dyDescent="0.7">
      <c r="A282" s="6"/>
      <c r="B282" s="6"/>
      <c r="C282" s="6">
        <v>6</v>
      </c>
      <c r="D282" s="7">
        <v>30.5</v>
      </c>
      <c r="E282" s="4">
        <v>0</v>
      </c>
      <c r="F282" s="7">
        <v>30.5</v>
      </c>
      <c r="G282" s="15">
        <f t="shared" ref="G282" si="906">F282*86400</f>
        <v>2635200</v>
      </c>
      <c r="H282" s="21">
        <f t="shared" ref="H282" si="907">G282/1000000</f>
        <v>2.6352000000000002</v>
      </c>
      <c r="I282" s="20">
        <f t="shared" si="817"/>
        <v>118584</v>
      </c>
      <c r="J282" s="28">
        <v>0.107492794444444</v>
      </c>
      <c r="K282" s="20">
        <f t="shared" si="818"/>
        <v>14230.08</v>
      </c>
      <c r="L282" s="17">
        <v>9.5716933333325802E-2</v>
      </c>
      <c r="M282" s="17">
        <f t="shared" ref="M282" si="908">J282+L282</f>
        <v>0.2032097277777698</v>
      </c>
      <c r="N282" s="20">
        <f t="shared" si="820"/>
        <v>0.26352000000000003</v>
      </c>
      <c r="O282" s="7">
        <f t="shared" ref="O282" si="909">H282-M282-N282</f>
        <v>2.1684702722222302</v>
      </c>
    </row>
    <row r="283" spans="1:15" x14ac:dyDescent="0.7">
      <c r="A283" s="6"/>
      <c r="B283" s="6"/>
      <c r="C283" s="3">
        <v>7</v>
      </c>
      <c r="D283" s="7">
        <v>33.9</v>
      </c>
      <c r="E283" s="4">
        <v>0</v>
      </c>
      <c r="F283" s="7">
        <v>33.9</v>
      </c>
      <c r="G283" s="15">
        <f t="shared" ref="G283" si="910">F283*86400</f>
        <v>2928960</v>
      </c>
      <c r="H283" s="21">
        <f t="shared" ref="H283" si="911">G283/1000000</f>
        <v>2.92896</v>
      </c>
      <c r="I283" s="20">
        <f t="shared" si="817"/>
        <v>131803.19999999998</v>
      </c>
      <c r="J283" s="28">
        <v>0.107872244444444</v>
      </c>
      <c r="K283" s="20">
        <f t="shared" si="818"/>
        <v>15816.383999999998</v>
      </c>
      <c r="L283" s="17">
        <v>9.6087466666659099E-2</v>
      </c>
      <c r="M283" s="17">
        <f t="shared" ref="M283" si="912">J283+L283</f>
        <v>0.20395971111110311</v>
      </c>
      <c r="N283" s="20">
        <f t="shared" si="820"/>
        <v>0.29289599999999999</v>
      </c>
      <c r="O283" s="7">
        <f t="shared" ref="O283" si="913">H283-M283-N283</f>
        <v>2.4321042888888971</v>
      </c>
    </row>
    <row r="284" spans="1:15" x14ac:dyDescent="0.7">
      <c r="A284" s="6"/>
      <c r="B284" s="6"/>
      <c r="C284" s="6">
        <v>8</v>
      </c>
      <c r="D284" s="7">
        <v>26.198999999999998</v>
      </c>
      <c r="E284" s="4">
        <v>0</v>
      </c>
      <c r="F284" s="7">
        <v>26.198999999999998</v>
      </c>
      <c r="G284" s="15">
        <f t="shared" ref="G284" si="914">F284*86400</f>
        <v>2263593.5999999996</v>
      </c>
      <c r="H284" s="21">
        <f t="shared" ref="H284" si="915">G284/1000000</f>
        <v>2.2635935999999997</v>
      </c>
      <c r="I284" s="20">
        <f t="shared" si="817"/>
        <v>101861.71199999998</v>
      </c>
      <c r="J284" s="28">
        <v>0.108251694444444</v>
      </c>
      <c r="K284" s="20">
        <f t="shared" si="818"/>
        <v>12223.405439999999</v>
      </c>
      <c r="L284" s="17">
        <v>9.6457999999992397E-2</v>
      </c>
      <c r="M284" s="17">
        <f t="shared" ref="M284" si="916">J284+L284</f>
        <v>0.2047096944444364</v>
      </c>
      <c r="N284" s="20">
        <f t="shared" si="820"/>
        <v>0.22635935999999998</v>
      </c>
      <c r="O284" s="7">
        <f t="shared" ref="O284" si="917">H284-M284-N284</f>
        <v>1.8325245455555632</v>
      </c>
    </row>
    <row r="285" spans="1:15" x14ac:dyDescent="0.7">
      <c r="A285" s="6"/>
      <c r="B285" s="6"/>
      <c r="C285" s="6">
        <v>9</v>
      </c>
      <c r="D285" s="7">
        <v>24</v>
      </c>
      <c r="E285" s="4">
        <v>0</v>
      </c>
      <c r="F285" s="7">
        <v>24</v>
      </c>
      <c r="G285" s="15">
        <f t="shared" ref="G285" si="918">F285*86400</f>
        <v>2073600</v>
      </c>
      <c r="H285" s="21">
        <f t="shared" ref="H285" si="919">G285/1000000</f>
        <v>2.0735999999999999</v>
      </c>
      <c r="I285" s="20">
        <f t="shared" si="817"/>
        <v>93312</v>
      </c>
      <c r="J285" s="28">
        <v>0.10863114444444399</v>
      </c>
      <c r="K285" s="20">
        <f t="shared" si="818"/>
        <v>11197.439999999999</v>
      </c>
      <c r="L285" s="17">
        <v>9.6828533333325695E-2</v>
      </c>
      <c r="M285" s="17">
        <f t="shared" ref="M285" si="920">J285+L285</f>
        <v>0.20545967777776969</v>
      </c>
      <c r="N285" s="20">
        <f t="shared" si="820"/>
        <v>0.20735999999999999</v>
      </c>
      <c r="O285" s="7">
        <f t="shared" ref="O285" si="921">H285-M285-N285</f>
        <v>1.6607803222222302</v>
      </c>
    </row>
    <row r="286" spans="1:15" x14ac:dyDescent="0.7">
      <c r="A286" s="6"/>
      <c r="B286" s="6"/>
      <c r="C286" s="3">
        <v>10</v>
      </c>
      <c r="D286" s="7">
        <v>23.212000000000003</v>
      </c>
      <c r="E286" s="4">
        <v>0</v>
      </c>
      <c r="F286" s="7">
        <v>23.212000000000003</v>
      </c>
      <c r="G286" s="15">
        <f t="shared" ref="G286" si="922">F286*86400</f>
        <v>2005516.8000000003</v>
      </c>
      <c r="H286" s="21">
        <f t="shared" ref="H286" si="923">G286/1000000</f>
        <v>2.0055168000000001</v>
      </c>
      <c r="I286" s="20">
        <f t="shared" si="817"/>
        <v>90248.255999999994</v>
      </c>
      <c r="J286" s="28">
        <v>0.109010594444444</v>
      </c>
      <c r="K286" s="20">
        <f t="shared" si="818"/>
        <v>10829.790719999999</v>
      </c>
      <c r="L286" s="17">
        <v>9.7199066666659006E-2</v>
      </c>
      <c r="M286" s="17">
        <f t="shared" ref="M286" si="924">J286+L286</f>
        <v>0.206209661111103</v>
      </c>
      <c r="N286" s="20">
        <f t="shared" si="820"/>
        <v>0.20055168000000001</v>
      </c>
      <c r="O286" s="7">
        <f t="shared" ref="O286" si="925">H286-M286-N286</f>
        <v>1.598755458888897</v>
      </c>
    </row>
    <row r="287" spans="1:15" x14ac:dyDescent="0.7">
      <c r="A287" s="6"/>
      <c r="B287" s="6"/>
      <c r="C287" s="6">
        <v>11</v>
      </c>
      <c r="D287" s="7">
        <v>21.748000000000001</v>
      </c>
      <c r="E287" s="4">
        <v>0</v>
      </c>
      <c r="F287" s="7">
        <v>21.748000000000001</v>
      </c>
      <c r="G287" s="15">
        <f t="shared" ref="G287" si="926">F287*86400</f>
        <v>1879027.2000000002</v>
      </c>
      <c r="H287" s="21">
        <f t="shared" ref="H287" si="927">G287/1000000</f>
        <v>1.8790272000000001</v>
      </c>
      <c r="I287" s="20">
        <f t="shared" si="817"/>
        <v>84556.224000000002</v>
      </c>
      <c r="J287" s="28">
        <v>0.109390044444444</v>
      </c>
      <c r="K287" s="20">
        <f t="shared" si="818"/>
        <v>10146.746880000001</v>
      </c>
      <c r="L287" s="17">
        <v>9.7569599999992304E-2</v>
      </c>
      <c r="M287" s="17">
        <f t="shared" ref="M287" si="928">J287+L287</f>
        <v>0.20695964444443632</v>
      </c>
      <c r="N287" s="20">
        <f t="shared" si="820"/>
        <v>0.18790272000000002</v>
      </c>
      <c r="O287" s="7">
        <f t="shared" ref="O287" si="929">H287-M287-N287</f>
        <v>1.4841648355555637</v>
      </c>
    </row>
    <row r="288" spans="1:15" x14ac:dyDescent="0.7">
      <c r="A288" s="6"/>
      <c r="B288" s="6"/>
      <c r="C288" s="6">
        <v>12</v>
      </c>
      <c r="D288" s="7">
        <v>20.576000000000001</v>
      </c>
      <c r="E288" s="4">
        <v>0</v>
      </c>
      <c r="F288" s="7">
        <v>20.576000000000001</v>
      </c>
      <c r="G288" s="15">
        <f t="shared" ref="G288" si="930">F288*86400</f>
        <v>1777766.4000000001</v>
      </c>
      <c r="H288" s="21">
        <f t="shared" ref="H288" si="931">G288/1000000</f>
        <v>1.7777664000000002</v>
      </c>
      <c r="I288" s="20">
        <f t="shared" si="817"/>
        <v>79999.487999999998</v>
      </c>
      <c r="J288" s="28">
        <v>0.109769494444444</v>
      </c>
      <c r="K288" s="20">
        <f t="shared" si="818"/>
        <v>9599.9385599999987</v>
      </c>
      <c r="L288" s="17">
        <v>9.7940133333325602E-2</v>
      </c>
      <c r="M288" s="17">
        <f t="shared" ref="M288" si="932">J288+L288</f>
        <v>0.20770962777776961</v>
      </c>
      <c r="N288" s="20">
        <f t="shared" si="820"/>
        <v>0.17777664000000004</v>
      </c>
      <c r="O288" s="7">
        <f t="shared" ref="O288" si="933">H288-M288-N288</f>
        <v>1.3922801322222305</v>
      </c>
    </row>
    <row r="289" spans="1:15" x14ac:dyDescent="0.7">
      <c r="A289" s="6"/>
      <c r="B289" s="6"/>
      <c r="C289" s="3">
        <v>13</v>
      </c>
      <c r="D289" s="7">
        <v>19.815000000000001</v>
      </c>
      <c r="E289" s="4">
        <v>0</v>
      </c>
      <c r="F289" s="7">
        <v>19.815000000000001</v>
      </c>
      <c r="G289" s="15">
        <f t="shared" ref="G289" si="934">F289*86400</f>
        <v>1712016</v>
      </c>
      <c r="H289" s="21">
        <f t="shared" ref="H289" si="935">G289/1000000</f>
        <v>1.712016</v>
      </c>
      <c r="I289" s="20">
        <f t="shared" si="817"/>
        <v>77040.72</v>
      </c>
      <c r="J289" s="28">
        <v>0.11014894444444399</v>
      </c>
      <c r="K289" s="20">
        <f t="shared" si="818"/>
        <v>9244.8863999999994</v>
      </c>
      <c r="L289" s="17">
        <v>9.83106666666589E-2</v>
      </c>
      <c r="M289" s="17">
        <f t="shared" ref="M289" si="936">J289+L289</f>
        <v>0.20845961111110289</v>
      </c>
      <c r="N289" s="20">
        <f t="shared" si="820"/>
        <v>0.17120160000000001</v>
      </c>
      <c r="O289" s="7">
        <f t="shared" ref="O289" si="937">H289-M289-N289</f>
        <v>1.3323547888888971</v>
      </c>
    </row>
    <row r="290" spans="1:15" x14ac:dyDescent="0.7">
      <c r="A290" s="6"/>
      <c r="B290" s="6"/>
      <c r="C290" s="6">
        <v>14</v>
      </c>
      <c r="D290" s="7">
        <v>25.517000000000003</v>
      </c>
      <c r="E290" s="4">
        <v>0</v>
      </c>
      <c r="F290" s="7">
        <v>25.517000000000003</v>
      </c>
      <c r="G290" s="15">
        <f t="shared" ref="G290" si="938">F290*86400</f>
        <v>2204668.8000000003</v>
      </c>
      <c r="H290" s="21">
        <f t="shared" ref="H290" si="939">G290/1000000</f>
        <v>2.2046688000000003</v>
      </c>
      <c r="I290" s="20">
        <f t="shared" si="817"/>
        <v>99210.096000000005</v>
      </c>
      <c r="J290" s="28">
        <v>0.110528394444444</v>
      </c>
      <c r="K290" s="20">
        <f t="shared" si="818"/>
        <v>11905.211520000001</v>
      </c>
      <c r="L290" s="17">
        <v>9.8681199999992197E-2</v>
      </c>
      <c r="M290" s="17">
        <f t="shared" ref="M290" si="940">J290+L290</f>
        <v>0.20920959444443621</v>
      </c>
      <c r="N290" s="20">
        <f t="shared" si="820"/>
        <v>0.22046688000000003</v>
      </c>
      <c r="O290" s="7">
        <f t="shared" ref="O290" si="941">H290-M290-N290</f>
        <v>1.774992325555564</v>
      </c>
    </row>
    <row r="291" spans="1:15" x14ac:dyDescent="0.7">
      <c r="A291" s="6"/>
      <c r="B291" s="6"/>
      <c r="C291" s="6">
        <v>15</v>
      </c>
      <c r="D291" s="7">
        <v>30.64</v>
      </c>
      <c r="E291" s="4">
        <v>0</v>
      </c>
      <c r="F291" s="7">
        <v>30.64</v>
      </c>
      <c r="G291" s="15">
        <f t="shared" ref="G291" si="942">F291*86400</f>
        <v>2647296</v>
      </c>
      <c r="H291" s="21">
        <f t="shared" ref="H291" si="943">G291/1000000</f>
        <v>2.6472959999999999</v>
      </c>
      <c r="I291" s="20">
        <f t="shared" si="817"/>
        <v>119128.31999999999</v>
      </c>
      <c r="J291" s="28">
        <v>0.110907844444444</v>
      </c>
      <c r="K291" s="20">
        <f t="shared" si="818"/>
        <v>14295.398399999998</v>
      </c>
      <c r="L291" s="17">
        <v>9.9051733333325495E-2</v>
      </c>
      <c r="M291" s="17">
        <f t="shared" ref="M291" si="944">J291+L291</f>
        <v>0.2099595777777695</v>
      </c>
      <c r="N291" s="20">
        <f t="shared" si="820"/>
        <v>0.26472960000000001</v>
      </c>
      <c r="O291" s="7">
        <f t="shared" ref="O291" si="945">H291-M291-N291</f>
        <v>2.1726068222222303</v>
      </c>
    </row>
    <row r="292" spans="1:15" x14ac:dyDescent="0.7">
      <c r="A292" s="6"/>
      <c r="B292" s="6"/>
      <c r="C292" s="3">
        <v>16</v>
      </c>
      <c r="D292" s="7">
        <v>23.373000000000001</v>
      </c>
      <c r="E292" s="4">
        <v>0.4</v>
      </c>
      <c r="F292" s="7">
        <v>23.373000000000001</v>
      </c>
      <c r="G292" s="15">
        <f t="shared" ref="G292" si="946">F292*86400</f>
        <v>2019427.2000000002</v>
      </c>
      <c r="H292" s="21">
        <f t="shared" ref="H292" si="947">G292/1000000</f>
        <v>2.0194272</v>
      </c>
      <c r="I292" s="20">
        <f t="shared" si="817"/>
        <v>90874.223999999987</v>
      </c>
      <c r="J292" s="28">
        <v>0.111287294444444</v>
      </c>
      <c r="K292" s="20">
        <f t="shared" si="818"/>
        <v>10904.906879999999</v>
      </c>
      <c r="L292" s="17">
        <v>9.9422266666658807E-2</v>
      </c>
      <c r="M292" s="17">
        <f t="shared" ref="M292" si="948">J292+L292</f>
        <v>0.21070956111110281</v>
      </c>
      <c r="N292" s="20">
        <f t="shared" si="820"/>
        <v>0.20194272000000002</v>
      </c>
      <c r="O292" s="7">
        <f t="shared" ref="O292" si="949">H292-M292-N292</f>
        <v>1.6067749188888971</v>
      </c>
    </row>
    <row r="293" spans="1:15" x14ac:dyDescent="0.7">
      <c r="A293" s="6"/>
      <c r="B293" s="6"/>
      <c r="C293" s="6">
        <v>17</v>
      </c>
      <c r="D293" s="7">
        <v>22.125</v>
      </c>
      <c r="E293" s="4">
        <v>37.299999999999997</v>
      </c>
      <c r="F293" s="7">
        <v>22.125</v>
      </c>
      <c r="G293" s="15">
        <f t="shared" ref="G293" si="950">F293*86400</f>
        <v>1911600</v>
      </c>
      <c r="H293" s="21">
        <f t="shared" ref="H293" si="951">G293/1000000</f>
        <v>1.9116</v>
      </c>
      <c r="I293" s="20">
        <f t="shared" si="817"/>
        <v>86022</v>
      </c>
      <c r="J293" s="28">
        <v>0.11166674444444399</v>
      </c>
      <c r="K293" s="20">
        <f t="shared" si="818"/>
        <v>10322.64</v>
      </c>
      <c r="L293" s="17">
        <v>9.9792799999992104E-2</v>
      </c>
      <c r="M293" s="17">
        <f t="shared" ref="M293" si="952">J293+L293</f>
        <v>0.2114595444444361</v>
      </c>
      <c r="N293" s="20">
        <f t="shared" si="820"/>
        <v>0.19116</v>
      </c>
      <c r="O293" s="7">
        <f t="shared" ref="O293" si="953">H293-M293-N293</f>
        <v>1.5089804555555639</v>
      </c>
    </row>
    <row r="294" spans="1:15" x14ac:dyDescent="0.7">
      <c r="A294" s="6"/>
      <c r="B294" s="6"/>
      <c r="C294" s="6">
        <v>18</v>
      </c>
      <c r="D294" s="7">
        <v>20.999000000000002</v>
      </c>
      <c r="E294" s="4">
        <v>53.5</v>
      </c>
      <c r="F294" s="7">
        <v>20.999000000000002</v>
      </c>
      <c r="G294" s="15">
        <f t="shared" ref="G294" si="954">F294*86400</f>
        <v>1814313.6</v>
      </c>
      <c r="H294" s="21">
        <f t="shared" ref="H294" si="955">G294/1000000</f>
        <v>1.8143136000000002</v>
      </c>
      <c r="I294" s="20">
        <f t="shared" si="817"/>
        <v>81644.112000000008</v>
      </c>
      <c r="J294" s="28">
        <v>0.112046194444444</v>
      </c>
      <c r="K294" s="20">
        <f t="shared" si="818"/>
        <v>9797.2934400000013</v>
      </c>
      <c r="L294" s="17">
        <v>0.100163333333325</v>
      </c>
      <c r="M294" s="17">
        <f t="shared" ref="M294" si="956">J294+L294</f>
        <v>0.212209527777769</v>
      </c>
      <c r="N294" s="20">
        <f t="shared" si="820"/>
        <v>0.18143136000000004</v>
      </c>
      <c r="O294" s="7">
        <f t="shared" ref="O294" si="957">H294-M294-N294</f>
        <v>1.4206727122222311</v>
      </c>
    </row>
    <row r="295" spans="1:15" x14ac:dyDescent="0.7">
      <c r="A295" s="6"/>
      <c r="B295" s="6"/>
      <c r="C295" s="3">
        <v>19</v>
      </c>
      <c r="D295" s="7">
        <v>23.373000000000001</v>
      </c>
      <c r="E295" s="4">
        <v>3.4</v>
      </c>
      <c r="F295" s="7">
        <v>23.373000000000001</v>
      </c>
      <c r="G295" s="15">
        <f t="shared" ref="G295" si="958">F295*86400</f>
        <v>2019427.2000000002</v>
      </c>
      <c r="H295" s="21">
        <f t="shared" ref="H295" si="959">G295/1000000</f>
        <v>2.0194272</v>
      </c>
      <c r="I295" s="20">
        <f t="shared" si="817"/>
        <v>90874.223999999987</v>
      </c>
      <c r="J295" s="28">
        <v>0.112425644444444</v>
      </c>
      <c r="K295" s="20">
        <f t="shared" si="818"/>
        <v>10904.906879999999</v>
      </c>
      <c r="L295" s="17">
        <v>0.10053386666665901</v>
      </c>
      <c r="M295" s="17">
        <f t="shared" ref="M295" si="960">J295+L295</f>
        <v>0.21295951111110301</v>
      </c>
      <c r="N295" s="20">
        <f t="shared" si="820"/>
        <v>0.20194272000000002</v>
      </c>
      <c r="O295" s="7">
        <f t="shared" ref="O295" si="961">H295-M295-N295</f>
        <v>1.6045249688888972</v>
      </c>
    </row>
    <row r="296" spans="1:15" x14ac:dyDescent="0.7">
      <c r="A296" s="6"/>
      <c r="B296" s="6"/>
      <c r="C296" s="6">
        <v>20</v>
      </c>
      <c r="D296" s="7">
        <v>24.769000000000002</v>
      </c>
      <c r="E296" s="4">
        <v>5.8</v>
      </c>
      <c r="F296" s="7">
        <v>24.769000000000002</v>
      </c>
      <c r="G296" s="15">
        <f t="shared" ref="G296" si="962">F296*86400</f>
        <v>2140041.6</v>
      </c>
      <c r="H296" s="21">
        <f t="shared" ref="H296" si="963">G296/1000000</f>
        <v>2.1400416</v>
      </c>
      <c r="I296" s="20">
        <f t="shared" si="817"/>
        <v>96301.872000000003</v>
      </c>
      <c r="J296" s="28">
        <v>0.112805094444444</v>
      </c>
      <c r="K296" s="20">
        <f t="shared" si="818"/>
        <v>11556.22464</v>
      </c>
      <c r="L296" s="17">
        <v>0.100904399999992</v>
      </c>
      <c r="M296" s="17">
        <f t="shared" ref="M296" si="964">J296+L296</f>
        <v>0.21370949444443599</v>
      </c>
      <c r="N296" s="20">
        <f t="shared" si="820"/>
        <v>0.21400416</v>
      </c>
      <c r="O296" s="7">
        <f t="shared" ref="O296" si="965">H296-M296-N296</f>
        <v>1.712327945555564</v>
      </c>
    </row>
    <row r="297" spans="1:15" x14ac:dyDescent="0.7">
      <c r="A297" s="6"/>
      <c r="B297" s="6"/>
      <c r="C297" s="6">
        <v>21</v>
      </c>
      <c r="D297" s="7">
        <v>21.044</v>
      </c>
      <c r="E297" s="4">
        <v>10</v>
      </c>
      <c r="F297" s="7">
        <v>21.044</v>
      </c>
      <c r="G297" s="15">
        <f t="shared" ref="G297" si="966">F297*86400</f>
        <v>1818201.6</v>
      </c>
      <c r="H297" s="21">
        <f t="shared" ref="H297" si="967">G297/1000000</f>
        <v>1.8182016000000001</v>
      </c>
      <c r="I297" s="20">
        <f t="shared" si="817"/>
        <v>81819.072</v>
      </c>
      <c r="J297" s="28">
        <v>0.11318454444444399</v>
      </c>
      <c r="K297" s="20">
        <f t="shared" si="818"/>
        <v>9818.2886399999988</v>
      </c>
      <c r="L297" s="17">
        <v>0.101274933333325</v>
      </c>
      <c r="M297" s="17">
        <f t="shared" ref="M297" si="968">J297+L297</f>
        <v>0.214459477777769</v>
      </c>
      <c r="N297" s="20">
        <f t="shared" si="820"/>
        <v>0.18182016000000001</v>
      </c>
      <c r="O297" s="7">
        <f t="shared" ref="O297" si="969">H297-M297-N297</f>
        <v>1.421921962222231</v>
      </c>
    </row>
    <row r="298" spans="1:15" x14ac:dyDescent="0.7">
      <c r="A298" s="6"/>
      <c r="B298" s="6"/>
      <c r="C298" s="3">
        <v>22</v>
      </c>
      <c r="D298" s="7">
        <v>19.499000000000002</v>
      </c>
      <c r="E298" s="4">
        <v>0.5</v>
      </c>
      <c r="F298" s="7">
        <v>19.499000000000002</v>
      </c>
      <c r="G298" s="15">
        <f t="shared" ref="G298" si="970">F298*86400</f>
        <v>1684713.6</v>
      </c>
      <c r="H298" s="21">
        <f t="shared" ref="H298" si="971">G298/1000000</f>
        <v>1.6847136</v>
      </c>
      <c r="I298" s="20">
        <f t="shared" si="817"/>
        <v>75812.112000000008</v>
      </c>
      <c r="J298" s="28">
        <v>0.113563994444444</v>
      </c>
      <c r="K298" s="20">
        <f t="shared" si="818"/>
        <v>9097.4534400000011</v>
      </c>
      <c r="L298" s="17">
        <v>0.101645466666659</v>
      </c>
      <c r="M298" s="17">
        <f t="shared" ref="M298" si="972">J298+L298</f>
        <v>0.21520946111110301</v>
      </c>
      <c r="N298" s="20">
        <f t="shared" si="820"/>
        <v>0.16847136000000001</v>
      </c>
      <c r="O298" s="7">
        <f t="shared" ref="O298" si="973">H298-M298-N298</f>
        <v>1.3010327788888969</v>
      </c>
    </row>
    <row r="299" spans="1:15" x14ac:dyDescent="0.7">
      <c r="A299" s="6"/>
      <c r="B299" s="6"/>
      <c r="C299" s="6">
        <v>23</v>
      </c>
      <c r="D299" s="7">
        <v>19.399000000000001</v>
      </c>
      <c r="E299" s="4">
        <v>0</v>
      </c>
      <c r="F299" s="7">
        <v>19.399000000000001</v>
      </c>
      <c r="G299" s="15">
        <f t="shared" ref="G299" si="974">F299*86400</f>
        <v>1676073.6</v>
      </c>
      <c r="H299" s="21">
        <f t="shared" ref="H299" si="975">G299/1000000</f>
        <v>1.6760736000000001</v>
      </c>
      <c r="I299" s="20">
        <f t="shared" si="817"/>
        <v>75423.312000000005</v>
      </c>
      <c r="J299" s="28">
        <v>0.113943444444444</v>
      </c>
      <c r="K299" s="20">
        <f t="shared" si="818"/>
        <v>9050.7974400000003</v>
      </c>
      <c r="L299" s="17">
        <v>0.102015999999992</v>
      </c>
      <c r="M299" s="17">
        <f t="shared" ref="M299" si="976">J299+L299</f>
        <v>0.21595944444443599</v>
      </c>
      <c r="N299" s="20">
        <f t="shared" si="820"/>
        <v>0.16760736000000001</v>
      </c>
      <c r="O299" s="7">
        <f t="shared" ref="O299" si="977">H299-M299-N299</f>
        <v>1.292506795555564</v>
      </c>
    </row>
    <row r="300" spans="1:15" x14ac:dyDescent="0.7">
      <c r="A300" s="6"/>
      <c r="B300" s="6"/>
      <c r="C300" s="6">
        <v>24</v>
      </c>
      <c r="D300" s="7">
        <v>19.399000000000001</v>
      </c>
      <c r="E300" s="4">
        <v>38.5</v>
      </c>
      <c r="F300" s="7">
        <v>19.399000000000001</v>
      </c>
      <c r="G300" s="15">
        <f t="shared" ref="G300" si="978">F300*86400</f>
        <v>1676073.6</v>
      </c>
      <c r="H300" s="21">
        <f t="shared" ref="H300" si="979">G300/1000000</f>
        <v>1.6760736000000001</v>
      </c>
      <c r="I300" s="20">
        <f t="shared" si="817"/>
        <v>75423.312000000005</v>
      </c>
      <c r="J300" s="28">
        <v>0.114322894444444</v>
      </c>
      <c r="K300" s="20">
        <f t="shared" si="818"/>
        <v>9050.7974400000003</v>
      </c>
      <c r="L300" s="17">
        <v>0.10238653333332499</v>
      </c>
      <c r="M300" s="17">
        <f t="shared" ref="M300" si="980">J300+L300</f>
        <v>0.216709427777769</v>
      </c>
      <c r="N300" s="20">
        <f t="shared" si="820"/>
        <v>0.16760736000000001</v>
      </c>
      <c r="O300" s="7">
        <f t="shared" ref="O300" si="981">H300-M300-N300</f>
        <v>1.2917568122222309</v>
      </c>
    </row>
    <row r="301" spans="1:15" x14ac:dyDescent="0.7">
      <c r="A301" s="6"/>
      <c r="B301" s="6"/>
      <c r="C301" s="3">
        <v>25</v>
      </c>
      <c r="D301" s="7">
        <v>18.867000000000001</v>
      </c>
      <c r="E301" s="4">
        <v>0</v>
      </c>
      <c r="F301" s="7">
        <v>18.867000000000001</v>
      </c>
      <c r="G301" s="15">
        <f t="shared" ref="G301" si="982">F301*86400</f>
        <v>1630108.8</v>
      </c>
      <c r="H301" s="21">
        <f t="shared" ref="H301" si="983">G301/1000000</f>
        <v>1.6301088000000001</v>
      </c>
      <c r="I301" s="20">
        <f t="shared" si="817"/>
        <v>73354.895999999993</v>
      </c>
      <c r="J301" s="28">
        <v>0.11470234444444399</v>
      </c>
      <c r="K301" s="20">
        <f t="shared" si="818"/>
        <v>8802.5875199999991</v>
      </c>
      <c r="L301" s="17">
        <v>0.102757066666659</v>
      </c>
      <c r="M301" s="17">
        <f t="shared" ref="M301" si="984">J301+L301</f>
        <v>0.21745941111110301</v>
      </c>
      <c r="N301" s="20">
        <f t="shared" si="820"/>
        <v>0.16301088000000002</v>
      </c>
      <c r="O301" s="7">
        <f t="shared" ref="O301" si="985">H301-M301-N301</f>
        <v>1.249638508888897</v>
      </c>
    </row>
    <row r="302" spans="1:15" x14ac:dyDescent="0.7">
      <c r="A302" s="6"/>
      <c r="B302" s="6"/>
      <c r="C302" s="6">
        <v>26</v>
      </c>
      <c r="D302" s="7">
        <v>21.044</v>
      </c>
      <c r="E302" s="4">
        <v>0</v>
      </c>
      <c r="F302" s="7">
        <v>21.044</v>
      </c>
      <c r="G302" s="15">
        <f t="shared" ref="G302" si="986">F302*86400</f>
        <v>1818201.6</v>
      </c>
      <c r="H302" s="21">
        <f t="shared" ref="H302" si="987">G302/1000000</f>
        <v>1.8182016000000001</v>
      </c>
      <c r="I302" s="20">
        <f t="shared" si="817"/>
        <v>81819.072</v>
      </c>
      <c r="J302" s="28">
        <v>0.115081794444444</v>
      </c>
      <c r="K302" s="20">
        <f t="shared" si="818"/>
        <v>9818.2886399999988</v>
      </c>
      <c r="L302" s="17">
        <v>0.10312759999999201</v>
      </c>
      <c r="M302" s="17">
        <f t="shared" ref="M302" si="988">J302+L302</f>
        <v>0.21820939444443599</v>
      </c>
      <c r="N302" s="20">
        <f t="shared" si="820"/>
        <v>0.18182016000000001</v>
      </c>
      <c r="O302" s="7">
        <f t="shared" ref="O302" si="989">H302-M302-N302</f>
        <v>1.418172045555564</v>
      </c>
    </row>
    <row r="303" spans="1:15" x14ac:dyDescent="0.7">
      <c r="A303" s="6"/>
      <c r="B303" s="6"/>
      <c r="C303" s="6">
        <v>27</v>
      </c>
      <c r="D303" s="7">
        <v>21.044</v>
      </c>
      <c r="E303" s="4">
        <v>2.2999999999999998</v>
      </c>
      <c r="F303" s="7">
        <v>21.044</v>
      </c>
      <c r="G303" s="15">
        <f t="shared" ref="G303" si="990">F303*86400</f>
        <v>1818201.6</v>
      </c>
      <c r="H303" s="21">
        <f t="shared" ref="H303" si="991">G303/1000000</f>
        <v>1.8182016000000001</v>
      </c>
      <c r="I303" s="20">
        <f t="shared" si="817"/>
        <v>81819.072</v>
      </c>
      <c r="J303" s="28">
        <v>0.115461244444444</v>
      </c>
      <c r="K303" s="20">
        <f t="shared" si="818"/>
        <v>9818.2886399999988</v>
      </c>
      <c r="L303" s="17">
        <v>0.103498133333325</v>
      </c>
      <c r="M303" s="17">
        <f t="shared" ref="M303" si="992">J303+L303</f>
        <v>0.218959377777769</v>
      </c>
      <c r="N303" s="20">
        <f t="shared" si="820"/>
        <v>0.18182016000000001</v>
      </c>
      <c r="O303" s="7">
        <f t="shared" ref="O303" si="993">H303-M303-N303</f>
        <v>1.4174220622222311</v>
      </c>
    </row>
    <row r="304" spans="1:15" x14ac:dyDescent="0.7">
      <c r="A304" s="6"/>
      <c r="B304" s="6"/>
      <c r="C304" s="3">
        <v>28</v>
      </c>
      <c r="D304" s="7">
        <v>19.499000000000002</v>
      </c>
      <c r="E304" s="4">
        <v>28</v>
      </c>
      <c r="F304" s="7">
        <v>19.499000000000002</v>
      </c>
      <c r="G304" s="15">
        <f t="shared" ref="G304" si="994">F304*86400</f>
        <v>1684713.6</v>
      </c>
      <c r="H304" s="21">
        <f t="shared" ref="H304" si="995">G304/1000000</f>
        <v>1.6847136</v>
      </c>
      <c r="I304" s="20">
        <f t="shared" si="817"/>
        <v>75812.112000000008</v>
      </c>
      <c r="J304" s="28">
        <v>0.115840694444444</v>
      </c>
      <c r="K304" s="20">
        <f t="shared" si="818"/>
        <v>9097.4534400000011</v>
      </c>
      <c r="L304" s="17">
        <v>0.103868666666658</v>
      </c>
      <c r="M304" s="17">
        <f t="shared" ref="M304" si="996">J304+L304</f>
        <v>0.21970936111110201</v>
      </c>
      <c r="N304" s="20">
        <f t="shared" si="820"/>
        <v>0.16847136000000001</v>
      </c>
      <c r="O304" s="7">
        <f t="shared" ref="O304" si="997">H304-M304-N304</f>
        <v>1.2965328788888979</v>
      </c>
    </row>
    <row r="305" spans="1:15" x14ac:dyDescent="0.7">
      <c r="A305" s="12"/>
      <c r="B305" s="12"/>
      <c r="C305" s="12">
        <v>29</v>
      </c>
      <c r="D305" s="30">
        <v>19.135000000000002</v>
      </c>
      <c r="E305" s="4">
        <v>0.5</v>
      </c>
      <c r="F305" s="30">
        <v>19.135000000000002</v>
      </c>
      <c r="G305" s="31">
        <f t="shared" ref="G305:G368" si="998">F305*86400</f>
        <v>1653264.0000000002</v>
      </c>
      <c r="H305" s="32">
        <f t="shared" ref="H305:H368" si="999">G305/1000000</f>
        <v>1.6532640000000003</v>
      </c>
      <c r="I305" s="20">
        <f t="shared" si="817"/>
        <v>74396.88</v>
      </c>
      <c r="J305" s="34">
        <v>0.11622014444444401</v>
      </c>
      <c r="K305" s="20">
        <f t="shared" si="818"/>
        <v>8927.6255999999994</v>
      </c>
      <c r="L305" s="33">
        <v>0.104239199999992</v>
      </c>
      <c r="M305" s="33">
        <f t="shared" ref="M305:M368" si="1000">J305+L305</f>
        <v>0.22045934444443599</v>
      </c>
      <c r="N305" s="20">
        <f t="shared" si="820"/>
        <v>0.16532640000000004</v>
      </c>
      <c r="O305" s="30">
        <f t="shared" ref="O305:O368" si="1001">H305-M305-N305</f>
        <v>1.2674782555555641</v>
      </c>
    </row>
    <row r="306" spans="1:15" s="37" customFormat="1" x14ac:dyDescent="0.7">
      <c r="A306" s="6"/>
      <c r="B306" s="6"/>
      <c r="C306" s="6">
        <v>30</v>
      </c>
      <c r="D306" s="7">
        <v>18.596</v>
      </c>
      <c r="E306" s="4">
        <v>0.5</v>
      </c>
      <c r="F306" s="7">
        <v>18.596</v>
      </c>
      <c r="G306" s="35">
        <f t="shared" si="998"/>
        <v>1606694.4</v>
      </c>
      <c r="H306" s="20">
        <f t="shared" si="999"/>
        <v>1.6066943999999999</v>
      </c>
      <c r="I306" s="20">
        <f t="shared" si="817"/>
        <v>72301.247999999992</v>
      </c>
      <c r="J306" s="28">
        <v>0.116599594444444</v>
      </c>
      <c r="K306" s="20">
        <f t="shared" si="818"/>
        <v>8676.1497599999984</v>
      </c>
      <c r="L306" s="17">
        <v>0.104609733333325</v>
      </c>
      <c r="M306" s="17">
        <f t="shared" si="1000"/>
        <v>0.221209327777769</v>
      </c>
      <c r="N306" s="20">
        <f t="shared" si="820"/>
        <v>0.16066944</v>
      </c>
      <c r="O306" s="7">
        <f t="shared" si="1001"/>
        <v>1.224815632222231</v>
      </c>
    </row>
    <row r="307" spans="1:15" s="44" customFormat="1" ht="25.2" thickBot="1" x14ac:dyDescent="0.75">
      <c r="A307" s="11"/>
      <c r="B307" s="11" t="s">
        <v>24</v>
      </c>
      <c r="C307" s="11">
        <v>31</v>
      </c>
      <c r="D307" s="19">
        <v>23.373000000000001</v>
      </c>
      <c r="E307" s="19">
        <v>0</v>
      </c>
      <c r="F307" s="19">
        <v>23.373000000000001</v>
      </c>
      <c r="G307" s="26">
        <f t="shared" si="998"/>
        <v>2019427.2000000002</v>
      </c>
      <c r="H307" s="27">
        <f t="shared" si="999"/>
        <v>2.0194272</v>
      </c>
      <c r="I307" s="22">
        <f t="shared" si="817"/>
        <v>90874.223999999987</v>
      </c>
      <c r="J307" s="39">
        <v>0.116979044444444</v>
      </c>
      <c r="K307" s="22">
        <f t="shared" si="818"/>
        <v>10904.906879999999</v>
      </c>
      <c r="L307" s="38">
        <v>0.104980266666658</v>
      </c>
      <c r="M307" s="38">
        <f t="shared" si="1000"/>
        <v>0.22195931111110201</v>
      </c>
      <c r="N307" s="22">
        <f t="shared" si="820"/>
        <v>0.20194272000000002</v>
      </c>
      <c r="O307" s="19">
        <f t="shared" si="1001"/>
        <v>1.5955251688888978</v>
      </c>
    </row>
    <row r="308" spans="1:15" x14ac:dyDescent="0.7">
      <c r="A308" s="23"/>
      <c r="B308" s="23" t="s">
        <v>25</v>
      </c>
      <c r="C308" s="23">
        <v>1</v>
      </c>
      <c r="D308" s="24">
        <v>23.198999999999998</v>
      </c>
      <c r="E308" s="4">
        <v>0</v>
      </c>
      <c r="F308" s="24">
        <v>23.198999999999998</v>
      </c>
      <c r="G308" s="15">
        <f t="shared" si="998"/>
        <v>2004393.5999999999</v>
      </c>
      <c r="H308" s="21">
        <f t="shared" si="999"/>
        <v>2.0043935999999998</v>
      </c>
      <c r="I308" s="21">
        <f t="shared" si="817"/>
        <v>90197.711999999985</v>
      </c>
      <c r="J308" s="25">
        <v>0.117358494444444</v>
      </c>
      <c r="K308" s="21">
        <f t="shared" si="818"/>
        <v>10823.725439999998</v>
      </c>
      <c r="L308" s="16">
        <v>0.105350799999992</v>
      </c>
      <c r="M308" s="16">
        <f t="shared" si="1000"/>
        <v>0.22270929444443599</v>
      </c>
      <c r="N308" s="21">
        <f t="shared" si="820"/>
        <v>0.20043935999999998</v>
      </c>
      <c r="O308" s="4">
        <f t="shared" si="1001"/>
        <v>1.5812449455555637</v>
      </c>
    </row>
    <row r="309" spans="1:15" x14ac:dyDescent="0.7">
      <c r="A309" s="6"/>
      <c r="B309" s="6"/>
      <c r="C309" s="6">
        <v>2</v>
      </c>
      <c r="D309" s="7">
        <v>20.3</v>
      </c>
      <c r="E309" s="4">
        <v>0</v>
      </c>
      <c r="F309" s="7">
        <v>20.3</v>
      </c>
      <c r="G309" s="15">
        <f t="shared" si="998"/>
        <v>1753920</v>
      </c>
      <c r="H309" s="21">
        <f t="shared" si="999"/>
        <v>1.7539199999999999</v>
      </c>
      <c r="I309" s="20">
        <f t="shared" si="817"/>
        <v>78926.399999999994</v>
      </c>
      <c r="J309" s="28">
        <v>0.11773794444444401</v>
      </c>
      <c r="K309" s="20">
        <f t="shared" si="818"/>
        <v>9471.1679999999997</v>
      </c>
      <c r="L309" s="17">
        <v>0.10572133333332499</v>
      </c>
      <c r="M309" s="17">
        <f t="shared" si="1000"/>
        <v>0.223459277777769</v>
      </c>
      <c r="N309" s="20">
        <f t="shared" si="820"/>
        <v>0.17539199999999999</v>
      </c>
      <c r="O309" s="7">
        <f t="shared" si="1001"/>
        <v>1.3550687222222308</v>
      </c>
    </row>
    <row r="310" spans="1:15" x14ac:dyDescent="0.7">
      <c r="A310" s="6"/>
      <c r="B310" s="6"/>
      <c r="C310" s="6">
        <v>3</v>
      </c>
      <c r="D310" s="7">
        <v>20.350999999999999</v>
      </c>
      <c r="E310" s="4">
        <v>0</v>
      </c>
      <c r="F310" s="7">
        <v>20.350999999999999</v>
      </c>
      <c r="G310" s="15">
        <f t="shared" si="998"/>
        <v>1758326.4</v>
      </c>
      <c r="H310" s="21">
        <f t="shared" si="999"/>
        <v>1.7583263999999998</v>
      </c>
      <c r="I310" s="20">
        <f t="shared" si="817"/>
        <v>79124.687999999995</v>
      </c>
      <c r="J310" s="28">
        <v>0.118117394444444</v>
      </c>
      <c r="K310" s="20">
        <f t="shared" si="818"/>
        <v>9494.9625599999981</v>
      </c>
      <c r="L310" s="17">
        <v>0.106091866666658</v>
      </c>
      <c r="M310" s="17">
        <f t="shared" si="1000"/>
        <v>0.22420926111110201</v>
      </c>
      <c r="N310" s="20">
        <f t="shared" si="820"/>
        <v>0.17583263999999998</v>
      </c>
      <c r="O310" s="7">
        <f t="shared" si="1001"/>
        <v>1.358284498888898</v>
      </c>
    </row>
    <row r="311" spans="1:15" x14ac:dyDescent="0.7">
      <c r="A311" s="6"/>
      <c r="B311" s="6"/>
      <c r="C311" s="3">
        <v>4</v>
      </c>
      <c r="D311" s="7">
        <v>20.350999999999999</v>
      </c>
      <c r="E311" s="4">
        <v>0</v>
      </c>
      <c r="F311" s="7">
        <v>20.350999999999999</v>
      </c>
      <c r="G311" s="15">
        <f t="shared" si="998"/>
        <v>1758326.4</v>
      </c>
      <c r="H311" s="21">
        <f t="shared" si="999"/>
        <v>1.7583263999999998</v>
      </c>
      <c r="I311" s="20">
        <f t="shared" si="817"/>
        <v>79124.687999999995</v>
      </c>
      <c r="J311" s="28">
        <v>0.118496844444444</v>
      </c>
      <c r="K311" s="20">
        <f t="shared" si="818"/>
        <v>9494.9625599999981</v>
      </c>
      <c r="L311" s="17">
        <v>0.10646239999999201</v>
      </c>
      <c r="M311" s="17">
        <f t="shared" si="1000"/>
        <v>0.22495924444443599</v>
      </c>
      <c r="N311" s="20">
        <f t="shared" si="820"/>
        <v>0.17583263999999998</v>
      </c>
      <c r="O311" s="7">
        <f t="shared" si="1001"/>
        <v>1.3575345155555638</v>
      </c>
    </row>
    <row r="312" spans="1:15" x14ac:dyDescent="0.7">
      <c r="A312" s="6"/>
      <c r="B312" s="6"/>
      <c r="C312" s="6">
        <v>5</v>
      </c>
      <c r="D312" s="7">
        <v>20.350999999999999</v>
      </c>
      <c r="E312" s="4">
        <v>0</v>
      </c>
      <c r="F312" s="7">
        <v>20.350999999999999</v>
      </c>
      <c r="G312" s="15">
        <f t="shared" si="998"/>
        <v>1758326.4</v>
      </c>
      <c r="H312" s="21">
        <f t="shared" si="999"/>
        <v>1.7583263999999998</v>
      </c>
      <c r="I312" s="20">
        <f t="shared" si="817"/>
        <v>79124.687999999995</v>
      </c>
      <c r="J312" s="28">
        <v>0.118876294444444</v>
      </c>
      <c r="K312" s="20">
        <f t="shared" si="818"/>
        <v>9494.9625599999981</v>
      </c>
      <c r="L312" s="17">
        <v>0.106832933333325</v>
      </c>
      <c r="M312" s="17">
        <f t="shared" si="1000"/>
        <v>0.225709227777769</v>
      </c>
      <c r="N312" s="20">
        <f t="shared" si="820"/>
        <v>0.17583263999999998</v>
      </c>
      <c r="O312" s="7">
        <f t="shared" si="1001"/>
        <v>1.3567845322222309</v>
      </c>
    </row>
    <row r="313" spans="1:15" x14ac:dyDescent="0.7">
      <c r="A313" s="6"/>
      <c r="B313" s="6"/>
      <c r="C313" s="6">
        <v>6</v>
      </c>
      <c r="D313" s="7">
        <v>20.350999999999999</v>
      </c>
      <c r="E313" s="4">
        <v>0</v>
      </c>
      <c r="F313" s="7">
        <v>20.350999999999999</v>
      </c>
      <c r="G313" s="15">
        <f t="shared" si="998"/>
        <v>1758326.4</v>
      </c>
      <c r="H313" s="21">
        <f t="shared" si="999"/>
        <v>1.7583263999999998</v>
      </c>
      <c r="I313" s="20">
        <f t="shared" si="817"/>
        <v>79124.687999999995</v>
      </c>
      <c r="J313" s="28">
        <v>0.11925574444444401</v>
      </c>
      <c r="K313" s="20">
        <f t="shared" si="818"/>
        <v>9494.9625599999981</v>
      </c>
      <c r="L313" s="17">
        <v>0.107203466666658</v>
      </c>
      <c r="M313" s="17">
        <f t="shared" si="1000"/>
        <v>0.22645921111110201</v>
      </c>
      <c r="N313" s="20">
        <f t="shared" si="820"/>
        <v>0.17583263999999998</v>
      </c>
      <c r="O313" s="7">
        <f t="shared" si="1001"/>
        <v>1.3560345488888981</v>
      </c>
    </row>
    <row r="314" spans="1:15" x14ac:dyDescent="0.7">
      <c r="A314" s="6"/>
      <c r="B314" s="6"/>
      <c r="C314" s="3">
        <v>7</v>
      </c>
      <c r="D314" s="7">
        <v>18.585000000000001</v>
      </c>
      <c r="E314" s="4">
        <v>0</v>
      </c>
      <c r="F314" s="7">
        <v>18.585000000000001</v>
      </c>
      <c r="G314" s="15">
        <f t="shared" si="998"/>
        <v>1605744</v>
      </c>
      <c r="H314" s="21">
        <f t="shared" si="999"/>
        <v>1.6057440000000001</v>
      </c>
      <c r="I314" s="20">
        <f t="shared" si="817"/>
        <v>72258.48</v>
      </c>
      <c r="J314" s="28">
        <v>0.119635194444444</v>
      </c>
      <c r="K314" s="20">
        <f t="shared" si="818"/>
        <v>8671.0175999999992</v>
      </c>
      <c r="L314" s="17">
        <v>0.107573999999991</v>
      </c>
      <c r="M314" s="17">
        <f t="shared" si="1000"/>
        <v>0.22720919444443499</v>
      </c>
      <c r="N314" s="20">
        <f t="shared" si="820"/>
        <v>0.16057440000000001</v>
      </c>
      <c r="O314" s="7">
        <f t="shared" si="1001"/>
        <v>1.2179604055555651</v>
      </c>
    </row>
    <row r="315" spans="1:15" x14ac:dyDescent="0.7">
      <c r="A315" s="6"/>
      <c r="B315" s="6"/>
      <c r="C315" s="6">
        <v>8</v>
      </c>
      <c r="D315" s="7">
        <v>20.350999999999999</v>
      </c>
      <c r="E315" s="4">
        <v>0</v>
      </c>
      <c r="F315" s="7">
        <v>20.350999999999999</v>
      </c>
      <c r="G315" s="15">
        <f t="shared" si="998"/>
        <v>1758326.4</v>
      </c>
      <c r="H315" s="21">
        <f t="shared" si="999"/>
        <v>1.7583263999999998</v>
      </c>
      <c r="I315" s="20">
        <f t="shared" si="817"/>
        <v>79124.687999999995</v>
      </c>
      <c r="J315" s="28">
        <v>0.120014644444444</v>
      </c>
      <c r="K315" s="20">
        <f t="shared" si="818"/>
        <v>9494.9625599999981</v>
      </c>
      <c r="L315" s="17">
        <v>0.107944533333325</v>
      </c>
      <c r="M315" s="17">
        <f t="shared" si="1000"/>
        <v>0.227959177777769</v>
      </c>
      <c r="N315" s="20">
        <f t="shared" si="820"/>
        <v>0.17583263999999998</v>
      </c>
      <c r="O315" s="7">
        <f t="shared" si="1001"/>
        <v>1.354534582222231</v>
      </c>
    </row>
    <row r="316" spans="1:15" x14ac:dyDescent="0.7">
      <c r="A316" s="6"/>
      <c r="B316" s="6"/>
      <c r="C316" s="6">
        <v>9</v>
      </c>
      <c r="D316" s="7">
        <v>7.3239999999999998</v>
      </c>
      <c r="E316" s="4">
        <v>0</v>
      </c>
      <c r="F316" s="7">
        <v>7.3239999999999998</v>
      </c>
      <c r="G316" s="15">
        <f t="shared" si="998"/>
        <v>632793.59999999998</v>
      </c>
      <c r="H316" s="21">
        <f t="shared" si="999"/>
        <v>0.63279359999999996</v>
      </c>
      <c r="I316" s="20">
        <f t="shared" si="817"/>
        <v>28475.712</v>
      </c>
      <c r="J316" s="28">
        <v>0.120394094444444</v>
      </c>
      <c r="K316" s="20">
        <f t="shared" si="818"/>
        <v>3417.0854399999998</v>
      </c>
      <c r="L316" s="17">
        <v>0.10831506666665799</v>
      </c>
      <c r="M316" s="17">
        <f t="shared" si="1000"/>
        <v>0.22870916111110201</v>
      </c>
      <c r="N316" s="20">
        <f t="shared" si="820"/>
        <v>6.3279359999999993E-2</v>
      </c>
      <c r="O316" s="7">
        <f t="shared" si="1001"/>
        <v>0.34080507888889794</v>
      </c>
    </row>
    <row r="317" spans="1:15" x14ac:dyDescent="0.7">
      <c r="A317" s="6"/>
      <c r="B317" s="6"/>
      <c r="C317" s="3">
        <v>10</v>
      </c>
      <c r="D317" s="7">
        <v>16.934000000000001</v>
      </c>
      <c r="E317" s="4">
        <v>0</v>
      </c>
      <c r="F317" s="7">
        <v>16.934000000000001</v>
      </c>
      <c r="G317" s="15">
        <f t="shared" si="998"/>
        <v>1463097.6</v>
      </c>
      <c r="H317" s="21">
        <f t="shared" si="999"/>
        <v>1.4630976</v>
      </c>
      <c r="I317" s="20">
        <f t="shared" si="817"/>
        <v>65839.392000000007</v>
      </c>
      <c r="J317" s="28">
        <v>0.12077354444444401</v>
      </c>
      <c r="K317" s="20">
        <f t="shared" si="818"/>
        <v>7900.7270400000007</v>
      </c>
      <c r="L317" s="17">
        <v>0.108685599999991</v>
      </c>
      <c r="M317" s="17">
        <f t="shared" si="1000"/>
        <v>0.22945914444443499</v>
      </c>
      <c r="N317" s="20">
        <f t="shared" si="820"/>
        <v>0.14630976000000001</v>
      </c>
      <c r="O317" s="7">
        <f t="shared" si="1001"/>
        <v>1.087328695555565</v>
      </c>
    </row>
    <row r="318" spans="1:15" x14ac:dyDescent="0.7">
      <c r="A318" s="6"/>
      <c r="B318" s="6"/>
      <c r="C318" s="6">
        <v>11</v>
      </c>
      <c r="D318" s="7">
        <v>16.134</v>
      </c>
      <c r="E318" s="4">
        <v>0</v>
      </c>
      <c r="F318" s="7">
        <v>16.134</v>
      </c>
      <c r="G318" s="15">
        <f t="shared" si="998"/>
        <v>1393977.6</v>
      </c>
      <c r="H318" s="21">
        <f t="shared" si="999"/>
        <v>1.3939776000000001</v>
      </c>
      <c r="I318" s="20">
        <f t="shared" si="817"/>
        <v>62728.991999999998</v>
      </c>
      <c r="J318" s="28">
        <v>0.121152994444444</v>
      </c>
      <c r="K318" s="20">
        <f t="shared" si="818"/>
        <v>7527.4790399999993</v>
      </c>
      <c r="L318" s="17">
        <v>0.10905613333332501</v>
      </c>
      <c r="M318" s="17">
        <f t="shared" si="1000"/>
        <v>0.230209127777769</v>
      </c>
      <c r="N318" s="20">
        <f t="shared" si="820"/>
        <v>0.13939776000000001</v>
      </c>
      <c r="O318" s="7">
        <f t="shared" si="1001"/>
        <v>1.0243707122222312</v>
      </c>
    </row>
    <row r="319" spans="1:15" x14ac:dyDescent="0.7">
      <c r="A319" s="6"/>
      <c r="B319" s="6"/>
      <c r="C319" s="6">
        <v>12</v>
      </c>
      <c r="D319" s="7">
        <v>14.688000000000001</v>
      </c>
      <c r="E319" s="4">
        <v>0</v>
      </c>
      <c r="F319" s="7">
        <v>14.688000000000001</v>
      </c>
      <c r="G319" s="15">
        <f t="shared" si="998"/>
        <v>1269043.2</v>
      </c>
      <c r="H319" s="21">
        <f t="shared" si="999"/>
        <v>1.2690432</v>
      </c>
      <c r="I319" s="20">
        <f t="shared" si="817"/>
        <v>57106.943999999996</v>
      </c>
      <c r="J319" s="28">
        <v>0.121532444444444</v>
      </c>
      <c r="K319" s="20">
        <f t="shared" si="818"/>
        <v>6852.8332799999989</v>
      </c>
      <c r="L319" s="17">
        <v>0.109426666666658</v>
      </c>
      <c r="M319" s="17">
        <f t="shared" si="1000"/>
        <v>0.23095911111110201</v>
      </c>
      <c r="N319" s="20">
        <f t="shared" si="820"/>
        <v>0.12690432000000001</v>
      </c>
      <c r="O319" s="7">
        <f t="shared" si="1001"/>
        <v>0.91117976888889807</v>
      </c>
    </row>
    <row r="320" spans="1:15" x14ac:dyDescent="0.7">
      <c r="A320" s="6"/>
      <c r="B320" s="6"/>
      <c r="C320" s="3">
        <v>13</v>
      </c>
      <c r="D320" s="7">
        <v>14.688000000000001</v>
      </c>
      <c r="E320" s="4">
        <v>0</v>
      </c>
      <c r="F320" s="7">
        <v>14.688000000000001</v>
      </c>
      <c r="G320" s="15">
        <f t="shared" si="998"/>
        <v>1269043.2</v>
      </c>
      <c r="H320" s="21">
        <f t="shared" si="999"/>
        <v>1.2690432</v>
      </c>
      <c r="I320" s="20">
        <f t="shared" si="817"/>
        <v>57106.943999999996</v>
      </c>
      <c r="J320" s="28">
        <v>0.121911894444444</v>
      </c>
      <c r="K320" s="20">
        <f t="shared" si="818"/>
        <v>6852.8332799999989</v>
      </c>
      <c r="L320" s="17">
        <v>0.109797199999991</v>
      </c>
      <c r="M320" s="17">
        <f t="shared" si="1000"/>
        <v>0.23170909444443499</v>
      </c>
      <c r="N320" s="20">
        <f t="shared" si="820"/>
        <v>0.12690432000000001</v>
      </c>
      <c r="O320" s="7">
        <f t="shared" si="1001"/>
        <v>0.9104297855555652</v>
      </c>
    </row>
    <row r="321" spans="1:15" x14ac:dyDescent="0.7">
      <c r="A321" s="6"/>
      <c r="B321" s="6"/>
      <c r="C321" s="6">
        <v>14</v>
      </c>
      <c r="D321" s="7">
        <v>13.782</v>
      </c>
      <c r="E321" s="4">
        <v>8.6</v>
      </c>
      <c r="F321" s="7">
        <v>13.782</v>
      </c>
      <c r="G321" s="15">
        <f t="shared" si="998"/>
        <v>1190764.8</v>
      </c>
      <c r="H321" s="21">
        <f t="shared" si="999"/>
        <v>1.1907648</v>
      </c>
      <c r="I321" s="20">
        <f t="shared" si="817"/>
        <v>53584.415999999997</v>
      </c>
      <c r="J321" s="28">
        <v>0.12229134444444401</v>
      </c>
      <c r="K321" s="20">
        <f t="shared" si="818"/>
        <v>6430.1299199999994</v>
      </c>
      <c r="L321" s="17">
        <v>0.110167733333324</v>
      </c>
      <c r="M321" s="17">
        <f t="shared" si="1000"/>
        <v>0.232459077777768</v>
      </c>
      <c r="N321" s="20">
        <f t="shared" si="820"/>
        <v>0.11907648</v>
      </c>
      <c r="O321" s="7">
        <f t="shared" si="1001"/>
        <v>0.83922924222223194</v>
      </c>
    </row>
    <row r="322" spans="1:15" x14ac:dyDescent="0.7">
      <c r="A322" s="6"/>
      <c r="B322" s="6"/>
      <c r="C322" s="6">
        <v>15</v>
      </c>
      <c r="D322" s="7">
        <v>13.782</v>
      </c>
      <c r="E322" s="4">
        <v>2.5</v>
      </c>
      <c r="F322" s="7">
        <v>13.782</v>
      </c>
      <c r="G322" s="15">
        <f t="shared" si="998"/>
        <v>1190764.8</v>
      </c>
      <c r="H322" s="21">
        <f t="shared" si="999"/>
        <v>1.1907648</v>
      </c>
      <c r="I322" s="20">
        <f t="shared" si="817"/>
        <v>53584.415999999997</v>
      </c>
      <c r="J322" s="28">
        <v>0.122670794444444</v>
      </c>
      <c r="K322" s="20">
        <f t="shared" si="818"/>
        <v>6430.1299199999994</v>
      </c>
      <c r="L322" s="17">
        <v>0.110538266666658</v>
      </c>
      <c r="M322" s="17">
        <f t="shared" si="1000"/>
        <v>0.23320906111110201</v>
      </c>
      <c r="N322" s="20">
        <f t="shared" si="820"/>
        <v>0.11907648</v>
      </c>
      <c r="O322" s="7">
        <f t="shared" si="1001"/>
        <v>0.83847925888889796</v>
      </c>
    </row>
    <row r="323" spans="1:15" x14ac:dyDescent="0.7">
      <c r="A323" s="6"/>
      <c r="B323" s="6"/>
      <c r="C323" s="3">
        <v>16</v>
      </c>
      <c r="D323" s="7">
        <v>18.585000000000001</v>
      </c>
      <c r="E323" s="4">
        <v>0</v>
      </c>
      <c r="F323" s="7">
        <v>18.585000000000001</v>
      </c>
      <c r="G323" s="15">
        <f t="shared" si="998"/>
        <v>1605744</v>
      </c>
      <c r="H323" s="21">
        <f t="shared" si="999"/>
        <v>1.6057440000000001</v>
      </c>
      <c r="I323" s="20">
        <f t="shared" si="817"/>
        <v>72258.48</v>
      </c>
      <c r="J323" s="28">
        <v>0.123050244444444</v>
      </c>
      <c r="K323" s="20">
        <f t="shared" si="818"/>
        <v>8671.0175999999992</v>
      </c>
      <c r="L323" s="17">
        <v>0.110908799999991</v>
      </c>
      <c r="M323" s="17">
        <f t="shared" si="1000"/>
        <v>0.23395904444443499</v>
      </c>
      <c r="N323" s="20">
        <f t="shared" si="820"/>
        <v>0.16057440000000001</v>
      </c>
      <c r="O323" s="7">
        <f t="shared" si="1001"/>
        <v>1.211210555555565</v>
      </c>
    </row>
    <row r="324" spans="1:15" x14ac:dyDescent="0.7">
      <c r="A324" s="6"/>
      <c r="B324" s="6"/>
      <c r="C324" s="6">
        <v>17</v>
      </c>
      <c r="D324" s="7">
        <v>16.934000000000001</v>
      </c>
      <c r="E324" s="4">
        <v>0</v>
      </c>
      <c r="F324" s="7">
        <v>16.934000000000001</v>
      </c>
      <c r="G324" s="15">
        <f t="shared" si="998"/>
        <v>1463097.6</v>
      </c>
      <c r="H324" s="21">
        <f t="shared" si="999"/>
        <v>1.4630976</v>
      </c>
      <c r="I324" s="20">
        <f t="shared" ref="I324:I368" si="1002">H324*1000000*0.045</f>
        <v>65839.392000000007</v>
      </c>
      <c r="J324" s="28">
        <v>0.123429694444444</v>
      </c>
      <c r="K324" s="20">
        <f t="shared" ref="K324:K368" si="1003">I324*0.12</f>
        <v>7900.7270400000007</v>
      </c>
      <c r="L324" s="17">
        <v>0.111279333333324</v>
      </c>
      <c r="M324" s="17">
        <f t="shared" si="1000"/>
        <v>0.234709027777768</v>
      </c>
      <c r="N324" s="20">
        <f t="shared" ref="N324:N368" si="1004">H324*0.1</f>
        <v>0.14630976000000001</v>
      </c>
      <c r="O324" s="7">
        <f t="shared" si="1001"/>
        <v>1.082078812222232</v>
      </c>
    </row>
    <row r="325" spans="1:15" x14ac:dyDescent="0.7">
      <c r="A325" s="6"/>
      <c r="B325" s="6"/>
      <c r="C325" s="6">
        <v>18</v>
      </c>
      <c r="D325" s="7">
        <v>16.934000000000001</v>
      </c>
      <c r="E325" s="4">
        <v>18.5</v>
      </c>
      <c r="F325" s="7">
        <v>16.934000000000001</v>
      </c>
      <c r="G325" s="15">
        <f t="shared" si="998"/>
        <v>1463097.6</v>
      </c>
      <c r="H325" s="21">
        <f t="shared" si="999"/>
        <v>1.4630976</v>
      </c>
      <c r="I325" s="20">
        <f t="shared" si="1002"/>
        <v>65839.392000000007</v>
      </c>
      <c r="J325" s="28">
        <v>0.12380914444444401</v>
      </c>
      <c r="K325" s="20">
        <f t="shared" si="1003"/>
        <v>7900.7270400000007</v>
      </c>
      <c r="L325" s="17">
        <v>0.11164986666665799</v>
      </c>
      <c r="M325" s="17">
        <f t="shared" si="1000"/>
        <v>0.23545901111110201</v>
      </c>
      <c r="N325" s="20">
        <f t="shared" si="1004"/>
        <v>0.14630976000000001</v>
      </c>
      <c r="O325" s="7">
        <f t="shared" si="1001"/>
        <v>1.0813288288888978</v>
      </c>
    </row>
    <row r="326" spans="1:15" x14ac:dyDescent="0.7">
      <c r="A326" s="6"/>
      <c r="B326" s="6"/>
      <c r="C326" s="3">
        <v>19</v>
      </c>
      <c r="D326" s="7">
        <v>14.688000000000001</v>
      </c>
      <c r="E326" s="4">
        <v>17</v>
      </c>
      <c r="F326" s="7">
        <v>14.688000000000001</v>
      </c>
      <c r="G326" s="15">
        <f t="shared" si="998"/>
        <v>1269043.2</v>
      </c>
      <c r="H326" s="21">
        <f t="shared" si="999"/>
        <v>1.2690432</v>
      </c>
      <c r="I326" s="20">
        <f t="shared" si="1002"/>
        <v>57106.943999999996</v>
      </c>
      <c r="J326" s="28">
        <v>0.12418859444444399</v>
      </c>
      <c r="K326" s="20">
        <f t="shared" si="1003"/>
        <v>6852.8332799999989</v>
      </c>
      <c r="L326" s="17">
        <v>0.112020399999991</v>
      </c>
      <c r="M326" s="17">
        <f t="shared" si="1000"/>
        <v>0.23620899444443499</v>
      </c>
      <c r="N326" s="20">
        <f t="shared" si="1004"/>
        <v>0.12690432000000001</v>
      </c>
      <c r="O326" s="7">
        <f t="shared" si="1001"/>
        <v>0.90592988555556508</v>
      </c>
    </row>
    <row r="327" spans="1:15" x14ac:dyDescent="0.7">
      <c r="A327" s="6"/>
      <c r="B327" s="6"/>
      <c r="C327" s="6">
        <v>20</v>
      </c>
      <c r="D327" s="7">
        <v>14.688000000000001</v>
      </c>
      <c r="E327" s="4">
        <v>0</v>
      </c>
      <c r="F327" s="7">
        <v>14.688000000000001</v>
      </c>
      <c r="G327" s="15">
        <f t="shared" si="998"/>
        <v>1269043.2</v>
      </c>
      <c r="H327" s="21">
        <f t="shared" si="999"/>
        <v>1.2690432</v>
      </c>
      <c r="I327" s="20">
        <f t="shared" si="1002"/>
        <v>57106.943999999996</v>
      </c>
      <c r="J327" s="28">
        <v>0.124568044444444</v>
      </c>
      <c r="K327" s="20">
        <f t="shared" si="1003"/>
        <v>6852.8332799999989</v>
      </c>
      <c r="L327" s="17">
        <v>0.11239093333332401</v>
      </c>
      <c r="M327" s="17">
        <f t="shared" si="1000"/>
        <v>0.236958977777768</v>
      </c>
      <c r="N327" s="20">
        <f t="shared" si="1004"/>
        <v>0.12690432000000001</v>
      </c>
      <c r="O327" s="7">
        <f t="shared" si="1001"/>
        <v>0.90517990222223199</v>
      </c>
    </row>
    <row r="328" spans="1:15" x14ac:dyDescent="0.7">
      <c r="A328" s="6"/>
      <c r="B328" s="6"/>
      <c r="C328" s="6">
        <v>21</v>
      </c>
      <c r="D328" s="7">
        <v>16.594999999999999</v>
      </c>
      <c r="E328" s="4">
        <v>0</v>
      </c>
      <c r="F328" s="7">
        <v>16.594999999999999</v>
      </c>
      <c r="G328" s="15">
        <f t="shared" si="998"/>
        <v>1433808</v>
      </c>
      <c r="H328" s="21">
        <f t="shared" si="999"/>
        <v>1.433808</v>
      </c>
      <c r="I328" s="20">
        <f t="shared" si="1002"/>
        <v>64521.36</v>
      </c>
      <c r="J328" s="28">
        <v>0.124947494444444</v>
      </c>
      <c r="K328" s="20">
        <f t="shared" si="1003"/>
        <v>7742.5631999999996</v>
      </c>
      <c r="L328" s="17">
        <v>0.112761466666658</v>
      </c>
      <c r="M328" s="17">
        <f t="shared" si="1000"/>
        <v>0.23770896111110201</v>
      </c>
      <c r="N328" s="20">
        <f t="shared" si="1004"/>
        <v>0.1433808</v>
      </c>
      <c r="O328" s="7">
        <f t="shared" si="1001"/>
        <v>1.0527182388888978</v>
      </c>
    </row>
    <row r="329" spans="1:15" x14ac:dyDescent="0.7">
      <c r="A329" s="6"/>
      <c r="B329" s="6"/>
      <c r="C329" s="3">
        <v>22</v>
      </c>
      <c r="D329" s="7">
        <v>15.76</v>
      </c>
      <c r="E329" s="4">
        <v>0</v>
      </c>
      <c r="F329" s="7">
        <v>15.76</v>
      </c>
      <c r="G329" s="15">
        <f t="shared" si="998"/>
        <v>1361664</v>
      </c>
      <c r="H329" s="21">
        <f t="shared" si="999"/>
        <v>1.361664</v>
      </c>
      <c r="I329" s="20">
        <f t="shared" si="1002"/>
        <v>61274.879999999997</v>
      </c>
      <c r="J329" s="28">
        <v>0.12532694444444401</v>
      </c>
      <c r="K329" s="20">
        <f t="shared" si="1003"/>
        <v>7352.9855999999991</v>
      </c>
      <c r="L329" s="17">
        <v>0.113131999999991</v>
      </c>
      <c r="M329" s="17">
        <f t="shared" si="1000"/>
        <v>0.23845894444443499</v>
      </c>
      <c r="N329" s="20">
        <f t="shared" si="1004"/>
        <v>0.13616639999999999</v>
      </c>
      <c r="O329" s="7">
        <f t="shared" si="1001"/>
        <v>0.98703865555556503</v>
      </c>
    </row>
    <row r="330" spans="1:15" x14ac:dyDescent="0.7">
      <c r="A330" s="6"/>
      <c r="B330" s="6"/>
      <c r="C330" s="6">
        <v>23</v>
      </c>
      <c r="D330" s="7">
        <v>14.819000000000001</v>
      </c>
      <c r="E330" s="4">
        <v>0</v>
      </c>
      <c r="F330" s="7">
        <v>14.819000000000001</v>
      </c>
      <c r="G330" s="15">
        <f t="shared" si="998"/>
        <v>1280361.6000000001</v>
      </c>
      <c r="H330" s="21">
        <f t="shared" si="999"/>
        <v>1.2803616</v>
      </c>
      <c r="I330" s="20">
        <f t="shared" si="1002"/>
        <v>57616.272000000004</v>
      </c>
      <c r="J330" s="28">
        <v>0.12570639444444401</v>
      </c>
      <c r="K330" s="20">
        <f t="shared" si="1003"/>
        <v>6913.9526400000004</v>
      </c>
      <c r="L330" s="17">
        <v>0.113502533333324</v>
      </c>
      <c r="M330" s="17">
        <f t="shared" si="1000"/>
        <v>0.239208927777768</v>
      </c>
      <c r="N330" s="20">
        <f t="shared" si="1004"/>
        <v>0.12803616000000001</v>
      </c>
      <c r="O330" s="7">
        <f t="shared" si="1001"/>
        <v>0.913116512222232</v>
      </c>
    </row>
    <row r="331" spans="1:15" x14ac:dyDescent="0.7">
      <c r="A331" s="6"/>
      <c r="B331" s="6"/>
      <c r="C331" s="6">
        <v>24</v>
      </c>
      <c r="D331" s="7">
        <v>12.5</v>
      </c>
      <c r="E331" s="4">
        <v>0</v>
      </c>
      <c r="F331" s="7">
        <v>12.5</v>
      </c>
      <c r="G331" s="15">
        <f t="shared" si="998"/>
        <v>1080000</v>
      </c>
      <c r="H331" s="21">
        <f t="shared" si="999"/>
        <v>1.08</v>
      </c>
      <c r="I331" s="20">
        <f t="shared" si="1002"/>
        <v>48600</v>
      </c>
      <c r="J331" s="28">
        <v>0.12608584444444401</v>
      </c>
      <c r="K331" s="20">
        <f t="shared" si="1003"/>
        <v>5832</v>
      </c>
      <c r="L331" s="17">
        <v>0.113873066666657</v>
      </c>
      <c r="M331" s="17">
        <f t="shared" si="1000"/>
        <v>0.23995891111110101</v>
      </c>
      <c r="N331" s="20">
        <f t="shared" si="1004"/>
        <v>0.10800000000000001</v>
      </c>
      <c r="O331" s="7">
        <f t="shared" si="1001"/>
        <v>0.73204108888889907</v>
      </c>
    </row>
    <row r="332" spans="1:15" x14ac:dyDescent="0.7">
      <c r="A332" s="6"/>
      <c r="B332" s="6"/>
      <c r="C332" s="3">
        <v>25</v>
      </c>
      <c r="D332" s="7">
        <v>15.3</v>
      </c>
      <c r="E332" s="4">
        <v>0</v>
      </c>
      <c r="F332" s="7">
        <v>15.3</v>
      </c>
      <c r="G332" s="15">
        <f t="shared" si="998"/>
        <v>1321920</v>
      </c>
      <c r="H332" s="21">
        <f t="shared" si="999"/>
        <v>1.32192</v>
      </c>
      <c r="I332" s="20">
        <f t="shared" si="1002"/>
        <v>59486.399999999994</v>
      </c>
      <c r="J332" s="28">
        <v>0.12646529444444399</v>
      </c>
      <c r="K332" s="20">
        <f t="shared" si="1003"/>
        <v>7138.3679999999995</v>
      </c>
      <c r="L332" s="17">
        <v>0.11424359999999099</v>
      </c>
      <c r="M332" s="17">
        <f t="shared" si="1000"/>
        <v>0.240708894444435</v>
      </c>
      <c r="N332" s="20">
        <f t="shared" si="1004"/>
        <v>0.132192</v>
      </c>
      <c r="O332" s="7">
        <f t="shared" si="1001"/>
        <v>0.9490191055555649</v>
      </c>
    </row>
    <row r="333" spans="1:15" x14ac:dyDescent="0.7">
      <c r="A333" s="6"/>
      <c r="B333" s="6"/>
      <c r="C333" s="6">
        <v>26</v>
      </c>
      <c r="D333" s="7">
        <v>26.006</v>
      </c>
      <c r="E333" s="4">
        <v>0.2</v>
      </c>
      <c r="F333" s="7">
        <v>26.006</v>
      </c>
      <c r="G333" s="15">
        <f t="shared" si="998"/>
        <v>2246918.4</v>
      </c>
      <c r="H333" s="21">
        <f t="shared" si="999"/>
        <v>2.2469183999999998</v>
      </c>
      <c r="I333" s="20">
        <f t="shared" si="1002"/>
        <v>101111.32799999999</v>
      </c>
      <c r="J333" s="28">
        <v>0.12684474444444399</v>
      </c>
      <c r="K333" s="20">
        <f t="shared" si="1003"/>
        <v>12133.359359999999</v>
      </c>
      <c r="L333" s="17">
        <v>0.114614133333324</v>
      </c>
      <c r="M333" s="17">
        <f t="shared" si="1000"/>
        <v>0.24145887777776798</v>
      </c>
      <c r="N333" s="20">
        <f t="shared" si="1004"/>
        <v>0.22469183999999998</v>
      </c>
      <c r="O333" s="7">
        <f t="shared" si="1001"/>
        <v>1.7807676822222318</v>
      </c>
    </row>
    <row r="334" spans="1:15" x14ac:dyDescent="0.7">
      <c r="A334" s="6"/>
      <c r="B334" s="6"/>
      <c r="C334" s="6">
        <v>27</v>
      </c>
      <c r="D334" s="7">
        <v>15.552999999999999</v>
      </c>
      <c r="E334" s="4">
        <v>0</v>
      </c>
      <c r="F334" s="7">
        <v>15.552999999999999</v>
      </c>
      <c r="G334" s="15">
        <f t="shared" si="998"/>
        <v>1343779.2</v>
      </c>
      <c r="H334" s="21">
        <f t="shared" si="999"/>
        <v>1.3437792</v>
      </c>
      <c r="I334" s="20">
        <f t="shared" si="1002"/>
        <v>60470.063999999998</v>
      </c>
      <c r="J334" s="28">
        <v>0.12722419444444399</v>
      </c>
      <c r="K334" s="20">
        <f t="shared" si="1003"/>
        <v>7256.4076799999993</v>
      </c>
      <c r="L334" s="17">
        <v>0.11498466666665701</v>
      </c>
      <c r="M334" s="17">
        <f t="shared" si="1000"/>
        <v>0.24220886111110101</v>
      </c>
      <c r="N334" s="20">
        <f t="shared" si="1004"/>
        <v>0.13437792000000001</v>
      </c>
      <c r="O334" s="7">
        <f t="shared" si="1001"/>
        <v>0.96719241888889884</v>
      </c>
    </row>
    <row r="335" spans="1:15" x14ac:dyDescent="0.7">
      <c r="A335" s="12"/>
      <c r="B335" s="12"/>
      <c r="C335" s="43">
        <v>28</v>
      </c>
      <c r="D335" s="30">
        <v>14.228999999999999</v>
      </c>
      <c r="E335" s="4">
        <v>0</v>
      </c>
      <c r="F335" s="30">
        <v>14.228999999999999</v>
      </c>
      <c r="G335" s="31">
        <f t="shared" si="998"/>
        <v>1229385.5999999999</v>
      </c>
      <c r="H335" s="32">
        <f t="shared" si="999"/>
        <v>1.2293855999999999</v>
      </c>
      <c r="I335" s="20">
        <f t="shared" si="1002"/>
        <v>55322.351999999992</v>
      </c>
      <c r="J335" s="34">
        <v>0.127603644444444</v>
      </c>
      <c r="K335" s="20">
        <f t="shared" si="1003"/>
        <v>6638.6822399999992</v>
      </c>
      <c r="L335" s="33">
        <v>0.115355199999991</v>
      </c>
      <c r="M335" s="33">
        <f t="shared" si="1000"/>
        <v>0.242958844444435</v>
      </c>
      <c r="N335" s="20">
        <f t="shared" si="1004"/>
        <v>0.12293855999999999</v>
      </c>
      <c r="O335" s="30">
        <f t="shared" si="1001"/>
        <v>0.86348819555556477</v>
      </c>
    </row>
    <row r="336" spans="1:15" s="37" customFormat="1" x14ac:dyDescent="0.7">
      <c r="A336" s="6"/>
      <c r="B336" s="6"/>
      <c r="C336" s="6">
        <v>29</v>
      </c>
      <c r="D336" s="7">
        <v>14.228999999999999</v>
      </c>
      <c r="E336" s="4">
        <v>0</v>
      </c>
      <c r="F336" s="7">
        <v>14.228999999999999</v>
      </c>
      <c r="G336" s="35">
        <f t="shared" si="998"/>
        <v>1229385.5999999999</v>
      </c>
      <c r="H336" s="20">
        <f t="shared" si="999"/>
        <v>1.2293855999999999</v>
      </c>
      <c r="I336" s="20">
        <f t="shared" si="1002"/>
        <v>55322.351999999992</v>
      </c>
      <c r="J336" s="28">
        <v>0.127983094444444</v>
      </c>
      <c r="K336" s="20">
        <f t="shared" si="1003"/>
        <v>6638.6822399999992</v>
      </c>
      <c r="L336" s="17">
        <v>0.115725733333324</v>
      </c>
      <c r="M336" s="17">
        <f t="shared" si="1000"/>
        <v>0.24370882777776801</v>
      </c>
      <c r="N336" s="20">
        <f t="shared" si="1004"/>
        <v>0.12293855999999999</v>
      </c>
      <c r="O336" s="7">
        <f t="shared" si="1001"/>
        <v>0.86273821222223179</v>
      </c>
    </row>
    <row r="337" spans="1:15" s="13" customFormat="1" ht="25.2" thickBot="1" x14ac:dyDescent="0.75">
      <c r="A337" s="11"/>
      <c r="B337" s="11" t="s">
        <v>25</v>
      </c>
      <c r="C337" s="11">
        <v>30</v>
      </c>
      <c r="D337" s="19">
        <v>14.228999999999999</v>
      </c>
      <c r="E337" s="19">
        <v>0</v>
      </c>
      <c r="F337" s="19">
        <v>14.228999999999999</v>
      </c>
      <c r="G337" s="26">
        <f t="shared" si="998"/>
        <v>1229385.5999999999</v>
      </c>
      <c r="H337" s="27">
        <f t="shared" si="999"/>
        <v>1.2293855999999999</v>
      </c>
      <c r="I337" s="22">
        <f t="shared" si="1002"/>
        <v>55322.351999999992</v>
      </c>
      <c r="J337" s="39">
        <v>0.128362544444444</v>
      </c>
      <c r="K337" s="22">
        <f t="shared" si="1003"/>
        <v>6638.6822399999992</v>
      </c>
      <c r="L337" s="38">
        <v>0.116096266666657</v>
      </c>
      <c r="M337" s="38">
        <f t="shared" si="1000"/>
        <v>0.24445881111110102</v>
      </c>
      <c r="N337" s="22">
        <f t="shared" si="1004"/>
        <v>0.12293855999999999</v>
      </c>
      <c r="O337" s="19">
        <f t="shared" si="1001"/>
        <v>0.86198822888889881</v>
      </c>
    </row>
    <row r="338" spans="1:15" x14ac:dyDescent="0.7">
      <c r="A338" s="5"/>
      <c r="B338" s="3" t="s">
        <v>26</v>
      </c>
      <c r="C338" s="3">
        <v>1</v>
      </c>
      <c r="D338" s="4">
        <v>14.228999999999999</v>
      </c>
      <c r="E338" s="4">
        <v>0.1</v>
      </c>
      <c r="F338" s="4">
        <v>14.228999999999999</v>
      </c>
      <c r="G338" s="15">
        <f t="shared" si="998"/>
        <v>1229385.5999999999</v>
      </c>
      <c r="H338" s="21">
        <f t="shared" si="999"/>
        <v>1.2293855999999999</v>
      </c>
      <c r="I338" s="21">
        <f t="shared" si="1002"/>
        <v>55322.351999999992</v>
      </c>
      <c r="J338" s="25">
        <v>0.12874199444444401</v>
      </c>
      <c r="K338" s="21">
        <f t="shared" si="1003"/>
        <v>6638.6822399999992</v>
      </c>
      <c r="L338" s="16">
        <v>0.116466799999991</v>
      </c>
      <c r="M338" s="16">
        <f t="shared" si="1000"/>
        <v>0.245208794444435</v>
      </c>
      <c r="N338" s="21">
        <f t="shared" si="1004"/>
        <v>0.12293855999999999</v>
      </c>
      <c r="O338" s="4">
        <f t="shared" si="1001"/>
        <v>0.86123824555556483</v>
      </c>
    </row>
    <row r="339" spans="1:15" x14ac:dyDescent="0.7">
      <c r="A339" s="8"/>
      <c r="B339" s="6"/>
      <c r="C339" s="6">
        <v>2</v>
      </c>
      <c r="D339" s="7">
        <v>16.268999999999998</v>
      </c>
      <c r="E339" s="4">
        <v>0</v>
      </c>
      <c r="F339" s="7">
        <v>16.268999999999998</v>
      </c>
      <c r="G339" s="15">
        <f t="shared" si="998"/>
        <v>1405641.5999999999</v>
      </c>
      <c r="H339" s="21">
        <f t="shared" si="999"/>
        <v>1.4056415999999998</v>
      </c>
      <c r="I339" s="20">
        <f t="shared" si="1002"/>
        <v>63253.871999999988</v>
      </c>
      <c r="J339" s="28">
        <v>0.12912144444444401</v>
      </c>
      <c r="K339" s="20">
        <f t="shared" si="1003"/>
        <v>7590.4646399999983</v>
      </c>
      <c r="L339" s="17">
        <v>0.11683733333332399</v>
      </c>
      <c r="M339" s="17">
        <f t="shared" si="1000"/>
        <v>0.24595877777776801</v>
      </c>
      <c r="N339" s="20">
        <f t="shared" si="1004"/>
        <v>0.14056415999999999</v>
      </c>
      <c r="O339" s="7">
        <f t="shared" si="1001"/>
        <v>1.0191186622222317</v>
      </c>
    </row>
    <row r="340" spans="1:15" x14ac:dyDescent="0.7">
      <c r="A340" s="8"/>
      <c r="B340" s="6"/>
      <c r="C340" s="6">
        <v>3</v>
      </c>
      <c r="D340" s="7">
        <v>19.45</v>
      </c>
      <c r="E340" s="4">
        <v>0</v>
      </c>
      <c r="F340" s="7">
        <v>19.45</v>
      </c>
      <c r="G340" s="15">
        <f t="shared" si="998"/>
        <v>1680480</v>
      </c>
      <c r="H340" s="21">
        <f t="shared" si="999"/>
        <v>1.68048</v>
      </c>
      <c r="I340" s="20">
        <f t="shared" si="1002"/>
        <v>75621.599999999991</v>
      </c>
      <c r="J340" s="28">
        <v>0.12950089444444399</v>
      </c>
      <c r="K340" s="20">
        <f t="shared" si="1003"/>
        <v>9074.5919999999987</v>
      </c>
      <c r="L340" s="17">
        <v>0.117207866666657</v>
      </c>
      <c r="M340" s="17">
        <f t="shared" si="1000"/>
        <v>0.24670876111110099</v>
      </c>
      <c r="N340" s="20">
        <f t="shared" si="1004"/>
        <v>0.168048</v>
      </c>
      <c r="O340" s="7">
        <f t="shared" si="1001"/>
        <v>1.265723238888899</v>
      </c>
    </row>
    <row r="341" spans="1:15" x14ac:dyDescent="0.7">
      <c r="A341" s="8"/>
      <c r="B341" s="6"/>
      <c r="C341" s="6">
        <v>4</v>
      </c>
      <c r="D341" s="7">
        <v>14.228999999999999</v>
      </c>
      <c r="E341" s="4">
        <v>0</v>
      </c>
      <c r="F341" s="7">
        <v>14.228999999999999</v>
      </c>
      <c r="G341" s="15">
        <f t="shared" si="998"/>
        <v>1229385.5999999999</v>
      </c>
      <c r="H341" s="21">
        <f t="shared" si="999"/>
        <v>1.2293855999999999</v>
      </c>
      <c r="I341" s="20">
        <f t="shared" si="1002"/>
        <v>55322.351999999992</v>
      </c>
      <c r="J341" s="28">
        <v>0.12988034444444399</v>
      </c>
      <c r="K341" s="20">
        <f t="shared" si="1003"/>
        <v>6638.6822399999992</v>
      </c>
      <c r="L341" s="17">
        <v>0.11757839999998999</v>
      </c>
      <c r="M341" s="17">
        <f t="shared" si="1000"/>
        <v>0.247458744444434</v>
      </c>
      <c r="N341" s="20">
        <f t="shared" si="1004"/>
        <v>0.12293855999999999</v>
      </c>
      <c r="O341" s="7">
        <f t="shared" si="1001"/>
        <v>0.85898829555556577</v>
      </c>
    </row>
    <row r="342" spans="1:15" x14ac:dyDescent="0.7">
      <c r="A342" s="8"/>
      <c r="B342" s="6"/>
      <c r="C342" s="6">
        <v>5</v>
      </c>
      <c r="D342" s="7">
        <v>12.543999999999999</v>
      </c>
      <c r="E342" s="4">
        <v>0</v>
      </c>
      <c r="F342" s="7">
        <v>12.543999999999999</v>
      </c>
      <c r="G342" s="15">
        <f t="shared" si="998"/>
        <v>1083801.5999999999</v>
      </c>
      <c r="H342" s="21">
        <f t="shared" si="999"/>
        <v>1.0838015999999999</v>
      </c>
      <c r="I342" s="20">
        <f t="shared" si="1002"/>
        <v>48771.071999999993</v>
      </c>
      <c r="J342" s="28">
        <v>0.13025979444444399</v>
      </c>
      <c r="K342" s="20">
        <f t="shared" si="1003"/>
        <v>5852.5286399999986</v>
      </c>
      <c r="L342" s="17">
        <v>0.117948933333324</v>
      </c>
      <c r="M342" s="17">
        <f t="shared" si="1000"/>
        <v>0.24820872777776798</v>
      </c>
      <c r="N342" s="20">
        <f t="shared" si="1004"/>
        <v>0.10838016</v>
      </c>
      <c r="O342" s="7">
        <f t="shared" si="1001"/>
        <v>0.72721271222223183</v>
      </c>
    </row>
    <row r="343" spans="1:15" x14ac:dyDescent="0.7">
      <c r="A343" s="8"/>
      <c r="B343" s="6"/>
      <c r="C343" s="6">
        <v>6</v>
      </c>
      <c r="D343" s="7">
        <v>12.075999999999999</v>
      </c>
      <c r="E343" s="4">
        <v>0</v>
      </c>
      <c r="F343" s="7">
        <v>12.075999999999999</v>
      </c>
      <c r="G343" s="15">
        <f t="shared" si="998"/>
        <v>1043366.3999999999</v>
      </c>
      <c r="H343" s="21">
        <f t="shared" si="999"/>
        <v>1.0433663999999998</v>
      </c>
      <c r="I343" s="20">
        <f t="shared" si="1002"/>
        <v>46951.48799999999</v>
      </c>
      <c r="J343" s="28">
        <v>0.130639244444444</v>
      </c>
      <c r="K343" s="20">
        <f t="shared" si="1003"/>
        <v>5634.1785599999985</v>
      </c>
      <c r="L343" s="17">
        <v>0.11831946666665701</v>
      </c>
      <c r="M343" s="17">
        <f t="shared" si="1000"/>
        <v>0.24895871111110102</v>
      </c>
      <c r="N343" s="20">
        <f t="shared" si="1004"/>
        <v>0.10433663999999998</v>
      </c>
      <c r="O343" s="7">
        <f t="shared" si="1001"/>
        <v>0.69007104888889881</v>
      </c>
    </row>
    <row r="344" spans="1:15" x14ac:dyDescent="0.7">
      <c r="A344" s="8"/>
      <c r="B344" s="6"/>
      <c r="C344" s="6">
        <v>7</v>
      </c>
      <c r="D344" s="7">
        <v>11.662999999999998</v>
      </c>
      <c r="E344" s="4">
        <v>0</v>
      </c>
      <c r="F344" s="7">
        <v>11.662999999999998</v>
      </c>
      <c r="G344" s="15">
        <f t="shared" si="998"/>
        <v>1007683.1999999998</v>
      </c>
      <c r="H344" s="21">
        <f t="shared" si="999"/>
        <v>1.0076831999999998</v>
      </c>
      <c r="I344" s="20">
        <f t="shared" si="1002"/>
        <v>45345.743999999992</v>
      </c>
      <c r="J344" s="28">
        <v>0.131018694444444</v>
      </c>
      <c r="K344" s="20">
        <f t="shared" si="1003"/>
        <v>5441.4892799999989</v>
      </c>
      <c r="L344" s="17">
        <v>0.11868999999999</v>
      </c>
      <c r="M344" s="17">
        <f t="shared" si="1000"/>
        <v>0.249708694444434</v>
      </c>
      <c r="N344" s="20">
        <f t="shared" si="1004"/>
        <v>0.10076831999999998</v>
      </c>
      <c r="O344" s="7">
        <f t="shared" si="1001"/>
        <v>0.65720618555556576</v>
      </c>
    </row>
    <row r="345" spans="1:15" x14ac:dyDescent="0.7">
      <c r="A345" s="8"/>
      <c r="B345" s="6"/>
      <c r="C345" s="6">
        <v>8</v>
      </c>
      <c r="D345" s="7">
        <v>11.662999999999998</v>
      </c>
      <c r="E345" s="4">
        <v>0</v>
      </c>
      <c r="F345" s="7">
        <v>11.662999999999998</v>
      </c>
      <c r="G345" s="15">
        <f t="shared" si="998"/>
        <v>1007683.1999999998</v>
      </c>
      <c r="H345" s="21">
        <f t="shared" si="999"/>
        <v>1.0076831999999998</v>
      </c>
      <c r="I345" s="20">
        <f t="shared" si="1002"/>
        <v>45345.743999999992</v>
      </c>
      <c r="J345" s="28">
        <v>0.131398144444444</v>
      </c>
      <c r="K345" s="20">
        <f t="shared" si="1003"/>
        <v>5441.4892799999989</v>
      </c>
      <c r="L345" s="17">
        <v>0.119060533333324</v>
      </c>
      <c r="M345" s="17">
        <f t="shared" si="1000"/>
        <v>0.25045867777776798</v>
      </c>
      <c r="N345" s="20">
        <f t="shared" si="1004"/>
        <v>0.10076831999999998</v>
      </c>
      <c r="O345" s="7">
        <f t="shared" si="1001"/>
        <v>0.65645620222223178</v>
      </c>
    </row>
    <row r="346" spans="1:15" x14ac:dyDescent="0.7">
      <c r="A346" s="8"/>
      <c r="B346" s="6"/>
      <c r="C346" s="6">
        <v>9</v>
      </c>
      <c r="D346" s="7">
        <v>11.443</v>
      </c>
      <c r="E346" s="4">
        <v>0</v>
      </c>
      <c r="F346" s="7">
        <v>11.443</v>
      </c>
      <c r="G346" s="15">
        <f t="shared" si="998"/>
        <v>988675.2</v>
      </c>
      <c r="H346" s="21">
        <f t="shared" si="999"/>
        <v>0.98867519999999998</v>
      </c>
      <c r="I346" s="20">
        <f t="shared" si="1002"/>
        <v>44490.383999999998</v>
      </c>
      <c r="J346" s="28">
        <v>0.13177759444444401</v>
      </c>
      <c r="K346" s="20">
        <f t="shared" si="1003"/>
        <v>5338.8460799999993</v>
      </c>
      <c r="L346" s="17">
        <v>0.119431066666657</v>
      </c>
      <c r="M346" s="17">
        <f t="shared" si="1000"/>
        <v>0.25120866111110102</v>
      </c>
      <c r="N346" s="20">
        <f t="shared" si="1004"/>
        <v>9.886752E-2</v>
      </c>
      <c r="O346" s="7">
        <f t="shared" si="1001"/>
        <v>0.63859901888889903</v>
      </c>
    </row>
    <row r="347" spans="1:15" x14ac:dyDescent="0.7">
      <c r="A347" s="8"/>
      <c r="B347" s="6"/>
      <c r="C347" s="6">
        <v>10</v>
      </c>
      <c r="D347" s="7">
        <v>11.052999999999999</v>
      </c>
      <c r="E347" s="4">
        <v>0</v>
      </c>
      <c r="F347" s="7">
        <v>11.052999999999999</v>
      </c>
      <c r="G347" s="15">
        <f t="shared" si="998"/>
        <v>954979.2</v>
      </c>
      <c r="H347" s="21">
        <f t="shared" si="999"/>
        <v>0.95497919999999992</v>
      </c>
      <c r="I347" s="20">
        <f t="shared" si="1002"/>
        <v>42974.063999999998</v>
      </c>
      <c r="J347" s="28">
        <v>0.13215704444444401</v>
      </c>
      <c r="K347" s="20">
        <f t="shared" si="1003"/>
        <v>5156.8876799999998</v>
      </c>
      <c r="L347" s="17">
        <v>0.11980159999999</v>
      </c>
      <c r="M347" s="17">
        <f t="shared" si="1000"/>
        <v>0.251958644444434</v>
      </c>
      <c r="N347" s="20">
        <f t="shared" si="1004"/>
        <v>9.549792E-2</v>
      </c>
      <c r="O347" s="7">
        <f t="shared" si="1001"/>
        <v>0.60752263555556596</v>
      </c>
    </row>
    <row r="348" spans="1:15" x14ac:dyDescent="0.7">
      <c r="A348" s="8"/>
      <c r="B348" s="6"/>
      <c r="C348" s="6">
        <v>11</v>
      </c>
      <c r="D348" s="7">
        <v>10.73</v>
      </c>
      <c r="E348" s="4">
        <v>0</v>
      </c>
      <c r="F348" s="7">
        <v>10.73</v>
      </c>
      <c r="G348" s="15">
        <f t="shared" si="998"/>
        <v>927072</v>
      </c>
      <c r="H348" s="21">
        <f t="shared" si="999"/>
        <v>0.92707200000000001</v>
      </c>
      <c r="I348" s="20">
        <f t="shared" si="1002"/>
        <v>41718.239999999998</v>
      </c>
      <c r="J348" s="28">
        <v>0.13253649444444399</v>
      </c>
      <c r="K348" s="20">
        <f t="shared" si="1003"/>
        <v>5006.1887999999999</v>
      </c>
      <c r="L348" s="17">
        <v>0.12017213333332399</v>
      </c>
      <c r="M348" s="17">
        <f t="shared" si="1000"/>
        <v>0.25270862777776798</v>
      </c>
      <c r="N348" s="20">
        <f t="shared" si="1004"/>
        <v>9.2707200000000003E-2</v>
      </c>
      <c r="O348" s="7">
        <f t="shared" si="1001"/>
        <v>0.58165617222223198</v>
      </c>
    </row>
    <row r="349" spans="1:15" x14ac:dyDescent="0.7">
      <c r="A349" s="8"/>
      <c r="B349" s="6"/>
      <c r="C349" s="6">
        <v>12</v>
      </c>
      <c r="D349" s="7">
        <v>10.673</v>
      </c>
      <c r="E349" s="4">
        <v>1.9</v>
      </c>
      <c r="F349" s="7">
        <v>10.673</v>
      </c>
      <c r="G349" s="15">
        <f t="shared" si="998"/>
        <v>922147.2</v>
      </c>
      <c r="H349" s="21">
        <f t="shared" si="999"/>
        <v>0.92214719999999994</v>
      </c>
      <c r="I349" s="20">
        <f t="shared" si="1002"/>
        <v>41496.623999999996</v>
      </c>
      <c r="J349" s="28">
        <v>0.13291594444444399</v>
      </c>
      <c r="K349" s="20">
        <f t="shared" si="1003"/>
        <v>4979.5948799999996</v>
      </c>
      <c r="L349" s="17">
        <v>0.120542666666657</v>
      </c>
      <c r="M349" s="17">
        <f t="shared" si="1000"/>
        <v>0.25345861111110102</v>
      </c>
      <c r="N349" s="20">
        <f t="shared" si="1004"/>
        <v>9.221472E-2</v>
      </c>
      <c r="O349" s="7">
        <f t="shared" si="1001"/>
        <v>0.57647386888889895</v>
      </c>
    </row>
    <row r="350" spans="1:15" x14ac:dyDescent="0.7">
      <c r="A350" s="8"/>
      <c r="B350" s="6"/>
      <c r="C350" s="6">
        <v>13</v>
      </c>
      <c r="D350" s="7">
        <v>10.673</v>
      </c>
      <c r="E350" s="4">
        <v>16.3</v>
      </c>
      <c r="F350" s="7">
        <v>10.673</v>
      </c>
      <c r="G350" s="15">
        <f t="shared" si="998"/>
        <v>922147.2</v>
      </c>
      <c r="H350" s="21">
        <f t="shared" si="999"/>
        <v>0.92214719999999994</v>
      </c>
      <c r="I350" s="20">
        <f t="shared" si="1002"/>
        <v>41496.623999999996</v>
      </c>
      <c r="J350" s="28">
        <v>0.13329539444444399</v>
      </c>
      <c r="K350" s="20">
        <f t="shared" si="1003"/>
        <v>4979.5948799999996</v>
      </c>
      <c r="L350" s="17">
        <v>0.12091319999999001</v>
      </c>
      <c r="M350" s="17">
        <f t="shared" si="1000"/>
        <v>0.254208594444434</v>
      </c>
      <c r="N350" s="20">
        <f t="shared" si="1004"/>
        <v>9.221472E-2</v>
      </c>
      <c r="O350" s="7">
        <f t="shared" si="1001"/>
        <v>0.57572388555556597</v>
      </c>
    </row>
    <row r="351" spans="1:15" x14ac:dyDescent="0.7">
      <c r="A351" s="8"/>
      <c r="B351" s="6"/>
      <c r="C351" s="6">
        <v>14</v>
      </c>
      <c r="D351" s="7">
        <v>10.673</v>
      </c>
      <c r="E351" s="4">
        <v>2.2999999999999998</v>
      </c>
      <c r="F351" s="7">
        <v>10.673</v>
      </c>
      <c r="G351" s="15">
        <f t="shared" si="998"/>
        <v>922147.2</v>
      </c>
      <c r="H351" s="21">
        <f t="shared" si="999"/>
        <v>0.92214719999999994</v>
      </c>
      <c r="I351" s="20">
        <f t="shared" si="1002"/>
        <v>41496.623999999996</v>
      </c>
      <c r="J351" s="28">
        <v>0.133674844444444</v>
      </c>
      <c r="K351" s="20">
        <f t="shared" si="1003"/>
        <v>4979.5948799999996</v>
      </c>
      <c r="L351" s="17">
        <v>0.121283733333323</v>
      </c>
      <c r="M351" s="17">
        <f t="shared" si="1000"/>
        <v>0.25495857777776698</v>
      </c>
      <c r="N351" s="20">
        <f t="shared" si="1004"/>
        <v>9.221472E-2</v>
      </c>
      <c r="O351" s="7">
        <f t="shared" si="1001"/>
        <v>0.57497390222223299</v>
      </c>
    </row>
    <row r="352" spans="1:15" x14ac:dyDescent="0.7">
      <c r="A352" s="8"/>
      <c r="B352" s="6"/>
      <c r="C352" s="6">
        <v>15</v>
      </c>
      <c r="D352" s="7">
        <v>10.673</v>
      </c>
      <c r="E352" s="4">
        <v>14.5</v>
      </c>
      <c r="F352" s="7">
        <v>10.673</v>
      </c>
      <c r="G352" s="15">
        <f t="shared" si="998"/>
        <v>922147.2</v>
      </c>
      <c r="H352" s="21">
        <f t="shared" si="999"/>
        <v>0.92214719999999994</v>
      </c>
      <c r="I352" s="20">
        <f t="shared" si="1002"/>
        <v>41496.623999999996</v>
      </c>
      <c r="J352" s="28">
        <v>0.134054294444444</v>
      </c>
      <c r="K352" s="20">
        <f t="shared" si="1003"/>
        <v>4979.5948799999996</v>
      </c>
      <c r="L352" s="17">
        <v>0.121654266666657</v>
      </c>
      <c r="M352" s="17">
        <f t="shared" si="1000"/>
        <v>0.25570856111110102</v>
      </c>
      <c r="N352" s="20">
        <f t="shared" si="1004"/>
        <v>9.221472E-2</v>
      </c>
      <c r="O352" s="7">
        <f t="shared" si="1001"/>
        <v>0.57422391888889901</v>
      </c>
    </row>
    <row r="353" spans="1:15" x14ac:dyDescent="0.7">
      <c r="A353" s="8"/>
      <c r="B353" s="6"/>
      <c r="C353" s="6">
        <v>16</v>
      </c>
      <c r="D353" s="7">
        <v>10.519</v>
      </c>
      <c r="E353" s="4">
        <v>0</v>
      </c>
      <c r="F353" s="7">
        <v>10.519</v>
      </c>
      <c r="G353" s="15">
        <f t="shared" si="998"/>
        <v>908841.6</v>
      </c>
      <c r="H353" s="21">
        <f t="shared" si="999"/>
        <v>0.90884160000000003</v>
      </c>
      <c r="I353" s="20">
        <f t="shared" si="1002"/>
        <v>40897.871999999996</v>
      </c>
      <c r="J353" s="28">
        <v>0.134433744444444</v>
      </c>
      <c r="K353" s="20">
        <f t="shared" si="1003"/>
        <v>4907.744639999999</v>
      </c>
      <c r="L353" s="17">
        <v>0.12202479999999</v>
      </c>
      <c r="M353" s="17">
        <f t="shared" si="1000"/>
        <v>0.256458544444434</v>
      </c>
      <c r="N353" s="20">
        <f t="shared" si="1004"/>
        <v>9.0884160000000005E-2</v>
      </c>
      <c r="O353" s="7">
        <f t="shared" si="1001"/>
        <v>0.56149889555556609</v>
      </c>
    </row>
    <row r="354" spans="1:15" x14ac:dyDescent="0.7">
      <c r="A354" s="8"/>
      <c r="B354" s="6"/>
      <c r="C354" s="6">
        <v>17</v>
      </c>
      <c r="D354" s="7">
        <v>10.284000000000001</v>
      </c>
      <c r="E354" s="4">
        <v>0</v>
      </c>
      <c r="F354" s="7">
        <v>10.284000000000001</v>
      </c>
      <c r="G354" s="15">
        <f t="shared" si="998"/>
        <v>888537.60000000009</v>
      </c>
      <c r="H354" s="21">
        <f t="shared" si="999"/>
        <v>0.88853760000000004</v>
      </c>
      <c r="I354" s="20">
        <f t="shared" si="1002"/>
        <v>39984.192000000003</v>
      </c>
      <c r="J354" s="28">
        <v>0.13481319444444401</v>
      </c>
      <c r="K354" s="20">
        <f t="shared" si="1003"/>
        <v>4798.10304</v>
      </c>
      <c r="L354" s="17">
        <v>0.122395333333323</v>
      </c>
      <c r="M354" s="17">
        <f t="shared" si="1000"/>
        <v>0.25720852777776704</v>
      </c>
      <c r="N354" s="20">
        <f t="shared" si="1004"/>
        <v>8.8853760000000004E-2</v>
      </c>
      <c r="O354" s="7">
        <f t="shared" si="1001"/>
        <v>0.542475312222233</v>
      </c>
    </row>
    <row r="355" spans="1:15" x14ac:dyDescent="0.7">
      <c r="A355" s="8"/>
      <c r="B355" s="6"/>
      <c r="C355" s="6">
        <v>18</v>
      </c>
      <c r="D355" s="7">
        <v>9.8810000000000002</v>
      </c>
      <c r="E355" s="4">
        <v>0</v>
      </c>
      <c r="F355" s="7">
        <v>9.8810000000000002</v>
      </c>
      <c r="G355" s="15">
        <f t="shared" si="998"/>
        <v>853718.4</v>
      </c>
      <c r="H355" s="21">
        <f t="shared" si="999"/>
        <v>0.85371839999999999</v>
      </c>
      <c r="I355" s="20">
        <f t="shared" si="1002"/>
        <v>38417.328000000001</v>
      </c>
      <c r="J355" s="28">
        <v>0.13519264444444401</v>
      </c>
      <c r="K355" s="20">
        <f t="shared" si="1003"/>
        <v>4610.0793599999997</v>
      </c>
      <c r="L355" s="17">
        <v>0.12276586666665699</v>
      </c>
      <c r="M355" s="17">
        <f t="shared" si="1000"/>
        <v>0.25795851111110102</v>
      </c>
      <c r="N355" s="20">
        <f t="shared" si="1004"/>
        <v>8.5371840000000004E-2</v>
      </c>
      <c r="O355" s="7">
        <f t="shared" si="1001"/>
        <v>0.51038804888889899</v>
      </c>
    </row>
    <row r="356" spans="1:15" x14ac:dyDescent="0.7">
      <c r="A356" s="8"/>
      <c r="B356" s="6"/>
      <c r="C356" s="6">
        <v>19</v>
      </c>
      <c r="D356" s="7">
        <v>9.82</v>
      </c>
      <c r="E356" s="4">
        <v>0</v>
      </c>
      <c r="F356" s="7">
        <v>9.82</v>
      </c>
      <c r="G356" s="15">
        <f t="shared" si="998"/>
        <v>848448</v>
      </c>
      <c r="H356" s="21">
        <f t="shared" si="999"/>
        <v>0.84844799999999998</v>
      </c>
      <c r="I356" s="20">
        <f t="shared" si="1002"/>
        <v>38180.159999999996</v>
      </c>
      <c r="J356" s="28">
        <v>0.13557209444444401</v>
      </c>
      <c r="K356" s="20">
        <f t="shared" si="1003"/>
        <v>4581.6191999999992</v>
      </c>
      <c r="L356" s="17">
        <v>0.12313639999999</v>
      </c>
      <c r="M356" s="17">
        <f t="shared" si="1000"/>
        <v>0.258708494444434</v>
      </c>
      <c r="N356" s="20">
        <f t="shared" si="1004"/>
        <v>8.4844799999999998E-2</v>
      </c>
      <c r="O356" s="7">
        <f t="shared" si="1001"/>
        <v>0.50489470555556593</v>
      </c>
    </row>
    <row r="357" spans="1:15" x14ac:dyDescent="0.7">
      <c r="A357" s="8"/>
      <c r="B357" s="6"/>
      <c r="C357" s="6">
        <v>20</v>
      </c>
      <c r="D357" s="7">
        <v>9.7639999999999993</v>
      </c>
      <c r="E357" s="4">
        <v>0</v>
      </c>
      <c r="F357" s="7">
        <v>9.7639999999999993</v>
      </c>
      <c r="G357" s="15">
        <f t="shared" si="998"/>
        <v>843609.59999999998</v>
      </c>
      <c r="H357" s="21">
        <f t="shared" si="999"/>
        <v>0.84360959999999996</v>
      </c>
      <c r="I357" s="20">
        <f t="shared" si="1002"/>
        <v>37962.432000000001</v>
      </c>
      <c r="J357" s="28">
        <v>0.13595154444444399</v>
      </c>
      <c r="K357" s="20">
        <f t="shared" si="1003"/>
        <v>4555.4918399999997</v>
      </c>
      <c r="L357" s="17">
        <v>0.12350693333332299</v>
      </c>
      <c r="M357" s="17">
        <f t="shared" si="1000"/>
        <v>0.25945847777776698</v>
      </c>
      <c r="N357" s="20">
        <f t="shared" si="1004"/>
        <v>8.4360959999999999E-2</v>
      </c>
      <c r="O357" s="7">
        <f t="shared" si="1001"/>
        <v>0.49979016222223299</v>
      </c>
    </row>
    <row r="358" spans="1:15" x14ac:dyDescent="0.7">
      <c r="A358" s="8"/>
      <c r="B358" s="6"/>
      <c r="C358" s="6">
        <v>21</v>
      </c>
      <c r="D358" s="7">
        <v>9.702</v>
      </c>
      <c r="E358" s="4">
        <v>0</v>
      </c>
      <c r="F358" s="7">
        <v>9.702</v>
      </c>
      <c r="G358" s="15">
        <f t="shared" si="998"/>
        <v>838252.8</v>
      </c>
      <c r="H358" s="21">
        <f t="shared" si="999"/>
        <v>0.83825280000000002</v>
      </c>
      <c r="I358" s="20">
        <f t="shared" si="1002"/>
        <v>37721.376000000004</v>
      </c>
      <c r="J358" s="28">
        <v>0.13633099444444399</v>
      </c>
      <c r="K358" s="20">
        <f t="shared" si="1003"/>
        <v>4526.5651200000002</v>
      </c>
      <c r="L358" s="17">
        <v>0.123877466666657</v>
      </c>
      <c r="M358" s="17">
        <f t="shared" si="1000"/>
        <v>0.26020846111110096</v>
      </c>
      <c r="N358" s="20">
        <f t="shared" si="1004"/>
        <v>8.3825280000000002E-2</v>
      </c>
      <c r="O358" s="7">
        <f t="shared" si="1001"/>
        <v>0.49421905888889905</v>
      </c>
    </row>
    <row r="359" spans="1:15" x14ac:dyDescent="0.7">
      <c r="A359" s="8"/>
      <c r="B359" s="6"/>
      <c r="C359" s="6">
        <v>22</v>
      </c>
      <c r="D359" s="7">
        <v>9.59</v>
      </c>
      <c r="E359" s="4">
        <v>0</v>
      </c>
      <c r="F359" s="7">
        <v>9.59</v>
      </c>
      <c r="G359" s="15">
        <f t="shared" si="998"/>
        <v>828576</v>
      </c>
      <c r="H359" s="21">
        <f t="shared" si="999"/>
        <v>0.82857599999999998</v>
      </c>
      <c r="I359" s="20">
        <f t="shared" si="1002"/>
        <v>37285.919999999998</v>
      </c>
      <c r="J359" s="28">
        <v>0.136710444444444</v>
      </c>
      <c r="K359" s="20">
        <f t="shared" si="1003"/>
        <v>4474.3103999999994</v>
      </c>
      <c r="L359" s="17">
        <v>0.12424799999999001</v>
      </c>
      <c r="M359" s="17">
        <f t="shared" si="1000"/>
        <v>0.260958444444434</v>
      </c>
      <c r="N359" s="20">
        <f t="shared" si="1004"/>
        <v>8.2857600000000003E-2</v>
      </c>
      <c r="O359" s="7">
        <f t="shared" si="1001"/>
        <v>0.48475995555556606</v>
      </c>
    </row>
    <row r="360" spans="1:15" x14ac:dyDescent="0.7">
      <c r="A360" s="8"/>
      <c r="B360" s="6"/>
      <c r="C360" s="6">
        <v>23</v>
      </c>
      <c r="D360" s="7">
        <v>9.4770000000000003</v>
      </c>
      <c r="E360" s="4">
        <v>0</v>
      </c>
      <c r="F360" s="7">
        <v>9.4770000000000003</v>
      </c>
      <c r="G360" s="15">
        <f t="shared" si="998"/>
        <v>818812.8</v>
      </c>
      <c r="H360" s="21">
        <f t="shared" si="999"/>
        <v>0.81881280000000001</v>
      </c>
      <c r="I360" s="20">
        <f t="shared" si="1002"/>
        <v>36846.576000000001</v>
      </c>
      <c r="J360" s="28">
        <v>0.137089894444444</v>
      </c>
      <c r="K360" s="20">
        <f t="shared" si="1003"/>
        <v>4421.5891199999996</v>
      </c>
      <c r="L360" s="17">
        <v>0.124618533333323</v>
      </c>
      <c r="M360" s="17">
        <f t="shared" si="1000"/>
        <v>0.26170842777776698</v>
      </c>
      <c r="N360" s="20">
        <f t="shared" si="1004"/>
        <v>8.1881280000000001E-2</v>
      </c>
      <c r="O360" s="7">
        <f t="shared" si="1001"/>
        <v>0.47522309222223308</v>
      </c>
    </row>
    <row r="361" spans="1:15" x14ac:dyDescent="0.7">
      <c r="A361" s="8"/>
      <c r="B361" s="6"/>
      <c r="C361" s="6">
        <v>24</v>
      </c>
      <c r="D361" s="7">
        <v>9.4770000000000003</v>
      </c>
      <c r="E361" s="4">
        <v>0</v>
      </c>
      <c r="F361" s="7">
        <v>9.4770000000000003</v>
      </c>
      <c r="G361" s="15">
        <f t="shared" si="998"/>
        <v>818812.8</v>
      </c>
      <c r="H361" s="21">
        <f t="shared" si="999"/>
        <v>0.81881280000000001</v>
      </c>
      <c r="I361" s="20">
        <f t="shared" si="1002"/>
        <v>36846.576000000001</v>
      </c>
      <c r="J361" s="28">
        <v>0.137469344444444</v>
      </c>
      <c r="K361" s="20">
        <f t="shared" si="1003"/>
        <v>4421.5891199999996</v>
      </c>
      <c r="L361" s="17">
        <v>0.124989066666656</v>
      </c>
      <c r="M361" s="17">
        <f t="shared" si="1000"/>
        <v>0.26245841111110002</v>
      </c>
      <c r="N361" s="20">
        <f t="shared" si="1004"/>
        <v>8.1881280000000001E-2</v>
      </c>
      <c r="O361" s="7">
        <f t="shared" si="1001"/>
        <v>0.47447310888889999</v>
      </c>
    </row>
    <row r="362" spans="1:15" x14ac:dyDescent="0.7">
      <c r="A362" s="8"/>
      <c r="B362" s="6"/>
      <c r="C362" s="6">
        <v>25</v>
      </c>
      <c r="D362" s="7">
        <v>9.4770000000000003</v>
      </c>
      <c r="E362" s="4">
        <v>0</v>
      </c>
      <c r="F362" s="7">
        <v>9.4770000000000003</v>
      </c>
      <c r="G362" s="15">
        <f t="shared" si="998"/>
        <v>818812.8</v>
      </c>
      <c r="H362" s="21">
        <f t="shared" si="999"/>
        <v>0.81881280000000001</v>
      </c>
      <c r="I362" s="20">
        <f t="shared" si="1002"/>
        <v>36846.576000000001</v>
      </c>
      <c r="J362" s="28">
        <v>0.13784879444444401</v>
      </c>
      <c r="K362" s="20">
        <f t="shared" si="1003"/>
        <v>4421.5891199999996</v>
      </c>
      <c r="L362" s="17">
        <v>0.12535959999999</v>
      </c>
      <c r="M362" s="17">
        <f t="shared" si="1000"/>
        <v>0.263208394444434</v>
      </c>
      <c r="N362" s="20">
        <f t="shared" si="1004"/>
        <v>8.1881280000000001E-2</v>
      </c>
      <c r="O362" s="7">
        <f t="shared" si="1001"/>
        <v>0.473723125555566</v>
      </c>
    </row>
    <row r="363" spans="1:15" x14ac:dyDescent="0.7">
      <c r="A363" s="8"/>
      <c r="B363" s="6"/>
      <c r="C363" s="6">
        <v>26</v>
      </c>
      <c r="D363" s="7">
        <v>9.4770000000000003</v>
      </c>
      <c r="E363" s="4">
        <v>0</v>
      </c>
      <c r="F363" s="7">
        <v>9.4770000000000003</v>
      </c>
      <c r="G363" s="15">
        <f t="shared" si="998"/>
        <v>818812.8</v>
      </c>
      <c r="H363" s="21">
        <f t="shared" si="999"/>
        <v>0.81881280000000001</v>
      </c>
      <c r="I363" s="20">
        <f t="shared" si="1002"/>
        <v>36846.576000000001</v>
      </c>
      <c r="J363" s="28">
        <v>0.13822824444444401</v>
      </c>
      <c r="K363" s="20">
        <f t="shared" si="1003"/>
        <v>4421.5891199999996</v>
      </c>
      <c r="L363" s="17">
        <v>0.125730133333323</v>
      </c>
      <c r="M363" s="17">
        <f t="shared" si="1000"/>
        <v>0.26395837777776698</v>
      </c>
      <c r="N363" s="20">
        <f t="shared" si="1004"/>
        <v>8.1881280000000001E-2</v>
      </c>
      <c r="O363" s="7">
        <f t="shared" si="1001"/>
        <v>0.47297314222223302</v>
      </c>
    </row>
    <row r="364" spans="1:15" x14ac:dyDescent="0.7">
      <c r="A364" s="8"/>
      <c r="B364" s="6"/>
      <c r="C364" s="6">
        <v>27</v>
      </c>
      <c r="D364" s="7">
        <v>9.4770000000000003</v>
      </c>
      <c r="E364" s="4">
        <v>0</v>
      </c>
      <c r="F364" s="7">
        <v>9.4770000000000003</v>
      </c>
      <c r="G364" s="15">
        <f t="shared" si="998"/>
        <v>818812.8</v>
      </c>
      <c r="H364" s="21">
        <f t="shared" si="999"/>
        <v>0.81881280000000001</v>
      </c>
      <c r="I364" s="20">
        <f t="shared" si="1002"/>
        <v>36846.576000000001</v>
      </c>
      <c r="J364" s="28">
        <v>0.13860769444444401</v>
      </c>
      <c r="K364" s="20">
        <f t="shared" si="1003"/>
        <v>4421.5891199999996</v>
      </c>
      <c r="L364" s="17">
        <v>0.12610066666665601</v>
      </c>
      <c r="M364" s="17">
        <f t="shared" si="1000"/>
        <v>0.26470836111110002</v>
      </c>
      <c r="N364" s="20">
        <f t="shared" si="1004"/>
        <v>8.1881280000000001E-2</v>
      </c>
      <c r="O364" s="7">
        <f t="shared" si="1001"/>
        <v>0.47222315888890004</v>
      </c>
    </row>
    <row r="365" spans="1:15" x14ac:dyDescent="0.7">
      <c r="A365" s="8"/>
      <c r="B365" s="6"/>
      <c r="C365" s="6">
        <v>28</v>
      </c>
      <c r="D365" s="7">
        <v>9.4770000000000003</v>
      </c>
      <c r="E365" s="4">
        <v>0</v>
      </c>
      <c r="F365" s="7">
        <v>9.4770000000000003</v>
      </c>
      <c r="G365" s="15">
        <f t="shared" si="998"/>
        <v>818812.8</v>
      </c>
      <c r="H365" s="21">
        <f t="shared" si="999"/>
        <v>0.81881280000000001</v>
      </c>
      <c r="I365" s="20">
        <f t="shared" si="1002"/>
        <v>36846.576000000001</v>
      </c>
      <c r="J365" s="28">
        <v>0.13898714444444399</v>
      </c>
      <c r="K365" s="20">
        <f t="shared" si="1003"/>
        <v>4421.5891199999996</v>
      </c>
      <c r="L365" s="17">
        <v>0.12647119999999001</v>
      </c>
      <c r="M365" s="17">
        <f t="shared" si="1000"/>
        <v>0.265458344444434</v>
      </c>
      <c r="N365" s="20">
        <f t="shared" si="1004"/>
        <v>8.1881280000000001E-2</v>
      </c>
      <c r="O365" s="7">
        <f t="shared" si="1001"/>
        <v>0.47147317555556606</v>
      </c>
    </row>
    <row r="366" spans="1:15" x14ac:dyDescent="0.7">
      <c r="A366" s="45"/>
      <c r="B366" s="12"/>
      <c r="C366" s="12">
        <v>29</v>
      </c>
      <c r="D366" s="30">
        <v>9.4770000000000003</v>
      </c>
      <c r="E366" s="4">
        <v>0</v>
      </c>
      <c r="F366" s="30">
        <v>9.4770000000000003</v>
      </c>
      <c r="G366" s="31">
        <f t="shared" si="998"/>
        <v>818812.8</v>
      </c>
      <c r="H366" s="32">
        <f t="shared" si="999"/>
        <v>0.81881280000000001</v>
      </c>
      <c r="I366" s="20">
        <f t="shared" si="1002"/>
        <v>36846.576000000001</v>
      </c>
      <c r="J366" s="34">
        <v>0.13936659444444399</v>
      </c>
      <c r="K366" s="20">
        <f t="shared" si="1003"/>
        <v>4421.5891199999996</v>
      </c>
      <c r="L366" s="33">
        <v>0.12684173333332299</v>
      </c>
      <c r="M366" s="33">
        <f t="shared" si="1000"/>
        <v>0.26620832777776698</v>
      </c>
      <c r="N366" s="20">
        <f t="shared" si="1004"/>
        <v>8.1881280000000001E-2</v>
      </c>
      <c r="O366" s="30">
        <f t="shared" si="1001"/>
        <v>0.47072319222223297</v>
      </c>
    </row>
    <row r="367" spans="1:15" s="37" customFormat="1" x14ac:dyDescent="0.7">
      <c r="A367" s="8"/>
      <c r="B367" s="6"/>
      <c r="C367" s="6">
        <v>30</v>
      </c>
      <c r="D367" s="7">
        <v>9.4770000000000003</v>
      </c>
      <c r="E367" s="4">
        <v>0</v>
      </c>
      <c r="F367" s="7">
        <v>9.4770000000000003</v>
      </c>
      <c r="G367" s="35">
        <f t="shared" si="998"/>
        <v>818812.8</v>
      </c>
      <c r="H367" s="20">
        <f t="shared" si="999"/>
        <v>0.81881280000000001</v>
      </c>
      <c r="I367" s="20">
        <f t="shared" si="1002"/>
        <v>36846.576000000001</v>
      </c>
      <c r="J367" s="28">
        <v>0.139746044444444</v>
      </c>
      <c r="K367" s="20">
        <f t="shared" si="1003"/>
        <v>4421.5891199999996</v>
      </c>
      <c r="L367" s="17">
        <v>0.127212266666656</v>
      </c>
      <c r="M367" s="17">
        <f t="shared" si="1000"/>
        <v>0.26695831111110002</v>
      </c>
      <c r="N367" s="20">
        <f t="shared" si="1004"/>
        <v>8.1881280000000001E-2</v>
      </c>
      <c r="O367" s="7">
        <f t="shared" si="1001"/>
        <v>0.46997320888889998</v>
      </c>
    </row>
    <row r="368" spans="1:15" s="13" customFormat="1" ht="25.2" thickBot="1" x14ac:dyDescent="0.75">
      <c r="A368" s="46"/>
      <c r="B368" s="11" t="s">
        <v>26</v>
      </c>
      <c r="C368" s="11">
        <v>31</v>
      </c>
      <c r="D368" s="19">
        <v>9.4770000000000003</v>
      </c>
      <c r="E368" s="19">
        <v>0</v>
      </c>
      <c r="F368" s="19">
        <v>9.4770000000000003</v>
      </c>
      <c r="G368" s="26">
        <f t="shared" si="998"/>
        <v>818812.8</v>
      </c>
      <c r="H368" s="27">
        <f t="shared" si="999"/>
        <v>0.81881280000000001</v>
      </c>
      <c r="I368" s="22">
        <f t="shared" si="1002"/>
        <v>36846.576000000001</v>
      </c>
      <c r="J368" s="39">
        <v>0.140125494444444</v>
      </c>
      <c r="K368" s="22">
        <f t="shared" si="1003"/>
        <v>4421.5891199999996</v>
      </c>
      <c r="L368" s="38">
        <v>0.12758279999999</v>
      </c>
      <c r="M368" s="38">
        <f t="shared" si="1000"/>
        <v>0.267708294444434</v>
      </c>
      <c r="N368" s="22">
        <f t="shared" si="1004"/>
        <v>8.1881280000000001E-2</v>
      </c>
      <c r="O368" s="19">
        <f t="shared" si="1001"/>
        <v>0.469223225555566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2026-02-25T15:53:39Z</dcterms:modified>
</cp:coreProperties>
</file>