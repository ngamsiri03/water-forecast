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2CD76417-B32C-4301-AE17-38CC9A2F5A0F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L170" i="1"/>
  <c r="L171" i="1"/>
  <c r="L172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L367" i="1"/>
  <c r="J367" i="1"/>
  <c r="H367" i="1"/>
  <c r="G367" i="1"/>
  <c r="L366" i="1"/>
  <c r="J366" i="1"/>
  <c r="G366" i="1"/>
  <c r="H366" i="1" s="1"/>
  <c r="L365" i="1"/>
  <c r="J365" i="1"/>
  <c r="H365" i="1"/>
  <c r="G365" i="1"/>
  <c r="L364" i="1"/>
  <c r="J364" i="1"/>
  <c r="G364" i="1"/>
  <c r="H364" i="1" s="1"/>
  <c r="L363" i="1"/>
  <c r="J363" i="1"/>
  <c r="H363" i="1"/>
  <c r="G363" i="1"/>
  <c r="L362" i="1"/>
  <c r="J362" i="1"/>
  <c r="G362" i="1"/>
  <c r="H362" i="1" s="1"/>
  <c r="L361" i="1"/>
  <c r="J361" i="1"/>
  <c r="H361" i="1"/>
  <c r="G361" i="1"/>
  <c r="L360" i="1"/>
  <c r="J360" i="1"/>
  <c r="G360" i="1"/>
  <c r="H360" i="1" s="1"/>
  <c r="L359" i="1"/>
  <c r="J359" i="1"/>
  <c r="H359" i="1"/>
  <c r="G359" i="1"/>
  <c r="L358" i="1"/>
  <c r="J358" i="1"/>
  <c r="G358" i="1"/>
  <c r="H358" i="1" s="1"/>
  <c r="L357" i="1"/>
  <c r="J357" i="1"/>
  <c r="H357" i="1"/>
  <c r="G357" i="1"/>
  <c r="L356" i="1"/>
  <c r="J356" i="1"/>
  <c r="G356" i="1"/>
  <c r="H356" i="1" s="1"/>
  <c r="L355" i="1"/>
  <c r="J355" i="1"/>
  <c r="H355" i="1"/>
  <c r="G355" i="1"/>
  <c r="L354" i="1"/>
  <c r="J354" i="1"/>
  <c r="G354" i="1"/>
  <c r="H354" i="1" s="1"/>
  <c r="L353" i="1"/>
  <c r="J353" i="1"/>
  <c r="H353" i="1"/>
  <c r="G353" i="1"/>
  <c r="L352" i="1"/>
  <c r="J352" i="1"/>
  <c r="G352" i="1"/>
  <c r="H352" i="1" s="1"/>
  <c r="L351" i="1"/>
  <c r="J351" i="1"/>
  <c r="H351" i="1"/>
  <c r="G351" i="1"/>
  <c r="L350" i="1"/>
  <c r="J350" i="1"/>
  <c r="G350" i="1"/>
  <c r="H350" i="1" s="1"/>
  <c r="L349" i="1"/>
  <c r="J349" i="1"/>
  <c r="G349" i="1"/>
  <c r="H349" i="1" s="1"/>
  <c r="L348" i="1"/>
  <c r="J348" i="1"/>
  <c r="H348" i="1"/>
  <c r="G348" i="1"/>
  <c r="L347" i="1"/>
  <c r="J347" i="1"/>
  <c r="G347" i="1"/>
  <c r="H347" i="1" s="1"/>
  <c r="L346" i="1"/>
  <c r="J346" i="1"/>
  <c r="G346" i="1"/>
  <c r="H346" i="1" s="1"/>
  <c r="L345" i="1"/>
  <c r="J345" i="1"/>
  <c r="G345" i="1"/>
  <c r="H345" i="1" s="1"/>
  <c r="L344" i="1"/>
  <c r="J344" i="1"/>
  <c r="H344" i="1"/>
  <c r="G344" i="1"/>
  <c r="L343" i="1"/>
  <c r="J343" i="1"/>
  <c r="G343" i="1"/>
  <c r="H343" i="1" s="1"/>
  <c r="L342" i="1"/>
  <c r="J342" i="1"/>
  <c r="G342" i="1"/>
  <c r="H342" i="1" s="1"/>
  <c r="L341" i="1"/>
  <c r="J341" i="1"/>
  <c r="G341" i="1"/>
  <c r="H341" i="1" s="1"/>
  <c r="L340" i="1"/>
  <c r="J340" i="1"/>
  <c r="H340" i="1"/>
  <c r="G340" i="1"/>
  <c r="L339" i="1"/>
  <c r="J339" i="1"/>
  <c r="G339" i="1"/>
  <c r="H339" i="1" s="1"/>
  <c r="L338" i="1"/>
  <c r="J338" i="1"/>
  <c r="G338" i="1"/>
  <c r="H338" i="1" s="1"/>
  <c r="L337" i="1"/>
  <c r="J337" i="1"/>
  <c r="G337" i="1"/>
  <c r="H337" i="1" s="1"/>
  <c r="M154" i="1" l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O170" i="1" s="1"/>
  <c r="M171" i="1"/>
  <c r="O171" i="1" s="1"/>
  <c r="M172" i="1"/>
  <c r="O172" i="1" s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L336" i="1"/>
  <c r="J336" i="1"/>
  <c r="G336" i="1"/>
  <c r="H336" i="1" s="1"/>
  <c r="L335" i="1"/>
  <c r="J335" i="1"/>
  <c r="G335" i="1"/>
  <c r="H335" i="1" s="1"/>
  <c r="L334" i="1"/>
  <c r="J334" i="1"/>
  <c r="G334" i="1"/>
  <c r="H334" i="1" s="1"/>
  <c r="L333" i="1"/>
  <c r="J333" i="1"/>
  <c r="G333" i="1"/>
  <c r="H333" i="1" s="1"/>
  <c r="L332" i="1"/>
  <c r="J332" i="1"/>
  <c r="G332" i="1"/>
  <c r="H332" i="1" s="1"/>
  <c r="L331" i="1"/>
  <c r="J331" i="1"/>
  <c r="G331" i="1"/>
  <c r="H331" i="1" s="1"/>
  <c r="L330" i="1"/>
  <c r="J330" i="1"/>
  <c r="G330" i="1"/>
  <c r="H330" i="1" s="1"/>
  <c r="L329" i="1"/>
  <c r="J329" i="1"/>
  <c r="G329" i="1"/>
  <c r="H329" i="1" s="1"/>
  <c r="L328" i="1"/>
  <c r="J328" i="1"/>
  <c r="G328" i="1"/>
  <c r="H328" i="1" s="1"/>
  <c r="L327" i="1"/>
  <c r="J327" i="1"/>
  <c r="G327" i="1"/>
  <c r="H327" i="1" s="1"/>
  <c r="L326" i="1"/>
  <c r="J326" i="1"/>
  <c r="G326" i="1"/>
  <c r="H326" i="1" s="1"/>
  <c r="L325" i="1"/>
  <c r="J325" i="1"/>
  <c r="G325" i="1"/>
  <c r="H325" i="1" s="1"/>
  <c r="L324" i="1"/>
  <c r="J324" i="1"/>
  <c r="G324" i="1"/>
  <c r="H324" i="1" s="1"/>
  <c r="L323" i="1"/>
  <c r="J323" i="1"/>
  <c r="G323" i="1"/>
  <c r="H323" i="1" s="1"/>
  <c r="L322" i="1"/>
  <c r="J322" i="1"/>
  <c r="G322" i="1"/>
  <c r="H322" i="1" s="1"/>
  <c r="L321" i="1"/>
  <c r="J321" i="1"/>
  <c r="G321" i="1"/>
  <c r="H321" i="1" s="1"/>
  <c r="L320" i="1"/>
  <c r="J320" i="1"/>
  <c r="G320" i="1"/>
  <c r="H320" i="1" s="1"/>
  <c r="L319" i="1"/>
  <c r="J319" i="1"/>
  <c r="G319" i="1"/>
  <c r="H319" i="1" s="1"/>
  <c r="L318" i="1"/>
  <c r="J318" i="1"/>
  <c r="G318" i="1"/>
  <c r="H318" i="1" s="1"/>
  <c r="L317" i="1"/>
  <c r="J317" i="1"/>
  <c r="G317" i="1"/>
  <c r="H317" i="1" s="1"/>
  <c r="L316" i="1"/>
  <c r="J316" i="1"/>
  <c r="G316" i="1"/>
  <c r="H316" i="1" s="1"/>
  <c r="L315" i="1"/>
  <c r="J315" i="1"/>
  <c r="G315" i="1"/>
  <c r="H315" i="1" s="1"/>
  <c r="L314" i="1"/>
  <c r="J314" i="1"/>
  <c r="G314" i="1"/>
  <c r="H314" i="1" s="1"/>
  <c r="L313" i="1"/>
  <c r="J313" i="1"/>
  <c r="G313" i="1"/>
  <c r="H313" i="1" s="1"/>
  <c r="L312" i="1"/>
  <c r="J312" i="1"/>
  <c r="G312" i="1"/>
  <c r="H312" i="1" s="1"/>
  <c r="L311" i="1"/>
  <c r="J311" i="1"/>
  <c r="G311" i="1"/>
  <c r="H311" i="1" s="1"/>
  <c r="L310" i="1"/>
  <c r="J310" i="1"/>
  <c r="G310" i="1"/>
  <c r="H310" i="1" s="1"/>
  <c r="L309" i="1"/>
  <c r="J309" i="1"/>
  <c r="G309" i="1"/>
  <c r="H309" i="1" s="1"/>
  <c r="L308" i="1"/>
  <c r="J308" i="1"/>
  <c r="G308" i="1"/>
  <c r="H308" i="1" s="1"/>
  <c r="L307" i="1"/>
  <c r="J307" i="1"/>
  <c r="G307" i="1"/>
  <c r="H307" i="1" s="1"/>
  <c r="L306" i="1"/>
  <c r="J306" i="1"/>
  <c r="G306" i="1"/>
  <c r="H306" i="1" s="1"/>
  <c r="L305" i="1"/>
  <c r="J305" i="1"/>
  <c r="G305" i="1"/>
  <c r="H305" i="1" s="1"/>
  <c r="L304" i="1"/>
  <c r="J304" i="1"/>
  <c r="G304" i="1"/>
  <c r="H304" i="1" s="1"/>
  <c r="L303" i="1"/>
  <c r="J303" i="1"/>
  <c r="G303" i="1"/>
  <c r="H303" i="1" s="1"/>
  <c r="L302" i="1"/>
  <c r="J302" i="1"/>
  <c r="G302" i="1"/>
  <c r="H302" i="1" s="1"/>
  <c r="L301" i="1"/>
  <c r="J301" i="1"/>
  <c r="G301" i="1"/>
  <c r="H301" i="1" s="1"/>
  <c r="L300" i="1"/>
  <c r="J300" i="1"/>
  <c r="G300" i="1"/>
  <c r="H300" i="1" s="1"/>
  <c r="L299" i="1"/>
  <c r="J299" i="1"/>
  <c r="G299" i="1"/>
  <c r="H299" i="1" s="1"/>
  <c r="L298" i="1"/>
  <c r="J298" i="1"/>
  <c r="G298" i="1"/>
  <c r="H298" i="1" s="1"/>
  <c r="L297" i="1"/>
  <c r="J297" i="1"/>
  <c r="G297" i="1"/>
  <c r="H297" i="1" s="1"/>
  <c r="L296" i="1"/>
  <c r="J296" i="1"/>
  <c r="G296" i="1"/>
  <c r="H296" i="1" s="1"/>
  <c r="L295" i="1"/>
  <c r="J295" i="1"/>
  <c r="G295" i="1"/>
  <c r="H295" i="1" s="1"/>
  <c r="L294" i="1"/>
  <c r="J294" i="1"/>
  <c r="G294" i="1"/>
  <c r="H294" i="1" s="1"/>
  <c r="L293" i="1"/>
  <c r="J293" i="1"/>
  <c r="G293" i="1"/>
  <c r="H293" i="1" s="1"/>
  <c r="L292" i="1"/>
  <c r="J292" i="1"/>
  <c r="G292" i="1"/>
  <c r="H292" i="1" s="1"/>
  <c r="L291" i="1"/>
  <c r="J291" i="1"/>
  <c r="G291" i="1"/>
  <c r="H291" i="1" s="1"/>
  <c r="L290" i="1"/>
  <c r="J290" i="1"/>
  <c r="G290" i="1"/>
  <c r="H290" i="1" s="1"/>
  <c r="L289" i="1"/>
  <c r="J289" i="1"/>
  <c r="G289" i="1"/>
  <c r="H289" i="1" s="1"/>
  <c r="L288" i="1"/>
  <c r="J288" i="1"/>
  <c r="G288" i="1"/>
  <c r="H288" i="1" s="1"/>
  <c r="L287" i="1"/>
  <c r="J287" i="1"/>
  <c r="G287" i="1"/>
  <c r="H287" i="1" s="1"/>
  <c r="L286" i="1"/>
  <c r="J286" i="1"/>
  <c r="G286" i="1"/>
  <c r="H286" i="1" s="1"/>
  <c r="L285" i="1"/>
  <c r="J285" i="1"/>
  <c r="G285" i="1"/>
  <c r="H285" i="1" s="1"/>
  <c r="L284" i="1"/>
  <c r="J284" i="1"/>
  <c r="G284" i="1"/>
  <c r="H284" i="1" s="1"/>
  <c r="L283" i="1"/>
  <c r="J283" i="1"/>
  <c r="G283" i="1"/>
  <c r="H283" i="1" s="1"/>
  <c r="L282" i="1"/>
  <c r="J282" i="1"/>
  <c r="G282" i="1"/>
  <c r="H282" i="1" s="1"/>
  <c r="L281" i="1"/>
  <c r="J281" i="1"/>
  <c r="G281" i="1"/>
  <c r="H281" i="1" s="1"/>
  <c r="L280" i="1"/>
  <c r="J280" i="1"/>
  <c r="G280" i="1"/>
  <c r="H280" i="1" s="1"/>
  <c r="L279" i="1"/>
  <c r="J279" i="1"/>
  <c r="G279" i="1"/>
  <c r="H279" i="1" s="1"/>
  <c r="L278" i="1"/>
  <c r="J278" i="1"/>
  <c r="G278" i="1"/>
  <c r="H278" i="1" s="1"/>
  <c r="L277" i="1"/>
  <c r="J277" i="1"/>
  <c r="G277" i="1"/>
  <c r="H277" i="1" s="1"/>
  <c r="L276" i="1"/>
  <c r="J276" i="1"/>
  <c r="G276" i="1"/>
  <c r="H276" i="1" s="1"/>
  <c r="L275" i="1"/>
  <c r="J275" i="1"/>
  <c r="G275" i="1"/>
  <c r="H275" i="1" s="1"/>
  <c r="L274" i="1"/>
  <c r="J274" i="1"/>
  <c r="G274" i="1"/>
  <c r="H274" i="1" s="1"/>
  <c r="L273" i="1"/>
  <c r="J273" i="1"/>
  <c r="G273" i="1"/>
  <c r="H273" i="1" s="1"/>
  <c r="L272" i="1"/>
  <c r="J272" i="1"/>
  <c r="G272" i="1"/>
  <c r="H272" i="1" s="1"/>
  <c r="L271" i="1"/>
  <c r="J271" i="1"/>
  <c r="G271" i="1"/>
  <c r="H271" i="1" s="1"/>
  <c r="L270" i="1"/>
  <c r="J270" i="1"/>
  <c r="G270" i="1"/>
  <c r="H270" i="1" s="1"/>
  <c r="L269" i="1"/>
  <c r="J269" i="1"/>
  <c r="G269" i="1"/>
  <c r="H269" i="1" s="1"/>
  <c r="L268" i="1"/>
  <c r="J268" i="1"/>
  <c r="G268" i="1"/>
  <c r="H268" i="1" s="1"/>
  <c r="L267" i="1"/>
  <c r="J267" i="1"/>
  <c r="G267" i="1"/>
  <c r="H267" i="1" s="1"/>
  <c r="L266" i="1"/>
  <c r="J266" i="1"/>
  <c r="G266" i="1"/>
  <c r="H266" i="1" s="1"/>
  <c r="L265" i="1"/>
  <c r="J265" i="1"/>
  <c r="G265" i="1"/>
  <c r="H265" i="1" s="1"/>
  <c r="L264" i="1"/>
  <c r="J264" i="1"/>
  <c r="G264" i="1"/>
  <c r="H264" i="1" s="1"/>
  <c r="L263" i="1"/>
  <c r="J263" i="1"/>
  <c r="G263" i="1"/>
  <c r="H263" i="1" s="1"/>
  <c r="L262" i="1"/>
  <c r="J262" i="1"/>
  <c r="G262" i="1"/>
  <c r="H262" i="1" s="1"/>
  <c r="L261" i="1"/>
  <c r="J261" i="1"/>
  <c r="G261" i="1"/>
  <c r="H261" i="1" s="1"/>
  <c r="L260" i="1"/>
  <c r="J260" i="1"/>
  <c r="G260" i="1"/>
  <c r="H260" i="1" s="1"/>
  <c r="L259" i="1"/>
  <c r="J259" i="1"/>
  <c r="G259" i="1"/>
  <c r="H259" i="1" s="1"/>
  <c r="L258" i="1"/>
  <c r="J258" i="1"/>
  <c r="G258" i="1"/>
  <c r="H258" i="1" s="1"/>
  <c r="L257" i="1"/>
  <c r="J257" i="1"/>
  <c r="G257" i="1"/>
  <c r="H257" i="1" s="1"/>
  <c r="L256" i="1"/>
  <c r="J256" i="1"/>
  <c r="G256" i="1"/>
  <c r="H256" i="1" s="1"/>
  <c r="L255" i="1"/>
  <c r="J255" i="1"/>
  <c r="G255" i="1"/>
  <c r="H255" i="1" s="1"/>
  <c r="L254" i="1"/>
  <c r="J254" i="1"/>
  <c r="G254" i="1"/>
  <c r="H254" i="1" s="1"/>
  <c r="L253" i="1"/>
  <c r="J253" i="1"/>
  <c r="G253" i="1"/>
  <c r="H253" i="1" s="1"/>
  <c r="L252" i="1"/>
  <c r="J252" i="1"/>
  <c r="G252" i="1"/>
  <c r="H252" i="1" s="1"/>
  <c r="L251" i="1"/>
  <c r="J251" i="1"/>
  <c r="G251" i="1"/>
  <c r="H251" i="1" s="1"/>
  <c r="L250" i="1"/>
  <c r="J250" i="1"/>
  <c r="G250" i="1"/>
  <c r="H250" i="1" s="1"/>
  <c r="L249" i="1"/>
  <c r="J249" i="1"/>
  <c r="G249" i="1"/>
  <c r="H249" i="1" s="1"/>
  <c r="L248" i="1"/>
  <c r="J248" i="1"/>
  <c r="G248" i="1"/>
  <c r="H248" i="1" s="1"/>
  <c r="L247" i="1"/>
  <c r="J247" i="1"/>
  <c r="G247" i="1"/>
  <c r="H247" i="1" s="1"/>
  <c r="L246" i="1"/>
  <c r="J246" i="1"/>
  <c r="G246" i="1"/>
  <c r="H246" i="1" s="1"/>
  <c r="L245" i="1"/>
  <c r="J245" i="1"/>
  <c r="G245" i="1"/>
  <c r="H245" i="1" s="1"/>
  <c r="L244" i="1"/>
  <c r="J244" i="1"/>
  <c r="G244" i="1"/>
  <c r="H244" i="1" s="1"/>
  <c r="L243" i="1"/>
  <c r="J243" i="1"/>
  <c r="G243" i="1"/>
  <c r="H243" i="1" s="1"/>
  <c r="L242" i="1"/>
  <c r="J242" i="1"/>
  <c r="G242" i="1"/>
  <c r="H242" i="1" s="1"/>
  <c r="L241" i="1"/>
  <c r="J241" i="1"/>
  <c r="G241" i="1"/>
  <c r="H241" i="1" s="1"/>
  <c r="L240" i="1"/>
  <c r="J240" i="1"/>
  <c r="G240" i="1"/>
  <c r="H240" i="1" s="1"/>
  <c r="L239" i="1"/>
  <c r="J239" i="1"/>
  <c r="G239" i="1"/>
  <c r="H239" i="1" s="1"/>
  <c r="L238" i="1"/>
  <c r="J238" i="1"/>
  <c r="G238" i="1"/>
  <c r="H238" i="1" s="1"/>
  <c r="L237" i="1"/>
  <c r="J237" i="1"/>
  <c r="G237" i="1"/>
  <c r="H237" i="1" s="1"/>
  <c r="L236" i="1"/>
  <c r="J236" i="1"/>
  <c r="G236" i="1"/>
  <c r="H236" i="1" s="1"/>
  <c r="L235" i="1"/>
  <c r="J235" i="1"/>
  <c r="G235" i="1"/>
  <c r="H235" i="1" s="1"/>
  <c r="L234" i="1"/>
  <c r="J234" i="1"/>
  <c r="G234" i="1"/>
  <c r="H234" i="1" s="1"/>
  <c r="L233" i="1"/>
  <c r="J233" i="1"/>
  <c r="G233" i="1"/>
  <c r="H233" i="1" s="1"/>
  <c r="L232" i="1"/>
  <c r="J232" i="1"/>
  <c r="G232" i="1"/>
  <c r="H232" i="1" s="1"/>
  <c r="L231" i="1"/>
  <c r="J231" i="1"/>
  <c r="G231" i="1"/>
  <c r="H231" i="1" s="1"/>
  <c r="L230" i="1"/>
  <c r="J230" i="1"/>
  <c r="G230" i="1"/>
  <c r="H230" i="1" s="1"/>
  <c r="L229" i="1"/>
  <c r="J229" i="1"/>
  <c r="G229" i="1"/>
  <c r="H229" i="1" s="1"/>
  <c r="L228" i="1"/>
  <c r="J228" i="1"/>
  <c r="G228" i="1"/>
  <c r="H228" i="1" s="1"/>
  <c r="L227" i="1"/>
  <c r="J227" i="1"/>
  <c r="G227" i="1"/>
  <c r="H227" i="1" s="1"/>
  <c r="L226" i="1"/>
  <c r="J226" i="1"/>
  <c r="G226" i="1"/>
  <c r="H226" i="1" s="1"/>
  <c r="L225" i="1"/>
  <c r="J225" i="1"/>
  <c r="G225" i="1"/>
  <c r="H225" i="1" s="1"/>
  <c r="L224" i="1"/>
  <c r="J224" i="1"/>
  <c r="G224" i="1"/>
  <c r="H224" i="1" s="1"/>
  <c r="L223" i="1"/>
  <c r="J223" i="1"/>
  <c r="G223" i="1"/>
  <c r="H223" i="1" s="1"/>
  <c r="L222" i="1"/>
  <c r="J222" i="1"/>
  <c r="G222" i="1"/>
  <c r="H222" i="1" s="1"/>
  <c r="L221" i="1"/>
  <c r="J221" i="1"/>
  <c r="G221" i="1"/>
  <c r="H221" i="1" s="1"/>
  <c r="L220" i="1"/>
  <c r="J220" i="1"/>
  <c r="G220" i="1"/>
  <c r="H220" i="1" s="1"/>
  <c r="L219" i="1"/>
  <c r="J219" i="1"/>
  <c r="G219" i="1"/>
  <c r="H219" i="1" s="1"/>
  <c r="L218" i="1"/>
  <c r="J218" i="1"/>
  <c r="G218" i="1"/>
  <c r="H218" i="1" s="1"/>
  <c r="L217" i="1"/>
  <c r="J217" i="1"/>
  <c r="G217" i="1"/>
  <c r="H217" i="1" s="1"/>
  <c r="L216" i="1"/>
  <c r="J216" i="1"/>
  <c r="G216" i="1"/>
  <c r="H216" i="1" s="1"/>
  <c r="L215" i="1"/>
  <c r="J215" i="1"/>
  <c r="G215" i="1"/>
  <c r="H215" i="1" s="1"/>
  <c r="L214" i="1"/>
  <c r="J214" i="1"/>
  <c r="G214" i="1"/>
  <c r="H214" i="1" s="1"/>
  <c r="L213" i="1"/>
  <c r="J213" i="1"/>
  <c r="G213" i="1"/>
  <c r="H213" i="1" s="1"/>
  <c r="L212" i="1"/>
  <c r="J212" i="1"/>
  <c r="G212" i="1"/>
  <c r="H212" i="1" s="1"/>
  <c r="L211" i="1"/>
  <c r="J211" i="1"/>
  <c r="G211" i="1"/>
  <c r="H211" i="1" s="1"/>
  <c r="L210" i="1"/>
  <c r="J210" i="1"/>
  <c r="G210" i="1"/>
  <c r="H210" i="1" s="1"/>
  <c r="L209" i="1"/>
  <c r="J209" i="1"/>
  <c r="G209" i="1"/>
  <c r="H209" i="1" s="1"/>
  <c r="L208" i="1"/>
  <c r="J208" i="1"/>
  <c r="G208" i="1"/>
  <c r="H208" i="1" s="1"/>
  <c r="L207" i="1"/>
  <c r="J207" i="1"/>
  <c r="G207" i="1"/>
  <c r="H207" i="1" s="1"/>
  <c r="L206" i="1"/>
  <c r="J206" i="1"/>
  <c r="G206" i="1"/>
  <c r="H206" i="1" s="1"/>
  <c r="L205" i="1"/>
  <c r="J205" i="1"/>
  <c r="G205" i="1"/>
  <c r="H205" i="1" s="1"/>
  <c r="L204" i="1"/>
  <c r="J204" i="1"/>
  <c r="G204" i="1"/>
  <c r="H204" i="1" s="1"/>
  <c r="L203" i="1"/>
  <c r="J203" i="1"/>
  <c r="G203" i="1"/>
  <c r="H203" i="1" s="1"/>
  <c r="L202" i="1"/>
  <c r="J202" i="1"/>
  <c r="G202" i="1"/>
  <c r="H202" i="1" s="1"/>
  <c r="L201" i="1"/>
  <c r="J201" i="1"/>
  <c r="G201" i="1"/>
  <c r="H201" i="1" s="1"/>
  <c r="L200" i="1"/>
  <c r="J200" i="1"/>
  <c r="G200" i="1"/>
  <c r="H200" i="1" s="1"/>
  <c r="L199" i="1"/>
  <c r="J199" i="1"/>
  <c r="G199" i="1"/>
  <c r="H199" i="1" s="1"/>
  <c r="L198" i="1"/>
  <c r="J198" i="1"/>
  <c r="G198" i="1"/>
  <c r="H198" i="1" s="1"/>
  <c r="L197" i="1"/>
  <c r="J197" i="1"/>
  <c r="G197" i="1"/>
  <c r="H197" i="1" s="1"/>
  <c r="L196" i="1"/>
  <c r="J196" i="1"/>
  <c r="G196" i="1"/>
  <c r="H196" i="1" s="1"/>
  <c r="L195" i="1"/>
  <c r="J195" i="1"/>
  <c r="G195" i="1"/>
  <c r="H195" i="1" s="1"/>
  <c r="L194" i="1"/>
  <c r="J194" i="1"/>
  <c r="G194" i="1"/>
  <c r="H194" i="1" s="1"/>
  <c r="L193" i="1"/>
  <c r="J193" i="1"/>
  <c r="G193" i="1"/>
  <c r="H193" i="1" s="1"/>
  <c r="L192" i="1"/>
  <c r="J192" i="1"/>
  <c r="G192" i="1"/>
  <c r="H192" i="1" s="1"/>
  <c r="L191" i="1"/>
  <c r="J191" i="1"/>
  <c r="G191" i="1"/>
  <c r="H191" i="1" s="1"/>
  <c r="L190" i="1"/>
  <c r="J190" i="1"/>
  <c r="G190" i="1"/>
  <c r="H190" i="1" s="1"/>
  <c r="L189" i="1"/>
  <c r="J189" i="1"/>
  <c r="G189" i="1"/>
  <c r="H189" i="1" s="1"/>
  <c r="L188" i="1"/>
  <c r="J188" i="1"/>
  <c r="G188" i="1"/>
  <c r="H188" i="1" s="1"/>
  <c r="L187" i="1"/>
  <c r="J187" i="1"/>
  <c r="G187" i="1"/>
  <c r="H187" i="1" s="1"/>
  <c r="L186" i="1"/>
  <c r="J186" i="1"/>
  <c r="G186" i="1"/>
  <c r="H186" i="1" s="1"/>
  <c r="L185" i="1"/>
  <c r="J185" i="1"/>
  <c r="G185" i="1"/>
  <c r="H185" i="1" s="1"/>
  <c r="L184" i="1"/>
  <c r="J184" i="1"/>
  <c r="G184" i="1"/>
  <c r="H184" i="1" s="1"/>
  <c r="L183" i="1" l="1"/>
  <c r="J183" i="1"/>
  <c r="G183" i="1"/>
  <c r="H183" i="1" s="1"/>
  <c r="L182" i="1"/>
  <c r="J182" i="1"/>
  <c r="G182" i="1"/>
  <c r="H182" i="1" s="1"/>
  <c r="L181" i="1"/>
  <c r="J181" i="1"/>
  <c r="G181" i="1"/>
  <c r="H181" i="1" s="1"/>
  <c r="L180" i="1"/>
  <c r="J180" i="1"/>
  <c r="G180" i="1"/>
  <c r="H180" i="1" s="1"/>
  <c r="L179" i="1"/>
  <c r="J179" i="1"/>
  <c r="G179" i="1"/>
  <c r="H179" i="1" s="1"/>
  <c r="L178" i="1"/>
  <c r="J178" i="1"/>
  <c r="G178" i="1"/>
  <c r="H178" i="1" s="1"/>
  <c r="L177" i="1"/>
  <c r="J177" i="1"/>
  <c r="G177" i="1"/>
  <c r="H177" i="1" s="1"/>
  <c r="L176" i="1"/>
  <c r="J176" i="1"/>
  <c r="G176" i="1"/>
  <c r="H176" i="1" s="1"/>
  <c r="L175" i="1"/>
  <c r="J175" i="1"/>
  <c r="G175" i="1"/>
  <c r="H175" i="1" s="1"/>
  <c r="L174" i="1"/>
  <c r="J174" i="1"/>
  <c r="G174" i="1"/>
  <c r="H174" i="1" s="1"/>
  <c r="L173" i="1"/>
  <c r="J173" i="1"/>
  <c r="G173" i="1"/>
  <c r="H173" i="1" s="1"/>
  <c r="J172" i="1"/>
  <c r="G172" i="1"/>
  <c r="H172" i="1" s="1"/>
  <c r="J171" i="1"/>
  <c r="G171" i="1"/>
  <c r="H171" i="1" s="1"/>
  <c r="J170" i="1"/>
  <c r="G170" i="1"/>
  <c r="H170" i="1" s="1"/>
  <c r="L169" i="1"/>
  <c r="J169" i="1"/>
  <c r="G169" i="1"/>
  <c r="H169" i="1" s="1"/>
  <c r="L168" i="1"/>
  <c r="J168" i="1"/>
  <c r="G168" i="1"/>
  <c r="H168" i="1" s="1"/>
  <c r="L167" i="1"/>
  <c r="J167" i="1"/>
  <c r="G167" i="1"/>
  <c r="H167" i="1" s="1"/>
  <c r="L166" i="1"/>
  <c r="J166" i="1"/>
  <c r="G166" i="1"/>
  <c r="H166" i="1" s="1"/>
  <c r="L165" i="1"/>
  <c r="J165" i="1"/>
  <c r="G165" i="1"/>
  <c r="H165" i="1" s="1"/>
  <c r="L164" i="1"/>
  <c r="J164" i="1"/>
  <c r="G164" i="1"/>
  <c r="H164" i="1" s="1"/>
  <c r="L163" i="1"/>
  <c r="J163" i="1"/>
  <c r="G163" i="1"/>
  <c r="H163" i="1" s="1"/>
  <c r="L162" i="1"/>
  <c r="J162" i="1"/>
  <c r="G162" i="1"/>
  <c r="H162" i="1" s="1"/>
  <c r="L161" i="1"/>
  <c r="J161" i="1"/>
  <c r="G161" i="1"/>
  <c r="H161" i="1" s="1"/>
  <c r="L160" i="1"/>
  <c r="J160" i="1"/>
  <c r="G160" i="1"/>
  <c r="H160" i="1" s="1"/>
  <c r="L159" i="1"/>
  <c r="J159" i="1"/>
  <c r="G159" i="1"/>
  <c r="H159" i="1" s="1"/>
  <c r="L158" i="1"/>
  <c r="J158" i="1"/>
  <c r="G158" i="1"/>
  <c r="H158" i="1" s="1"/>
  <c r="L157" i="1"/>
  <c r="J157" i="1"/>
  <c r="G157" i="1"/>
  <c r="H157" i="1" s="1"/>
  <c r="L156" i="1"/>
  <c r="J156" i="1"/>
  <c r="G156" i="1"/>
  <c r="H156" i="1" s="1"/>
  <c r="L155" i="1"/>
  <c r="J155" i="1"/>
  <c r="G155" i="1"/>
  <c r="H155" i="1" s="1"/>
  <c r="L154" i="1"/>
  <c r="J154" i="1"/>
  <c r="G154" i="1"/>
  <c r="H154" i="1" s="1"/>
  <c r="L153" i="1"/>
  <c r="M153" i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4" i="1"/>
  <c r="M3" i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<sst xmlns="http://schemas.openxmlformats.org/spreadsheetml/2006/main" count="39" uniqueCount="27">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</sst>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87" formatCode="0.000"/>
    <numFmt numFmtId="188" formatCode="_(* #,##0.000_);_(* \(#,##0.000\);_(* &quot;-&quot;??_);_(@_)"/>
    <numFmt numFmtId="189" formatCode="#,##0.000_);\(#,##0.000\)"/>
  </numFmts>
  <fonts count="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name val="TH SarabunPSK"/>
      <family val="2"/>
      <charset val="22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187" fontId="2" fillId="0" borderId="6" xfId="0" applyNumberFormat="1" applyFont="1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188" fontId="6" fillId="0" borderId="0" xfId="1" applyNumberFormat="1" applyFont="1" applyFill="1" applyBorder="1" applyAlignment="1">
      <alignment horizontal="right"/>
    </xf>
    <xf numFmtId="188" fontId="6" fillId="0" borderId="0" xfId="1" applyNumberFormat="1" applyFont="1" applyBorder="1"/>
    <xf numFmtId="189" fontId="2" fillId="0" borderId="0" xfId="1" applyNumberFormat="1" applyFont="1" applyBorder="1"/>
    <xf numFmtId="188" fontId="2" fillId="0" borderId="0" xfId="0" applyNumberFormat="1" applyFont="1" applyBorder="1"/>
    <xf numFmtId="188" fontId="6" fillId="10" borderId="0" xfId="1" applyNumberFormat="1" applyFont="1" applyFill="1" applyBorder="1"/>
    <xf numFmtId="188" fontId="6" fillId="0" borderId="0" xfId="1" applyNumberFormat="1" applyFont="1" applyFill="1" applyBorder="1"/>
    <xf numFmtId="188" fontId="5" fillId="0" borderId="0" xfId="1" applyNumberFormat="1" applyFont="1" applyFill="1" applyBorder="1" applyAlignment="1">
      <alignment horizontal="right"/>
    </xf>
    <xf numFmtId="188" fontId="8" fillId="0" borderId="0" xfId="1" applyNumberFormat="1" applyFont="1" applyFill="1" applyBorder="1" applyAlignment="1">
      <alignment horizontal="right"/>
    </xf>
    <xf numFmtId="0" fontId="2" fillId="0" borderId="0" xfId="0" applyFont="1" applyBorder="1"/>
    <xf numFmtId="187" fontId="6" fillId="0" borderId="0" xfId="1" applyNumberFormat="1" applyFont="1" applyBorder="1"/>
    <xf numFmtId="187" fontId="2" fillId="0" borderId="0" xfId="0" applyNumberFormat="1" applyFont="1" applyBorder="1"/>
    <xf numFmtId="187" fontId="2" fillId="0" borderId="0" xfId="0" applyNumberFormat="1" applyFont="1"/>
    <xf numFmtId="187" fontId="2" fillId="10" borderId="6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6" fillId="10" borderId="6" xfId="1" applyNumberFormat="1" applyFont="1" applyFill="1" applyBorder="1"/>
    <xf numFmtId="187" fontId="6" fillId="0" borderId="6" xfId="1" applyNumberFormat="1" applyFont="1" applyFill="1" applyBorder="1"/>
    <xf numFmtId="1" fontId="2" fillId="0" borderId="0" xfId="0" applyNumberFormat="1" applyFont="1"/>
    <xf numFmtId="0" fontId="2" fillId="10" borderId="6" xfId="0" applyFont="1" applyFill="1" applyBorder="1" applyAlignment="1">
      <alignment horizontal="center"/>
    </xf>
    <xf numFmtId="187" fontId="2" fillId="10" borderId="6" xfId="0" applyNumberFormat="1" applyFont="1" applyFill="1" applyBorder="1"/>
    <xf numFmtId="187" fontId="6" fillId="10" borderId="1" xfId="1" applyNumberFormat="1" applyFont="1" applyFill="1" applyBorder="1"/>
    <xf numFmtId="0" fontId="2" fillId="10" borderId="1" xfId="0" applyFont="1" applyFill="1" applyBorder="1" applyAlignment="1">
      <alignment horizontal="center"/>
    </xf>
    <xf numFmtId="187" fontId="2" fillId="10" borderId="1" xfId="0" applyNumberFormat="1" applyFont="1" applyFill="1" applyBorder="1"/>
    <xf numFmtId="187" fontId="2" fillId="10" borderId="1" xfId="1" applyNumberFormat="1" applyFont="1" applyFill="1" applyBorder="1" applyAlignment="1">
      <alignment horizontal="right"/>
    </xf>
    <xf numFmtId="0" fontId="2" fillId="10" borderId="4" xfId="0" applyFont="1" applyFill="1" applyBorder="1" applyAlignment="1">
      <alignment horizontal="center"/>
    </xf>
    <xf numFmtId="187" fontId="2" fillId="10" borderId="4" xfId="0" applyNumberFormat="1" applyFont="1" applyFill="1" applyBorder="1"/>
    <xf numFmtId="187" fontId="2" fillId="10" borderId="4" xfId="1" applyNumberFormat="1" applyFont="1" applyFill="1" applyBorder="1" applyAlignment="1">
      <alignment horizontal="right"/>
    </xf>
    <xf numFmtId="187" fontId="2" fillId="10" borderId="6" xfId="1" applyNumberFormat="1" applyFont="1" applyFill="1" applyBorder="1" applyAlignment="1">
      <alignment horizontal="right"/>
    </xf>
    <xf numFmtId="187" fontId="4" fillId="10" borderId="1" xfId="1" applyNumberFormat="1" applyFont="1" applyFill="1" applyBorder="1" applyAlignment="1">
      <alignment horizontal="right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/>
    <xf numFmtId="187" fontId="5" fillId="10" borderId="1" xfId="1" applyNumberFormat="1" applyFont="1" applyFill="1" applyBorder="1" applyAlignment="1">
      <alignment horizontal="right"/>
    </xf>
    <xf numFmtId="0" fontId="2" fillId="10" borderId="1" xfId="0" applyFont="1" applyFill="1" applyBorder="1"/>
    <xf numFmtId="0" fontId="2" fillId="10" borderId="4" xfId="0" applyFont="1" applyFill="1" applyBorder="1"/>
    <xf numFmtId="0" fontId="3" fillId="10" borderId="1" xfId="0" applyFont="1" applyFill="1" applyBorder="1" applyAlignment="1">
      <alignment horizontal="center"/>
    </xf>
    <xf numFmtId="187" fontId="7" fillId="10" borderId="1" xfId="1" applyNumberFormat="1" applyFont="1" applyFill="1" applyBorder="1" applyAlignment="1">
      <alignment horizontal="right"/>
    </xf>
    <xf numFmtId="187" fontId="8" fillId="10" borderId="1" xfId="1" applyNumberFormat="1" applyFont="1" applyFill="1" applyBorder="1" applyAlignment="1">
      <alignment horizontal="right"/>
    </xf>
    <xf numFmtId="187" fontId="8" fillId="10" borderId="6" xfId="1" applyNumberFormat="1" applyFont="1" applyFill="1" applyBorder="1" applyAlignment="1">
      <alignment horizontal="right"/>
    </xf>
    <xf numFmtId="187" fontId="2" fillId="0" borderId="6" xfId="0" applyNumberFormat="1" applyFont="1" applyFill="1" applyBorder="1"/>
    <xf numFmtId="0" fontId="2" fillId="0" borderId="0" xfId="0" applyFont="1" applyFill="1"/>
    <xf numFmtId="187" fontId="6" fillId="10" borderId="4" xfId="1" applyNumberFormat="1" applyFont="1" applyFill="1" applyBorder="1"/>
    <xf numFmtId="187" fontId="2" fillId="0" borderId="5" xfId="0" applyNumberFormat="1" applyFont="1" applyBorder="1"/>
    <xf numFmtId="0" fontId="2" fillId="0" borderId="10" xfId="0" applyFont="1" applyBorder="1"/>
    <xf numFmtId="187" fontId="7" fillId="10" borderId="6" xfId="1" applyNumberFormat="1" applyFont="1" applyFill="1" applyBorder="1" applyAlignment="1">
      <alignment horizontal="right"/>
    </xf>
    <xf numFmtId="187" fontId="5" fillId="10" borderId="4" xfId="1" applyNumberFormat="1" applyFont="1" applyFill="1" applyBorder="1"/>
    <xf numFmtId="187" fontId="7" fillId="10" borderId="4" xfId="1" applyNumberFormat="1" applyFont="1" applyFill="1" applyBorder="1" applyAlignment="1">
      <alignment horizontal="right"/>
    </xf>
    <xf numFmtId="187" fontId="8" fillId="10" borderId="4" xfId="1" applyNumberFormat="1" applyFont="1" applyFill="1" applyBorder="1" applyAlignment="1">
      <alignment horizontal="right"/>
    </xf>
    <xf numFmtId="0" fontId="2" fillId="0" borderId="6" xfId="0" applyFont="1" applyFill="1" applyBorder="1" applyAlignment="1">
      <alignment horizontal="center"/>
    </xf>
    <xf numFmtId="187" fontId="8" fillId="0" borderId="6" xfId="1" applyNumberFormat="1" applyFont="1" applyFill="1" applyBorder="1" applyAlignment="1">
      <alignment horizontal="right"/>
    </xf>
    <xf numFmtId="187" fontId="2" fillId="0" borderId="6" xfId="1" applyNumberFormat="1" applyFont="1" applyFill="1" applyBorder="1"/>
    <xf numFmtId="187" fontId="5" fillId="10" borderId="6" xfId="1" applyNumberFormat="1" applyFont="1" applyFill="1" applyBorder="1" applyAlignment="1">
      <alignment horizontal="right"/>
    </xf>
    <xf numFmtId="187" fontId="5" fillId="10" borderId="4" xfId="1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7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187" fontId="2" fillId="5" borderId="1" xfId="0" applyNumberFormat="1" applyFont="1" applyFill="1" applyBorder="1" applyAlignment="1">
      <alignment horizontal="center" wrapText="1"/>
    </xf>
    <xf numFmtId="187" fontId="2" fillId="5" borderId="3" xfId="0" applyNumberFormat="1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87" fontId="2" fillId="10" borderId="4" xfId="0" applyNumberFormat="1" applyFont="1" applyFill="1" applyBorder="1" applyAlignment="1">
      <alignment horizontal="right"/>
    </xf>
    <xf numFmtId="187" fontId="6" fillId="10" borderId="6" xfId="1" applyNumberFormat="1" applyFont="1" applyFill="1" applyBorder="1" applyAlignment="1">
      <alignment horizontal="right"/>
    </xf>
    <xf numFmtId="187" fontId="6" fillId="10" borderId="1" xfId="1" applyNumberFormat="1" applyFont="1" applyFill="1" applyBorder="1" applyAlignment="1">
      <alignment horizontal="right"/>
    </xf>
    <xf numFmtId="187" fontId="6" fillId="10" borderId="4" xfId="1" applyNumberFormat="1" applyFont="1" applyFill="1" applyBorder="1" applyAlignment="1">
      <alignment horizontal="right"/>
    </xf>
    <xf numFmtId="187" fontId="6" fillId="0" borderId="6" xfId="1" applyNumberFormat="1" applyFont="1" applyFill="1" applyBorder="1" applyAlignment="1">
      <alignment horizontal="right"/>
    </xf>
    <xf numFmtId="188" fontId="6" fillId="0" borderId="0" xfId="1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525"/>
  <sheetViews>
    <sheetView tabSelected="1" zoomScale="71" zoomScaleNormal="40" workbookViewId="0">
      <selection activeCell="J1" sqref="J1:J2"/>
    </sheetView>
  </sheetViews>
  <sheetFormatPr defaultColWidth="8.8984375" defaultRowHeight="24.6" x14ac:dyDescent="0.7"/>
  <cols>
    <col min="1" max="1" width="11.59765625" style="1" customWidth="1"/>
    <col min="2" max="2" width="17.59765625" style="4" customWidth="1"/>
    <col min="3" max="3" width="8.8984375" style="4"/>
    <col min="4" max="4" width="15.296875" style="1" customWidth="1"/>
    <col min="5" max="5" width="13.09765625" style="22" customWidth="1"/>
    <col min="6" max="6" width="18.796875" style="1" customWidth="1"/>
    <col min="7" max="7" width="15.59765625" style="1" customWidth="1"/>
    <col min="8" max="8" width="17.3984375" style="16" customWidth="1"/>
    <col min="9" max="9" width="19.69921875" style="1" customWidth="1"/>
    <col min="10" max="10" width="23.296875" style="86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17.296875" style="1" customWidth="1"/>
    <col min="16" max="16384" width="8.8984375" style="1"/>
  </cols>
  <sheetData>
    <row r="1" spans="1:15" ht="32.4" customHeight="1" x14ac:dyDescent="0.7">
      <c r="A1" s="73" t="s">
        <v>0</v>
      </c>
      <c r="B1" s="73" t="s">
        <v>1</v>
      </c>
      <c r="C1" s="73" t="s">
        <v>2</v>
      </c>
      <c r="D1" s="75" t="s">
        <v>3</v>
      </c>
      <c r="E1" s="77" t="s">
        <v>4</v>
      </c>
      <c r="F1" s="71" t="s">
        <v>5</v>
      </c>
      <c r="G1" s="63" t="s">
        <v>6</v>
      </c>
      <c r="H1" s="65" t="s">
        <v>7</v>
      </c>
      <c r="I1" s="67" t="s">
        <v>8</v>
      </c>
      <c r="J1" s="69" t="s">
        <v>9</v>
      </c>
      <c r="K1" s="69" t="s">
        <v>10</v>
      </c>
      <c r="L1" s="69" t="s">
        <v>11</v>
      </c>
      <c r="M1" s="57" t="s">
        <v>12</v>
      </c>
      <c r="N1" s="59" t="s">
        <v>13</v>
      </c>
      <c r="O1" s="61" t="s">
        <v>14</v>
      </c>
    </row>
    <row r="2" spans="1:15" ht="31.2" customHeight="1" thickBot="1" x14ac:dyDescent="0.75">
      <c r="A2" s="74"/>
      <c r="B2" s="74"/>
      <c r="C2" s="74"/>
      <c r="D2" s="76"/>
      <c r="E2" s="78"/>
      <c r="F2" s="72"/>
      <c r="G2" s="64"/>
      <c r="H2" s="66"/>
      <c r="I2" s="68"/>
      <c r="J2" s="70"/>
      <c r="K2" s="70"/>
      <c r="L2" s="70"/>
      <c r="M2" s="58"/>
      <c r="N2" s="60"/>
      <c r="O2" s="62"/>
    </row>
    <row r="3" spans="1:15" x14ac:dyDescent="0.7">
      <c r="A3" s="39">
        <v>2566</v>
      </c>
      <c r="B3" s="26" t="s">
        <v>15</v>
      </c>
      <c r="C3" s="26">
        <v>1</v>
      </c>
      <c r="D3" s="27">
        <v>11.148</v>
      </c>
      <c r="E3" s="27">
        <v>0</v>
      </c>
      <c r="F3" s="27">
        <v>11.148</v>
      </c>
      <c r="G3" s="18">
        <v>963187.19999999995</v>
      </c>
      <c r="H3" s="18">
        <v>0.96318719999999991</v>
      </c>
      <c r="I3" s="18">
        <v>14011</v>
      </c>
      <c r="J3" s="28">
        <v>1.4010999999999999E-2</v>
      </c>
      <c r="K3" s="18">
        <v>5073</v>
      </c>
      <c r="L3" s="18">
        <v>5.0730000000000003E-3</v>
      </c>
      <c r="M3" s="18">
        <f>J3+L3</f>
        <v>1.9084E-2</v>
      </c>
      <c r="N3" s="25">
        <v>8.3721600000000007E-2</v>
      </c>
      <c r="O3" s="2">
        <f>H3-M3-N3</f>
        <v>0.86038159999999997</v>
      </c>
    </row>
    <row r="4" spans="1:15" x14ac:dyDescent="0.7">
      <c r="A4" s="26"/>
      <c r="B4" s="26"/>
      <c r="C4" s="26">
        <v>2</v>
      </c>
      <c r="D4" s="27">
        <v>11.148</v>
      </c>
      <c r="E4" s="27">
        <v>0</v>
      </c>
      <c r="F4" s="27">
        <v>11.103</v>
      </c>
      <c r="G4" s="18">
        <v>959299.2</v>
      </c>
      <c r="H4" s="18">
        <v>0.95929919999999991</v>
      </c>
      <c r="I4" s="18">
        <v>24797</v>
      </c>
      <c r="J4" s="28">
        <v>2.4797E-2</v>
      </c>
      <c r="K4" s="18">
        <v>4731</v>
      </c>
      <c r="L4" s="18">
        <v>4.731E-3</v>
      </c>
      <c r="M4" s="18">
        <f>J4+L4</f>
        <v>2.9527999999999999E-2</v>
      </c>
      <c r="N4" s="25">
        <v>8.3721600000000007E-2</v>
      </c>
      <c r="O4" s="2">
        <f t="shared" ref="O4:O66" si="0">H4-M4-N4</f>
        <v>0.84604959999999996</v>
      </c>
    </row>
    <row r="5" spans="1:15" x14ac:dyDescent="0.7">
      <c r="A5" s="26"/>
      <c r="B5" s="26"/>
      <c r="C5" s="26">
        <v>3</v>
      </c>
      <c r="D5" s="27">
        <v>11.058</v>
      </c>
      <c r="E5" s="27">
        <v>0</v>
      </c>
      <c r="F5" s="27">
        <v>11.058</v>
      </c>
      <c r="G5" s="18">
        <v>955411.2</v>
      </c>
      <c r="H5" s="18">
        <v>0.9554111999999999</v>
      </c>
      <c r="I5" s="18">
        <v>29213</v>
      </c>
      <c r="J5" s="28">
        <v>2.9212999999999999E-2</v>
      </c>
      <c r="K5" s="18">
        <v>4694</v>
      </c>
      <c r="L5" s="18">
        <v>4.6940000000000003E-3</v>
      </c>
      <c r="M5" s="18">
        <f t="shared" ref="M5:M67" si="1">J5+L5</f>
        <v>3.3907E-2</v>
      </c>
      <c r="N5" s="25">
        <v>7.0761600000000008E-2</v>
      </c>
      <c r="O5" s="2">
        <f t="shared" si="0"/>
        <v>0.8507425999999999</v>
      </c>
    </row>
    <row r="6" spans="1:15" x14ac:dyDescent="0.7">
      <c r="A6" s="26"/>
      <c r="B6" s="26"/>
      <c r="C6" s="26">
        <v>4</v>
      </c>
      <c r="D6" s="27">
        <v>11.007</v>
      </c>
      <c r="E6" s="27">
        <v>0</v>
      </c>
      <c r="F6" s="27">
        <v>10.972</v>
      </c>
      <c r="G6" s="18">
        <v>947980.79999999993</v>
      </c>
      <c r="H6" s="18">
        <v>0.94798079999999996</v>
      </c>
      <c r="I6" s="18">
        <v>29329</v>
      </c>
      <c r="J6" s="28">
        <v>2.9329000000000001E-2</v>
      </c>
      <c r="K6" s="18">
        <v>0</v>
      </c>
      <c r="L6" s="18">
        <v>0</v>
      </c>
      <c r="M6" s="18">
        <f t="shared" si="1"/>
        <v>2.9329000000000001E-2</v>
      </c>
      <c r="N6" s="25">
        <v>7.9401600000000003E-2</v>
      </c>
      <c r="O6" s="2">
        <f t="shared" si="0"/>
        <v>0.83925019999999995</v>
      </c>
    </row>
    <row r="7" spans="1:15" x14ac:dyDescent="0.7">
      <c r="A7" s="26"/>
      <c r="B7" s="26"/>
      <c r="C7" s="26">
        <v>5</v>
      </c>
      <c r="D7" s="27">
        <v>10.936999999999999</v>
      </c>
      <c r="E7" s="27">
        <v>0</v>
      </c>
      <c r="F7" s="27">
        <v>10.91</v>
      </c>
      <c r="G7" s="18">
        <v>942624</v>
      </c>
      <c r="H7" s="18">
        <v>0.94262400000000002</v>
      </c>
      <c r="I7" s="18">
        <v>30466</v>
      </c>
      <c r="J7" s="28">
        <v>3.0466E-2</v>
      </c>
      <c r="K7" s="18">
        <v>0</v>
      </c>
      <c r="L7" s="18">
        <v>0</v>
      </c>
      <c r="M7" s="18">
        <f t="shared" si="1"/>
        <v>3.0466E-2</v>
      </c>
      <c r="N7" s="25">
        <v>7.9401600000000003E-2</v>
      </c>
      <c r="O7" s="2">
        <f t="shared" si="0"/>
        <v>0.83275640000000006</v>
      </c>
    </row>
    <row r="8" spans="1:15" x14ac:dyDescent="0.7">
      <c r="A8" s="26"/>
      <c r="B8" s="26"/>
      <c r="C8" s="26">
        <v>6</v>
      </c>
      <c r="D8" s="27">
        <v>10.884</v>
      </c>
      <c r="E8" s="27">
        <v>0</v>
      </c>
      <c r="F8" s="27">
        <v>10.782</v>
      </c>
      <c r="G8" s="18">
        <v>931564.8</v>
      </c>
      <c r="H8" s="18">
        <v>0.93156480000000008</v>
      </c>
      <c r="I8" s="18">
        <v>25613</v>
      </c>
      <c r="J8" s="28">
        <v>2.5613E-2</v>
      </c>
      <c r="K8" s="18">
        <v>0</v>
      </c>
      <c r="L8" s="18">
        <v>0</v>
      </c>
      <c r="M8" s="18">
        <f t="shared" si="1"/>
        <v>2.5613E-2</v>
      </c>
      <c r="N8" s="25">
        <v>7.9401600000000003E-2</v>
      </c>
      <c r="O8" s="2">
        <f t="shared" si="0"/>
        <v>0.82655020000000012</v>
      </c>
    </row>
    <row r="9" spans="1:15" x14ac:dyDescent="0.7">
      <c r="A9" s="26"/>
      <c r="B9" s="26"/>
      <c r="C9" s="26">
        <v>7</v>
      </c>
      <c r="D9" s="27">
        <v>10.68</v>
      </c>
      <c r="E9" s="27">
        <v>0</v>
      </c>
      <c r="F9" s="27">
        <v>10.618</v>
      </c>
      <c r="G9" s="18">
        <v>917395.20000000007</v>
      </c>
      <c r="H9" s="18">
        <v>0.91739520000000008</v>
      </c>
      <c r="I9" s="18">
        <v>13132</v>
      </c>
      <c r="J9" s="28">
        <v>1.3132E-2</v>
      </c>
      <c r="K9" s="18">
        <v>0</v>
      </c>
      <c r="L9" s="18">
        <v>0</v>
      </c>
      <c r="M9" s="18">
        <f t="shared" si="1"/>
        <v>1.3132E-2</v>
      </c>
      <c r="N9" s="25">
        <v>7.9401600000000003E-2</v>
      </c>
      <c r="O9" s="2">
        <f t="shared" si="0"/>
        <v>0.82486160000000008</v>
      </c>
    </row>
    <row r="10" spans="1:15" x14ac:dyDescent="0.7">
      <c r="A10" s="26"/>
      <c r="B10" s="26"/>
      <c r="C10" s="26">
        <v>8</v>
      </c>
      <c r="D10" s="27">
        <v>10.555999999999999</v>
      </c>
      <c r="E10" s="27">
        <v>0</v>
      </c>
      <c r="F10" s="27">
        <v>10.429</v>
      </c>
      <c r="G10" s="18">
        <v>901065.6</v>
      </c>
      <c r="H10" s="18">
        <v>0.90106560000000002</v>
      </c>
      <c r="I10" s="18">
        <v>15826</v>
      </c>
      <c r="J10" s="28">
        <v>1.5826E-2</v>
      </c>
      <c r="K10" s="18">
        <v>4966</v>
      </c>
      <c r="L10" s="18">
        <v>4.9659999999999999E-3</v>
      </c>
      <c r="M10" s="18">
        <f t="shared" si="1"/>
        <v>2.0791999999999998E-2</v>
      </c>
      <c r="N10" s="25">
        <v>7.9401600000000003E-2</v>
      </c>
      <c r="O10" s="2">
        <f t="shared" si="0"/>
        <v>0.80087200000000003</v>
      </c>
    </row>
    <row r="11" spans="1:15" x14ac:dyDescent="0.7">
      <c r="A11" s="26"/>
      <c r="B11" s="26"/>
      <c r="C11" s="26">
        <v>9</v>
      </c>
      <c r="D11" s="27">
        <v>10.302</v>
      </c>
      <c r="E11" s="27">
        <v>0</v>
      </c>
      <c r="F11" s="27">
        <v>10.228999999999999</v>
      </c>
      <c r="G11" s="18">
        <v>883785.6</v>
      </c>
      <c r="H11" s="18">
        <v>0.88378559999999995</v>
      </c>
      <c r="I11" s="18">
        <v>30112</v>
      </c>
      <c r="J11" s="28">
        <v>3.0112E-2</v>
      </c>
      <c r="K11" s="18">
        <v>5255</v>
      </c>
      <c r="L11" s="18">
        <v>5.2550000000000001E-3</v>
      </c>
      <c r="M11" s="18">
        <f t="shared" si="1"/>
        <v>3.5367000000000003E-2</v>
      </c>
      <c r="N11" s="25">
        <v>6.2121599999999999E-2</v>
      </c>
      <c r="O11" s="2">
        <f t="shared" si="0"/>
        <v>0.78629699999999991</v>
      </c>
    </row>
    <row r="12" spans="1:15" x14ac:dyDescent="0.7">
      <c r="A12" s="26"/>
      <c r="B12" s="26"/>
      <c r="C12" s="26">
        <v>10</v>
      </c>
      <c r="D12" s="27">
        <v>10.157</v>
      </c>
      <c r="E12" s="27">
        <v>0</v>
      </c>
      <c r="F12" s="27">
        <v>10.121</v>
      </c>
      <c r="G12" s="18">
        <v>874454.4</v>
      </c>
      <c r="H12" s="18">
        <v>0.87445440000000008</v>
      </c>
      <c r="I12" s="18">
        <v>32706</v>
      </c>
      <c r="J12" s="28">
        <v>3.2705999999999999E-2</v>
      </c>
      <c r="K12" s="18">
        <v>0</v>
      </c>
      <c r="L12" s="18">
        <v>0</v>
      </c>
      <c r="M12" s="18">
        <f t="shared" si="1"/>
        <v>3.2705999999999999E-2</v>
      </c>
      <c r="N12" s="25">
        <v>5.3481599999999997E-2</v>
      </c>
      <c r="O12" s="2">
        <f t="shared" si="0"/>
        <v>0.78826680000000005</v>
      </c>
    </row>
    <row r="13" spans="1:15" x14ac:dyDescent="0.7">
      <c r="A13" s="26"/>
      <c r="B13" s="26"/>
      <c r="C13" s="26">
        <v>11</v>
      </c>
      <c r="D13" s="27">
        <v>10.085000000000001</v>
      </c>
      <c r="E13" s="27">
        <v>0</v>
      </c>
      <c r="F13" s="27">
        <v>10.057</v>
      </c>
      <c r="G13" s="18">
        <v>868924.8</v>
      </c>
      <c r="H13" s="18">
        <v>0.86892480000000005</v>
      </c>
      <c r="I13" s="18">
        <v>30519</v>
      </c>
      <c r="J13" s="28">
        <v>3.0519000000000001E-2</v>
      </c>
      <c r="K13" s="18">
        <v>0</v>
      </c>
      <c r="L13" s="18">
        <v>0</v>
      </c>
      <c r="M13" s="18">
        <f t="shared" si="1"/>
        <v>3.0519000000000001E-2</v>
      </c>
      <c r="N13" s="25">
        <v>5.3481599999999997E-2</v>
      </c>
      <c r="O13" s="2">
        <f t="shared" si="0"/>
        <v>0.78492420000000007</v>
      </c>
    </row>
    <row r="14" spans="1:15" x14ac:dyDescent="0.7">
      <c r="A14" s="26"/>
      <c r="B14" s="26"/>
      <c r="C14" s="26">
        <v>12</v>
      </c>
      <c r="D14" s="27">
        <v>10.029</v>
      </c>
      <c r="E14" s="27">
        <v>0</v>
      </c>
      <c r="F14" s="27">
        <v>9.99</v>
      </c>
      <c r="G14" s="18">
        <v>863136</v>
      </c>
      <c r="H14" s="18">
        <v>0.86313600000000001</v>
      </c>
      <c r="I14" s="18">
        <v>30544</v>
      </c>
      <c r="J14" s="28">
        <v>3.0544000000000002E-2</v>
      </c>
      <c r="K14" s="18">
        <v>0</v>
      </c>
      <c r="L14" s="18">
        <v>0</v>
      </c>
      <c r="M14" s="18">
        <f t="shared" si="1"/>
        <v>3.0544000000000002E-2</v>
      </c>
      <c r="N14" s="25">
        <v>5.3481599999999997E-2</v>
      </c>
      <c r="O14" s="2">
        <f t="shared" si="0"/>
        <v>0.77911039999999998</v>
      </c>
    </row>
    <row r="15" spans="1:15" x14ac:dyDescent="0.7">
      <c r="A15" s="26"/>
      <c r="B15" s="26"/>
      <c r="C15" s="26">
        <v>13</v>
      </c>
      <c r="D15" s="27">
        <v>9.9499999999999993</v>
      </c>
      <c r="E15" s="27">
        <v>0</v>
      </c>
      <c r="F15" s="27">
        <v>9.9499999999999993</v>
      </c>
      <c r="G15" s="18">
        <v>859679.99999999988</v>
      </c>
      <c r="H15" s="18">
        <v>0.85967999999999989</v>
      </c>
      <c r="I15" s="18">
        <v>34359</v>
      </c>
      <c r="J15" s="28">
        <v>3.4359000000000001E-2</v>
      </c>
      <c r="K15" s="18">
        <v>0</v>
      </c>
      <c r="L15" s="18">
        <v>0</v>
      </c>
      <c r="M15" s="18">
        <f t="shared" si="1"/>
        <v>3.4359000000000001E-2</v>
      </c>
      <c r="N15" s="25">
        <v>7.0761600000000008E-2</v>
      </c>
      <c r="O15" s="2">
        <f t="shared" si="0"/>
        <v>0.75455939999999988</v>
      </c>
    </row>
    <row r="16" spans="1:15" x14ac:dyDescent="0.7">
      <c r="A16" s="26"/>
      <c r="B16" s="26"/>
      <c r="C16" s="26">
        <v>14</v>
      </c>
      <c r="D16" s="27">
        <v>9.8930000000000007</v>
      </c>
      <c r="E16" s="27">
        <v>0</v>
      </c>
      <c r="F16" s="27">
        <v>9.8829999999999991</v>
      </c>
      <c r="G16" s="18">
        <v>853891.2</v>
      </c>
      <c r="H16" s="18">
        <v>0.85389119999999996</v>
      </c>
      <c r="I16" s="18">
        <v>16754</v>
      </c>
      <c r="J16" s="28">
        <v>1.6754000000000002E-2</v>
      </c>
      <c r="K16" s="18">
        <v>5887</v>
      </c>
      <c r="L16" s="18">
        <v>5.8869999999999999E-3</v>
      </c>
      <c r="M16" s="18">
        <f t="shared" si="1"/>
        <v>2.2641000000000001E-2</v>
      </c>
      <c r="N16" s="25">
        <v>7.0761600000000008E-2</v>
      </c>
      <c r="O16" s="2">
        <f t="shared" si="0"/>
        <v>0.76048859999999996</v>
      </c>
    </row>
    <row r="17" spans="1:15" x14ac:dyDescent="0.7">
      <c r="A17" s="26"/>
      <c r="B17" s="26"/>
      <c r="C17" s="26">
        <v>15</v>
      </c>
      <c r="D17" s="27">
        <v>9.8829999999999991</v>
      </c>
      <c r="E17" s="27">
        <v>0</v>
      </c>
      <c r="F17" s="27">
        <v>9.84</v>
      </c>
      <c r="G17" s="18">
        <v>850176</v>
      </c>
      <c r="H17" s="18">
        <v>0.85017600000000004</v>
      </c>
      <c r="I17" s="18">
        <v>19628</v>
      </c>
      <c r="J17" s="28">
        <v>1.9628E-2</v>
      </c>
      <c r="K17" s="18">
        <v>5224</v>
      </c>
      <c r="L17" s="18">
        <v>5.2240000000000003E-3</v>
      </c>
      <c r="M17" s="18">
        <f t="shared" si="1"/>
        <v>2.4851999999999999E-2</v>
      </c>
      <c r="N17" s="25">
        <v>7.0761600000000008E-2</v>
      </c>
      <c r="O17" s="2">
        <f t="shared" si="0"/>
        <v>0.75456240000000008</v>
      </c>
    </row>
    <row r="18" spans="1:15" x14ac:dyDescent="0.7">
      <c r="A18" s="26"/>
      <c r="B18" s="26"/>
      <c r="C18" s="26">
        <v>16</v>
      </c>
      <c r="D18" s="27">
        <v>9.7970000000000006</v>
      </c>
      <c r="E18" s="27">
        <v>0</v>
      </c>
      <c r="F18" s="27">
        <v>9.7579999999999991</v>
      </c>
      <c r="G18" s="18">
        <v>843091.2</v>
      </c>
      <c r="H18" s="18">
        <v>0.84309119999999993</v>
      </c>
      <c r="I18" s="18">
        <v>31650</v>
      </c>
      <c r="J18" s="28">
        <v>3.1649999999999998E-2</v>
      </c>
      <c r="K18" s="18">
        <v>6216</v>
      </c>
      <c r="L18" s="18">
        <v>6.2160000000000002E-3</v>
      </c>
      <c r="M18" s="18">
        <f t="shared" si="1"/>
        <v>3.7865999999999997E-2</v>
      </c>
      <c r="N18" s="25">
        <v>7.0761600000000008E-2</v>
      </c>
      <c r="O18" s="2">
        <f t="shared" si="0"/>
        <v>0.73446359999999999</v>
      </c>
    </row>
    <row r="19" spans="1:15" x14ac:dyDescent="0.7">
      <c r="A19" s="26"/>
      <c r="B19" s="26"/>
      <c r="C19" s="26">
        <v>17</v>
      </c>
      <c r="D19" s="27">
        <v>9.7189999999999994</v>
      </c>
      <c r="E19" s="27">
        <v>0</v>
      </c>
      <c r="F19" s="28">
        <v>9.6769999999999996</v>
      </c>
      <c r="G19" s="18">
        <v>836092.79999999993</v>
      </c>
      <c r="H19" s="18">
        <v>0.83609279999999997</v>
      </c>
      <c r="I19" s="18">
        <v>31536</v>
      </c>
      <c r="J19" s="28">
        <v>3.1536000000000002E-2</v>
      </c>
      <c r="K19" s="18">
        <v>3674</v>
      </c>
      <c r="L19" s="18">
        <v>3.6740000000000002E-3</v>
      </c>
      <c r="M19" s="18">
        <f t="shared" si="1"/>
        <v>3.5210000000000005E-2</v>
      </c>
      <c r="N19" s="25">
        <v>7.0761600000000008E-2</v>
      </c>
      <c r="O19" s="2">
        <f t="shared" si="0"/>
        <v>0.73012120000000003</v>
      </c>
    </row>
    <row r="20" spans="1:15" x14ac:dyDescent="0.7">
      <c r="A20" s="26"/>
      <c r="B20" s="26"/>
      <c r="C20" s="26">
        <v>18</v>
      </c>
      <c r="D20" s="27">
        <v>9.6349999999999998</v>
      </c>
      <c r="E20" s="27">
        <v>0</v>
      </c>
      <c r="F20" s="28">
        <v>9.6010000000000009</v>
      </c>
      <c r="G20" s="18">
        <v>829526.4</v>
      </c>
      <c r="H20" s="18">
        <v>0.8295264</v>
      </c>
      <c r="I20" s="18">
        <v>31364</v>
      </c>
      <c r="J20" s="28">
        <v>3.1364000000000003E-2</v>
      </c>
      <c r="K20" s="18">
        <v>3158</v>
      </c>
      <c r="L20" s="18">
        <v>3.1580000000000002E-3</v>
      </c>
      <c r="M20" s="18">
        <f t="shared" si="1"/>
        <v>3.4522000000000004E-2</v>
      </c>
      <c r="N20" s="25">
        <v>7.0761600000000008E-2</v>
      </c>
      <c r="O20" s="2">
        <f t="shared" si="0"/>
        <v>0.72424279999999996</v>
      </c>
    </row>
    <row r="21" spans="1:15" x14ac:dyDescent="0.7">
      <c r="A21" s="26"/>
      <c r="B21" s="26"/>
      <c r="C21" s="26">
        <v>19</v>
      </c>
      <c r="D21" s="27">
        <v>9.5660000000000007</v>
      </c>
      <c r="E21" s="27">
        <v>0</v>
      </c>
      <c r="F21" s="28">
        <v>9.9450000000000003</v>
      </c>
      <c r="G21" s="18">
        <v>859248</v>
      </c>
      <c r="H21" s="18">
        <v>0.85924800000000001</v>
      </c>
      <c r="I21" s="18">
        <v>30273</v>
      </c>
      <c r="J21" s="28">
        <v>3.0273000000000001E-2</v>
      </c>
      <c r="K21" s="18">
        <v>3916</v>
      </c>
      <c r="L21" s="18">
        <v>3.9160000000000002E-3</v>
      </c>
      <c r="M21" s="18">
        <f t="shared" si="1"/>
        <v>3.4189000000000004E-2</v>
      </c>
      <c r="N21" s="25">
        <v>7.0761600000000008E-2</v>
      </c>
      <c r="O21" s="2">
        <f t="shared" si="0"/>
        <v>0.75429740000000001</v>
      </c>
    </row>
    <row r="22" spans="1:15" x14ac:dyDescent="0.7">
      <c r="A22" s="26"/>
      <c r="B22" s="26"/>
      <c r="C22" s="26">
        <v>20</v>
      </c>
      <c r="D22" s="27">
        <v>9.423</v>
      </c>
      <c r="E22" s="27">
        <v>0</v>
      </c>
      <c r="F22" s="28">
        <v>9.3650000000000002</v>
      </c>
      <c r="G22" s="18">
        <v>809136</v>
      </c>
      <c r="H22" s="18">
        <v>0.80913599999999997</v>
      </c>
      <c r="I22" s="18">
        <v>28812</v>
      </c>
      <c r="J22" s="28">
        <v>2.8812000000000001E-2</v>
      </c>
      <c r="K22" s="18">
        <v>3317</v>
      </c>
      <c r="L22" s="18">
        <v>3.3170000000000001E-3</v>
      </c>
      <c r="M22" s="18">
        <f t="shared" si="1"/>
        <v>3.2128999999999998E-2</v>
      </c>
      <c r="N22" s="25">
        <v>7.0761600000000008E-2</v>
      </c>
      <c r="O22" s="2">
        <f t="shared" si="0"/>
        <v>0.70624540000000002</v>
      </c>
    </row>
    <row r="23" spans="1:15" x14ac:dyDescent="0.7">
      <c r="A23" s="26"/>
      <c r="B23" s="26"/>
      <c r="C23" s="26">
        <v>21</v>
      </c>
      <c r="D23" s="27">
        <v>9.3059999999999992</v>
      </c>
      <c r="E23" s="27">
        <v>0</v>
      </c>
      <c r="F23" s="28">
        <v>9.2579999999999991</v>
      </c>
      <c r="G23" s="18">
        <v>799891.2</v>
      </c>
      <c r="H23" s="18">
        <v>0.79989119999999991</v>
      </c>
      <c r="I23" s="18">
        <v>14477</v>
      </c>
      <c r="J23" s="28">
        <v>1.4477E-2</v>
      </c>
      <c r="K23" s="18">
        <v>3750</v>
      </c>
      <c r="L23" s="18">
        <v>3.7499999999999999E-3</v>
      </c>
      <c r="M23" s="18">
        <f t="shared" si="1"/>
        <v>1.8227E-2</v>
      </c>
      <c r="N23" s="25">
        <v>7.0761600000000008E-2</v>
      </c>
      <c r="O23" s="2">
        <f t="shared" si="0"/>
        <v>0.71090259999999994</v>
      </c>
    </row>
    <row r="24" spans="1:15" x14ac:dyDescent="0.7">
      <c r="A24" s="26"/>
      <c r="B24" s="26"/>
      <c r="C24" s="26">
        <v>22</v>
      </c>
      <c r="D24" s="27">
        <v>9.2089999999999996</v>
      </c>
      <c r="E24" s="27">
        <v>0</v>
      </c>
      <c r="F24" s="28">
        <v>9.1579999999999995</v>
      </c>
      <c r="G24" s="18">
        <v>791251.2</v>
      </c>
      <c r="H24" s="18">
        <v>0.79125119999999993</v>
      </c>
      <c r="I24" s="18">
        <v>13784</v>
      </c>
      <c r="J24" s="28">
        <v>1.3783999999999999E-2</v>
      </c>
      <c r="K24" s="18">
        <v>6319</v>
      </c>
      <c r="L24" s="18">
        <v>6.319E-3</v>
      </c>
      <c r="M24" s="18">
        <f t="shared" si="1"/>
        <v>2.0102999999999999E-2</v>
      </c>
      <c r="N24" s="25">
        <v>7.0761600000000008E-2</v>
      </c>
      <c r="O24" s="2">
        <f t="shared" si="0"/>
        <v>0.70038659999999997</v>
      </c>
    </row>
    <row r="25" spans="1:15" x14ac:dyDescent="0.7">
      <c r="A25" s="26"/>
      <c r="B25" s="26"/>
      <c r="C25" s="26">
        <v>23</v>
      </c>
      <c r="D25" s="27">
        <v>9.1069999999999993</v>
      </c>
      <c r="E25" s="27">
        <v>0</v>
      </c>
      <c r="F25" s="28">
        <v>9.0559999999999992</v>
      </c>
      <c r="G25" s="18">
        <v>782438.39999999991</v>
      </c>
      <c r="H25" s="18">
        <v>0.78243839999999987</v>
      </c>
      <c r="I25" s="18">
        <v>30983</v>
      </c>
      <c r="J25" s="28">
        <v>3.0983E-2</v>
      </c>
      <c r="K25" s="18">
        <v>4620</v>
      </c>
      <c r="L25" s="18">
        <v>4.62E-3</v>
      </c>
      <c r="M25" s="18">
        <f t="shared" si="1"/>
        <v>3.5603000000000003E-2</v>
      </c>
      <c r="N25" s="25">
        <v>7.0761600000000008E-2</v>
      </c>
      <c r="O25" s="2">
        <f t="shared" si="0"/>
        <v>0.67607379999999984</v>
      </c>
    </row>
    <row r="26" spans="1:15" x14ac:dyDescent="0.7">
      <c r="A26" s="26"/>
      <c r="B26" s="26"/>
      <c r="C26" s="26">
        <v>24</v>
      </c>
      <c r="D26" s="27">
        <v>9.0039999999999996</v>
      </c>
      <c r="E26" s="27">
        <v>0</v>
      </c>
      <c r="F26" s="27">
        <v>8.9540000000000006</v>
      </c>
      <c r="G26" s="18">
        <v>773625.60000000009</v>
      </c>
      <c r="H26" s="18">
        <v>0.77362560000000014</v>
      </c>
      <c r="I26" s="18">
        <v>30376</v>
      </c>
      <c r="J26" s="28">
        <v>3.0376E-2</v>
      </c>
      <c r="K26" s="18">
        <v>3305</v>
      </c>
      <c r="L26" s="18">
        <v>3.3050000000000002E-3</v>
      </c>
      <c r="M26" s="18">
        <f t="shared" si="1"/>
        <v>3.3681000000000003E-2</v>
      </c>
      <c r="N26" s="25">
        <v>7.0761600000000008E-2</v>
      </c>
      <c r="O26" s="2">
        <f t="shared" si="0"/>
        <v>0.66918300000000019</v>
      </c>
    </row>
    <row r="27" spans="1:15" x14ac:dyDescent="0.7">
      <c r="A27" s="26"/>
      <c r="B27" s="26"/>
      <c r="C27" s="26">
        <v>25</v>
      </c>
      <c r="D27" s="27">
        <v>8.9030000000000005</v>
      </c>
      <c r="E27" s="27">
        <v>0</v>
      </c>
      <c r="F27" s="27">
        <v>8.8539999999999992</v>
      </c>
      <c r="G27" s="18">
        <v>764985.6</v>
      </c>
      <c r="H27" s="18">
        <v>0.76498559999999993</v>
      </c>
      <c r="I27" s="18">
        <v>31482</v>
      </c>
      <c r="J27" s="28">
        <v>3.1482000000000003E-2</v>
      </c>
      <c r="K27" s="18">
        <v>4024</v>
      </c>
      <c r="L27" s="18">
        <v>4.0239999999999998E-3</v>
      </c>
      <c r="M27" s="18">
        <f t="shared" si="1"/>
        <v>3.5506000000000003E-2</v>
      </c>
      <c r="N27" s="25">
        <v>7.0761600000000008E-2</v>
      </c>
      <c r="O27" s="2">
        <f t="shared" si="0"/>
        <v>0.65871799999999991</v>
      </c>
    </row>
    <row r="28" spans="1:15" x14ac:dyDescent="0.7">
      <c r="A28" s="26"/>
      <c r="B28" s="26"/>
      <c r="C28" s="26">
        <v>26</v>
      </c>
      <c r="D28" s="27">
        <v>8.8040000000000003</v>
      </c>
      <c r="E28" s="27">
        <v>0</v>
      </c>
      <c r="F28" s="27">
        <v>8.7550000000000008</v>
      </c>
      <c r="G28" s="18">
        <v>756432.00000000012</v>
      </c>
      <c r="H28" s="18">
        <v>0.7564320000000001</v>
      </c>
      <c r="I28" s="18">
        <v>29007</v>
      </c>
      <c r="J28" s="28">
        <v>2.9007000000000002E-2</v>
      </c>
      <c r="K28" s="18">
        <v>3296</v>
      </c>
      <c r="L28" s="18">
        <v>3.2959999999999999E-3</v>
      </c>
      <c r="M28" s="18">
        <f t="shared" si="1"/>
        <v>3.2302999999999998E-2</v>
      </c>
      <c r="N28" s="25">
        <v>7.0761600000000008E-2</v>
      </c>
      <c r="O28" s="2">
        <f t="shared" si="0"/>
        <v>0.65336740000000015</v>
      </c>
    </row>
    <row r="29" spans="1:15" x14ac:dyDescent="0.7">
      <c r="A29" s="26"/>
      <c r="B29" s="26"/>
      <c r="C29" s="26">
        <v>27</v>
      </c>
      <c r="D29" s="27">
        <v>8.7059999999999995</v>
      </c>
      <c r="E29" s="27">
        <v>0</v>
      </c>
      <c r="F29" s="27">
        <v>8.6579999999999995</v>
      </c>
      <c r="G29" s="18">
        <v>748051.2</v>
      </c>
      <c r="H29" s="18">
        <v>0.74805119999999992</v>
      </c>
      <c r="I29" s="18">
        <v>29559</v>
      </c>
      <c r="J29" s="28">
        <v>2.9558999999999998E-2</v>
      </c>
      <c r="K29" s="18">
        <v>3351</v>
      </c>
      <c r="L29" s="18">
        <v>3.3509999999999998E-3</v>
      </c>
      <c r="M29" s="18">
        <f t="shared" si="1"/>
        <v>3.2909999999999995E-2</v>
      </c>
      <c r="N29" s="25">
        <v>7.0761600000000008E-2</v>
      </c>
      <c r="O29" s="2">
        <f t="shared" si="0"/>
        <v>0.64437959999999994</v>
      </c>
    </row>
    <row r="30" spans="1:15" x14ac:dyDescent="0.7">
      <c r="A30" s="26"/>
      <c r="B30" s="26"/>
      <c r="C30" s="26">
        <v>28</v>
      </c>
      <c r="D30" s="27">
        <v>8.61</v>
      </c>
      <c r="E30" s="27">
        <v>0</v>
      </c>
      <c r="F30" s="27">
        <v>8.5719999999999992</v>
      </c>
      <c r="G30" s="18">
        <v>740620.79999999993</v>
      </c>
      <c r="H30" s="18">
        <v>0.74062079999999997</v>
      </c>
      <c r="I30" s="18">
        <v>16725</v>
      </c>
      <c r="J30" s="28">
        <v>1.6725E-2</v>
      </c>
      <c r="K30" s="18">
        <v>4203</v>
      </c>
      <c r="L30" s="18">
        <v>4.2030000000000001E-3</v>
      </c>
      <c r="M30" s="18">
        <f t="shared" si="1"/>
        <v>2.0928000000000002E-2</v>
      </c>
      <c r="N30" s="25">
        <v>7.0761600000000008E-2</v>
      </c>
      <c r="O30" s="2">
        <f t="shared" si="0"/>
        <v>0.64893120000000004</v>
      </c>
    </row>
    <row r="31" spans="1:15" x14ac:dyDescent="0.7">
      <c r="A31" s="26"/>
      <c r="B31" s="26"/>
      <c r="C31" s="26">
        <v>29</v>
      </c>
      <c r="D31" s="27">
        <v>8.5329999999999995</v>
      </c>
      <c r="E31" s="27">
        <v>0</v>
      </c>
      <c r="F31" s="27">
        <v>8.4749999999999996</v>
      </c>
      <c r="G31" s="18">
        <v>732240</v>
      </c>
      <c r="H31" s="18">
        <v>0.73224</v>
      </c>
      <c r="I31" s="18">
        <v>14566</v>
      </c>
      <c r="J31" s="28">
        <v>1.4566000000000001E-2</v>
      </c>
      <c r="K31" s="18">
        <v>6851</v>
      </c>
      <c r="L31" s="18">
        <v>6.8510000000000003E-3</v>
      </c>
      <c r="M31" s="18">
        <f t="shared" si="1"/>
        <v>2.1417000000000002E-2</v>
      </c>
      <c r="N31" s="25">
        <v>7.0761600000000008E-2</v>
      </c>
      <c r="O31" s="2">
        <f t="shared" si="0"/>
        <v>0.6400614</v>
      </c>
    </row>
    <row r="32" spans="1:15" x14ac:dyDescent="0.7">
      <c r="A32" s="26"/>
      <c r="B32" s="26"/>
      <c r="C32" s="26">
        <v>30</v>
      </c>
      <c r="D32" s="27">
        <v>8.4169999999999998</v>
      </c>
      <c r="E32" s="27">
        <v>0</v>
      </c>
      <c r="F32" s="27">
        <v>8.3689999999999998</v>
      </c>
      <c r="G32" s="18">
        <v>723081.6</v>
      </c>
      <c r="H32" s="18">
        <v>0.72308159999999999</v>
      </c>
      <c r="I32" s="18">
        <v>15620</v>
      </c>
      <c r="J32" s="28">
        <v>1.562E-2</v>
      </c>
      <c r="K32" s="18">
        <v>6552</v>
      </c>
      <c r="L32" s="18">
        <v>6.5519999999999997E-3</v>
      </c>
      <c r="M32" s="18">
        <f t="shared" si="1"/>
        <v>2.2172000000000001E-2</v>
      </c>
      <c r="N32" s="25">
        <v>7.0761600000000008E-2</v>
      </c>
      <c r="O32" s="2">
        <f t="shared" si="0"/>
        <v>0.63014800000000004</v>
      </c>
    </row>
    <row r="33" spans="1:15" s="3" customFormat="1" ht="25.2" thickBot="1" x14ac:dyDescent="0.75">
      <c r="A33" s="29"/>
      <c r="B33" s="29" t="s">
        <v>15</v>
      </c>
      <c r="C33" s="29">
        <v>31</v>
      </c>
      <c r="D33" s="30">
        <v>8.32</v>
      </c>
      <c r="E33" s="30">
        <v>0</v>
      </c>
      <c r="F33" s="31">
        <v>8.3030000000000008</v>
      </c>
      <c r="G33" s="19">
        <v>717379.20000000007</v>
      </c>
      <c r="H33" s="19">
        <v>0.71737920000000011</v>
      </c>
      <c r="I33" s="19">
        <v>30471</v>
      </c>
      <c r="J33" s="31">
        <v>3.0471000000000002E-2</v>
      </c>
      <c r="K33" s="19">
        <v>1571</v>
      </c>
      <c r="L33" s="19">
        <v>1.5709999999999999E-3</v>
      </c>
      <c r="M33" s="19">
        <f t="shared" si="1"/>
        <v>3.2042000000000001E-2</v>
      </c>
      <c r="N33" s="45">
        <v>7.0761600000000008E-2</v>
      </c>
      <c r="O33" s="46">
        <f t="shared" si="0"/>
        <v>0.61457560000000011</v>
      </c>
    </row>
    <row r="34" spans="1:15" x14ac:dyDescent="0.7">
      <c r="A34" s="23"/>
      <c r="B34" s="23" t="s">
        <v>16</v>
      </c>
      <c r="C34" s="23">
        <v>1</v>
      </c>
      <c r="D34" s="32">
        <v>8.2859999999999996</v>
      </c>
      <c r="E34" s="24">
        <v>0</v>
      </c>
      <c r="F34" s="32">
        <v>8.2609999999999992</v>
      </c>
      <c r="G34" s="17">
        <v>713750.39999999991</v>
      </c>
      <c r="H34" s="17">
        <v>0.7137503999999999</v>
      </c>
      <c r="I34" s="17">
        <v>14132</v>
      </c>
      <c r="J34" s="32">
        <v>1.4132E-2</v>
      </c>
      <c r="K34" s="17">
        <v>0</v>
      </c>
      <c r="L34" s="17">
        <v>0</v>
      </c>
      <c r="M34" s="17">
        <f t="shared" si="1"/>
        <v>1.4132E-2</v>
      </c>
      <c r="N34" s="20">
        <v>0.12260160000000001</v>
      </c>
      <c r="O34" s="2">
        <f t="shared" si="0"/>
        <v>0.57701679999999989</v>
      </c>
    </row>
    <row r="35" spans="1:15" x14ac:dyDescent="0.7">
      <c r="A35" s="26"/>
      <c r="B35" s="26"/>
      <c r="C35" s="26">
        <v>2</v>
      </c>
      <c r="D35" s="27">
        <v>8.2360000000000007</v>
      </c>
      <c r="E35" s="27">
        <v>0</v>
      </c>
      <c r="F35" s="28">
        <v>8.2080000000000002</v>
      </c>
      <c r="G35" s="18">
        <v>709171.20000000007</v>
      </c>
      <c r="H35" s="18">
        <v>0.70917120000000011</v>
      </c>
      <c r="I35" s="18">
        <v>14295</v>
      </c>
      <c r="J35" s="28">
        <v>1.4295E-2</v>
      </c>
      <c r="K35" s="18">
        <v>0</v>
      </c>
      <c r="L35" s="18">
        <v>0</v>
      </c>
      <c r="M35" s="18">
        <f t="shared" si="1"/>
        <v>1.4295E-2</v>
      </c>
      <c r="N35" s="25">
        <v>0.12260160000000001</v>
      </c>
      <c r="O35" s="2">
        <f t="shared" si="0"/>
        <v>0.57227460000000019</v>
      </c>
    </row>
    <row r="36" spans="1:15" x14ac:dyDescent="0.7">
      <c r="A36" s="26"/>
      <c r="B36" s="26"/>
      <c r="C36" s="26">
        <v>3</v>
      </c>
      <c r="D36" s="27">
        <v>8.18</v>
      </c>
      <c r="E36" s="27">
        <v>0</v>
      </c>
      <c r="F36" s="28">
        <v>8.1560000000000006</v>
      </c>
      <c r="G36" s="18">
        <v>704678.40000000002</v>
      </c>
      <c r="H36" s="18">
        <v>0.70467840000000004</v>
      </c>
      <c r="I36" s="18">
        <v>15550</v>
      </c>
      <c r="J36" s="28">
        <v>1.555E-2</v>
      </c>
      <c r="K36" s="18">
        <v>0</v>
      </c>
      <c r="L36" s="18">
        <v>0</v>
      </c>
      <c r="M36" s="18">
        <f t="shared" si="1"/>
        <v>1.555E-2</v>
      </c>
      <c r="N36" s="25">
        <v>7.0761600000000008E-2</v>
      </c>
      <c r="O36" s="2">
        <f t="shared" si="0"/>
        <v>0.61836680000000011</v>
      </c>
    </row>
    <row r="37" spans="1:15" x14ac:dyDescent="0.7">
      <c r="A37" s="26"/>
      <c r="B37" s="26"/>
      <c r="C37" s="26">
        <v>4</v>
      </c>
      <c r="D37" s="27">
        <v>8.1310000000000002</v>
      </c>
      <c r="E37" s="27">
        <v>0</v>
      </c>
      <c r="F37" s="28">
        <v>8.109</v>
      </c>
      <c r="G37" s="18">
        <v>700617.6</v>
      </c>
      <c r="H37" s="18">
        <v>0.70061759999999995</v>
      </c>
      <c r="I37" s="18">
        <v>12828</v>
      </c>
      <c r="J37" s="28">
        <v>1.2828000000000001E-2</v>
      </c>
      <c r="K37" s="18">
        <v>0</v>
      </c>
      <c r="L37" s="18">
        <v>0</v>
      </c>
      <c r="M37" s="18">
        <f t="shared" si="1"/>
        <v>1.2828000000000001E-2</v>
      </c>
      <c r="N37" s="25">
        <v>7.0761600000000008E-2</v>
      </c>
      <c r="O37" s="2">
        <f t="shared" si="0"/>
        <v>0.61702800000000002</v>
      </c>
    </row>
    <row r="38" spans="1:15" x14ac:dyDescent="0.7">
      <c r="A38" s="26"/>
      <c r="B38" s="26"/>
      <c r="C38" s="26">
        <v>5</v>
      </c>
      <c r="D38" s="27">
        <v>8.0869999999999997</v>
      </c>
      <c r="E38" s="27">
        <v>0</v>
      </c>
      <c r="F38" s="28">
        <v>8.0210000000000008</v>
      </c>
      <c r="G38" s="18">
        <v>693014.4</v>
      </c>
      <c r="H38" s="18">
        <v>0.69301440000000003</v>
      </c>
      <c r="I38" s="18">
        <v>17777</v>
      </c>
      <c r="J38" s="28">
        <v>1.7777000000000001E-2</v>
      </c>
      <c r="K38" s="18">
        <v>0</v>
      </c>
      <c r="L38" s="18">
        <v>0</v>
      </c>
      <c r="M38" s="18">
        <f t="shared" si="1"/>
        <v>1.7777000000000001E-2</v>
      </c>
      <c r="N38" s="25">
        <v>7.0761600000000008E-2</v>
      </c>
      <c r="O38" s="2">
        <f t="shared" si="0"/>
        <v>0.60447580000000001</v>
      </c>
    </row>
    <row r="39" spans="1:15" x14ac:dyDescent="0.7">
      <c r="A39" s="26"/>
      <c r="B39" s="26"/>
      <c r="C39" s="26">
        <v>6</v>
      </c>
      <c r="D39" s="28">
        <v>7.9539999999999997</v>
      </c>
      <c r="E39" s="27">
        <v>0</v>
      </c>
      <c r="F39" s="28">
        <v>7.8789999999999996</v>
      </c>
      <c r="G39" s="18">
        <v>680745.6</v>
      </c>
      <c r="H39" s="18">
        <v>0.68074559999999995</v>
      </c>
      <c r="I39" s="18">
        <v>18102</v>
      </c>
      <c r="J39" s="28">
        <v>1.8102E-2</v>
      </c>
      <c r="K39" s="18">
        <v>0</v>
      </c>
      <c r="L39" s="18">
        <v>0</v>
      </c>
      <c r="M39" s="18">
        <f t="shared" si="1"/>
        <v>1.8102E-2</v>
      </c>
      <c r="N39" s="25">
        <v>5.3481599999999997E-2</v>
      </c>
      <c r="O39" s="2">
        <f t="shared" si="0"/>
        <v>0.60916199999999998</v>
      </c>
    </row>
    <row r="40" spans="1:15" x14ac:dyDescent="0.7">
      <c r="A40" s="26"/>
      <c r="B40" s="26"/>
      <c r="C40" s="26">
        <v>7</v>
      </c>
      <c r="D40" s="27">
        <v>7.8049999999999997</v>
      </c>
      <c r="E40" s="27">
        <v>0</v>
      </c>
      <c r="F40" s="28">
        <v>7.7560000000000002</v>
      </c>
      <c r="G40" s="18">
        <v>670118.40000000002</v>
      </c>
      <c r="H40" s="18">
        <v>0.6701184</v>
      </c>
      <c r="I40" s="18">
        <v>17015</v>
      </c>
      <c r="J40" s="28">
        <v>1.7014999999999999E-2</v>
      </c>
      <c r="K40" s="18">
        <v>0</v>
      </c>
      <c r="L40" s="18">
        <v>0</v>
      </c>
      <c r="M40" s="18">
        <f t="shared" si="1"/>
        <v>1.7014999999999999E-2</v>
      </c>
      <c r="N40" s="25">
        <v>4.3200000000000002E-2</v>
      </c>
      <c r="O40" s="2">
        <f t="shared" si="0"/>
        <v>0.60990339999999998</v>
      </c>
    </row>
    <row r="41" spans="1:15" x14ac:dyDescent="0.7">
      <c r="A41" s="26"/>
      <c r="B41" s="26"/>
      <c r="C41" s="26">
        <v>8</v>
      </c>
      <c r="D41" s="27">
        <v>7.7060000000000004</v>
      </c>
      <c r="E41" s="27">
        <v>0</v>
      </c>
      <c r="F41" s="28">
        <v>7.6559999999999997</v>
      </c>
      <c r="G41" s="18">
        <v>661478.40000000002</v>
      </c>
      <c r="H41" s="18">
        <v>0.66147840000000002</v>
      </c>
      <c r="I41" s="18">
        <v>14269</v>
      </c>
      <c r="J41" s="28">
        <v>1.4269E-2</v>
      </c>
      <c r="K41" s="18">
        <v>0</v>
      </c>
      <c r="L41" s="18">
        <v>0</v>
      </c>
      <c r="M41" s="18">
        <f t="shared" si="1"/>
        <v>1.4269E-2</v>
      </c>
      <c r="N41" s="25">
        <v>4.3200000000000002E-2</v>
      </c>
      <c r="O41" s="2">
        <f t="shared" si="0"/>
        <v>0.60400940000000003</v>
      </c>
    </row>
    <row r="42" spans="1:15" x14ac:dyDescent="0.7">
      <c r="A42" s="26"/>
      <c r="B42" s="26"/>
      <c r="C42" s="26">
        <v>9</v>
      </c>
      <c r="D42" s="27">
        <v>7.6059999999999999</v>
      </c>
      <c r="E42" s="27">
        <v>0</v>
      </c>
      <c r="F42" s="28">
        <v>7.5289999999999999</v>
      </c>
      <c r="G42" s="18">
        <v>650505.6</v>
      </c>
      <c r="H42" s="18">
        <v>0.65050560000000002</v>
      </c>
      <c r="I42" s="18">
        <v>14611</v>
      </c>
      <c r="J42" s="28">
        <v>1.4611000000000001E-2</v>
      </c>
      <c r="K42" s="18">
        <v>7178</v>
      </c>
      <c r="L42" s="18">
        <v>7.1780000000000004E-3</v>
      </c>
      <c r="M42" s="18">
        <f t="shared" si="1"/>
        <v>2.1789000000000003E-2</v>
      </c>
      <c r="N42" s="25">
        <v>4.3200000000000002E-2</v>
      </c>
      <c r="O42" s="2">
        <f t="shared" si="0"/>
        <v>0.58551659999999994</v>
      </c>
    </row>
    <row r="43" spans="1:15" x14ac:dyDescent="0.7">
      <c r="A43" s="26"/>
      <c r="B43" s="26"/>
      <c r="C43" s="26">
        <v>10</v>
      </c>
      <c r="D43" s="27">
        <v>7.452</v>
      </c>
      <c r="E43" s="27">
        <v>0</v>
      </c>
      <c r="F43" s="28">
        <v>7.4119999999999999</v>
      </c>
      <c r="G43" s="18">
        <v>640396.80000000005</v>
      </c>
      <c r="H43" s="18">
        <v>0.6403968000000001</v>
      </c>
      <c r="I43" s="18">
        <v>14400</v>
      </c>
      <c r="J43" s="28">
        <v>1.44E-2</v>
      </c>
      <c r="K43" s="18">
        <v>6421</v>
      </c>
      <c r="L43" s="18">
        <v>6.4209999999999996E-3</v>
      </c>
      <c r="M43" s="18">
        <f t="shared" si="1"/>
        <v>2.0820999999999999E-2</v>
      </c>
      <c r="N43" s="25">
        <v>5.3481599999999997E-2</v>
      </c>
      <c r="O43" s="2">
        <f t="shared" si="0"/>
        <v>0.5660942000000001</v>
      </c>
    </row>
    <row r="44" spans="1:15" x14ac:dyDescent="0.7">
      <c r="A44" s="26"/>
      <c r="B44" s="26"/>
      <c r="C44" s="26">
        <v>11</v>
      </c>
      <c r="D44" s="27">
        <v>7.3719999999999999</v>
      </c>
      <c r="E44" s="27">
        <v>0</v>
      </c>
      <c r="F44" s="28">
        <v>7.3719999999999999</v>
      </c>
      <c r="G44" s="18">
        <v>636940.80000000005</v>
      </c>
      <c r="H44" s="18">
        <v>0.63694080000000008</v>
      </c>
      <c r="I44" s="18">
        <v>23271</v>
      </c>
      <c r="J44" s="28">
        <v>2.3271E-2</v>
      </c>
      <c r="K44" s="18">
        <v>6385</v>
      </c>
      <c r="L44" s="18">
        <v>6.3850000000000001E-3</v>
      </c>
      <c r="M44" s="18">
        <f t="shared" si="1"/>
        <v>2.9656000000000002E-2</v>
      </c>
      <c r="N44" s="25">
        <v>5.3481599999999997E-2</v>
      </c>
      <c r="O44" s="2">
        <f t="shared" si="0"/>
        <v>0.55380320000000005</v>
      </c>
    </row>
    <row r="45" spans="1:15" x14ac:dyDescent="0.7">
      <c r="A45" s="26"/>
      <c r="B45" s="26"/>
      <c r="C45" s="26">
        <v>12</v>
      </c>
      <c r="D45" s="27">
        <v>7.3719999999999999</v>
      </c>
      <c r="E45" s="27">
        <v>0</v>
      </c>
      <c r="F45" s="28">
        <v>7.3339999999999996</v>
      </c>
      <c r="G45" s="18">
        <v>633657.59999999998</v>
      </c>
      <c r="H45" s="18">
        <v>0.63365759999999993</v>
      </c>
      <c r="I45" s="18">
        <v>22691</v>
      </c>
      <c r="J45" s="28">
        <v>2.2690999999999999E-2</v>
      </c>
      <c r="K45" s="18">
        <v>6470</v>
      </c>
      <c r="L45" s="18">
        <v>6.4700000000000001E-3</v>
      </c>
      <c r="M45" s="18">
        <f t="shared" si="1"/>
        <v>2.9160999999999999E-2</v>
      </c>
      <c r="N45" s="25">
        <v>5.3481599999999997E-2</v>
      </c>
      <c r="O45" s="2">
        <f t="shared" si="0"/>
        <v>0.55101499999999992</v>
      </c>
    </row>
    <row r="46" spans="1:15" x14ac:dyDescent="0.7">
      <c r="A46" s="26"/>
      <c r="B46" s="26"/>
      <c r="C46" s="26">
        <v>13</v>
      </c>
      <c r="D46" s="28">
        <v>7.2960000000000003</v>
      </c>
      <c r="E46" s="27">
        <v>0</v>
      </c>
      <c r="F46" s="28">
        <v>7.25</v>
      </c>
      <c r="G46" s="18">
        <v>626400</v>
      </c>
      <c r="H46" s="18">
        <v>0.62639999999999996</v>
      </c>
      <c r="I46" s="18">
        <v>31832</v>
      </c>
      <c r="J46" s="28">
        <v>3.1831999999999999E-2</v>
      </c>
      <c r="K46" s="18">
        <v>6561</v>
      </c>
      <c r="L46" s="18">
        <v>6.561E-3</v>
      </c>
      <c r="M46" s="18">
        <f t="shared" si="1"/>
        <v>3.8392999999999997E-2</v>
      </c>
      <c r="N46" s="25">
        <v>5.3481599999999997E-2</v>
      </c>
      <c r="O46" s="2">
        <f t="shared" si="0"/>
        <v>0.53452539999999993</v>
      </c>
    </row>
    <row r="47" spans="1:15" x14ac:dyDescent="0.7">
      <c r="A47" s="26"/>
      <c r="B47" s="26"/>
      <c r="C47" s="26">
        <v>14</v>
      </c>
      <c r="D47" s="27">
        <v>7.2039999999999997</v>
      </c>
      <c r="E47" s="27">
        <v>0</v>
      </c>
      <c r="F47" s="28">
        <v>7.157</v>
      </c>
      <c r="G47" s="18">
        <v>618364.80000000005</v>
      </c>
      <c r="H47" s="18">
        <v>0.61836480000000005</v>
      </c>
      <c r="I47" s="18">
        <v>26499</v>
      </c>
      <c r="J47" s="28">
        <v>2.6499000000000002E-2</v>
      </c>
      <c r="K47" s="18">
        <v>4721</v>
      </c>
      <c r="L47" s="18">
        <v>4.7210000000000004E-3</v>
      </c>
      <c r="M47" s="18">
        <f t="shared" si="1"/>
        <v>3.1220000000000001E-2</v>
      </c>
      <c r="N47" s="25">
        <v>1.89216E-2</v>
      </c>
      <c r="O47" s="2">
        <f t="shared" si="0"/>
        <v>0.56822320000000004</v>
      </c>
    </row>
    <row r="48" spans="1:15" x14ac:dyDescent="0.7">
      <c r="A48" s="26"/>
      <c r="B48" s="26"/>
      <c r="C48" s="26">
        <v>15</v>
      </c>
      <c r="D48" s="27">
        <v>7.109</v>
      </c>
      <c r="E48" s="27">
        <v>0</v>
      </c>
      <c r="F48" s="28">
        <v>7.109</v>
      </c>
      <c r="G48" s="18">
        <v>614217.6</v>
      </c>
      <c r="H48" s="18">
        <v>0.61421760000000003</v>
      </c>
      <c r="I48" s="18">
        <v>17144</v>
      </c>
      <c r="J48" s="28">
        <v>1.7144E-2</v>
      </c>
      <c r="K48" s="18">
        <v>6523</v>
      </c>
      <c r="L48" s="18">
        <v>6.5230000000000002E-3</v>
      </c>
      <c r="M48" s="18">
        <f t="shared" si="1"/>
        <v>2.3667000000000001E-2</v>
      </c>
      <c r="N48" s="25">
        <v>6.2121599999999999E-2</v>
      </c>
      <c r="O48" s="2">
        <f t="shared" si="0"/>
        <v>0.52842900000000004</v>
      </c>
    </row>
    <row r="49" spans="1:15" x14ac:dyDescent="0.7">
      <c r="A49" s="26"/>
      <c r="B49" s="26"/>
      <c r="C49" s="26">
        <v>16</v>
      </c>
      <c r="D49" s="27">
        <v>7.109</v>
      </c>
      <c r="E49" s="27">
        <v>1.7</v>
      </c>
      <c r="F49" s="28">
        <v>7.5890000000000004</v>
      </c>
      <c r="G49" s="18">
        <v>655689.60000000009</v>
      </c>
      <c r="H49" s="18">
        <v>0.65568960000000009</v>
      </c>
      <c r="I49" s="18">
        <v>17281</v>
      </c>
      <c r="J49" s="28">
        <v>1.7281000000000001E-2</v>
      </c>
      <c r="K49" s="18">
        <v>485</v>
      </c>
      <c r="L49" s="18">
        <v>4.8500000000000003E-4</v>
      </c>
      <c r="M49" s="18">
        <f t="shared" si="1"/>
        <v>1.7766000000000001E-2</v>
      </c>
      <c r="N49" s="25">
        <v>5.1839999999999997E-2</v>
      </c>
      <c r="O49" s="2">
        <f t="shared" si="0"/>
        <v>0.58608360000000015</v>
      </c>
    </row>
    <row r="50" spans="1:15" x14ac:dyDescent="0.7">
      <c r="A50" s="26"/>
      <c r="B50" s="26"/>
      <c r="C50" s="26">
        <v>17</v>
      </c>
      <c r="D50" s="27">
        <v>8.0679999999999996</v>
      </c>
      <c r="E50" s="27">
        <v>6.8</v>
      </c>
      <c r="F50" s="28">
        <v>9.0749999999999993</v>
      </c>
      <c r="G50" s="18">
        <v>784079.99999999988</v>
      </c>
      <c r="H50" s="18">
        <v>0.78407999999999989</v>
      </c>
      <c r="I50" s="18">
        <v>14320</v>
      </c>
      <c r="J50" s="28">
        <v>1.4319999999999999E-2</v>
      </c>
      <c r="K50" s="18">
        <v>0</v>
      </c>
      <c r="L50" s="18">
        <v>0</v>
      </c>
      <c r="M50" s="18">
        <f t="shared" si="1"/>
        <v>1.4319999999999999E-2</v>
      </c>
      <c r="N50" s="25">
        <v>5.1839999999999997E-2</v>
      </c>
      <c r="O50" s="2">
        <f t="shared" si="0"/>
        <v>0.71791999999999989</v>
      </c>
    </row>
    <row r="51" spans="1:15" x14ac:dyDescent="0.7">
      <c r="A51" s="26"/>
      <c r="B51" s="26"/>
      <c r="C51" s="26">
        <v>18</v>
      </c>
      <c r="D51" s="27">
        <v>12.244</v>
      </c>
      <c r="E51" s="27">
        <v>7.4</v>
      </c>
      <c r="F51" s="28">
        <v>9.9489999999999998</v>
      </c>
      <c r="G51" s="18">
        <v>859593.6</v>
      </c>
      <c r="H51" s="18">
        <v>0.85959359999999996</v>
      </c>
      <c r="I51" s="18">
        <v>14866</v>
      </c>
      <c r="J51" s="28">
        <v>1.4866000000000001E-2</v>
      </c>
      <c r="K51" s="18">
        <v>0</v>
      </c>
      <c r="L51" s="18">
        <v>0</v>
      </c>
      <c r="M51" s="18">
        <f t="shared" si="1"/>
        <v>1.4866000000000001E-2</v>
      </c>
      <c r="N51" s="25">
        <v>5.1839999999999997E-2</v>
      </c>
      <c r="O51" s="2">
        <f t="shared" si="0"/>
        <v>0.79288759999999991</v>
      </c>
    </row>
    <row r="52" spans="1:15" x14ac:dyDescent="0.7">
      <c r="A52" s="26"/>
      <c r="B52" s="26"/>
      <c r="C52" s="26">
        <v>19</v>
      </c>
      <c r="D52" s="27">
        <v>9.8160000000000007</v>
      </c>
      <c r="E52" s="27">
        <v>0</v>
      </c>
      <c r="F52" s="28">
        <v>9.3119999999999994</v>
      </c>
      <c r="G52" s="18">
        <v>804556.79999999993</v>
      </c>
      <c r="H52" s="18">
        <v>0.80455679999999996</v>
      </c>
      <c r="I52" s="18">
        <v>16532</v>
      </c>
      <c r="J52" s="28">
        <v>1.6532000000000002E-2</v>
      </c>
      <c r="K52" s="18">
        <v>0</v>
      </c>
      <c r="L52" s="18">
        <v>0</v>
      </c>
      <c r="M52" s="18">
        <f t="shared" si="1"/>
        <v>1.6532000000000002E-2</v>
      </c>
      <c r="N52" s="25">
        <v>5.1839999999999997E-2</v>
      </c>
      <c r="O52" s="2">
        <f t="shared" si="0"/>
        <v>0.73618479999999997</v>
      </c>
    </row>
    <row r="53" spans="1:15" x14ac:dyDescent="0.7">
      <c r="A53" s="26"/>
      <c r="B53" s="26"/>
      <c r="C53" s="26">
        <v>20</v>
      </c>
      <c r="D53" s="27">
        <v>8.8070000000000004</v>
      </c>
      <c r="E53" s="27">
        <v>0</v>
      </c>
      <c r="F53" s="28">
        <v>8.5649999999999995</v>
      </c>
      <c r="G53" s="18">
        <v>740016</v>
      </c>
      <c r="H53" s="18">
        <v>0.74001600000000001</v>
      </c>
      <c r="I53" s="18">
        <v>16750</v>
      </c>
      <c r="J53" s="28">
        <v>1.6750000000000001E-2</v>
      </c>
      <c r="K53" s="18">
        <v>0</v>
      </c>
      <c r="L53" s="18">
        <v>0</v>
      </c>
      <c r="M53" s="18">
        <f t="shared" si="1"/>
        <v>1.6750000000000001E-2</v>
      </c>
      <c r="N53" s="25">
        <v>8.6400000000000001E-3</v>
      </c>
      <c r="O53" s="2">
        <f t="shared" si="0"/>
        <v>0.71462599999999998</v>
      </c>
    </row>
    <row r="54" spans="1:15" x14ac:dyDescent="0.7">
      <c r="A54" s="26"/>
      <c r="B54" s="26"/>
      <c r="C54" s="26">
        <v>21</v>
      </c>
      <c r="D54" s="27">
        <v>8.3219999999999992</v>
      </c>
      <c r="E54" s="27">
        <v>0</v>
      </c>
      <c r="F54" s="28">
        <v>7.85</v>
      </c>
      <c r="G54" s="18">
        <v>678240</v>
      </c>
      <c r="H54" s="18">
        <v>0.67823999999999995</v>
      </c>
      <c r="I54" s="18">
        <v>16604</v>
      </c>
      <c r="J54" s="28">
        <v>1.6604000000000001E-2</v>
      </c>
      <c r="K54" s="18">
        <v>0</v>
      </c>
      <c r="L54" s="18">
        <v>0</v>
      </c>
      <c r="M54" s="18">
        <f t="shared" si="1"/>
        <v>1.6604000000000001E-2</v>
      </c>
      <c r="N54" s="25">
        <v>8.6420000000000004E-3</v>
      </c>
      <c r="O54" s="2">
        <f t="shared" si="0"/>
        <v>0.65299399999999996</v>
      </c>
    </row>
    <row r="55" spans="1:15" x14ac:dyDescent="0.7">
      <c r="A55" s="26"/>
      <c r="B55" s="26"/>
      <c r="C55" s="26">
        <v>22</v>
      </c>
      <c r="D55" s="28">
        <v>7.8860000000000001</v>
      </c>
      <c r="E55" s="27">
        <v>0</v>
      </c>
      <c r="F55" s="28">
        <v>7.782</v>
      </c>
      <c r="G55" s="18">
        <v>672364.8</v>
      </c>
      <c r="H55" s="18">
        <v>0.6723648000000001</v>
      </c>
      <c r="I55" s="18">
        <v>16416</v>
      </c>
      <c r="J55" s="28">
        <v>1.6416E-2</v>
      </c>
      <c r="K55" s="18">
        <v>3083</v>
      </c>
      <c r="L55" s="18">
        <v>3.0829999999999998E-3</v>
      </c>
      <c r="M55" s="18">
        <f t="shared" si="1"/>
        <v>1.9498999999999999E-2</v>
      </c>
      <c r="N55" s="25">
        <v>8.6429999999999996E-3</v>
      </c>
      <c r="O55" s="2">
        <f t="shared" si="0"/>
        <v>0.6442228000000001</v>
      </c>
    </row>
    <row r="56" spans="1:15" x14ac:dyDescent="0.7">
      <c r="A56" s="26"/>
      <c r="B56" s="26"/>
      <c r="C56" s="26">
        <v>23</v>
      </c>
      <c r="D56" s="28">
        <v>7.8140000000000001</v>
      </c>
      <c r="E56" s="27">
        <v>0</v>
      </c>
      <c r="F56" s="28">
        <v>7.6379999999999999</v>
      </c>
      <c r="G56" s="18">
        <v>659923.19999999995</v>
      </c>
      <c r="H56" s="18">
        <v>0.65992319999999993</v>
      </c>
      <c r="I56" s="18">
        <v>13134</v>
      </c>
      <c r="J56" s="28">
        <v>1.3134E-2</v>
      </c>
      <c r="K56" s="18">
        <v>6668</v>
      </c>
      <c r="L56" s="18">
        <v>6.6680000000000003E-3</v>
      </c>
      <c r="M56" s="18">
        <f t="shared" si="1"/>
        <v>1.9802E-2</v>
      </c>
      <c r="N56" s="25">
        <v>1.8925599999999997E-2</v>
      </c>
      <c r="O56" s="2">
        <f t="shared" si="0"/>
        <v>0.62119559999999996</v>
      </c>
    </row>
    <row r="57" spans="1:15" x14ac:dyDescent="0.7">
      <c r="A57" s="26"/>
      <c r="B57" s="26"/>
      <c r="C57" s="26">
        <v>24</v>
      </c>
      <c r="D57" s="27">
        <v>7.7489999999999997</v>
      </c>
      <c r="E57" s="27">
        <v>0</v>
      </c>
      <c r="F57" s="28">
        <v>7.4320000000000004</v>
      </c>
      <c r="G57" s="18">
        <v>642124.80000000005</v>
      </c>
      <c r="H57" s="18">
        <v>0.64212480000000005</v>
      </c>
      <c r="I57" s="18">
        <v>20795</v>
      </c>
      <c r="J57" s="28">
        <v>2.0795000000000001E-2</v>
      </c>
      <c r="K57" s="18">
        <v>6162</v>
      </c>
      <c r="L57" s="18">
        <v>6.1619999999999999E-3</v>
      </c>
      <c r="M57" s="18">
        <f t="shared" si="1"/>
        <v>2.6957000000000002E-2</v>
      </c>
      <c r="N57" s="25">
        <v>2.7998599999999998E-2</v>
      </c>
      <c r="O57" s="2">
        <f t="shared" si="0"/>
        <v>0.58716920000000006</v>
      </c>
    </row>
    <row r="58" spans="1:15" x14ac:dyDescent="0.7">
      <c r="A58" s="26"/>
      <c r="B58" s="26"/>
      <c r="C58" s="26">
        <v>25</v>
      </c>
      <c r="D58" s="27">
        <v>7.5279999999999996</v>
      </c>
      <c r="E58" s="27">
        <v>0</v>
      </c>
      <c r="F58" s="28">
        <v>7.2610000000000001</v>
      </c>
      <c r="G58" s="18">
        <v>627350.4</v>
      </c>
      <c r="H58" s="18">
        <v>0.62735039999999997</v>
      </c>
      <c r="I58" s="18">
        <v>26907</v>
      </c>
      <c r="J58" s="28">
        <v>2.6907E-2</v>
      </c>
      <c r="K58" s="18">
        <v>6153</v>
      </c>
      <c r="L58" s="18">
        <v>6.1529999999999996E-3</v>
      </c>
      <c r="M58" s="18">
        <f t="shared" si="1"/>
        <v>3.3059999999999999E-2</v>
      </c>
      <c r="N58" s="25">
        <v>3.7071599999999996E-2</v>
      </c>
      <c r="O58" s="2">
        <f t="shared" si="0"/>
        <v>0.55721880000000001</v>
      </c>
    </row>
    <row r="59" spans="1:15" x14ac:dyDescent="0.7">
      <c r="A59" s="26"/>
      <c r="B59" s="26"/>
      <c r="C59" s="26">
        <v>26</v>
      </c>
      <c r="D59" s="28">
        <v>7.3360000000000003</v>
      </c>
      <c r="E59" s="27">
        <v>0</v>
      </c>
      <c r="F59" s="28">
        <v>7.109</v>
      </c>
      <c r="G59" s="18">
        <v>614217.6</v>
      </c>
      <c r="H59" s="18">
        <v>0.61421760000000003</v>
      </c>
      <c r="I59" s="18">
        <v>24983</v>
      </c>
      <c r="J59" s="28">
        <v>2.4983000000000002E-2</v>
      </c>
      <c r="K59" s="18">
        <v>6409</v>
      </c>
      <c r="L59" s="18">
        <v>6.4089999999999998E-3</v>
      </c>
      <c r="M59" s="18">
        <f t="shared" si="1"/>
        <v>3.1392000000000003E-2</v>
      </c>
      <c r="N59" s="25">
        <v>3.7065599999999997E-2</v>
      </c>
      <c r="O59" s="2">
        <f t="shared" si="0"/>
        <v>0.54576000000000002</v>
      </c>
    </row>
    <row r="60" spans="1:15" x14ac:dyDescent="0.7">
      <c r="A60" s="26"/>
      <c r="B60" s="26"/>
      <c r="C60" s="26">
        <v>27</v>
      </c>
      <c r="D60" s="28">
        <v>7.1859999999999999</v>
      </c>
      <c r="E60" s="27">
        <v>0</v>
      </c>
      <c r="F60" s="28">
        <v>6.91</v>
      </c>
      <c r="G60" s="18">
        <v>597024</v>
      </c>
      <c r="H60" s="18">
        <v>0.597024</v>
      </c>
      <c r="I60" s="18">
        <v>24680</v>
      </c>
      <c r="J60" s="28">
        <v>2.4680000000000001E-2</v>
      </c>
      <c r="K60" s="18">
        <v>5523</v>
      </c>
      <c r="L60" s="18">
        <v>5.5230000000000001E-3</v>
      </c>
      <c r="M60" s="18">
        <f t="shared" si="1"/>
        <v>3.0203000000000001E-2</v>
      </c>
      <c r="N60" s="25">
        <v>2.3457599999999999E-2</v>
      </c>
      <c r="O60" s="2">
        <f t="shared" si="0"/>
        <v>0.54336340000000005</v>
      </c>
    </row>
    <row r="61" spans="1:15" s="47" customFormat="1" x14ac:dyDescent="0.7">
      <c r="A61" s="26"/>
      <c r="B61" s="26" t="s">
        <v>16</v>
      </c>
      <c r="C61" s="26">
        <v>28</v>
      </c>
      <c r="D61" s="27">
        <v>7.032</v>
      </c>
      <c r="E61" s="27">
        <v>0</v>
      </c>
      <c r="F61" s="27">
        <v>6.6920000000000002</v>
      </c>
      <c r="G61" s="27">
        <v>578188.80000000005</v>
      </c>
      <c r="H61" s="27">
        <v>0.57818880000000006</v>
      </c>
      <c r="I61" s="18">
        <v>15314</v>
      </c>
      <c r="J61" s="28">
        <v>1.5313999999999999E-2</v>
      </c>
      <c r="K61" s="18">
        <v>5574</v>
      </c>
      <c r="L61" s="18">
        <v>5.574E-3</v>
      </c>
      <c r="M61" s="18">
        <f t="shared" si="1"/>
        <v>2.0888E-2</v>
      </c>
      <c r="N61" s="25">
        <v>3.62016E-2</v>
      </c>
      <c r="O61" s="2">
        <f t="shared" si="0"/>
        <v>0.5210992000000001</v>
      </c>
    </row>
    <row r="62" spans="1:15" x14ac:dyDescent="0.7">
      <c r="A62" s="23"/>
      <c r="B62" s="23" t="s">
        <v>17</v>
      </c>
      <c r="C62" s="23">
        <v>1</v>
      </c>
      <c r="D62" s="24">
        <v>6.7880000000000003</v>
      </c>
      <c r="E62" s="24">
        <v>0</v>
      </c>
      <c r="F62" s="32">
        <v>6.5519999999999996</v>
      </c>
      <c r="G62" s="17">
        <v>566092.79999999993</v>
      </c>
      <c r="H62" s="17">
        <v>0.56609279999999995</v>
      </c>
      <c r="I62" s="17">
        <v>13776</v>
      </c>
      <c r="J62" s="32">
        <v>1.3776E-2</v>
      </c>
      <c r="K62" s="17">
        <v>5415</v>
      </c>
      <c r="L62" s="17">
        <v>5.4149999999999997E-3</v>
      </c>
      <c r="M62" s="17">
        <f t="shared" si="1"/>
        <v>1.9191E-2</v>
      </c>
      <c r="N62" s="20">
        <v>3.10608E-2</v>
      </c>
      <c r="O62" s="2">
        <f t="shared" si="0"/>
        <v>0.51584099999999999</v>
      </c>
    </row>
    <row r="63" spans="1:15" x14ac:dyDescent="0.7">
      <c r="A63" s="26"/>
      <c r="B63" s="26"/>
      <c r="C63" s="26">
        <v>2</v>
      </c>
      <c r="D63" s="28">
        <v>6.5949999999999998</v>
      </c>
      <c r="E63" s="27">
        <v>0</v>
      </c>
      <c r="F63" s="28">
        <v>6.4630000000000001</v>
      </c>
      <c r="G63" s="18">
        <v>558403.19999999995</v>
      </c>
      <c r="H63" s="18">
        <v>0.55840319999999999</v>
      </c>
      <c r="I63" s="18">
        <v>14194</v>
      </c>
      <c r="J63" s="28">
        <v>1.4194E-2</v>
      </c>
      <c r="K63" s="18">
        <v>529</v>
      </c>
      <c r="L63" s="18">
        <v>5.2899999999999996E-4</v>
      </c>
      <c r="M63" s="18">
        <f t="shared" si="1"/>
        <v>1.4723E-2</v>
      </c>
      <c r="N63" s="25">
        <v>3.10608E-2</v>
      </c>
      <c r="O63" s="2">
        <f t="shared" si="0"/>
        <v>0.51261939999999995</v>
      </c>
    </row>
    <row r="64" spans="1:15" x14ac:dyDescent="0.7">
      <c r="A64" s="26"/>
      <c r="B64" s="26"/>
      <c r="C64" s="26">
        <v>3</v>
      </c>
      <c r="D64" s="28">
        <v>6.508</v>
      </c>
      <c r="E64" s="27">
        <v>0</v>
      </c>
      <c r="F64" s="28">
        <v>6.383</v>
      </c>
      <c r="G64" s="18">
        <v>551491.19999999995</v>
      </c>
      <c r="H64" s="18">
        <v>0.55149119999999996</v>
      </c>
      <c r="I64" s="18">
        <v>24966</v>
      </c>
      <c r="J64" s="28">
        <v>2.4965999999999999E-2</v>
      </c>
      <c r="K64" s="18">
        <v>0</v>
      </c>
      <c r="L64" s="18">
        <v>0</v>
      </c>
      <c r="M64" s="18">
        <f t="shared" si="1"/>
        <v>2.4965999999999999E-2</v>
      </c>
      <c r="N64" s="25">
        <v>3.10608E-2</v>
      </c>
      <c r="O64" s="2">
        <f t="shared" si="0"/>
        <v>0.49546439999999992</v>
      </c>
    </row>
    <row r="65" spans="1:15" x14ac:dyDescent="0.7">
      <c r="A65" s="26"/>
      <c r="B65" s="26"/>
      <c r="C65" s="26">
        <v>4</v>
      </c>
      <c r="D65" s="28">
        <v>6.4169999999999998</v>
      </c>
      <c r="E65" s="27">
        <v>0</v>
      </c>
      <c r="F65" s="28">
        <v>6.3209999999999997</v>
      </c>
      <c r="G65" s="18">
        <v>546134.4</v>
      </c>
      <c r="H65" s="18">
        <v>0.54613440000000002</v>
      </c>
      <c r="I65" s="18">
        <v>21432</v>
      </c>
      <c r="J65" s="28">
        <v>2.1432E-2</v>
      </c>
      <c r="K65" s="18">
        <v>0</v>
      </c>
      <c r="L65" s="18">
        <v>0</v>
      </c>
      <c r="M65" s="18">
        <f t="shared" si="1"/>
        <v>2.1432E-2</v>
      </c>
      <c r="N65" s="25">
        <v>1.3780799999999999E-2</v>
      </c>
      <c r="O65" s="2">
        <f t="shared" si="0"/>
        <v>0.51092159999999998</v>
      </c>
    </row>
    <row r="66" spans="1:15" x14ac:dyDescent="0.7">
      <c r="A66" s="26"/>
      <c r="B66" s="26"/>
      <c r="C66" s="26">
        <v>5</v>
      </c>
      <c r="D66" s="28">
        <v>6.3479999999999999</v>
      </c>
      <c r="E66" s="27">
        <v>0</v>
      </c>
      <c r="F66" s="28">
        <v>6.2450000000000001</v>
      </c>
      <c r="G66" s="18">
        <v>539568</v>
      </c>
      <c r="H66" s="18">
        <v>0.53956800000000005</v>
      </c>
      <c r="I66" s="18">
        <v>23131</v>
      </c>
      <c r="J66" s="28">
        <v>2.3130999999999999E-2</v>
      </c>
      <c r="K66" s="18">
        <v>0</v>
      </c>
      <c r="L66" s="18">
        <v>0</v>
      </c>
      <c r="M66" s="18">
        <f t="shared" si="1"/>
        <v>2.3130999999999999E-2</v>
      </c>
      <c r="N66" s="25">
        <v>8.2900799999999997E-2</v>
      </c>
      <c r="O66" s="2">
        <f t="shared" si="0"/>
        <v>0.43353620000000004</v>
      </c>
    </row>
    <row r="67" spans="1:15" x14ac:dyDescent="0.7">
      <c r="A67" s="26"/>
      <c r="B67" s="26"/>
      <c r="C67" s="26">
        <v>6</v>
      </c>
      <c r="D67" s="28">
        <v>6.2930000000000001</v>
      </c>
      <c r="E67" s="27">
        <v>0</v>
      </c>
      <c r="F67" s="28">
        <v>6.1630000000000003</v>
      </c>
      <c r="G67" s="18">
        <v>532483.20000000007</v>
      </c>
      <c r="H67" s="18">
        <v>0.53248320000000005</v>
      </c>
      <c r="I67" s="18">
        <v>30648</v>
      </c>
      <c r="J67" s="28">
        <v>3.0648000000000002E-2</v>
      </c>
      <c r="K67" s="18">
        <v>0</v>
      </c>
      <c r="L67" s="18">
        <v>0</v>
      </c>
      <c r="M67" s="18">
        <f t="shared" si="1"/>
        <v>3.0648000000000002E-2</v>
      </c>
      <c r="N67" s="25">
        <v>8.2900799999999997E-2</v>
      </c>
      <c r="O67" s="2">
        <f t="shared" ref="O67:O130" si="2">H67-M67-N67</f>
        <v>0.41893440000000004</v>
      </c>
    </row>
    <row r="68" spans="1:15" x14ac:dyDescent="0.7">
      <c r="A68" s="26"/>
      <c r="B68" s="26"/>
      <c r="C68" s="26">
        <v>7</v>
      </c>
      <c r="D68" s="28">
        <v>6.1970000000000001</v>
      </c>
      <c r="E68" s="27">
        <v>0</v>
      </c>
      <c r="F68" s="28">
        <v>6.0890000000000004</v>
      </c>
      <c r="G68" s="18">
        <v>526089.60000000009</v>
      </c>
      <c r="H68" s="18">
        <v>0.52608960000000005</v>
      </c>
      <c r="I68" s="18">
        <v>26714</v>
      </c>
      <c r="J68" s="28">
        <v>2.6714000000000002E-2</v>
      </c>
      <c r="K68" s="18">
        <v>0</v>
      </c>
      <c r="L68" s="18">
        <v>0</v>
      </c>
      <c r="M68" s="18">
        <f t="shared" ref="M68:M131" si="3">J68+L68</f>
        <v>2.6714000000000002E-2</v>
      </c>
      <c r="N68" s="25">
        <v>8.2900799999999997E-2</v>
      </c>
      <c r="O68" s="2">
        <f t="shared" si="2"/>
        <v>0.41647480000000003</v>
      </c>
    </row>
    <row r="69" spans="1:15" x14ac:dyDescent="0.7">
      <c r="A69" s="26"/>
      <c r="B69" s="26"/>
      <c r="C69" s="26">
        <v>8</v>
      </c>
      <c r="D69" s="28">
        <v>6.1289999999999996</v>
      </c>
      <c r="E69" s="27">
        <v>0</v>
      </c>
      <c r="F69" s="28">
        <v>5.9779999999999998</v>
      </c>
      <c r="G69" s="18">
        <v>516499.19999999995</v>
      </c>
      <c r="H69" s="18">
        <v>0.51649919999999994</v>
      </c>
      <c r="I69" s="18">
        <v>40713</v>
      </c>
      <c r="J69" s="28">
        <v>4.0712999999999999E-2</v>
      </c>
      <c r="K69" s="18">
        <v>0</v>
      </c>
      <c r="L69" s="18">
        <v>0</v>
      </c>
      <c r="M69" s="18">
        <f t="shared" si="3"/>
        <v>4.0712999999999999E-2</v>
      </c>
      <c r="N69" s="25">
        <v>8.2900799999999997E-2</v>
      </c>
      <c r="O69" s="2">
        <f t="shared" si="2"/>
        <v>0.39288539999999994</v>
      </c>
    </row>
    <row r="70" spans="1:15" x14ac:dyDescent="0.7">
      <c r="A70" s="26"/>
      <c r="B70" s="26"/>
      <c r="C70" s="26">
        <v>9</v>
      </c>
      <c r="D70" s="27">
        <v>6.048</v>
      </c>
      <c r="E70" s="27">
        <v>0</v>
      </c>
      <c r="F70" s="28">
        <v>5.86</v>
      </c>
      <c r="G70" s="18">
        <v>506304</v>
      </c>
      <c r="H70" s="18">
        <v>0.50630399999999998</v>
      </c>
      <c r="I70" s="18">
        <v>41270</v>
      </c>
      <c r="J70" s="28">
        <v>4.1270000000000001E-2</v>
      </c>
      <c r="K70" s="18">
        <v>0</v>
      </c>
      <c r="L70" s="18">
        <v>0</v>
      </c>
      <c r="M70" s="18">
        <f t="shared" si="3"/>
        <v>4.1270000000000001E-2</v>
      </c>
      <c r="N70" s="25">
        <v>8.2900799999999997E-2</v>
      </c>
      <c r="O70" s="2">
        <f t="shared" si="2"/>
        <v>0.38213319999999995</v>
      </c>
    </row>
    <row r="71" spans="1:15" x14ac:dyDescent="0.7">
      <c r="A71" s="26"/>
      <c r="B71" s="26"/>
      <c r="C71" s="26">
        <v>10</v>
      </c>
      <c r="D71" s="27">
        <v>5.9080000000000004</v>
      </c>
      <c r="E71" s="27">
        <v>0</v>
      </c>
      <c r="F71" s="28">
        <v>5.7569999999999997</v>
      </c>
      <c r="G71" s="18">
        <v>497404.8</v>
      </c>
      <c r="H71" s="18">
        <v>0.49740479999999998</v>
      </c>
      <c r="I71" s="18">
        <v>36059</v>
      </c>
      <c r="J71" s="28">
        <v>3.6059000000000001E-2</v>
      </c>
      <c r="K71" s="18">
        <v>0</v>
      </c>
      <c r="L71" s="18">
        <v>0</v>
      </c>
      <c r="M71" s="18">
        <f t="shared" si="3"/>
        <v>3.6059000000000001E-2</v>
      </c>
      <c r="N71" s="25">
        <v>8.8041600000000012E-2</v>
      </c>
      <c r="O71" s="2">
        <f t="shared" si="2"/>
        <v>0.37330419999999997</v>
      </c>
    </row>
    <row r="72" spans="1:15" x14ac:dyDescent="0.7">
      <c r="A72" s="26"/>
      <c r="B72" s="26"/>
      <c r="C72" s="26">
        <v>11</v>
      </c>
      <c r="D72" s="27">
        <v>5.8120000000000003</v>
      </c>
      <c r="E72" s="27">
        <v>0</v>
      </c>
      <c r="F72" s="28">
        <v>5.6130000000000004</v>
      </c>
      <c r="G72" s="18">
        <v>484963.2</v>
      </c>
      <c r="H72" s="18">
        <v>0.48496320000000004</v>
      </c>
      <c r="I72" s="18">
        <v>33712</v>
      </c>
      <c r="J72" s="28">
        <v>3.3711999999999999E-2</v>
      </c>
      <c r="K72" s="18">
        <v>5303</v>
      </c>
      <c r="L72" s="18">
        <v>5.3030000000000004E-3</v>
      </c>
      <c r="M72" s="18">
        <f t="shared" si="3"/>
        <v>3.9015000000000001E-2</v>
      </c>
      <c r="N72" s="25">
        <v>3.10608E-2</v>
      </c>
      <c r="O72" s="2">
        <f t="shared" si="2"/>
        <v>0.41488740000000002</v>
      </c>
    </row>
    <row r="73" spans="1:15" x14ac:dyDescent="0.7">
      <c r="A73" s="26"/>
      <c r="B73" s="26"/>
      <c r="C73" s="26">
        <v>12</v>
      </c>
      <c r="D73" s="27">
        <v>5.702</v>
      </c>
      <c r="E73" s="27">
        <v>0</v>
      </c>
      <c r="F73" s="28">
        <v>6.4489999999999998</v>
      </c>
      <c r="G73" s="18">
        <v>557193.6</v>
      </c>
      <c r="H73" s="18">
        <v>0.55719359999999996</v>
      </c>
      <c r="I73" s="18">
        <v>31449</v>
      </c>
      <c r="J73" s="28">
        <v>3.1448999999999998E-2</v>
      </c>
      <c r="K73" s="18">
        <v>5624</v>
      </c>
      <c r="L73" s="18">
        <v>5.6239999999999997E-3</v>
      </c>
      <c r="M73" s="18">
        <f t="shared" si="3"/>
        <v>3.7072999999999995E-2</v>
      </c>
      <c r="N73" s="25">
        <v>3.62016E-2</v>
      </c>
      <c r="O73" s="2">
        <f t="shared" si="2"/>
        <v>0.48391899999999993</v>
      </c>
    </row>
    <row r="74" spans="1:15" x14ac:dyDescent="0.7">
      <c r="A74" s="26"/>
      <c r="B74" s="26"/>
      <c r="C74" s="26">
        <v>13</v>
      </c>
      <c r="D74" s="28">
        <v>5.524</v>
      </c>
      <c r="E74" s="27">
        <v>1</v>
      </c>
      <c r="F74" s="28">
        <v>7.3739999999999997</v>
      </c>
      <c r="G74" s="18">
        <v>637113.59999999998</v>
      </c>
      <c r="H74" s="18">
        <v>0.63711359999999995</v>
      </c>
      <c r="I74" s="18">
        <v>33006</v>
      </c>
      <c r="J74" s="28">
        <v>3.3006000000000001E-2</v>
      </c>
      <c r="K74" s="18">
        <v>3669</v>
      </c>
      <c r="L74" s="18">
        <v>3.669E-3</v>
      </c>
      <c r="M74" s="18">
        <f t="shared" si="3"/>
        <v>3.6674999999999999E-2</v>
      </c>
      <c r="N74" s="25">
        <v>2.5919999999999999E-2</v>
      </c>
      <c r="O74" s="2">
        <f t="shared" si="2"/>
        <v>0.57451859999999999</v>
      </c>
    </row>
    <row r="75" spans="1:15" x14ac:dyDescent="0.7">
      <c r="A75" s="26"/>
      <c r="B75" s="26"/>
      <c r="C75" s="26">
        <v>14</v>
      </c>
      <c r="D75" s="28">
        <v>7.3739999999999997</v>
      </c>
      <c r="E75" s="27">
        <v>9.8000000000000007</v>
      </c>
      <c r="F75" s="28">
        <v>7.3739999999999997</v>
      </c>
      <c r="G75" s="18">
        <v>637113.59999999998</v>
      </c>
      <c r="H75" s="18">
        <v>0.63711359999999995</v>
      </c>
      <c r="I75" s="18">
        <v>33049</v>
      </c>
      <c r="J75" s="28">
        <v>3.3049000000000002E-2</v>
      </c>
      <c r="K75" s="18">
        <v>4778</v>
      </c>
      <c r="L75" s="18">
        <v>4.7780000000000001E-3</v>
      </c>
      <c r="M75" s="18">
        <f t="shared" si="3"/>
        <v>3.7827E-2</v>
      </c>
      <c r="N75" s="25">
        <v>2.5919999999999999E-2</v>
      </c>
      <c r="O75" s="2">
        <f t="shared" si="2"/>
        <v>0.57336659999999995</v>
      </c>
    </row>
    <row r="76" spans="1:15" x14ac:dyDescent="0.7">
      <c r="A76" s="26"/>
      <c r="B76" s="26"/>
      <c r="C76" s="26">
        <v>15</v>
      </c>
      <c r="D76" s="27">
        <v>7.3739999999999997</v>
      </c>
      <c r="E76" s="27">
        <v>0</v>
      </c>
      <c r="F76" s="28">
        <v>7.3739999999999997</v>
      </c>
      <c r="G76" s="18">
        <v>637113.59999999998</v>
      </c>
      <c r="H76" s="18">
        <v>0.63711359999999995</v>
      </c>
      <c r="I76" s="18">
        <v>29518</v>
      </c>
      <c r="J76" s="28">
        <v>2.9517999999999999E-2</v>
      </c>
      <c r="K76" s="18">
        <v>6479</v>
      </c>
      <c r="L76" s="18">
        <v>6.4790000000000004E-3</v>
      </c>
      <c r="M76" s="18">
        <f t="shared" si="3"/>
        <v>3.5997000000000001E-2</v>
      </c>
      <c r="N76" s="25">
        <v>2.5919999999999999E-2</v>
      </c>
      <c r="O76" s="2">
        <f t="shared" si="2"/>
        <v>0.57519659999999995</v>
      </c>
    </row>
    <row r="77" spans="1:15" x14ac:dyDescent="0.7">
      <c r="A77" s="26"/>
      <c r="B77" s="26"/>
      <c r="C77" s="26">
        <v>16</v>
      </c>
      <c r="D77" s="27">
        <v>7.3739999999999997</v>
      </c>
      <c r="E77" s="27">
        <v>0</v>
      </c>
      <c r="F77" s="28">
        <v>7.2930000000000001</v>
      </c>
      <c r="G77" s="18">
        <v>630115.20000000007</v>
      </c>
      <c r="H77" s="18">
        <v>0.6301152000000001</v>
      </c>
      <c r="I77" s="18">
        <v>30865</v>
      </c>
      <c r="J77" s="28">
        <v>3.0865E-2</v>
      </c>
      <c r="K77" s="18">
        <v>5739</v>
      </c>
      <c r="L77" s="18">
        <v>5.7390000000000002E-3</v>
      </c>
      <c r="M77" s="18">
        <f t="shared" si="3"/>
        <v>3.6603999999999998E-2</v>
      </c>
      <c r="N77" s="25">
        <v>2.5919999999999999E-2</v>
      </c>
      <c r="O77" s="2">
        <f t="shared" si="2"/>
        <v>0.56759120000000007</v>
      </c>
    </row>
    <row r="78" spans="1:15" x14ac:dyDescent="0.7">
      <c r="A78" s="26"/>
      <c r="B78" s="26"/>
      <c r="C78" s="26">
        <v>17</v>
      </c>
      <c r="D78" s="28">
        <v>7.3739999999999997</v>
      </c>
      <c r="E78" s="27">
        <v>0.2</v>
      </c>
      <c r="F78" s="28">
        <v>7.0620000000000003</v>
      </c>
      <c r="G78" s="18">
        <v>610156.80000000005</v>
      </c>
      <c r="H78" s="18">
        <v>0.61015680000000005</v>
      </c>
      <c r="I78" s="18">
        <v>31062</v>
      </c>
      <c r="J78" s="28">
        <v>3.1061999999999999E-2</v>
      </c>
      <c r="K78" s="18">
        <v>4559</v>
      </c>
      <c r="L78" s="18">
        <v>4.5589999999999997E-3</v>
      </c>
      <c r="M78" s="18">
        <f t="shared" si="3"/>
        <v>3.5621E-2</v>
      </c>
      <c r="N78" s="25">
        <v>2.5919999999999999E-2</v>
      </c>
      <c r="O78" s="2">
        <f t="shared" si="2"/>
        <v>0.5486158000000001</v>
      </c>
    </row>
    <row r="79" spans="1:15" x14ac:dyDescent="0.7">
      <c r="A79" s="26"/>
      <c r="B79" s="26"/>
      <c r="C79" s="26">
        <v>18</v>
      </c>
      <c r="D79" s="28">
        <v>7.2119999999999997</v>
      </c>
      <c r="E79" s="27">
        <v>0</v>
      </c>
      <c r="F79" s="28">
        <v>6.9119999999999999</v>
      </c>
      <c r="G79" s="18">
        <v>597196.80000000005</v>
      </c>
      <c r="H79" s="18">
        <v>0.59719680000000008</v>
      </c>
      <c r="I79" s="18">
        <v>29609</v>
      </c>
      <c r="J79" s="28">
        <v>2.9609E-2</v>
      </c>
      <c r="K79" s="18">
        <v>5382</v>
      </c>
      <c r="L79" s="18">
        <v>5.3819999999999996E-3</v>
      </c>
      <c r="M79" s="18">
        <f t="shared" si="3"/>
        <v>3.4991000000000001E-2</v>
      </c>
      <c r="N79" s="25">
        <v>2.5919999999999999E-2</v>
      </c>
      <c r="O79" s="2">
        <f t="shared" si="2"/>
        <v>0.53628580000000015</v>
      </c>
    </row>
    <row r="80" spans="1:15" x14ac:dyDescent="0.7">
      <c r="A80" s="26"/>
      <c r="B80" s="26"/>
      <c r="C80" s="26">
        <v>19</v>
      </c>
      <c r="D80" s="28">
        <v>6.9119999999999999</v>
      </c>
      <c r="E80" s="27">
        <v>0</v>
      </c>
      <c r="F80" s="28">
        <v>7.4340000000000002</v>
      </c>
      <c r="G80" s="18">
        <v>642297.59999999998</v>
      </c>
      <c r="H80" s="18">
        <v>0.64229760000000002</v>
      </c>
      <c r="I80" s="18">
        <v>23733</v>
      </c>
      <c r="J80" s="28">
        <v>2.3733000000000001E-2</v>
      </c>
      <c r="K80" s="18">
        <v>5279</v>
      </c>
      <c r="L80" s="18">
        <v>5.2789999999999998E-3</v>
      </c>
      <c r="M80" s="18">
        <f t="shared" si="3"/>
        <v>2.9012E-2</v>
      </c>
      <c r="N80" s="25">
        <v>2.5919999999999999E-2</v>
      </c>
      <c r="O80" s="2">
        <f t="shared" si="2"/>
        <v>0.58736560000000004</v>
      </c>
    </row>
    <row r="81" spans="1:15" x14ac:dyDescent="0.7">
      <c r="A81" s="26"/>
      <c r="B81" s="26"/>
      <c r="C81" s="26">
        <v>20</v>
      </c>
      <c r="D81" s="27">
        <v>6.9119999999999999</v>
      </c>
      <c r="E81" s="27">
        <v>10.7</v>
      </c>
      <c r="F81" s="28">
        <v>7.4960000000000004</v>
      </c>
      <c r="G81" s="18">
        <v>647654.40000000002</v>
      </c>
      <c r="H81" s="18">
        <v>0.64765440000000007</v>
      </c>
      <c r="I81" s="18">
        <v>18904</v>
      </c>
      <c r="J81" s="28">
        <v>1.8904000000000001E-2</v>
      </c>
      <c r="K81" s="18">
        <v>5089</v>
      </c>
      <c r="L81" s="18">
        <v>5.0889999999999998E-3</v>
      </c>
      <c r="M81" s="18">
        <f t="shared" si="3"/>
        <v>2.3993E-2</v>
      </c>
      <c r="N81" s="25">
        <v>2.5919999999999999E-2</v>
      </c>
      <c r="O81" s="2">
        <f t="shared" si="2"/>
        <v>0.59774140000000009</v>
      </c>
    </row>
    <row r="82" spans="1:15" x14ac:dyDescent="0.7">
      <c r="A82" s="26"/>
      <c r="B82" s="26"/>
      <c r="C82" s="26">
        <v>21</v>
      </c>
      <c r="D82" s="28">
        <v>7.9560000000000004</v>
      </c>
      <c r="E82" s="27">
        <v>0</v>
      </c>
      <c r="F82" s="28">
        <v>6.7930000000000001</v>
      </c>
      <c r="G82" s="18">
        <v>586915.20000000007</v>
      </c>
      <c r="H82" s="18">
        <v>0.58691520000000008</v>
      </c>
      <c r="I82" s="18">
        <v>12634</v>
      </c>
      <c r="J82" s="28">
        <v>1.2633999999999999E-2</v>
      </c>
      <c r="K82" s="18">
        <v>5266</v>
      </c>
      <c r="L82" s="18">
        <v>5.2659999999999998E-3</v>
      </c>
      <c r="M82" s="18">
        <f t="shared" si="3"/>
        <v>1.7899999999999999E-2</v>
      </c>
      <c r="N82" s="25">
        <v>2.5919999999999999E-2</v>
      </c>
      <c r="O82" s="2">
        <f t="shared" si="2"/>
        <v>0.5430952</v>
      </c>
    </row>
    <row r="83" spans="1:15" x14ac:dyDescent="0.7">
      <c r="A83" s="26"/>
      <c r="B83" s="26"/>
      <c r="C83" s="26">
        <v>22</v>
      </c>
      <c r="D83" s="28">
        <v>7.0359999999999996</v>
      </c>
      <c r="E83" s="27">
        <v>0</v>
      </c>
      <c r="F83" s="28">
        <v>6.5030000000000001</v>
      </c>
      <c r="G83" s="18">
        <v>561859.19999999995</v>
      </c>
      <c r="H83" s="18">
        <v>0.5618592</v>
      </c>
      <c r="I83" s="18">
        <v>13444</v>
      </c>
      <c r="J83" s="28">
        <v>1.3443999999999999E-2</v>
      </c>
      <c r="K83" s="18">
        <v>5778</v>
      </c>
      <c r="L83" s="18">
        <v>5.7780000000000001E-3</v>
      </c>
      <c r="M83" s="18">
        <f t="shared" si="3"/>
        <v>1.9222E-2</v>
      </c>
      <c r="N83" s="25">
        <v>2.5919999999999999E-2</v>
      </c>
      <c r="O83" s="2">
        <f t="shared" si="2"/>
        <v>0.51671719999999999</v>
      </c>
    </row>
    <row r="84" spans="1:15" x14ac:dyDescent="0.7">
      <c r="A84" s="26"/>
      <c r="B84" s="26"/>
      <c r="C84" s="26">
        <v>23</v>
      </c>
      <c r="D84" s="28">
        <v>6.55</v>
      </c>
      <c r="E84" s="27">
        <v>0</v>
      </c>
      <c r="F84" s="28">
        <v>6.319</v>
      </c>
      <c r="G84" s="18">
        <v>545961.6</v>
      </c>
      <c r="H84" s="18">
        <v>0.54596159999999994</v>
      </c>
      <c r="I84" s="18">
        <v>23417</v>
      </c>
      <c r="J84" s="28">
        <v>2.3417E-2</v>
      </c>
      <c r="K84" s="18">
        <v>30</v>
      </c>
      <c r="L84" s="18">
        <v>3.0000000000000001E-5</v>
      </c>
      <c r="M84" s="18">
        <f t="shared" si="3"/>
        <v>2.3446999999999999E-2</v>
      </c>
      <c r="N84" s="25">
        <v>2.5919999999999999E-2</v>
      </c>
      <c r="O84" s="2">
        <f t="shared" si="2"/>
        <v>0.49659459999999994</v>
      </c>
    </row>
    <row r="85" spans="1:15" x14ac:dyDescent="0.7">
      <c r="A85" s="26"/>
      <c r="B85" s="26"/>
      <c r="C85" s="26">
        <v>24</v>
      </c>
      <c r="D85" s="28">
        <v>6.4550000000000001</v>
      </c>
      <c r="E85" s="27">
        <v>0</v>
      </c>
      <c r="F85" s="28">
        <v>6.1180000000000003</v>
      </c>
      <c r="G85" s="18">
        <v>528595.20000000007</v>
      </c>
      <c r="H85" s="18">
        <v>0.52859520000000004</v>
      </c>
      <c r="I85" s="18">
        <v>13680</v>
      </c>
      <c r="J85" s="28">
        <v>1.3679999999999999E-2</v>
      </c>
      <c r="K85" s="18">
        <v>0</v>
      </c>
      <c r="L85" s="18">
        <v>0</v>
      </c>
      <c r="M85" s="18">
        <f t="shared" si="3"/>
        <v>1.3679999999999999E-2</v>
      </c>
      <c r="N85" s="25">
        <v>2.5919999999999999E-2</v>
      </c>
      <c r="O85" s="2">
        <f t="shared" si="2"/>
        <v>0.48899520000000002</v>
      </c>
    </row>
    <row r="86" spans="1:15" x14ac:dyDescent="0.7">
      <c r="A86" s="26"/>
      <c r="B86" s="26"/>
      <c r="C86" s="26">
        <v>25</v>
      </c>
      <c r="D86" s="27">
        <v>6.1829999999999998</v>
      </c>
      <c r="E86" s="27">
        <v>0</v>
      </c>
      <c r="F86" s="28">
        <v>6.0019999999999998</v>
      </c>
      <c r="G86" s="18">
        <v>518572.79999999999</v>
      </c>
      <c r="H86" s="18">
        <v>0.51857279999999994</v>
      </c>
      <c r="I86" s="18">
        <v>12812</v>
      </c>
      <c r="J86" s="28">
        <v>1.2812E-2</v>
      </c>
      <c r="K86" s="18">
        <v>0</v>
      </c>
      <c r="L86" s="18">
        <v>0</v>
      </c>
      <c r="M86" s="18">
        <f t="shared" si="3"/>
        <v>1.2812E-2</v>
      </c>
      <c r="N86" s="25">
        <v>2.5919999999999999E-2</v>
      </c>
      <c r="O86" s="2">
        <f t="shared" si="2"/>
        <v>0.4798407999999999</v>
      </c>
    </row>
    <row r="87" spans="1:15" x14ac:dyDescent="0.7">
      <c r="A87" s="26"/>
      <c r="B87" s="26"/>
      <c r="C87" s="26">
        <v>26</v>
      </c>
      <c r="D87" s="28">
        <v>6.0529999999999999</v>
      </c>
      <c r="E87" s="27">
        <v>0</v>
      </c>
      <c r="F87" s="28">
        <v>5.9059999999999997</v>
      </c>
      <c r="G87" s="18">
        <v>510278.39999999997</v>
      </c>
      <c r="H87" s="18">
        <v>0.51027839999999991</v>
      </c>
      <c r="I87" s="18">
        <v>12321</v>
      </c>
      <c r="J87" s="28">
        <v>1.2321E-2</v>
      </c>
      <c r="K87" s="18">
        <v>0</v>
      </c>
      <c r="L87" s="18">
        <v>0</v>
      </c>
      <c r="M87" s="18">
        <f t="shared" si="3"/>
        <v>1.2321E-2</v>
      </c>
      <c r="N87" s="25">
        <v>6.9120000000000001E-2</v>
      </c>
      <c r="O87" s="2">
        <f t="shared" si="2"/>
        <v>0.42883739999999987</v>
      </c>
    </row>
    <row r="88" spans="1:15" x14ac:dyDescent="0.7">
      <c r="A88" s="26"/>
      <c r="B88" s="26"/>
      <c r="C88" s="26">
        <v>27</v>
      </c>
      <c r="D88" s="28">
        <v>5.9509999999999996</v>
      </c>
      <c r="E88" s="27">
        <v>0</v>
      </c>
      <c r="F88" s="28">
        <v>5.4939999999999998</v>
      </c>
      <c r="G88" s="18">
        <v>474681.59999999998</v>
      </c>
      <c r="H88" s="18">
        <v>0.47468159999999998</v>
      </c>
      <c r="I88" s="18">
        <v>13212</v>
      </c>
      <c r="J88" s="28">
        <v>1.3212E-2</v>
      </c>
      <c r="K88" s="18">
        <v>0</v>
      </c>
      <c r="L88" s="18">
        <v>0</v>
      </c>
      <c r="M88" s="18">
        <f t="shared" si="3"/>
        <v>1.3212E-2</v>
      </c>
      <c r="N88" s="25">
        <v>6.9120000000000001E-2</v>
      </c>
      <c r="O88" s="2">
        <f t="shared" si="2"/>
        <v>0.39234959999999997</v>
      </c>
    </row>
    <row r="89" spans="1:15" x14ac:dyDescent="0.7">
      <c r="A89" s="26"/>
      <c r="B89" s="26"/>
      <c r="C89" s="26">
        <v>28</v>
      </c>
      <c r="D89" s="28">
        <v>5.8609999999999998</v>
      </c>
      <c r="E89" s="27">
        <v>0</v>
      </c>
      <c r="F89" s="28">
        <v>5.0030000000000001</v>
      </c>
      <c r="G89" s="18">
        <v>432259.2</v>
      </c>
      <c r="H89" s="18">
        <v>0.43225920000000001</v>
      </c>
      <c r="I89" s="18">
        <v>13578</v>
      </c>
      <c r="J89" s="28">
        <v>1.3578E-2</v>
      </c>
      <c r="K89" s="18">
        <v>0</v>
      </c>
      <c r="L89" s="18">
        <v>0</v>
      </c>
      <c r="M89" s="18">
        <f t="shared" si="3"/>
        <v>1.3578E-2</v>
      </c>
      <c r="N89" s="25">
        <v>6.9120000000000001E-2</v>
      </c>
      <c r="O89" s="2">
        <f t="shared" si="2"/>
        <v>0.34956120000000002</v>
      </c>
    </row>
    <row r="90" spans="1:15" x14ac:dyDescent="0.7">
      <c r="A90" s="26"/>
      <c r="B90" s="26"/>
      <c r="C90" s="26">
        <v>29</v>
      </c>
      <c r="D90" s="27">
        <v>5.1269999999999998</v>
      </c>
      <c r="E90" s="27">
        <v>0</v>
      </c>
      <c r="F90" s="28">
        <v>4.7709999999999999</v>
      </c>
      <c r="G90" s="18">
        <v>412214.39999999997</v>
      </c>
      <c r="H90" s="18">
        <v>0.41221439999999998</v>
      </c>
      <c r="I90" s="18">
        <v>11197</v>
      </c>
      <c r="J90" s="28">
        <v>1.1197E-2</v>
      </c>
      <c r="K90" s="18">
        <v>0</v>
      </c>
      <c r="L90" s="18">
        <v>0</v>
      </c>
      <c r="M90" s="18">
        <f t="shared" si="3"/>
        <v>1.1197E-2</v>
      </c>
      <c r="N90" s="25">
        <v>7.3440000000000005E-2</v>
      </c>
      <c r="O90" s="2">
        <f t="shared" si="2"/>
        <v>0.32757739999999996</v>
      </c>
    </row>
    <row r="91" spans="1:15" x14ac:dyDescent="0.7">
      <c r="A91" s="26"/>
      <c r="B91" s="26"/>
      <c r="C91" s="26">
        <v>30</v>
      </c>
      <c r="D91" s="27">
        <v>4.8780000000000001</v>
      </c>
      <c r="E91" s="27">
        <v>0</v>
      </c>
      <c r="F91" s="28">
        <v>4.6340000000000003</v>
      </c>
      <c r="G91" s="18">
        <v>400377.60000000003</v>
      </c>
      <c r="H91" s="18">
        <v>0.40037760000000006</v>
      </c>
      <c r="I91" s="18">
        <v>10459</v>
      </c>
      <c r="J91" s="28">
        <v>1.0459E-2</v>
      </c>
      <c r="K91" s="18">
        <v>0</v>
      </c>
      <c r="L91" s="18">
        <v>0</v>
      </c>
      <c r="M91" s="18">
        <f t="shared" si="3"/>
        <v>1.0459E-2</v>
      </c>
      <c r="N91" s="25">
        <v>7.3440000000000005E-2</v>
      </c>
      <c r="O91" s="2">
        <f t="shared" si="2"/>
        <v>0.31647860000000005</v>
      </c>
    </row>
    <row r="92" spans="1:15" s="47" customFormat="1" x14ac:dyDescent="0.7">
      <c r="A92" s="26"/>
      <c r="B92" s="26" t="s">
        <v>17</v>
      </c>
      <c r="C92" s="26">
        <v>31</v>
      </c>
      <c r="D92" s="27">
        <v>4.6639999999999997</v>
      </c>
      <c r="E92" s="27">
        <v>0</v>
      </c>
      <c r="F92" s="28">
        <v>4.5960000000000001</v>
      </c>
      <c r="G92" s="18">
        <v>397094.40000000002</v>
      </c>
      <c r="H92" s="18">
        <v>0.39709440000000001</v>
      </c>
      <c r="I92" s="18">
        <v>10873</v>
      </c>
      <c r="J92" s="28">
        <v>1.0873000000000001E-2</v>
      </c>
      <c r="K92" s="18">
        <v>0</v>
      </c>
      <c r="L92" s="18">
        <v>0</v>
      </c>
      <c r="M92" s="18">
        <f t="shared" si="3"/>
        <v>1.0873000000000001E-2</v>
      </c>
      <c r="N92" s="25">
        <v>4.3200000000000002E-2</v>
      </c>
      <c r="O92" s="2">
        <f t="shared" si="2"/>
        <v>0.34302139999999998</v>
      </c>
    </row>
    <row r="93" spans="1:15" x14ac:dyDescent="0.7">
      <c r="A93" s="23"/>
      <c r="B93" s="23" t="s">
        <v>18</v>
      </c>
      <c r="C93" s="23">
        <v>1</v>
      </c>
      <c r="D93" s="32">
        <v>4.6050000000000004</v>
      </c>
      <c r="E93" s="24">
        <v>0</v>
      </c>
      <c r="F93" s="32">
        <v>4.5880000000000001</v>
      </c>
      <c r="G93" s="17">
        <v>396403.20000000001</v>
      </c>
      <c r="H93" s="17">
        <v>0.39640320000000001</v>
      </c>
      <c r="I93" s="17">
        <v>12586</v>
      </c>
      <c r="J93" s="32">
        <v>1.2586E-2</v>
      </c>
      <c r="K93" s="17">
        <v>3587</v>
      </c>
      <c r="L93" s="17">
        <v>3.5869999999999999E-3</v>
      </c>
      <c r="M93" s="17">
        <f t="shared" si="3"/>
        <v>1.6173E-2</v>
      </c>
      <c r="N93" s="20">
        <v>4.3200000000000002E-2</v>
      </c>
      <c r="O93" s="2">
        <f t="shared" si="2"/>
        <v>0.3370302</v>
      </c>
    </row>
    <row r="94" spans="1:15" x14ac:dyDescent="0.7">
      <c r="A94" s="26"/>
      <c r="B94" s="26"/>
      <c r="C94" s="26">
        <v>2</v>
      </c>
      <c r="D94" s="27">
        <v>4.5880000000000001</v>
      </c>
      <c r="E94" s="27">
        <v>0</v>
      </c>
      <c r="F94" s="28">
        <v>4.4969999999999999</v>
      </c>
      <c r="G94" s="18">
        <v>388540.8</v>
      </c>
      <c r="H94" s="18">
        <v>0.38854079999999996</v>
      </c>
      <c r="I94" s="18">
        <v>15146</v>
      </c>
      <c r="J94" s="28">
        <v>1.5146E-2</v>
      </c>
      <c r="K94" s="18">
        <v>6184</v>
      </c>
      <c r="L94" s="18">
        <v>6.1840000000000003E-3</v>
      </c>
      <c r="M94" s="18">
        <f t="shared" si="3"/>
        <v>2.1330000000000002E-2</v>
      </c>
      <c r="N94" s="25">
        <v>5.3481599999999997E-2</v>
      </c>
      <c r="O94" s="2">
        <f t="shared" si="2"/>
        <v>0.31372919999999993</v>
      </c>
    </row>
    <row r="95" spans="1:15" x14ac:dyDescent="0.7">
      <c r="A95" s="26"/>
      <c r="B95" s="26"/>
      <c r="C95" s="26">
        <v>3</v>
      </c>
      <c r="D95" s="33">
        <v>4.5880000000000001</v>
      </c>
      <c r="E95" s="27">
        <v>0</v>
      </c>
      <c r="F95" s="33">
        <v>4.3540000000000001</v>
      </c>
      <c r="G95" s="18">
        <v>376185.60000000003</v>
      </c>
      <c r="H95" s="18">
        <v>0.37618560000000001</v>
      </c>
      <c r="I95" s="18">
        <v>13173</v>
      </c>
      <c r="J95" s="28">
        <v>1.3173000000000001E-2</v>
      </c>
      <c r="K95" s="18">
        <v>6548</v>
      </c>
      <c r="L95" s="18">
        <v>6.548E-3</v>
      </c>
      <c r="M95" s="18">
        <f t="shared" si="3"/>
        <v>1.9721000000000002E-2</v>
      </c>
      <c r="N95" s="25">
        <v>5.3481599999999997E-2</v>
      </c>
      <c r="O95" s="2">
        <f t="shared" si="2"/>
        <v>0.302983</v>
      </c>
    </row>
    <row r="96" spans="1:15" x14ac:dyDescent="0.7">
      <c r="A96" s="26"/>
      <c r="B96" s="26"/>
      <c r="C96" s="26">
        <v>4</v>
      </c>
      <c r="D96" s="27">
        <v>4.4059999999999997</v>
      </c>
      <c r="E96" s="27">
        <v>0</v>
      </c>
      <c r="F96" s="33">
        <v>4.3019999999999996</v>
      </c>
      <c r="G96" s="18">
        <v>371692.79999999999</v>
      </c>
      <c r="H96" s="18">
        <v>0.37169279999999999</v>
      </c>
      <c r="I96" s="18">
        <v>26774</v>
      </c>
      <c r="J96" s="28">
        <v>2.6773999999999999E-2</v>
      </c>
      <c r="K96" s="18">
        <v>6071</v>
      </c>
      <c r="L96" s="18">
        <v>6.071E-3</v>
      </c>
      <c r="M96" s="18">
        <f t="shared" si="3"/>
        <v>3.2844999999999999E-2</v>
      </c>
      <c r="N96" s="25">
        <v>5.3481599999999997E-2</v>
      </c>
      <c r="O96" s="2">
        <f t="shared" si="2"/>
        <v>0.28536619999999996</v>
      </c>
    </row>
    <row r="97" spans="1:15" x14ac:dyDescent="0.7">
      <c r="A97" s="26"/>
      <c r="B97" s="26"/>
      <c r="C97" s="26">
        <v>5</v>
      </c>
      <c r="D97" s="27">
        <v>4.3019999999999996</v>
      </c>
      <c r="E97" s="27">
        <v>0</v>
      </c>
      <c r="F97" s="33">
        <v>4.2560000000000002</v>
      </c>
      <c r="G97" s="18">
        <v>367718.40000000002</v>
      </c>
      <c r="H97" s="18">
        <v>0.3677184</v>
      </c>
      <c r="I97" s="18">
        <v>12064</v>
      </c>
      <c r="J97" s="28">
        <v>1.2064E-2</v>
      </c>
      <c r="K97" s="18">
        <v>5467</v>
      </c>
      <c r="L97" s="18">
        <v>5.4669999999999996E-3</v>
      </c>
      <c r="M97" s="18">
        <f t="shared" si="3"/>
        <v>1.7530999999999998E-2</v>
      </c>
      <c r="N97" s="25">
        <v>7.0761600000000008E-2</v>
      </c>
      <c r="O97" s="2">
        <f t="shared" si="2"/>
        <v>0.27942579999999995</v>
      </c>
    </row>
    <row r="98" spans="1:15" x14ac:dyDescent="0.7">
      <c r="A98" s="26"/>
      <c r="B98" s="26"/>
      <c r="C98" s="26">
        <v>6</v>
      </c>
      <c r="D98" s="33">
        <v>4.3019999999999996</v>
      </c>
      <c r="E98" s="27">
        <v>0</v>
      </c>
      <c r="F98" s="33">
        <v>4.21</v>
      </c>
      <c r="G98" s="18">
        <v>363744</v>
      </c>
      <c r="H98" s="18">
        <v>0.36374400000000001</v>
      </c>
      <c r="I98" s="18">
        <v>5585</v>
      </c>
      <c r="J98" s="28">
        <v>5.5849999999999997E-3</v>
      </c>
      <c r="K98" s="18">
        <v>6001</v>
      </c>
      <c r="L98" s="18">
        <v>6.0010000000000003E-3</v>
      </c>
      <c r="M98" s="18">
        <f t="shared" si="3"/>
        <v>1.1585999999999999E-2</v>
      </c>
      <c r="N98" s="25">
        <v>6.0479999999999999E-2</v>
      </c>
      <c r="O98" s="2">
        <f t="shared" si="2"/>
        <v>0.29167800000000005</v>
      </c>
    </row>
    <row r="99" spans="1:15" x14ac:dyDescent="0.7">
      <c r="A99" s="26"/>
      <c r="B99" s="26"/>
      <c r="C99" s="26">
        <v>7</v>
      </c>
      <c r="D99" s="33">
        <v>4.21</v>
      </c>
      <c r="E99" s="27">
        <v>0</v>
      </c>
      <c r="F99" s="33">
        <v>4.21</v>
      </c>
      <c r="G99" s="18">
        <v>363744</v>
      </c>
      <c r="H99" s="18">
        <v>0.36374400000000001</v>
      </c>
      <c r="I99" s="18">
        <v>12176</v>
      </c>
      <c r="J99" s="28">
        <v>1.2175999999999999E-2</v>
      </c>
      <c r="K99" s="18">
        <v>5168</v>
      </c>
      <c r="L99" s="18">
        <v>5.1679999999999999E-3</v>
      </c>
      <c r="M99" s="18">
        <f t="shared" si="3"/>
        <v>1.7343999999999998E-2</v>
      </c>
      <c r="N99" s="25">
        <v>6.0479999999999999E-2</v>
      </c>
      <c r="O99" s="2">
        <f t="shared" si="2"/>
        <v>0.28592000000000006</v>
      </c>
    </row>
    <row r="100" spans="1:15" x14ac:dyDescent="0.7">
      <c r="A100" s="26"/>
      <c r="B100" s="26"/>
      <c r="C100" s="26">
        <v>8</v>
      </c>
      <c r="D100" s="33">
        <v>4.21</v>
      </c>
      <c r="E100" s="27">
        <v>0</v>
      </c>
      <c r="F100" s="33">
        <v>4.1379999999999999</v>
      </c>
      <c r="G100" s="18">
        <v>357523.20000000001</v>
      </c>
      <c r="H100" s="18">
        <v>0.35752319999999999</v>
      </c>
      <c r="I100" s="18">
        <v>12646</v>
      </c>
      <c r="J100" s="28">
        <v>1.2645999999999999E-2</v>
      </c>
      <c r="K100" s="18">
        <v>5444</v>
      </c>
      <c r="L100" s="18">
        <v>5.4440000000000001E-3</v>
      </c>
      <c r="M100" s="18">
        <f t="shared" si="3"/>
        <v>1.8089999999999998E-2</v>
      </c>
      <c r="N100" s="25">
        <v>4.3200000000000002E-2</v>
      </c>
      <c r="O100" s="2">
        <f t="shared" si="2"/>
        <v>0.29623319999999997</v>
      </c>
    </row>
    <row r="101" spans="1:15" x14ac:dyDescent="0.7">
      <c r="A101" s="26"/>
      <c r="B101" s="26"/>
      <c r="C101" s="26">
        <v>9</v>
      </c>
      <c r="D101" s="28">
        <v>4.21</v>
      </c>
      <c r="E101" s="27">
        <v>0</v>
      </c>
      <c r="F101" s="28">
        <v>4.0140000000000002</v>
      </c>
      <c r="G101" s="18">
        <v>346809.60000000003</v>
      </c>
      <c r="H101" s="18">
        <v>0.34680960000000005</v>
      </c>
      <c r="I101" s="18">
        <v>14478</v>
      </c>
      <c r="J101" s="28">
        <v>1.4478E-2</v>
      </c>
      <c r="K101" s="18">
        <v>6637</v>
      </c>
      <c r="L101" s="18">
        <v>6.6369999999999997E-3</v>
      </c>
      <c r="M101" s="18">
        <f t="shared" si="3"/>
        <v>2.1114999999999998E-2</v>
      </c>
      <c r="N101" s="25">
        <v>4.3200000000000002E-2</v>
      </c>
      <c r="O101" s="2">
        <f t="shared" si="2"/>
        <v>0.28249460000000004</v>
      </c>
    </row>
    <row r="102" spans="1:15" x14ac:dyDescent="0.7">
      <c r="A102" s="26"/>
      <c r="B102" s="26"/>
      <c r="C102" s="26">
        <v>10</v>
      </c>
      <c r="D102" s="28">
        <v>4.0659999999999998</v>
      </c>
      <c r="E102" s="27">
        <v>0</v>
      </c>
      <c r="F102" s="28">
        <v>3.9609999999999999</v>
      </c>
      <c r="G102" s="18">
        <v>342230.39999999997</v>
      </c>
      <c r="H102" s="18">
        <v>0.34223039999999999</v>
      </c>
      <c r="I102" s="18">
        <v>13986</v>
      </c>
      <c r="J102" s="28">
        <v>1.3986E-2</v>
      </c>
      <c r="K102" s="18">
        <v>5729</v>
      </c>
      <c r="L102" s="18">
        <v>5.7289999999999997E-3</v>
      </c>
      <c r="M102" s="18">
        <f t="shared" si="3"/>
        <v>1.9715E-2</v>
      </c>
      <c r="N102" s="25">
        <v>4.3200000000000002E-2</v>
      </c>
      <c r="O102" s="2">
        <f t="shared" si="2"/>
        <v>0.27931539999999999</v>
      </c>
    </row>
    <row r="103" spans="1:15" x14ac:dyDescent="0.7">
      <c r="A103" s="26"/>
      <c r="B103" s="26"/>
      <c r="C103" s="26">
        <v>11</v>
      </c>
      <c r="D103" s="28">
        <v>3.9609999999999999</v>
      </c>
      <c r="E103" s="27">
        <v>0</v>
      </c>
      <c r="F103" s="28">
        <v>3.931</v>
      </c>
      <c r="G103" s="18">
        <v>339638.4</v>
      </c>
      <c r="H103" s="18">
        <v>0.33963840000000001</v>
      </c>
      <c r="I103" s="18">
        <v>15784</v>
      </c>
      <c r="J103" s="28">
        <v>1.5783999999999999E-2</v>
      </c>
      <c r="K103" s="18">
        <v>6671</v>
      </c>
      <c r="L103" s="18">
        <v>6.6709999999999998E-3</v>
      </c>
      <c r="M103" s="18">
        <f t="shared" si="3"/>
        <v>2.2454999999999999E-2</v>
      </c>
      <c r="N103" s="25">
        <v>4.3200000000000002E-2</v>
      </c>
      <c r="O103" s="2">
        <f t="shared" si="2"/>
        <v>0.27398339999999999</v>
      </c>
    </row>
    <row r="104" spans="1:15" x14ac:dyDescent="0.7">
      <c r="A104" s="26"/>
      <c r="B104" s="26"/>
      <c r="C104" s="26">
        <v>12</v>
      </c>
      <c r="D104" s="28">
        <v>3.9609999999999999</v>
      </c>
      <c r="E104" s="27">
        <v>0</v>
      </c>
      <c r="F104" s="28">
        <v>3.9</v>
      </c>
      <c r="G104" s="18">
        <v>336960</v>
      </c>
      <c r="H104" s="18">
        <v>0.33695999999999998</v>
      </c>
      <c r="I104" s="18">
        <v>16318</v>
      </c>
      <c r="J104" s="28">
        <v>1.6317999999999999E-2</v>
      </c>
      <c r="K104" s="18">
        <v>0</v>
      </c>
      <c r="L104" s="18">
        <v>0</v>
      </c>
      <c r="M104" s="18">
        <f t="shared" si="3"/>
        <v>1.6317999999999999E-2</v>
      </c>
      <c r="N104" s="25">
        <v>4.3200000000000002E-2</v>
      </c>
      <c r="O104" s="2">
        <f t="shared" si="2"/>
        <v>0.27744199999999997</v>
      </c>
    </row>
    <row r="105" spans="1:15" x14ac:dyDescent="0.7">
      <c r="A105" s="26"/>
      <c r="B105" s="26"/>
      <c r="C105" s="26">
        <v>13</v>
      </c>
      <c r="D105" s="27">
        <v>3.9</v>
      </c>
      <c r="E105" s="27">
        <v>0</v>
      </c>
      <c r="F105" s="28">
        <v>3.8660000000000001</v>
      </c>
      <c r="G105" s="18">
        <v>334022.40000000002</v>
      </c>
      <c r="H105" s="18">
        <v>0.3340224</v>
      </c>
      <c r="I105" s="18">
        <v>13741</v>
      </c>
      <c r="J105" s="28">
        <v>1.3741E-2</v>
      </c>
      <c r="K105" s="18">
        <v>0</v>
      </c>
      <c r="L105" s="18">
        <v>0</v>
      </c>
      <c r="M105" s="18">
        <f t="shared" si="3"/>
        <v>1.3741E-2</v>
      </c>
      <c r="N105" s="25">
        <v>4.3200000000000002E-2</v>
      </c>
      <c r="O105" s="2">
        <f t="shared" si="2"/>
        <v>0.27708139999999998</v>
      </c>
    </row>
    <row r="106" spans="1:15" x14ac:dyDescent="0.7">
      <c r="A106" s="26"/>
      <c r="B106" s="26"/>
      <c r="C106" s="26">
        <v>14</v>
      </c>
      <c r="D106" s="28">
        <v>3.9</v>
      </c>
      <c r="E106" s="27">
        <v>0</v>
      </c>
      <c r="F106" s="28">
        <v>3.734</v>
      </c>
      <c r="G106" s="18">
        <v>322617.59999999998</v>
      </c>
      <c r="H106" s="18">
        <v>0.3226176</v>
      </c>
      <c r="I106" s="18">
        <v>15644</v>
      </c>
      <c r="J106" s="28">
        <v>1.5644000000000002E-2</v>
      </c>
      <c r="K106" s="18">
        <v>0</v>
      </c>
      <c r="L106" s="18">
        <v>0</v>
      </c>
      <c r="M106" s="18">
        <f t="shared" si="3"/>
        <v>1.5644000000000002E-2</v>
      </c>
      <c r="N106" s="25">
        <v>4.3200000000000002E-2</v>
      </c>
      <c r="O106" s="2">
        <f t="shared" si="2"/>
        <v>0.2637736</v>
      </c>
    </row>
    <row r="107" spans="1:15" x14ac:dyDescent="0.7">
      <c r="A107" s="26"/>
      <c r="B107" s="26"/>
      <c r="C107" s="26">
        <v>15</v>
      </c>
      <c r="D107" s="28">
        <v>3.8319999999999999</v>
      </c>
      <c r="E107" s="27">
        <v>0</v>
      </c>
      <c r="F107" s="28">
        <v>3.5659999999999998</v>
      </c>
      <c r="G107" s="18">
        <v>308102.39999999997</v>
      </c>
      <c r="H107" s="18">
        <v>0.30810239999999994</v>
      </c>
      <c r="I107" s="18">
        <v>13903</v>
      </c>
      <c r="J107" s="28">
        <v>1.3903E-2</v>
      </c>
      <c r="K107" s="18">
        <v>0</v>
      </c>
      <c r="L107" s="18">
        <v>0</v>
      </c>
      <c r="M107" s="18">
        <f t="shared" si="3"/>
        <v>1.3903E-2</v>
      </c>
      <c r="N107" s="25">
        <v>4.3200000000000002E-2</v>
      </c>
      <c r="O107" s="2">
        <f t="shared" si="2"/>
        <v>0.25099939999999993</v>
      </c>
    </row>
    <row r="108" spans="1:15" x14ac:dyDescent="0.7">
      <c r="A108" s="26"/>
      <c r="B108" s="26"/>
      <c r="C108" s="26">
        <v>16</v>
      </c>
      <c r="D108" s="27">
        <v>3.6320000000000001</v>
      </c>
      <c r="E108" s="27">
        <v>0</v>
      </c>
      <c r="F108" s="28">
        <v>3.452</v>
      </c>
      <c r="G108" s="18">
        <v>298252.79999999999</v>
      </c>
      <c r="H108" s="18">
        <v>0.29825279999999998</v>
      </c>
      <c r="I108" s="18">
        <v>16172</v>
      </c>
      <c r="J108" s="28">
        <v>1.6171999999999999E-2</v>
      </c>
      <c r="K108" s="18">
        <v>0</v>
      </c>
      <c r="L108" s="18">
        <v>0</v>
      </c>
      <c r="M108" s="18">
        <f t="shared" si="3"/>
        <v>1.6171999999999999E-2</v>
      </c>
      <c r="N108" s="25">
        <v>4.3200000000000002E-2</v>
      </c>
      <c r="O108" s="2">
        <f t="shared" si="2"/>
        <v>0.23888079999999995</v>
      </c>
    </row>
    <row r="109" spans="1:15" x14ac:dyDescent="0.7">
      <c r="A109" s="26"/>
      <c r="B109" s="26"/>
      <c r="C109" s="26">
        <v>17</v>
      </c>
      <c r="D109" s="28">
        <v>3.4990000000000001</v>
      </c>
      <c r="E109" s="27">
        <v>0</v>
      </c>
      <c r="F109" s="28">
        <v>3.38</v>
      </c>
      <c r="G109" s="18">
        <v>292032</v>
      </c>
      <c r="H109" s="18">
        <v>0.29203200000000001</v>
      </c>
      <c r="I109" s="18">
        <v>13535</v>
      </c>
      <c r="J109" s="28">
        <v>1.3535E-2</v>
      </c>
      <c r="K109" s="18">
        <v>0</v>
      </c>
      <c r="L109" s="18">
        <v>0</v>
      </c>
      <c r="M109" s="18">
        <f t="shared" si="3"/>
        <v>1.3535E-2</v>
      </c>
      <c r="N109" s="25">
        <v>4.3200000000000002E-2</v>
      </c>
      <c r="O109" s="2">
        <f t="shared" si="2"/>
        <v>0.23529699999999998</v>
      </c>
    </row>
    <row r="110" spans="1:15" x14ac:dyDescent="0.7">
      <c r="A110" s="26"/>
      <c r="B110" s="26"/>
      <c r="C110" s="26">
        <v>18</v>
      </c>
      <c r="D110" s="27">
        <v>3.4049999999999998</v>
      </c>
      <c r="E110" s="27">
        <v>0</v>
      </c>
      <c r="F110" s="28">
        <v>3.282</v>
      </c>
      <c r="G110" s="18">
        <v>283564.79999999999</v>
      </c>
      <c r="H110" s="18">
        <v>0.28356480000000001</v>
      </c>
      <c r="I110" s="18">
        <v>14844</v>
      </c>
      <c r="J110" s="28">
        <v>1.4844E-2</v>
      </c>
      <c r="K110" s="18">
        <v>0</v>
      </c>
      <c r="L110" s="18">
        <v>0</v>
      </c>
      <c r="M110" s="18">
        <f t="shared" si="3"/>
        <v>1.4844E-2</v>
      </c>
      <c r="N110" s="25">
        <v>4.3200000000000002E-2</v>
      </c>
      <c r="O110" s="2">
        <f t="shared" si="2"/>
        <v>0.22552079999999997</v>
      </c>
    </row>
    <row r="111" spans="1:15" x14ac:dyDescent="0.7">
      <c r="A111" s="26"/>
      <c r="B111" s="26"/>
      <c r="C111" s="26">
        <v>19</v>
      </c>
      <c r="D111" s="28">
        <v>3.3540000000000001</v>
      </c>
      <c r="E111" s="27">
        <v>0</v>
      </c>
      <c r="F111" s="28">
        <v>3.2090000000000001</v>
      </c>
      <c r="G111" s="18">
        <v>277257.60000000003</v>
      </c>
      <c r="H111" s="18">
        <v>0.27725760000000005</v>
      </c>
      <c r="I111" s="18">
        <v>12251</v>
      </c>
      <c r="J111" s="28">
        <v>1.2251E-2</v>
      </c>
      <c r="K111" s="18">
        <v>0</v>
      </c>
      <c r="L111" s="18">
        <v>0</v>
      </c>
      <c r="M111" s="18">
        <f t="shared" si="3"/>
        <v>1.2251E-2</v>
      </c>
      <c r="N111" s="25">
        <v>4.3200000000000002E-2</v>
      </c>
      <c r="O111" s="2">
        <f t="shared" si="2"/>
        <v>0.22180660000000002</v>
      </c>
    </row>
    <row r="112" spans="1:15" x14ac:dyDescent="0.7">
      <c r="A112" s="26"/>
      <c r="B112" s="26"/>
      <c r="C112" s="26">
        <v>20</v>
      </c>
      <c r="D112" s="28">
        <v>3.2090000000000001</v>
      </c>
      <c r="E112" s="27">
        <v>0</v>
      </c>
      <c r="F112" s="28">
        <v>3.2090000000000001</v>
      </c>
      <c r="G112" s="18">
        <v>277257.60000000003</v>
      </c>
      <c r="H112" s="18">
        <v>0.27725760000000005</v>
      </c>
      <c r="I112" s="18">
        <v>13585</v>
      </c>
      <c r="J112" s="28">
        <v>1.3585E-2</v>
      </c>
      <c r="K112" s="18">
        <v>0</v>
      </c>
      <c r="L112" s="18">
        <v>0</v>
      </c>
      <c r="M112" s="18">
        <f t="shared" si="3"/>
        <v>1.3585E-2</v>
      </c>
      <c r="N112" s="25">
        <v>4.3200000000000002E-2</v>
      </c>
      <c r="O112" s="2">
        <f t="shared" si="2"/>
        <v>0.22047260000000002</v>
      </c>
    </row>
    <row r="113" spans="1:15" x14ac:dyDescent="0.7">
      <c r="A113" s="26"/>
      <c r="B113" s="26"/>
      <c r="C113" s="26">
        <v>21</v>
      </c>
      <c r="D113" s="28">
        <v>3.2090000000000001</v>
      </c>
      <c r="E113" s="27">
        <v>0</v>
      </c>
      <c r="F113" s="28">
        <v>3.851</v>
      </c>
      <c r="G113" s="18">
        <v>332726.40000000002</v>
      </c>
      <c r="H113" s="18">
        <v>0.33272640000000003</v>
      </c>
      <c r="I113" s="18">
        <v>14607</v>
      </c>
      <c r="J113" s="28">
        <v>1.4607E-2</v>
      </c>
      <c r="K113" s="18">
        <v>0</v>
      </c>
      <c r="L113" s="18">
        <v>0</v>
      </c>
      <c r="M113" s="18">
        <f t="shared" si="3"/>
        <v>1.4607E-2</v>
      </c>
      <c r="N113" s="25">
        <v>5.3481599999999997E-2</v>
      </c>
      <c r="O113" s="2">
        <f t="shared" si="2"/>
        <v>0.26463780000000003</v>
      </c>
    </row>
    <row r="114" spans="1:15" x14ac:dyDescent="0.7">
      <c r="A114" s="26"/>
      <c r="B114" s="26"/>
      <c r="C114" s="26">
        <v>22</v>
      </c>
      <c r="D114" s="28">
        <v>3.2090000000000001</v>
      </c>
      <c r="E114" s="27">
        <v>0</v>
      </c>
      <c r="F114" s="28">
        <v>4.5190000000000001</v>
      </c>
      <c r="G114" s="18">
        <v>390441.60000000003</v>
      </c>
      <c r="H114" s="18">
        <v>0.39044160000000006</v>
      </c>
      <c r="I114" s="18">
        <v>13301</v>
      </c>
      <c r="J114" s="28">
        <v>1.3301E-2</v>
      </c>
      <c r="K114" s="18">
        <v>0</v>
      </c>
      <c r="L114" s="18">
        <v>0</v>
      </c>
      <c r="M114" s="18">
        <f t="shared" si="3"/>
        <v>1.3301E-2</v>
      </c>
      <c r="N114" s="25">
        <v>6.2121599999999999E-2</v>
      </c>
      <c r="O114" s="2">
        <f t="shared" si="2"/>
        <v>0.31501900000000005</v>
      </c>
    </row>
    <row r="115" spans="1:15" x14ac:dyDescent="0.7">
      <c r="A115" s="26"/>
      <c r="B115" s="26"/>
      <c r="C115" s="26">
        <v>23</v>
      </c>
      <c r="D115" s="28">
        <v>4.492</v>
      </c>
      <c r="E115" s="27">
        <v>1.6</v>
      </c>
      <c r="F115" s="28">
        <v>4.3849999999999998</v>
      </c>
      <c r="G115" s="18">
        <v>378864</v>
      </c>
      <c r="H115" s="18">
        <v>0.37886399999999998</v>
      </c>
      <c r="I115" s="18">
        <v>13718</v>
      </c>
      <c r="J115" s="28">
        <v>1.3717999999999999E-2</v>
      </c>
      <c r="K115" s="18">
        <v>8539</v>
      </c>
      <c r="L115" s="18">
        <v>8.5389999999999997E-3</v>
      </c>
      <c r="M115" s="18">
        <f t="shared" si="3"/>
        <v>2.2256999999999999E-2</v>
      </c>
      <c r="N115" s="25">
        <v>6.2121599999999999E-2</v>
      </c>
      <c r="O115" s="2">
        <f t="shared" si="2"/>
        <v>0.29448540000000001</v>
      </c>
    </row>
    <row r="116" spans="1:15" x14ac:dyDescent="0.7">
      <c r="A116" s="26"/>
      <c r="B116" s="26"/>
      <c r="C116" s="26">
        <v>24</v>
      </c>
      <c r="D116" s="28">
        <v>4.5460000000000003</v>
      </c>
      <c r="E116" s="27">
        <v>0</v>
      </c>
      <c r="F116" s="28">
        <v>4.2210000000000001</v>
      </c>
      <c r="G116" s="18">
        <v>364694.4</v>
      </c>
      <c r="H116" s="18">
        <v>0.36469440000000003</v>
      </c>
      <c r="I116" s="18">
        <v>13702</v>
      </c>
      <c r="J116" s="28">
        <v>1.3702000000000001E-2</v>
      </c>
      <c r="K116" s="18">
        <v>5096</v>
      </c>
      <c r="L116" s="18">
        <v>5.0959999999999998E-3</v>
      </c>
      <c r="M116" s="18">
        <f t="shared" si="3"/>
        <v>1.8798000000000002E-2</v>
      </c>
      <c r="N116" s="25">
        <v>6.2121599999999999E-2</v>
      </c>
      <c r="O116" s="2">
        <f t="shared" si="2"/>
        <v>0.28377480000000005</v>
      </c>
    </row>
    <row r="117" spans="1:15" x14ac:dyDescent="0.7">
      <c r="A117" s="26"/>
      <c r="B117" s="26"/>
      <c r="C117" s="26">
        <v>25</v>
      </c>
      <c r="D117" s="28">
        <v>4.2210000000000001</v>
      </c>
      <c r="E117" s="27">
        <v>0</v>
      </c>
      <c r="F117" s="28">
        <v>4.1970000000000001</v>
      </c>
      <c r="G117" s="18">
        <v>362620.8</v>
      </c>
      <c r="H117" s="18">
        <v>0.36262079999999997</v>
      </c>
      <c r="I117" s="18">
        <v>15210</v>
      </c>
      <c r="J117" s="28">
        <v>1.521E-2</v>
      </c>
      <c r="K117" s="18">
        <v>6073</v>
      </c>
      <c r="L117" s="18">
        <v>6.0730000000000003E-3</v>
      </c>
      <c r="M117" s="18">
        <f t="shared" si="3"/>
        <v>2.1283E-2</v>
      </c>
      <c r="N117" s="25">
        <v>6.2121599999999999E-2</v>
      </c>
      <c r="O117" s="2">
        <f t="shared" si="2"/>
        <v>0.27921619999999997</v>
      </c>
    </row>
    <row r="118" spans="1:15" x14ac:dyDescent="0.7">
      <c r="A118" s="26"/>
      <c r="B118" s="26"/>
      <c r="C118" s="26">
        <v>26</v>
      </c>
      <c r="D118" s="28">
        <v>4.2210000000000001</v>
      </c>
      <c r="E118" s="27">
        <v>0</v>
      </c>
      <c r="F118" s="28">
        <v>4.1120000000000001</v>
      </c>
      <c r="G118" s="18">
        <v>355276.79999999999</v>
      </c>
      <c r="H118" s="18">
        <v>0.3552768</v>
      </c>
      <c r="I118" s="18">
        <v>15396</v>
      </c>
      <c r="J118" s="28">
        <v>1.5396E-2</v>
      </c>
      <c r="K118" s="18">
        <v>6299</v>
      </c>
      <c r="L118" s="18">
        <v>6.2989999999999999E-3</v>
      </c>
      <c r="M118" s="18">
        <f t="shared" si="3"/>
        <v>2.1694999999999999E-2</v>
      </c>
      <c r="N118" s="25">
        <v>6.2121599999999999E-2</v>
      </c>
      <c r="O118" s="2">
        <f t="shared" si="2"/>
        <v>0.27146019999999998</v>
      </c>
    </row>
    <row r="119" spans="1:15" x14ac:dyDescent="0.7">
      <c r="A119" s="26"/>
      <c r="B119" s="26"/>
      <c r="C119" s="26">
        <v>27</v>
      </c>
      <c r="D119" s="28">
        <v>4.1719999999999997</v>
      </c>
      <c r="E119" s="27">
        <v>0</v>
      </c>
      <c r="F119" s="28">
        <v>3.9569999999999999</v>
      </c>
      <c r="G119" s="18">
        <v>341884.8</v>
      </c>
      <c r="H119" s="18">
        <v>0.34188479999999999</v>
      </c>
      <c r="I119" s="18">
        <v>17770</v>
      </c>
      <c r="J119" s="28">
        <v>1.7770000000000001E-2</v>
      </c>
      <c r="K119" s="18">
        <v>5947</v>
      </c>
      <c r="L119" s="18">
        <v>5.947E-3</v>
      </c>
      <c r="M119" s="18">
        <f t="shared" si="3"/>
        <v>2.3717000000000002E-2</v>
      </c>
      <c r="N119" s="25">
        <v>5.1839999999999997E-2</v>
      </c>
      <c r="O119" s="2">
        <f t="shared" si="2"/>
        <v>0.2663278</v>
      </c>
    </row>
    <row r="120" spans="1:15" x14ac:dyDescent="0.7">
      <c r="A120" s="26"/>
      <c r="B120" s="26"/>
      <c r="C120" s="26">
        <v>28</v>
      </c>
      <c r="D120" s="28">
        <v>4.0010000000000003</v>
      </c>
      <c r="E120" s="27">
        <v>0</v>
      </c>
      <c r="F120" s="28">
        <v>3.8660000000000001</v>
      </c>
      <c r="G120" s="18">
        <v>334022.40000000002</v>
      </c>
      <c r="H120" s="18">
        <v>0.3340224</v>
      </c>
      <c r="I120" s="18">
        <v>18159</v>
      </c>
      <c r="J120" s="28">
        <v>1.8159000000000002E-2</v>
      </c>
      <c r="K120" s="18">
        <v>6069</v>
      </c>
      <c r="L120" s="18">
        <v>6.0689999999999997E-3</v>
      </c>
      <c r="M120" s="18">
        <f t="shared" si="3"/>
        <v>2.4228E-2</v>
      </c>
      <c r="N120" s="25">
        <v>5.1839999999999997E-2</v>
      </c>
      <c r="O120" s="2">
        <f t="shared" si="2"/>
        <v>0.25795440000000003</v>
      </c>
    </row>
    <row r="121" spans="1:15" x14ac:dyDescent="0.7">
      <c r="A121" s="26"/>
      <c r="B121" s="26"/>
      <c r="C121" s="26">
        <v>29</v>
      </c>
      <c r="D121" s="28">
        <v>3.9129999999999998</v>
      </c>
      <c r="E121" s="27">
        <v>0</v>
      </c>
      <c r="F121" s="28">
        <v>3.7280000000000002</v>
      </c>
      <c r="G121" s="18">
        <v>322099.20000000001</v>
      </c>
      <c r="H121" s="18">
        <v>0.32209920000000003</v>
      </c>
      <c r="I121" s="18">
        <v>15637</v>
      </c>
      <c r="J121" s="28">
        <v>1.5637000000000002E-2</v>
      </c>
      <c r="K121" s="18">
        <v>6263</v>
      </c>
      <c r="L121" s="18">
        <v>6.2630000000000003E-3</v>
      </c>
      <c r="M121" s="18">
        <f t="shared" si="3"/>
        <v>2.1900000000000003E-2</v>
      </c>
      <c r="N121" s="25">
        <v>3.456E-2</v>
      </c>
      <c r="O121" s="2">
        <f t="shared" si="2"/>
        <v>0.26563920000000002</v>
      </c>
    </row>
    <row r="122" spans="1:15" s="3" customFormat="1" ht="25.2" thickBot="1" x14ac:dyDescent="0.75">
      <c r="A122" s="29"/>
      <c r="B122" s="34" t="s">
        <v>18</v>
      </c>
      <c r="C122" s="29">
        <v>30</v>
      </c>
      <c r="D122" s="30">
        <v>3.819</v>
      </c>
      <c r="E122" s="30">
        <v>0</v>
      </c>
      <c r="F122" s="31">
        <v>3.6</v>
      </c>
      <c r="G122" s="19">
        <v>311040</v>
      </c>
      <c r="H122" s="19">
        <v>0.31103999999999998</v>
      </c>
      <c r="I122" s="19">
        <v>14685</v>
      </c>
      <c r="J122" s="31">
        <v>1.4685E-2</v>
      </c>
      <c r="K122" s="19">
        <v>6810</v>
      </c>
      <c r="L122" s="19">
        <v>6.8100000000000001E-3</v>
      </c>
      <c r="M122" s="19">
        <f t="shared" si="3"/>
        <v>2.1495E-2</v>
      </c>
      <c r="N122" s="45">
        <v>3.456E-2</v>
      </c>
      <c r="O122" s="46">
        <f t="shared" si="2"/>
        <v>0.25498500000000002</v>
      </c>
    </row>
    <row r="123" spans="1:15" x14ac:dyDescent="0.7">
      <c r="A123" s="23"/>
      <c r="B123" s="23" t="s">
        <v>19</v>
      </c>
      <c r="C123" s="23">
        <v>1</v>
      </c>
      <c r="D123" s="24">
        <v>3.637</v>
      </c>
      <c r="E123" s="24">
        <v>0</v>
      </c>
      <c r="F123" s="32">
        <v>5.8</v>
      </c>
      <c r="G123" s="17">
        <v>501120</v>
      </c>
      <c r="H123" s="17">
        <v>0.50112000000000001</v>
      </c>
      <c r="I123" s="17">
        <v>14324</v>
      </c>
      <c r="J123" s="32">
        <v>1.4324E-2</v>
      </c>
      <c r="K123" s="17">
        <v>6791</v>
      </c>
      <c r="L123" s="17">
        <v>6.7910000000000002E-3</v>
      </c>
      <c r="M123" s="17">
        <f t="shared" si="3"/>
        <v>2.1115000000000002E-2</v>
      </c>
      <c r="N123" s="20">
        <v>3.456E-2</v>
      </c>
      <c r="O123" s="2">
        <f t="shared" si="2"/>
        <v>0.44544500000000004</v>
      </c>
    </row>
    <row r="124" spans="1:15" x14ac:dyDescent="0.7">
      <c r="A124" s="26"/>
      <c r="B124" s="26"/>
      <c r="C124" s="26">
        <v>2</v>
      </c>
      <c r="D124" s="27">
        <v>3.5619999999999998</v>
      </c>
      <c r="E124" s="27">
        <v>0</v>
      </c>
      <c r="F124" s="28">
        <v>7.9249999999999998</v>
      </c>
      <c r="G124" s="18">
        <v>684720</v>
      </c>
      <c r="H124" s="18">
        <v>0.68472</v>
      </c>
      <c r="I124" s="18">
        <v>18752</v>
      </c>
      <c r="J124" s="28">
        <v>1.8752000000000001E-2</v>
      </c>
      <c r="K124" s="18">
        <v>2962</v>
      </c>
      <c r="L124" s="18">
        <v>2.9619999999999998E-3</v>
      </c>
      <c r="M124" s="18">
        <f t="shared" si="3"/>
        <v>2.1714000000000001E-2</v>
      </c>
      <c r="N124" s="25">
        <v>3.456E-2</v>
      </c>
      <c r="O124" s="2">
        <f t="shared" si="2"/>
        <v>0.62844599999999995</v>
      </c>
    </row>
    <row r="125" spans="1:15" x14ac:dyDescent="0.7">
      <c r="A125" s="26"/>
      <c r="B125" s="26"/>
      <c r="C125" s="26">
        <v>3</v>
      </c>
      <c r="D125" s="27">
        <v>8.0399999999999991</v>
      </c>
      <c r="E125" s="27">
        <v>3.1</v>
      </c>
      <c r="F125" s="28">
        <v>7.3540000000000001</v>
      </c>
      <c r="G125" s="18">
        <v>635385.59999999998</v>
      </c>
      <c r="H125" s="18">
        <v>0.63538559999999999</v>
      </c>
      <c r="I125" s="18">
        <v>14409</v>
      </c>
      <c r="J125" s="28">
        <v>1.4409E-2</v>
      </c>
      <c r="K125" s="18">
        <v>0</v>
      </c>
      <c r="L125" s="18">
        <v>0</v>
      </c>
      <c r="M125" s="18">
        <f t="shared" si="3"/>
        <v>1.4409E-2</v>
      </c>
      <c r="N125" s="25">
        <v>3.456E-2</v>
      </c>
      <c r="O125" s="2">
        <f t="shared" si="2"/>
        <v>0.58641659999999995</v>
      </c>
    </row>
    <row r="126" spans="1:15" x14ac:dyDescent="0.7">
      <c r="A126" s="26"/>
      <c r="B126" s="26"/>
      <c r="C126" s="26">
        <v>4</v>
      </c>
      <c r="D126" s="27">
        <v>7.81</v>
      </c>
      <c r="E126" s="27">
        <v>11.1</v>
      </c>
      <c r="F126" s="28">
        <v>6.7430000000000003</v>
      </c>
      <c r="G126" s="18">
        <v>582595.20000000007</v>
      </c>
      <c r="H126" s="18">
        <v>0.58259520000000009</v>
      </c>
      <c r="I126" s="18">
        <v>15397</v>
      </c>
      <c r="J126" s="28">
        <v>1.5396999999999999E-2</v>
      </c>
      <c r="K126" s="18">
        <v>2026</v>
      </c>
      <c r="L126" s="18">
        <v>2.026E-3</v>
      </c>
      <c r="M126" s="18">
        <f t="shared" si="3"/>
        <v>1.7423000000000001E-2</v>
      </c>
      <c r="N126" s="25">
        <v>3.456E-2</v>
      </c>
      <c r="O126" s="2">
        <f t="shared" si="2"/>
        <v>0.53061220000000009</v>
      </c>
    </row>
    <row r="127" spans="1:15" x14ac:dyDescent="0.7">
      <c r="A127" s="26"/>
      <c r="B127" s="26"/>
      <c r="C127" s="26">
        <v>5</v>
      </c>
      <c r="D127" s="27">
        <v>6.8979999999999997</v>
      </c>
      <c r="E127" s="27">
        <v>0</v>
      </c>
      <c r="F127" s="28">
        <v>6.4320000000000004</v>
      </c>
      <c r="G127" s="18">
        <v>555724.80000000005</v>
      </c>
      <c r="H127" s="18">
        <v>0.55572480000000002</v>
      </c>
      <c r="I127" s="18">
        <v>12821</v>
      </c>
      <c r="J127" s="28">
        <v>1.2821000000000001E-2</v>
      </c>
      <c r="K127" s="18">
        <v>5586</v>
      </c>
      <c r="L127" s="18">
        <v>5.5859999999999998E-3</v>
      </c>
      <c r="M127" s="18">
        <f t="shared" si="3"/>
        <v>1.8407E-2</v>
      </c>
      <c r="N127" s="25">
        <v>3.456E-2</v>
      </c>
      <c r="O127" s="2">
        <f t="shared" si="2"/>
        <v>0.50275780000000003</v>
      </c>
    </row>
    <row r="128" spans="1:15" x14ac:dyDescent="0.7">
      <c r="A128" s="26"/>
      <c r="B128" s="26"/>
      <c r="C128" s="26">
        <v>6</v>
      </c>
      <c r="D128" s="27">
        <v>6.5869999999999997</v>
      </c>
      <c r="E128" s="27">
        <v>0</v>
      </c>
      <c r="F128" s="28">
        <v>5.5490000000000004</v>
      </c>
      <c r="G128" s="18">
        <v>479433.60000000003</v>
      </c>
      <c r="H128" s="18">
        <v>0.47943360000000002</v>
      </c>
      <c r="I128" s="18">
        <v>13757</v>
      </c>
      <c r="J128" s="28">
        <v>1.3757E-2</v>
      </c>
      <c r="K128" s="18">
        <v>0</v>
      </c>
      <c r="L128" s="18">
        <v>0</v>
      </c>
      <c r="M128" s="18">
        <f t="shared" si="3"/>
        <v>1.3757E-2</v>
      </c>
      <c r="N128" s="25">
        <v>3.456E-2</v>
      </c>
      <c r="O128" s="2">
        <f t="shared" si="2"/>
        <v>0.43111660000000002</v>
      </c>
    </row>
    <row r="129" spans="1:15" x14ac:dyDescent="0.7">
      <c r="A129" s="26"/>
      <c r="B129" s="26"/>
      <c r="C129" s="26">
        <v>7</v>
      </c>
      <c r="D129" s="27">
        <v>5.976</v>
      </c>
      <c r="E129" s="27">
        <v>0</v>
      </c>
      <c r="F129" s="28">
        <v>5.2439999999999998</v>
      </c>
      <c r="G129" s="18">
        <v>453081.59999999998</v>
      </c>
      <c r="H129" s="18">
        <v>0.45308159999999997</v>
      </c>
      <c r="I129" s="18">
        <v>16760</v>
      </c>
      <c r="J129" s="28">
        <v>1.6760000000000001E-2</v>
      </c>
      <c r="K129" s="18">
        <v>0</v>
      </c>
      <c r="L129" s="18">
        <v>0</v>
      </c>
      <c r="M129" s="18">
        <f t="shared" si="3"/>
        <v>1.6760000000000001E-2</v>
      </c>
      <c r="N129" s="25">
        <v>9.5039999999999999E-2</v>
      </c>
      <c r="O129" s="2">
        <f t="shared" si="2"/>
        <v>0.34128159999999996</v>
      </c>
    </row>
    <row r="130" spans="1:15" x14ac:dyDescent="0.7">
      <c r="A130" s="26"/>
      <c r="B130" s="26"/>
      <c r="C130" s="26">
        <v>8</v>
      </c>
      <c r="D130" s="27">
        <v>5.1219999999999999</v>
      </c>
      <c r="E130" s="27">
        <v>0</v>
      </c>
      <c r="F130" s="28">
        <v>6.3159999999999998</v>
      </c>
      <c r="G130" s="18">
        <v>545702.40000000002</v>
      </c>
      <c r="H130" s="18">
        <v>0.54570240000000003</v>
      </c>
      <c r="I130" s="18">
        <v>21490</v>
      </c>
      <c r="J130" s="28">
        <v>2.1489999999999999E-2</v>
      </c>
      <c r="K130" s="18">
        <v>0</v>
      </c>
      <c r="L130" s="18">
        <v>0</v>
      </c>
      <c r="M130" s="18">
        <f t="shared" si="3"/>
        <v>2.1489999999999999E-2</v>
      </c>
      <c r="N130" s="25">
        <v>9.5039999999999999E-2</v>
      </c>
      <c r="O130" s="2">
        <f t="shared" si="2"/>
        <v>0.42917240000000001</v>
      </c>
    </row>
    <row r="131" spans="1:15" x14ac:dyDescent="0.7">
      <c r="A131" s="26"/>
      <c r="B131" s="26"/>
      <c r="C131" s="26">
        <v>9</v>
      </c>
      <c r="D131" s="27">
        <v>5.3659999999999997</v>
      </c>
      <c r="E131" s="27">
        <v>35</v>
      </c>
      <c r="F131" s="28">
        <v>6.5419999999999998</v>
      </c>
      <c r="G131" s="18">
        <v>565228.79999999993</v>
      </c>
      <c r="H131" s="18">
        <v>0.56522879999999998</v>
      </c>
      <c r="I131" s="18">
        <v>21338</v>
      </c>
      <c r="J131" s="28">
        <v>2.1337999999999999E-2</v>
      </c>
      <c r="K131" s="18">
        <v>0</v>
      </c>
      <c r="L131" s="18">
        <v>0</v>
      </c>
      <c r="M131" s="18">
        <f t="shared" si="3"/>
        <v>2.1337999999999999E-2</v>
      </c>
      <c r="N131" s="25">
        <v>9.5039999999999999E-2</v>
      </c>
      <c r="O131" s="2">
        <f t="shared" ref="O131:O194" si="4">H131-M131-N131</f>
        <v>0.44885079999999999</v>
      </c>
    </row>
    <row r="132" spans="1:15" x14ac:dyDescent="0.7">
      <c r="A132" s="26"/>
      <c r="B132" s="26"/>
      <c r="C132" s="26">
        <v>10</v>
      </c>
      <c r="D132" s="27">
        <v>7.2670000000000003</v>
      </c>
      <c r="E132" s="27">
        <v>0</v>
      </c>
      <c r="F132" s="28">
        <v>6.6379999999999999</v>
      </c>
      <c r="G132" s="18">
        <v>573523.19999999995</v>
      </c>
      <c r="H132" s="18">
        <v>0.5735231999999999</v>
      </c>
      <c r="I132" s="18">
        <v>14884</v>
      </c>
      <c r="J132" s="28">
        <v>1.4884E-2</v>
      </c>
      <c r="K132" s="18">
        <v>0</v>
      </c>
      <c r="L132" s="18">
        <v>0</v>
      </c>
      <c r="M132" s="18">
        <f t="shared" ref="M132:M152" si="5">J132+L132</f>
        <v>1.4884E-2</v>
      </c>
      <c r="N132" s="25">
        <v>9.5039999999999999E-2</v>
      </c>
      <c r="O132" s="2">
        <f t="shared" si="4"/>
        <v>0.46359919999999988</v>
      </c>
    </row>
    <row r="133" spans="1:15" x14ac:dyDescent="0.7">
      <c r="A133" s="26"/>
      <c r="B133" s="26"/>
      <c r="C133" s="26">
        <v>11</v>
      </c>
      <c r="D133" s="27">
        <v>5.8179999999999996</v>
      </c>
      <c r="E133" s="27">
        <v>0</v>
      </c>
      <c r="F133" s="27">
        <v>9.4220000000000006</v>
      </c>
      <c r="G133" s="27">
        <v>814060.8</v>
      </c>
      <c r="H133" s="27">
        <v>0.81406080000000003</v>
      </c>
      <c r="I133" s="18">
        <v>14350</v>
      </c>
      <c r="J133" s="28">
        <v>1.435E-2</v>
      </c>
      <c r="K133" s="18">
        <v>0</v>
      </c>
      <c r="L133" s="18">
        <v>0</v>
      </c>
      <c r="M133" s="18">
        <f t="shared" si="5"/>
        <v>1.435E-2</v>
      </c>
      <c r="N133" s="25">
        <v>9.5039999999999999E-2</v>
      </c>
      <c r="O133" s="2">
        <f t="shared" si="4"/>
        <v>0.70467080000000004</v>
      </c>
    </row>
    <row r="134" spans="1:15" x14ac:dyDescent="0.7">
      <c r="A134" s="26"/>
      <c r="B134" s="26"/>
      <c r="C134" s="26">
        <v>12</v>
      </c>
      <c r="D134" s="27">
        <v>7.4580000000000002</v>
      </c>
      <c r="E134" s="27">
        <v>0</v>
      </c>
      <c r="F134" s="27">
        <v>8.218</v>
      </c>
      <c r="G134" s="27">
        <v>710035.2</v>
      </c>
      <c r="H134" s="27">
        <v>0.71003519999999998</v>
      </c>
      <c r="I134" s="18">
        <v>11345</v>
      </c>
      <c r="J134" s="28">
        <v>1.1344999999999999E-2</v>
      </c>
      <c r="K134" s="18">
        <v>0</v>
      </c>
      <c r="L134" s="18">
        <v>0</v>
      </c>
      <c r="M134" s="18">
        <f t="shared" si="5"/>
        <v>1.1344999999999999E-2</v>
      </c>
      <c r="N134" s="25">
        <v>0.18143999999999999</v>
      </c>
      <c r="O134" s="2">
        <f t="shared" si="4"/>
        <v>0.51725019999999988</v>
      </c>
    </row>
    <row r="135" spans="1:15" x14ac:dyDescent="0.7">
      <c r="A135" s="26"/>
      <c r="B135" s="26"/>
      <c r="C135" s="26">
        <v>13</v>
      </c>
      <c r="D135" s="27">
        <v>11.385999999999999</v>
      </c>
      <c r="E135" s="27">
        <v>12.8</v>
      </c>
      <c r="F135" s="27">
        <v>5.0439999999999996</v>
      </c>
      <c r="G135" s="27">
        <v>435801.59999999998</v>
      </c>
      <c r="H135" s="27">
        <v>0.43580159999999996</v>
      </c>
      <c r="I135" s="18">
        <v>33642</v>
      </c>
      <c r="J135" s="28">
        <v>3.3641999999999998E-2</v>
      </c>
      <c r="K135" s="18">
        <v>4152</v>
      </c>
      <c r="L135" s="18">
        <v>4.1520000000000003E-3</v>
      </c>
      <c r="M135" s="18">
        <f t="shared" si="5"/>
        <v>3.7794000000000001E-2</v>
      </c>
      <c r="N135" s="25">
        <v>0.27648</v>
      </c>
      <c r="O135" s="2">
        <f t="shared" si="4"/>
        <v>0.12152759999999996</v>
      </c>
    </row>
    <row r="136" spans="1:15" x14ac:dyDescent="0.7">
      <c r="A136" s="26"/>
      <c r="B136" s="26"/>
      <c r="C136" s="26">
        <v>14</v>
      </c>
      <c r="D136" s="27">
        <v>18.213000000000001</v>
      </c>
      <c r="E136" s="27">
        <v>80.2</v>
      </c>
      <c r="F136" s="27">
        <v>5.0369999999999999</v>
      </c>
      <c r="G136" s="27">
        <v>435196.8</v>
      </c>
      <c r="H136" s="27">
        <v>0.43519679999999999</v>
      </c>
      <c r="I136" s="18">
        <v>20323</v>
      </c>
      <c r="J136" s="28">
        <v>2.0323000000000001E-2</v>
      </c>
      <c r="K136" s="18">
        <v>4769</v>
      </c>
      <c r="L136" s="18">
        <v>4.7689999999999998E-3</v>
      </c>
      <c r="M136" s="18">
        <f t="shared" si="5"/>
        <v>2.5092E-2</v>
      </c>
      <c r="N136" s="25">
        <v>0.18143999999999999</v>
      </c>
      <c r="O136" s="2">
        <f t="shared" si="4"/>
        <v>0.2286648</v>
      </c>
    </row>
    <row r="137" spans="1:15" x14ac:dyDescent="0.7">
      <c r="A137" s="26"/>
      <c r="B137" s="26"/>
      <c r="C137" s="26">
        <v>15</v>
      </c>
      <c r="D137" s="27">
        <v>44.391999999999996</v>
      </c>
      <c r="E137" s="27">
        <v>2.8</v>
      </c>
      <c r="F137" s="27">
        <v>5.032</v>
      </c>
      <c r="G137" s="27">
        <v>434764.79999999999</v>
      </c>
      <c r="H137" s="27">
        <v>0.43476480000000001</v>
      </c>
      <c r="I137" s="18">
        <v>21517</v>
      </c>
      <c r="J137" s="28">
        <v>2.1517000000000001E-2</v>
      </c>
      <c r="K137" s="18">
        <v>2130</v>
      </c>
      <c r="L137" s="18">
        <v>2.1299999999999999E-3</v>
      </c>
      <c r="M137" s="18">
        <f t="shared" si="5"/>
        <v>2.3647000000000001E-2</v>
      </c>
      <c r="N137" s="25">
        <v>8.6400000000000001E-3</v>
      </c>
      <c r="O137" s="2">
        <f t="shared" si="4"/>
        <v>0.4024778</v>
      </c>
    </row>
    <row r="138" spans="1:15" x14ac:dyDescent="0.7">
      <c r="A138" s="26"/>
      <c r="B138" s="26"/>
      <c r="C138" s="26">
        <v>16</v>
      </c>
      <c r="D138" s="27">
        <v>13.583000000000002</v>
      </c>
      <c r="E138" s="27">
        <v>12.7</v>
      </c>
      <c r="F138" s="27">
        <v>0</v>
      </c>
      <c r="G138" s="27">
        <v>0</v>
      </c>
      <c r="H138" s="27">
        <v>0</v>
      </c>
      <c r="I138" s="18">
        <v>12635</v>
      </c>
      <c r="J138" s="28">
        <v>1.2635E-2</v>
      </c>
      <c r="K138" s="18">
        <v>4593</v>
      </c>
      <c r="L138" s="18">
        <v>4.5929999999999999E-3</v>
      </c>
      <c r="M138" s="18">
        <f t="shared" si="5"/>
        <v>1.7228E-2</v>
      </c>
      <c r="N138" s="25">
        <v>8.6400000000000001E-3</v>
      </c>
      <c r="O138" s="2">
        <f t="shared" si="4"/>
        <v>-2.5868000000000002E-2</v>
      </c>
    </row>
    <row r="139" spans="1:15" x14ac:dyDescent="0.7">
      <c r="A139" s="26"/>
      <c r="B139" s="26"/>
      <c r="C139" s="26">
        <v>17</v>
      </c>
      <c r="D139" s="27">
        <v>10.399999999999999</v>
      </c>
      <c r="E139" s="27">
        <v>4.0999999999999996</v>
      </c>
      <c r="F139" s="27">
        <v>0</v>
      </c>
      <c r="G139" s="27">
        <v>0</v>
      </c>
      <c r="H139" s="27">
        <v>0</v>
      </c>
      <c r="I139" s="18">
        <v>12304</v>
      </c>
      <c r="J139" s="28">
        <v>1.2304000000000001E-2</v>
      </c>
      <c r="K139" s="18">
        <v>3374</v>
      </c>
      <c r="L139" s="18">
        <v>3.3739999999999998E-3</v>
      </c>
      <c r="M139" s="18">
        <f t="shared" si="5"/>
        <v>1.5678000000000001E-2</v>
      </c>
      <c r="N139" s="25">
        <v>8.6400000000000001E-3</v>
      </c>
      <c r="O139" s="2">
        <f t="shared" si="4"/>
        <v>-2.4317999999999999E-2</v>
      </c>
    </row>
    <row r="140" spans="1:15" x14ac:dyDescent="0.7">
      <c r="A140" s="26"/>
      <c r="B140" s="26"/>
      <c r="C140" s="26">
        <v>18</v>
      </c>
      <c r="D140" s="27">
        <v>10.316000000000001</v>
      </c>
      <c r="E140" s="27">
        <v>0</v>
      </c>
      <c r="F140" s="27">
        <v>0</v>
      </c>
      <c r="G140" s="27">
        <v>0</v>
      </c>
      <c r="H140" s="27">
        <v>0</v>
      </c>
      <c r="I140" s="18">
        <v>11094</v>
      </c>
      <c r="J140" s="28">
        <v>1.1094E-2</v>
      </c>
      <c r="K140" s="18">
        <v>3990</v>
      </c>
      <c r="L140" s="18">
        <v>3.9899999999999996E-3</v>
      </c>
      <c r="M140" s="18">
        <f t="shared" si="5"/>
        <v>1.5084E-2</v>
      </c>
      <c r="N140" s="25">
        <v>8.6400000000000001E-3</v>
      </c>
      <c r="O140" s="2">
        <f t="shared" si="4"/>
        <v>-2.3724000000000002E-2</v>
      </c>
    </row>
    <row r="141" spans="1:15" x14ac:dyDescent="0.7">
      <c r="A141" s="26"/>
      <c r="B141" s="26"/>
      <c r="C141" s="26">
        <v>19</v>
      </c>
      <c r="D141" s="27">
        <v>9.4190000000000005</v>
      </c>
      <c r="E141" s="27">
        <v>0</v>
      </c>
      <c r="F141" s="27">
        <v>0</v>
      </c>
      <c r="G141" s="27">
        <v>0</v>
      </c>
      <c r="H141" s="27">
        <v>0</v>
      </c>
      <c r="I141" s="18">
        <v>12620</v>
      </c>
      <c r="J141" s="28">
        <v>1.2619999999999999E-2</v>
      </c>
      <c r="K141" s="18">
        <v>337</v>
      </c>
      <c r="L141" s="18">
        <v>3.3700000000000001E-4</v>
      </c>
      <c r="M141" s="18">
        <f t="shared" si="5"/>
        <v>1.2957E-2</v>
      </c>
      <c r="N141" s="25">
        <v>8.6400000000000001E-3</v>
      </c>
      <c r="O141" s="2">
        <f t="shared" si="4"/>
        <v>-2.1596999999999998E-2</v>
      </c>
    </row>
    <row r="142" spans="1:15" x14ac:dyDescent="0.7">
      <c r="A142" s="26"/>
      <c r="B142" s="26"/>
      <c r="C142" s="26">
        <v>20</v>
      </c>
      <c r="D142" s="27">
        <v>8.5500000000000007</v>
      </c>
      <c r="E142" s="27">
        <v>0</v>
      </c>
      <c r="F142" s="27">
        <v>0</v>
      </c>
      <c r="G142" s="27">
        <v>0</v>
      </c>
      <c r="H142" s="27">
        <v>0</v>
      </c>
      <c r="I142" s="18">
        <v>12439</v>
      </c>
      <c r="J142" s="28">
        <v>1.2439E-2</v>
      </c>
      <c r="K142" s="18">
        <v>0</v>
      </c>
      <c r="L142" s="18">
        <v>0</v>
      </c>
      <c r="M142" s="18">
        <f t="shared" si="5"/>
        <v>1.2439E-2</v>
      </c>
      <c r="N142" s="25">
        <v>8.6400000000000001E-3</v>
      </c>
      <c r="O142" s="2">
        <f t="shared" si="4"/>
        <v>-2.1079000000000001E-2</v>
      </c>
    </row>
    <row r="143" spans="1:15" x14ac:dyDescent="0.7">
      <c r="A143" s="26"/>
      <c r="B143" s="26"/>
      <c r="C143" s="26">
        <v>21</v>
      </c>
      <c r="D143" s="27">
        <v>8.5500000000000007</v>
      </c>
      <c r="E143" s="27">
        <v>0</v>
      </c>
      <c r="F143" s="27">
        <v>0</v>
      </c>
      <c r="G143" s="27">
        <v>0</v>
      </c>
      <c r="H143" s="27">
        <v>0</v>
      </c>
      <c r="I143" s="18">
        <v>13331</v>
      </c>
      <c r="J143" s="28">
        <v>1.3331000000000001E-2</v>
      </c>
      <c r="K143" s="18">
        <v>0</v>
      </c>
      <c r="L143" s="18">
        <v>0</v>
      </c>
      <c r="M143" s="18">
        <f t="shared" si="5"/>
        <v>1.3331000000000001E-2</v>
      </c>
      <c r="N143" s="25">
        <v>8.6400000000000001E-3</v>
      </c>
      <c r="O143" s="2">
        <f t="shared" si="4"/>
        <v>-2.1971000000000001E-2</v>
      </c>
    </row>
    <row r="144" spans="1:15" x14ac:dyDescent="0.7">
      <c r="A144" s="26"/>
      <c r="B144" s="26"/>
      <c r="C144" s="26">
        <v>22</v>
      </c>
      <c r="D144" s="27">
        <v>6.8979999999999997</v>
      </c>
      <c r="E144" s="27">
        <v>0</v>
      </c>
      <c r="F144" s="27">
        <v>0</v>
      </c>
      <c r="G144" s="27">
        <v>0</v>
      </c>
      <c r="H144" s="27">
        <v>0</v>
      </c>
      <c r="I144" s="18">
        <v>13342</v>
      </c>
      <c r="J144" s="28">
        <v>1.3342E-2</v>
      </c>
      <c r="K144" s="18">
        <v>0</v>
      </c>
      <c r="L144" s="18">
        <v>0</v>
      </c>
      <c r="M144" s="18">
        <f t="shared" si="5"/>
        <v>1.3342E-2</v>
      </c>
      <c r="N144" s="25">
        <v>8.6400000000000001E-3</v>
      </c>
      <c r="O144" s="2">
        <f t="shared" si="4"/>
        <v>-2.1982000000000002E-2</v>
      </c>
    </row>
    <row r="145" spans="1:15" x14ac:dyDescent="0.7">
      <c r="A145" s="26"/>
      <c r="B145" s="26"/>
      <c r="C145" s="26">
        <v>23</v>
      </c>
      <c r="D145" s="27">
        <v>5.3689999999999998</v>
      </c>
      <c r="E145" s="27">
        <v>0</v>
      </c>
      <c r="F145" s="27">
        <v>0</v>
      </c>
      <c r="G145" s="27">
        <v>0</v>
      </c>
      <c r="H145" s="27">
        <v>0</v>
      </c>
      <c r="I145" s="18">
        <v>12153</v>
      </c>
      <c r="J145" s="28">
        <v>1.2153000000000001E-2</v>
      </c>
      <c r="K145" s="18">
        <v>0</v>
      </c>
      <c r="L145" s="18">
        <v>0</v>
      </c>
      <c r="M145" s="18">
        <f t="shared" si="5"/>
        <v>1.2153000000000001E-2</v>
      </c>
      <c r="N145" s="25">
        <v>8.6400000000000001E-3</v>
      </c>
      <c r="O145" s="2">
        <f t="shared" si="4"/>
        <v>-2.0792999999999999E-2</v>
      </c>
    </row>
    <row r="146" spans="1:15" x14ac:dyDescent="0.7">
      <c r="A146" s="26"/>
      <c r="B146" s="26"/>
      <c r="C146" s="26">
        <v>24</v>
      </c>
      <c r="D146" s="27">
        <v>5.1950000000000003</v>
      </c>
      <c r="E146" s="27">
        <v>0</v>
      </c>
      <c r="F146" s="27">
        <v>0</v>
      </c>
      <c r="G146" s="27">
        <v>0</v>
      </c>
      <c r="H146" s="27">
        <v>0</v>
      </c>
      <c r="I146" s="18">
        <v>12564</v>
      </c>
      <c r="J146" s="28">
        <v>1.2564000000000001E-2</v>
      </c>
      <c r="K146" s="18">
        <v>0</v>
      </c>
      <c r="L146" s="18">
        <v>0</v>
      </c>
      <c r="M146" s="18">
        <f t="shared" si="5"/>
        <v>1.2564000000000001E-2</v>
      </c>
      <c r="N146" s="25">
        <v>8.6400000000000001E-3</v>
      </c>
      <c r="O146" s="2">
        <f t="shared" si="4"/>
        <v>-2.1204000000000001E-2</v>
      </c>
    </row>
    <row r="147" spans="1:15" x14ac:dyDescent="0.7">
      <c r="A147" s="26"/>
      <c r="B147" s="26"/>
      <c r="C147" s="26">
        <v>25</v>
      </c>
      <c r="D147" s="27">
        <v>4.9130000000000003</v>
      </c>
      <c r="E147" s="27">
        <v>0</v>
      </c>
      <c r="F147" s="27">
        <v>0</v>
      </c>
      <c r="G147" s="27">
        <v>0</v>
      </c>
      <c r="H147" s="27">
        <v>0</v>
      </c>
      <c r="I147" s="18">
        <v>12675</v>
      </c>
      <c r="J147" s="28">
        <v>1.2675000000000001E-2</v>
      </c>
      <c r="K147" s="18">
        <v>0</v>
      </c>
      <c r="L147" s="18">
        <v>0</v>
      </c>
      <c r="M147" s="18">
        <f t="shared" si="5"/>
        <v>1.2675000000000001E-2</v>
      </c>
      <c r="N147" s="25">
        <v>8.6400000000000001E-3</v>
      </c>
      <c r="O147" s="2">
        <f t="shared" si="4"/>
        <v>-2.1315000000000001E-2</v>
      </c>
    </row>
    <row r="148" spans="1:15" x14ac:dyDescent="0.7">
      <c r="A148" s="26"/>
      <c r="B148" s="26"/>
      <c r="C148" s="26">
        <v>26</v>
      </c>
      <c r="D148" s="27">
        <v>4.7880000000000003</v>
      </c>
      <c r="E148" s="27">
        <v>12.3</v>
      </c>
      <c r="F148" s="27">
        <v>0</v>
      </c>
      <c r="G148" s="27">
        <v>0</v>
      </c>
      <c r="H148" s="27">
        <v>0</v>
      </c>
      <c r="I148" s="18">
        <v>13370</v>
      </c>
      <c r="J148" s="28">
        <v>1.337E-2</v>
      </c>
      <c r="K148" s="18">
        <v>0</v>
      </c>
      <c r="L148" s="18">
        <v>0</v>
      </c>
      <c r="M148" s="18">
        <f t="shared" si="5"/>
        <v>1.337E-2</v>
      </c>
      <c r="N148" s="25">
        <v>8.6400000000000001E-3</v>
      </c>
      <c r="O148" s="2">
        <f t="shared" si="4"/>
        <v>-2.2010000000000002E-2</v>
      </c>
    </row>
    <row r="149" spans="1:15" x14ac:dyDescent="0.7">
      <c r="A149" s="26"/>
      <c r="B149" s="26"/>
      <c r="C149" s="26">
        <v>27</v>
      </c>
      <c r="D149" s="27">
        <v>3.9740000000000002</v>
      </c>
      <c r="E149" s="27">
        <v>0</v>
      </c>
      <c r="F149" s="27">
        <v>0</v>
      </c>
      <c r="G149" s="27">
        <v>0</v>
      </c>
      <c r="H149" s="27">
        <v>0</v>
      </c>
      <c r="I149" s="18">
        <v>12810</v>
      </c>
      <c r="J149" s="28">
        <v>1.281E-2</v>
      </c>
      <c r="K149" s="18">
        <v>0</v>
      </c>
      <c r="L149" s="18">
        <v>0</v>
      </c>
      <c r="M149" s="18">
        <f t="shared" si="5"/>
        <v>1.281E-2</v>
      </c>
      <c r="N149" s="25">
        <v>8.6400000000000001E-3</v>
      </c>
      <c r="O149" s="2">
        <f t="shared" si="4"/>
        <v>-2.145E-2</v>
      </c>
    </row>
    <row r="150" spans="1:15" x14ac:dyDescent="0.7">
      <c r="A150" s="26"/>
      <c r="B150" s="26"/>
      <c r="C150" s="26">
        <v>28</v>
      </c>
      <c r="D150" s="27">
        <v>3.9740000000000002</v>
      </c>
      <c r="E150" s="27">
        <v>17.600000000000001</v>
      </c>
      <c r="F150" s="27">
        <v>5.0709999999999997</v>
      </c>
      <c r="G150" s="27">
        <v>438134.39999999997</v>
      </c>
      <c r="H150" s="27">
        <v>0.43813439999999998</v>
      </c>
      <c r="I150" s="18">
        <v>12477</v>
      </c>
      <c r="J150" s="28">
        <v>1.2477E-2</v>
      </c>
      <c r="K150" s="18">
        <v>0</v>
      </c>
      <c r="L150" s="18">
        <v>0</v>
      </c>
      <c r="M150" s="18">
        <f t="shared" si="5"/>
        <v>1.2477E-2</v>
      </c>
      <c r="N150" s="25">
        <v>8.6400000000000001E-3</v>
      </c>
      <c r="O150" s="2">
        <f t="shared" si="4"/>
        <v>0.41701739999999998</v>
      </c>
    </row>
    <row r="151" spans="1:15" x14ac:dyDescent="0.7">
      <c r="A151" s="26"/>
      <c r="B151" s="26"/>
      <c r="C151" s="26">
        <v>29</v>
      </c>
      <c r="D151" s="27">
        <v>6.1180000000000003</v>
      </c>
      <c r="E151" s="27">
        <v>0</v>
      </c>
      <c r="F151" s="27">
        <v>3.3140000000000001</v>
      </c>
      <c r="G151" s="27">
        <v>286329.59999999998</v>
      </c>
      <c r="H151" s="27">
        <v>0.28632959999999996</v>
      </c>
      <c r="I151" s="18">
        <v>12282</v>
      </c>
      <c r="J151" s="28">
        <v>1.2282E-2</v>
      </c>
      <c r="K151" s="18">
        <v>0</v>
      </c>
      <c r="L151" s="18">
        <v>0</v>
      </c>
      <c r="M151" s="18">
        <f t="shared" si="5"/>
        <v>1.2282E-2</v>
      </c>
      <c r="N151" s="25">
        <v>8.6400000000000001E-3</v>
      </c>
      <c r="O151" s="2">
        <f t="shared" si="4"/>
        <v>0.26540759999999997</v>
      </c>
    </row>
    <row r="152" spans="1:15" x14ac:dyDescent="0.7">
      <c r="A152" s="26"/>
      <c r="B152" s="26"/>
      <c r="C152" s="26">
        <v>30</v>
      </c>
      <c r="D152" s="27">
        <v>7.234</v>
      </c>
      <c r="E152" s="27">
        <v>1.1000000000000001</v>
      </c>
      <c r="F152" s="27">
        <v>1.556</v>
      </c>
      <c r="G152" s="27">
        <v>134438.39999999999</v>
      </c>
      <c r="H152" s="27">
        <v>0.13443839999999999</v>
      </c>
      <c r="I152" s="18">
        <v>10382</v>
      </c>
      <c r="J152" s="28">
        <v>1.0382000000000001E-2</v>
      </c>
      <c r="K152" s="18">
        <v>0</v>
      </c>
      <c r="L152" s="18">
        <v>0</v>
      </c>
      <c r="M152" s="18">
        <f t="shared" si="5"/>
        <v>1.0382000000000001E-2</v>
      </c>
      <c r="N152" s="25">
        <v>8.6400000000000001E-3</v>
      </c>
      <c r="O152" s="2">
        <f t="shared" si="4"/>
        <v>0.11541639999999999</v>
      </c>
    </row>
    <row r="153" spans="1:15" s="3" customFormat="1" ht="25.2" thickBot="1" x14ac:dyDescent="0.75">
      <c r="A153" s="29"/>
      <c r="B153" s="29" t="s">
        <v>19</v>
      </c>
      <c r="C153" s="29">
        <v>31</v>
      </c>
      <c r="D153" s="30">
        <v>5.53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79">
        <v>0</v>
      </c>
      <c r="K153" s="19">
        <v>1098</v>
      </c>
      <c r="L153" s="49">
        <f>K153/1000000</f>
        <v>1.098E-3</v>
      </c>
      <c r="M153" s="19">
        <f>J153+L153</f>
        <v>1.098E-3</v>
      </c>
      <c r="N153" s="45">
        <v>0</v>
      </c>
      <c r="O153" s="46">
        <f t="shared" si="4"/>
        <v>-1.098E-3</v>
      </c>
    </row>
    <row r="154" spans="1:15" x14ac:dyDescent="0.7">
      <c r="A154" s="23"/>
      <c r="B154" s="23" t="s">
        <v>20</v>
      </c>
      <c r="C154" s="23">
        <v>1</v>
      </c>
      <c r="D154" s="24">
        <v>4.8840000000000003</v>
      </c>
      <c r="E154" s="24">
        <v>0</v>
      </c>
      <c r="F154" s="48">
        <v>1.554</v>
      </c>
      <c r="G154" s="20">
        <f t="shared" ref="G154:G217" si="6">F154*86400</f>
        <v>134265.60000000001</v>
      </c>
      <c r="H154" s="20">
        <f t="shared" ref="H154:H217" si="7">G154/1000000</f>
        <v>0.13426560000000001</v>
      </c>
      <c r="I154" s="20">
        <v>40414</v>
      </c>
      <c r="J154" s="80">
        <f t="shared" ref="J154:J217" si="8">I154/1000000</f>
        <v>4.0413999999999999E-2</v>
      </c>
      <c r="K154" s="20">
        <v>7333</v>
      </c>
      <c r="L154" s="20">
        <f t="shared" ref="L154:L217" si="9">K154/1000000</f>
        <v>7.3330000000000001E-3</v>
      </c>
      <c r="M154" s="17">
        <f t="shared" ref="M154:M217" si="10">J154+L154</f>
        <v>4.7746999999999998E-2</v>
      </c>
      <c r="N154" s="20">
        <v>8.6400000000000001E-3</v>
      </c>
      <c r="O154" s="2">
        <f t="shared" si="4"/>
        <v>7.787860000000002E-2</v>
      </c>
    </row>
    <row r="155" spans="1:15" x14ac:dyDescent="0.7">
      <c r="A155" s="26"/>
      <c r="B155" s="26"/>
      <c r="C155" s="26">
        <v>2</v>
      </c>
      <c r="D155" s="27">
        <v>4.8840000000000003</v>
      </c>
      <c r="E155" s="27">
        <v>0</v>
      </c>
      <c r="F155" s="40">
        <v>1.554</v>
      </c>
      <c r="G155" s="25">
        <f t="shared" si="6"/>
        <v>134265.60000000001</v>
      </c>
      <c r="H155" s="25">
        <f t="shared" si="7"/>
        <v>0.13426560000000001</v>
      </c>
      <c r="I155" s="25">
        <v>40888</v>
      </c>
      <c r="J155" s="81">
        <f t="shared" si="8"/>
        <v>4.0888000000000001E-2</v>
      </c>
      <c r="K155" s="25">
        <v>5419</v>
      </c>
      <c r="L155" s="25">
        <f t="shared" si="9"/>
        <v>5.4190000000000002E-3</v>
      </c>
      <c r="M155" s="18">
        <f t="shared" si="10"/>
        <v>4.6307000000000001E-2</v>
      </c>
      <c r="N155" s="25">
        <v>8.6400000000000001E-3</v>
      </c>
      <c r="O155" s="2">
        <f t="shared" si="4"/>
        <v>7.9318600000000017E-2</v>
      </c>
    </row>
    <row r="156" spans="1:15" x14ac:dyDescent="0.7">
      <c r="A156" s="26"/>
      <c r="B156" s="26"/>
      <c r="C156" s="26">
        <v>3</v>
      </c>
      <c r="D156" s="27">
        <v>4.8840000000000003</v>
      </c>
      <c r="E156" s="27">
        <v>0</v>
      </c>
      <c r="F156" s="40">
        <v>1.554</v>
      </c>
      <c r="G156" s="25">
        <f t="shared" si="6"/>
        <v>134265.60000000001</v>
      </c>
      <c r="H156" s="25">
        <f t="shared" si="7"/>
        <v>0.13426560000000001</v>
      </c>
      <c r="I156" s="25">
        <v>38730</v>
      </c>
      <c r="J156" s="81">
        <f t="shared" si="8"/>
        <v>3.8730000000000001E-2</v>
      </c>
      <c r="K156" s="25">
        <v>5494</v>
      </c>
      <c r="L156" s="25">
        <f t="shared" si="9"/>
        <v>5.4939999999999998E-3</v>
      </c>
      <c r="M156" s="18">
        <f t="shared" si="10"/>
        <v>4.4223999999999999E-2</v>
      </c>
      <c r="N156" s="25">
        <v>8.6400000000000001E-3</v>
      </c>
      <c r="O156" s="2">
        <f t="shared" si="4"/>
        <v>8.1401600000000018E-2</v>
      </c>
    </row>
    <row r="157" spans="1:15" x14ac:dyDescent="0.7">
      <c r="A157" s="26"/>
      <c r="B157" s="26"/>
      <c r="C157" s="26">
        <v>4</v>
      </c>
      <c r="D157" s="27">
        <v>4.2780000000000005</v>
      </c>
      <c r="E157" s="27">
        <v>6.2</v>
      </c>
      <c r="F157" s="40">
        <v>0.77600000000000002</v>
      </c>
      <c r="G157" s="25">
        <f t="shared" si="6"/>
        <v>67046.400000000009</v>
      </c>
      <c r="H157" s="25">
        <f t="shared" si="7"/>
        <v>6.7046400000000006E-2</v>
      </c>
      <c r="I157" s="25">
        <v>39067</v>
      </c>
      <c r="J157" s="81">
        <f t="shared" si="8"/>
        <v>3.9066999999999998E-2</v>
      </c>
      <c r="K157" s="25">
        <v>1888</v>
      </c>
      <c r="L157" s="25">
        <f t="shared" si="9"/>
        <v>1.8879999999999999E-3</v>
      </c>
      <c r="M157" s="18">
        <f t="shared" si="10"/>
        <v>4.0954999999999998E-2</v>
      </c>
      <c r="N157" s="25">
        <v>2.4969599999999998E-2</v>
      </c>
      <c r="O157" s="2">
        <f t="shared" si="4"/>
        <v>1.1218000000000096E-3</v>
      </c>
    </row>
    <row r="158" spans="1:15" x14ac:dyDescent="0.7">
      <c r="A158" s="26"/>
      <c r="B158" s="26"/>
      <c r="C158" s="26">
        <v>5</v>
      </c>
      <c r="D158" s="27">
        <v>6.8979999999999997</v>
      </c>
      <c r="E158" s="27">
        <v>0</v>
      </c>
      <c r="F158" s="40">
        <v>0</v>
      </c>
      <c r="G158" s="25">
        <f t="shared" si="6"/>
        <v>0</v>
      </c>
      <c r="H158" s="25">
        <f t="shared" si="7"/>
        <v>0</v>
      </c>
      <c r="I158" s="25">
        <v>39499</v>
      </c>
      <c r="J158" s="81">
        <f t="shared" si="8"/>
        <v>3.9498999999999999E-2</v>
      </c>
      <c r="K158" s="25">
        <v>0</v>
      </c>
      <c r="L158" s="25">
        <f>K158/1000000</f>
        <v>0</v>
      </c>
      <c r="M158" s="18">
        <f t="shared" si="10"/>
        <v>3.9498999999999999E-2</v>
      </c>
      <c r="N158" s="25">
        <v>2.4969599999999998E-2</v>
      </c>
      <c r="O158" s="2">
        <f t="shared" si="4"/>
        <v>-6.4468600000000001E-2</v>
      </c>
    </row>
    <row r="159" spans="1:15" x14ac:dyDescent="0.7">
      <c r="A159" s="26"/>
      <c r="B159" s="26"/>
      <c r="C159" s="26">
        <v>6</v>
      </c>
      <c r="D159" s="27">
        <v>8.4659999999999993</v>
      </c>
      <c r="E159" s="27">
        <v>8.1999999999999993</v>
      </c>
      <c r="F159" s="40">
        <v>1.5680000000000001</v>
      </c>
      <c r="G159" s="25">
        <f t="shared" si="6"/>
        <v>135475.20000000001</v>
      </c>
      <c r="H159" s="25">
        <f t="shared" si="7"/>
        <v>0.13547520000000002</v>
      </c>
      <c r="I159" s="25">
        <v>39715</v>
      </c>
      <c r="J159" s="81">
        <f t="shared" si="8"/>
        <v>3.9715E-2</v>
      </c>
      <c r="K159" s="25">
        <v>0</v>
      </c>
      <c r="L159" s="25">
        <f t="shared" si="9"/>
        <v>0</v>
      </c>
      <c r="M159" s="18">
        <f t="shared" si="10"/>
        <v>3.9715E-2</v>
      </c>
      <c r="N159" s="25">
        <v>8.6400000000000001E-3</v>
      </c>
      <c r="O159" s="2">
        <f t="shared" si="4"/>
        <v>8.7120200000000023E-2</v>
      </c>
    </row>
    <row r="160" spans="1:15" x14ac:dyDescent="0.7">
      <c r="A160" s="26"/>
      <c r="B160" s="26"/>
      <c r="C160" s="26">
        <v>7</v>
      </c>
      <c r="D160" s="27">
        <v>8.4659999999999993</v>
      </c>
      <c r="E160" s="27">
        <v>0</v>
      </c>
      <c r="F160" s="40">
        <v>1.569</v>
      </c>
      <c r="G160" s="25">
        <f t="shared" si="6"/>
        <v>135561.60000000001</v>
      </c>
      <c r="H160" s="25">
        <f t="shared" si="7"/>
        <v>0.1355616</v>
      </c>
      <c r="I160" s="25">
        <v>38299</v>
      </c>
      <c r="J160" s="81">
        <f t="shared" si="8"/>
        <v>3.8299E-2</v>
      </c>
      <c r="K160" s="25">
        <v>0</v>
      </c>
      <c r="L160" s="25">
        <f>K160/1000000</f>
        <v>0</v>
      </c>
      <c r="M160" s="18">
        <f t="shared" si="10"/>
        <v>3.8299E-2</v>
      </c>
      <c r="N160" s="25">
        <v>3.456E-2</v>
      </c>
      <c r="O160" s="2">
        <f t="shared" si="4"/>
        <v>6.2702599999999997E-2</v>
      </c>
    </row>
    <row r="161" spans="1:15" x14ac:dyDescent="0.7">
      <c r="A161" s="26"/>
      <c r="B161" s="26"/>
      <c r="C161" s="26">
        <v>8</v>
      </c>
      <c r="D161" s="27">
        <v>10.120000000000001</v>
      </c>
      <c r="E161" s="27">
        <v>19.8</v>
      </c>
      <c r="F161" s="40">
        <v>1.5720000000000001</v>
      </c>
      <c r="G161" s="25">
        <f t="shared" si="6"/>
        <v>135820.80000000002</v>
      </c>
      <c r="H161" s="25">
        <f t="shared" si="7"/>
        <v>0.13582080000000002</v>
      </c>
      <c r="I161" s="25">
        <v>37928</v>
      </c>
      <c r="J161" s="81">
        <f t="shared" si="8"/>
        <v>3.7928000000000003E-2</v>
      </c>
      <c r="K161" s="25">
        <v>1917</v>
      </c>
      <c r="L161" s="25">
        <f t="shared" si="9"/>
        <v>1.9170000000000001E-3</v>
      </c>
      <c r="M161" s="18">
        <f t="shared" si="10"/>
        <v>3.9845000000000005E-2</v>
      </c>
      <c r="N161" s="25">
        <v>3.456E-2</v>
      </c>
      <c r="O161" s="2">
        <f t="shared" si="4"/>
        <v>6.1415800000000013E-2</v>
      </c>
    </row>
    <row r="162" spans="1:15" x14ac:dyDescent="0.7">
      <c r="A162" s="26"/>
      <c r="B162" s="26"/>
      <c r="C162" s="26">
        <v>9</v>
      </c>
      <c r="D162" s="27">
        <v>11.89</v>
      </c>
      <c r="E162" s="27">
        <v>0.5</v>
      </c>
      <c r="F162" s="40">
        <v>6.8019999999999996</v>
      </c>
      <c r="G162" s="25">
        <f t="shared" si="6"/>
        <v>587692.79999999993</v>
      </c>
      <c r="H162" s="25">
        <f t="shared" si="7"/>
        <v>0.5876927999999999</v>
      </c>
      <c r="I162" s="25">
        <v>38117</v>
      </c>
      <c r="J162" s="81">
        <f t="shared" si="8"/>
        <v>3.8116999999999998E-2</v>
      </c>
      <c r="K162" s="25">
        <v>233</v>
      </c>
      <c r="L162" s="25">
        <f t="shared" si="9"/>
        <v>2.33E-4</v>
      </c>
      <c r="M162" s="18">
        <f t="shared" si="10"/>
        <v>3.8349999999999995E-2</v>
      </c>
      <c r="N162" s="25">
        <v>3.456E-2</v>
      </c>
      <c r="O162" s="2">
        <f t="shared" si="4"/>
        <v>0.51478279999999987</v>
      </c>
    </row>
    <row r="163" spans="1:15" x14ac:dyDescent="0.7">
      <c r="A163" s="26"/>
      <c r="B163" s="26"/>
      <c r="C163" s="26">
        <v>10</v>
      </c>
      <c r="D163" s="27">
        <v>12.03</v>
      </c>
      <c r="E163" s="27">
        <v>0</v>
      </c>
      <c r="F163" s="40">
        <v>9.4870000000000001</v>
      </c>
      <c r="G163" s="25">
        <f t="shared" si="6"/>
        <v>819676.8</v>
      </c>
      <c r="H163" s="25">
        <f t="shared" si="7"/>
        <v>0.81967680000000009</v>
      </c>
      <c r="I163" s="25">
        <v>40896</v>
      </c>
      <c r="J163" s="81">
        <f t="shared" si="8"/>
        <v>4.0896000000000002E-2</v>
      </c>
      <c r="K163" s="25">
        <v>10</v>
      </c>
      <c r="L163" s="25">
        <f t="shared" si="9"/>
        <v>1.0000000000000001E-5</v>
      </c>
      <c r="M163" s="18">
        <f t="shared" si="10"/>
        <v>4.0906000000000005E-2</v>
      </c>
      <c r="N163" s="25">
        <v>0.10367999999999999</v>
      </c>
      <c r="O163" s="2">
        <f t="shared" si="4"/>
        <v>0.6750908000000001</v>
      </c>
    </row>
    <row r="164" spans="1:15" x14ac:dyDescent="0.7">
      <c r="A164" s="26"/>
      <c r="B164" s="26"/>
      <c r="C164" s="26">
        <v>11</v>
      </c>
      <c r="D164" s="27">
        <v>6.9429999999999996</v>
      </c>
      <c r="E164" s="27">
        <v>5.4</v>
      </c>
      <c r="F164" s="40">
        <v>7.8650000000000002</v>
      </c>
      <c r="G164" s="25">
        <f t="shared" si="6"/>
        <v>679536</v>
      </c>
      <c r="H164" s="25">
        <f t="shared" si="7"/>
        <v>0.67953600000000003</v>
      </c>
      <c r="I164" s="25">
        <v>39946</v>
      </c>
      <c r="J164" s="81">
        <f t="shared" si="8"/>
        <v>3.9946000000000002E-2</v>
      </c>
      <c r="K164" s="25">
        <v>0</v>
      </c>
      <c r="L164" s="25">
        <f t="shared" si="9"/>
        <v>0</v>
      </c>
      <c r="M164" s="18">
        <f t="shared" si="10"/>
        <v>3.9946000000000002E-2</v>
      </c>
      <c r="N164" s="25">
        <v>0.10367999999999999</v>
      </c>
      <c r="O164" s="2">
        <f t="shared" si="4"/>
        <v>0.53591</v>
      </c>
    </row>
    <row r="165" spans="1:15" x14ac:dyDescent="0.7">
      <c r="A165" s="26"/>
      <c r="B165" s="26"/>
      <c r="C165" s="26">
        <v>12</v>
      </c>
      <c r="D165" s="27">
        <v>8.7880000000000003</v>
      </c>
      <c r="E165" s="27">
        <v>10.3</v>
      </c>
      <c r="F165" s="40">
        <v>7.8010000000000002</v>
      </c>
      <c r="G165" s="25">
        <f t="shared" si="6"/>
        <v>674006.4</v>
      </c>
      <c r="H165" s="25">
        <f t="shared" si="7"/>
        <v>0.67400640000000001</v>
      </c>
      <c r="I165" s="25">
        <v>40358</v>
      </c>
      <c r="J165" s="81">
        <f t="shared" si="8"/>
        <v>4.0357999999999998E-2</v>
      </c>
      <c r="K165" s="25">
        <v>0</v>
      </c>
      <c r="L165" s="25">
        <f t="shared" si="9"/>
        <v>0</v>
      </c>
      <c r="M165" s="18">
        <f t="shared" si="10"/>
        <v>4.0357999999999998E-2</v>
      </c>
      <c r="N165" s="25">
        <v>0.10367999999999999</v>
      </c>
      <c r="O165" s="2">
        <f t="shared" si="4"/>
        <v>0.52996840000000001</v>
      </c>
    </row>
    <row r="166" spans="1:15" x14ac:dyDescent="0.7">
      <c r="A166" s="26"/>
      <c r="B166" s="26"/>
      <c r="C166" s="26">
        <v>13</v>
      </c>
      <c r="D166" s="27">
        <v>6.8129999999999997</v>
      </c>
      <c r="E166" s="27">
        <v>0</v>
      </c>
      <c r="F166" s="40">
        <v>6.8129999999999997</v>
      </c>
      <c r="G166" s="25">
        <f t="shared" si="6"/>
        <v>588643.19999999995</v>
      </c>
      <c r="H166" s="25">
        <f t="shared" si="7"/>
        <v>0.58864319999999992</v>
      </c>
      <c r="I166" s="25">
        <v>39205</v>
      </c>
      <c r="J166" s="81">
        <f t="shared" si="8"/>
        <v>3.9204999999999997E-2</v>
      </c>
      <c r="K166" s="25">
        <v>57</v>
      </c>
      <c r="L166" s="25">
        <f t="shared" si="9"/>
        <v>5.7000000000000003E-5</v>
      </c>
      <c r="M166" s="18">
        <f t="shared" si="10"/>
        <v>3.9261999999999998E-2</v>
      </c>
      <c r="N166" s="25">
        <v>6.9120000000000001E-2</v>
      </c>
      <c r="O166" s="2">
        <f t="shared" si="4"/>
        <v>0.48026119999999989</v>
      </c>
    </row>
    <row r="167" spans="1:15" x14ac:dyDescent="0.7">
      <c r="A167" s="26"/>
      <c r="B167" s="26"/>
      <c r="C167" s="26">
        <v>14</v>
      </c>
      <c r="D167" s="27">
        <v>6.8129999999999997</v>
      </c>
      <c r="E167" s="27">
        <v>8.1999999999999993</v>
      </c>
      <c r="F167" s="40">
        <v>6.9690000000000003</v>
      </c>
      <c r="G167" s="25">
        <f t="shared" si="6"/>
        <v>602121.6</v>
      </c>
      <c r="H167" s="25">
        <f t="shared" si="7"/>
        <v>0.60212159999999992</v>
      </c>
      <c r="I167" s="25">
        <v>38885</v>
      </c>
      <c r="J167" s="81">
        <f t="shared" si="8"/>
        <v>3.8885000000000003E-2</v>
      </c>
      <c r="K167" s="25">
        <v>4829</v>
      </c>
      <c r="L167" s="25">
        <f t="shared" si="9"/>
        <v>4.829E-3</v>
      </c>
      <c r="M167" s="18">
        <f t="shared" si="10"/>
        <v>4.3714000000000003E-2</v>
      </c>
      <c r="N167" s="25">
        <v>6.9120000000000001E-2</v>
      </c>
      <c r="O167" s="2">
        <f t="shared" si="4"/>
        <v>0.48928759999999988</v>
      </c>
    </row>
    <row r="168" spans="1:15" x14ac:dyDescent="0.7">
      <c r="A168" s="26"/>
      <c r="B168" s="26"/>
      <c r="C168" s="26">
        <v>15</v>
      </c>
      <c r="D168" s="27">
        <v>7.125</v>
      </c>
      <c r="E168" s="27">
        <v>14.3</v>
      </c>
      <c r="F168" s="40">
        <v>6.9429999999999996</v>
      </c>
      <c r="G168" s="25">
        <f t="shared" si="6"/>
        <v>599875.19999999995</v>
      </c>
      <c r="H168" s="25">
        <f t="shared" si="7"/>
        <v>0.59987519999999994</v>
      </c>
      <c r="I168" s="25">
        <v>38793</v>
      </c>
      <c r="J168" s="81">
        <f t="shared" si="8"/>
        <v>3.8793000000000001E-2</v>
      </c>
      <c r="K168" s="25">
        <v>2105</v>
      </c>
      <c r="L168" s="25">
        <f t="shared" si="9"/>
        <v>2.1050000000000001E-3</v>
      </c>
      <c r="M168" s="18">
        <f t="shared" si="10"/>
        <v>4.0898000000000004E-2</v>
      </c>
      <c r="N168" s="25">
        <v>6.9120000000000001E-2</v>
      </c>
      <c r="O168" s="2">
        <f t="shared" si="4"/>
        <v>0.48985719999999994</v>
      </c>
    </row>
    <row r="169" spans="1:15" x14ac:dyDescent="0.7">
      <c r="A169" s="26"/>
      <c r="B169" s="26"/>
      <c r="C169" s="26">
        <v>16</v>
      </c>
      <c r="D169" s="27">
        <v>6.7619999999999996</v>
      </c>
      <c r="E169" s="27">
        <v>0</v>
      </c>
      <c r="F169" s="40">
        <v>6.5819999999999999</v>
      </c>
      <c r="G169" s="25">
        <f t="shared" si="6"/>
        <v>568684.79999999993</v>
      </c>
      <c r="H169" s="25">
        <f t="shared" si="7"/>
        <v>0.56868479999999988</v>
      </c>
      <c r="I169" s="25">
        <v>41105</v>
      </c>
      <c r="J169" s="81">
        <f t="shared" si="8"/>
        <v>4.1105000000000003E-2</v>
      </c>
      <c r="K169" s="25">
        <v>685</v>
      </c>
      <c r="L169" s="25">
        <f t="shared" si="9"/>
        <v>6.8499999999999995E-4</v>
      </c>
      <c r="M169" s="18">
        <f t="shared" si="10"/>
        <v>4.1790000000000001E-2</v>
      </c>
      <c r="N169" s="25">
        <v>6.9120000000000001E-2</v>
      </c>
      <c r="O169" s="2">
        <f t="shared" si="4"/>
        <v>0.45777479999999987</v>
      </c>
    </row>
    <row r="170" spans="1:15" x14ac:dyDescent="0.7">
      <c r="A170" s="26"/>
      <c r="B170" s="26"/>
      <c r="C170" s="26">
        <v>17</v>
      </c>
      <c r="D170" s="27">
        <v>6.4009999999999998</v>
      </c>
      <c r="E170" s="27">
        <v>0</v>
      </c>
      <c r="F170" s="40">
        <v>5.9349999999999996</v>
      </c>
      <c r="G170" s="25">
        <f t="shared" si="6"/>
        <v>512783.99999999994</v>
      </c>
      <c r="H170" s="25">
        <f t="shared" si="7"/>
        <v>0.51278399999999991</v>
      </c>
      <c r="I170" s="25">
        <v>41580</v>
      </c>
      <c r="J170" s="81">
        <f t="shared" si="8"/>
        <v>4.1579999999999999E-2</v>
      </c>
      <c r="K170" s="25">
        <v>41</v>
      </c>
      <c r="L170" s="25">
        <f t="shared" si="9"/>
        <v>4.1E-5</v>
      </c>
      <c r="M170" s="18">
        <f t="shared" si="10"/>
        <v>4.1620999999999998E-2</v>
      </c>
      <c r="N170" s="25">
        <v>6.9120000000000001E-2</v>
      </c>
      <c r="O170" s="2">
        <f t="shared" si="4"/>
        <v>0.40204299999999987</v>
      </c>
    </row>
    <row r="171" spans="1:15" x14ac:dyDescent="0.7">
      <c r="A171" s="26"/>
      <c r="B171" s="26"/>
      <c r="C171" s="26">
        <v>18</v>
      </c>
      <c r="D171" s="27">
        <v>5.4690000000000003</v>
      </c>
      <c r="E171" s="27">
        <v>0</v>
      </c>
      <c r="F171" s="40">
        <v>5.3710000000000004</v>
      </c>
      <c r="G171" s="25">
        <f t="shared" si="6"/>
        <v>464054.4</v>
      </c>
      <c r="H171" s="25">
        <f t="shared" si="7"/>
        <v>0.46405440000000003</v>
      </c>
      <c r="I171" s="25">
        <v>41480</v>
      </c>
      <c r="J171" s="81">
        <f t="shared" si="8"/>
        <v>4.1480000000000003E-2</v>
      </c>
      <c r="K171" s="25">
        <v>0</v>
      </c>
      <c r="L171" s="25">
        <f t="shared" si="9"/>
        <v>0</v>
      </c>
      <c r="M171" s="18">
        <f t="shared" si="10"/>
        <v>4.1480000000000003E-2</v>
      </c>
      <c r="N171" s="25">
        <v>6.9120000000000001E-2</v>
      </c>
      <c r="O171" s="2">
        <f t="shared" si="4"/>
        <v>0.3534544</v>
      </c>
    </row>
    <row r="172" spans="1:15" x14ac:dyDescent="0.7">
      <c r="A172" s="26"/>
      <c r="B172" s="26"/>
      <c r="C172" s="26">
        <v>19</v>
      </c>
      <c r="D172" s="27">
        <v>5.2729999999999997</v>
      </c>
      <c r="E172" s="27">
        <v>0</v>
      </c>
      <c r="F172" s="40">
        <v>5.4169999999999998</v>
      </c>
      <c r="G172" s="25">
        <f t="shared" si="6"/>
        <v>468028.8</v>
      </c>
      <c r="H172" s="25">
        <f t="shared" si="7"/>
        <v>0.46802879999999997</v>
      </c>
      <c r="I172" s="25">
        <v>40359</v>
      </c>
      <c r="J172" s="81">
        <f t="shared" si="8"/>
        <v>4.0358999999999999E-2</v>
      </c>
      <c r="K172" s="25">
        <v>0</v>
      </c>
      <c r="L172" s="25">
        <f t="shared" si="9"/>
        <v>0</v>
      </c>
      <c r="M172" s="18">
        <f t="shared" si="10"/>
        <v>4.0358999999999999E-2</v>
      </c>
      <c r="N172" s="25">
        <v>6.9120000000000001E-2</v>
      </c>
      <c r="O172" s="2">
        <f t="shared" si="4"/>
        <v>0.35854979999999997</v>
      </c>
    </row>
    <row r="173" spans="1:15" x14ac:dyDescent="0.7">
      <c r="A173" s="26"/>
      <c r="B173" s="26"/>
      <c r="C173" s="26">
        <v>20</v>
      </c>
      <c r="D173" s="27">
        <v>5.5609999999999999</v>
      </c>
      <c r="E173" s="27">
        <v>0</v>
      </c>
      <c r="F173" s="40">
        <v>5.7949999999999999</v>
      </c>
      <c r="G173" s="25">
        <f t="shared" si="6"/>
        <v>500688</v>
      </c>
      <c r="H173" s="25">
        <f t="shared" si="7"/>
        <v>0.50068800000000002</v>
      </c>
      <c r="I173" s="25">
        <v>42436</v>
      </c>
      <c r="J173" s="81">
        <f t="shared" si="8"/>
        <v>4.2436000000000001E-2</v>
      </c>
      <c r="K173" s="25">
        <v>0</v>
      </c>
      <c r="L173" s="25">
        <f t="shared" si="9"/>
        <v>0</v>
      </c>
      <c r="M173" s="18">
        <f t="shared" si="10"/>
        <v>4.2436000000000001E-2</v>
      </c>
      <c r="N173" s="25">
        <v>5.1839999999999997E-2</v>
      </c>
      <c r="O173" s="2">
        <f t="shared" si="4"/>
        <v>0.406412</v>
      </c>
    </row>
    <row r="174" spans="1:15" x14ac:dyDescent="0.7">
      <c r="A174" s="26"/>
      <c r="B174" s="26"/>
      <c r="C174" s="26">
        <v>21</v>
      </c>
      <c r="D174" s="27">
        <v>6.0279999999999996</v>
      </c>
      <c r="E174" s="27">
        <v>0</v>
      </c>
      <c r="F174" s="40">
        <v>6.0279999999999996</v>
      </c>
      <c r="G174" s="25">
        <f t="shared" si="6"/>
        <v>520819.19999999995</v>
      </c>
      <c r="H174" s="25">
        <f t="shared" si="7"/>
        <v>0.52081919999999993</v>
      </c>
      <c r="I174" s="25">
        <v>41439</v>
      </c>
      <c r="J174" s="81">
        <f t="shared" si="8"/>
        <v>4.1438999999999997E-2</v>
      </c>
      <c r="K174" s="25">
        <v>3856</v>
      </c>
      <c r="L174" s="25">
        <f t="shared" si="9"/>
        <v>3.8560000000000001E-3</v>
      </c>
      <c r="M174" s="18">
        <f t="shared" si="10"/>
        <v>4.5294999999999995E-2</v>
      </c>
      <c r="N174" s="25">
        <v>2.5919999999999999E-2</v>
      </c>
      <c r="O174" s="2">
        <f t="shared" si="4"/>
        <v>0.44960419999999995</v>
      </c>
    </row>
    <row r="175" spans="1:15" x14ac:dyDescent="0.7">
      <c r="A175" s="26"/>
      <c r="B175" s="26"/>
      <c r="C175" s="26">
        <v>22</v>
      </c>
      <c r="D175" s="27">
        <v>6.0279999999999996</v>
      </c>
      <c r="E175" s="27">
        <v>12.8</v>
      </c>
      <c r="F175" s="40">
        <v>6.3010000000000002</v>
      </c>
      <c r="G175" s="25">
        <f t="shared" si="6"/>
        <v>544406.4</v>
      </c>
      <c r="H175" s="25">
        <f t="shared" si="7"/>
        <v>0.54440640000000007</v>
      </c>
      <c r="I175" s="25">
        <v>41753</v>
      </c>
      <c r="J175" s="81">
        <f t="shared" si="8"/>
        <v>4.1752999999999998E-2</v>
      </c>
      <c r="K175" s="25">
        <v>3562</v>
      </c>
      <c r="L175" s="25">
        <f>K175/1000000</f>
        <v>3.5620000000000001E-3</v>
      </c>
      <c r="M175" s="18">
        <f t="shared" si="10"/>
        <v>4.5315000000000001E-2</v>
      </c>
      <c r="N175" s="25">
        <v>3.1104E-2</v>
      </c>
      <c r="O175" s="2">
        <f t="shared" si="4"/>
        <v>0.46798740000000005</v>
      </c>
    </row>
    <row r="176" spans="1:15" x14ac:dyDescent="0.7">
      <c r="A176" s="26"/>
      <c r="B176" s="26"/>
      <c r="C176" s="26">
        <v>23</v>
      </c>
      <c r="D176" s="27">
        <v>6.5730000000000004</v>
      </c>
      <c r="E176" s="27">
        <v>3.2</v>
      </c>
      <c r="F176" s="40">
        <v>5.9130000000000003</v>
      </c>
      <c r="G176" s="25">
        <f t="shared" si="6"/>
        <v>510883.2</v>
      </c>
      <c r="H176" s="25">
        <f t="shared" si="7"/>
        <v>0.51088319999999998</v>
      </c>
      <c r="I176" s="25">
        <v>40712</v>
      </c>
      <c r="J176" s="81">
        <f t="shared" si="8"/>
        <v>4.0711999999999998E-2</v>
      </c>
      <c r="K176" s="25">
        <v>0</v>
      </c>
      <c r="L176" s="25">
        <f t="shared" si="9"/>
        <v>0</v>
      </c>
      <c r="M176" s="18">
        <f t="shared" si="10"/>
        <v>4.0711999999999998E-2</v>
      </c>
      <c r="N176" s="25">
        <v>3.1104E-2</v>
      </c>
      <c r="O176" s="2">
        <f t="shared" si="4"/>
        <v>0.43906719999999999</v>
      </c>
    </row>
    <row r="177" spans="1:15" x14ac:dyDescent="0.7">
      <c r="A177" s="26"/>
      <c r="B177" s="26"/>
      <c r="C177" s="26">
        <v>24</v>
      </c>
      <c r="D177" s="27">
        <v>5.2519999999999998</v>
      </c>
      <c r="E177" s="27">
        <v>0</v>
      </c>
      <c r="F177" s="40">
        <v>5.2519999999999998</v>
      </c>
      <c r="G177" s="25">
        <f t="shared" si="6"/>
        <v>453772.79999999999</v>
      </c>
      <c r="H177" s="25">
        <f t="shared" si="7"/>
        <v>0.45377279999999998</v>
      </c>
      <c r="I177" s="25">
        <v>40519</v>
      </c>
      <c r="J177" s="81">
        <f t="shared" si="8"/>
        <v>4.0518999999999999E-2</v>
      </c>
      <c r="K177" s="25">
        <v>0</v>
      </c>
      <c r="L177" s="25">
        <f t="shared" si="9"/>
        <v>0</v>
      </c>
      <c r="M177" s="18">
        <f t="shared" si="10"/>
        <v>4.0518999999999999E-2</v>
      </c>
      <c r="N177" s="25">
        <v>3.1104E-2</v>
      </c>
      <c r="O177" s="2">
        <f t="shared" si="4"/>
        <v>0.38214979999999998</v>
      </c>
    </row>
    <row r="178" spans="1:15" x14ac:dyDescent="0.7">
      <c r="A178" s="26"/>
      <c r="B178" s="26"/>
      <c r="C178" s="26">
        <v>25</v>
      </c>
      <c r="D178" s="27">
        <v>5.2519999999999998</v>
      </c>
      <c r="E178" s="27">
        <v>28.5</v>
      </c>
      <c r="F178" s="40">
        <v>7.2789999999999999</v>
      </c>
      <c r="G178" s="25">
        <f t="shared" si="6"/>
        <v>628905.6</v>
      </c>
      <c r="H178" s="25">
        <f t="shared" si="7"/>
        <v>0.62890559999999995</v>
      </c>
      <c r="I178" s="25">
        <v>38679</v>
      </c>
      <c r="J178" s="81">
        <f t="shared" si="8"/>
        <v>3.8678999999999998E-2</v>
      </c>
      <c r="K178" s="25">
        <v>0</v>
      </c>
      <c r="L178" s="25">
        <f t="shared" si="9"/>
        <v>0</v>
      </c>
      <c r="M178" s="18">
        <f t="shared" si="10"/>
        <v>3.8678999999999998E-2</v>
      </c>
      <c r="N178" s="25">
        <v>3.1104E-2</v>
      </c>
      <c r="O178" s="2">
        <f t="shared" si="4"/>
        <v>0.55912259999999991</v>
      </c>
    </row>
    <row r="179" spans="1:15" x14ac:dyDescent="0.7">
      <c r="A179" s="26"/>
      <c r="B179" s="26"/>
      <c r="C179" s="26">
        <v>26</v>
      </c>
      <c r="D179" s="27">
        <v>9.3059999999999992</v>
      </c>
      <c r="E179" s="27">
        <v>26.3</v>
      </c>
      <c r="F179" s="40">
        <v>11.24</v>
      </c>
      <c r="G179" s="25">
        <f t="shared" si="6"/>
        <v>971136</v>
      </c>
      <c r="H179" s="25">
        <f t="shared" si="7"/>
        <v>0.971136</v>
      </c>
      <c r="I179" s="25">
        <v>37566</v>
      </c>
      <c r="J179" s="81">
        <f t="shared" si="8"/>
        <v>3.7566000000000002E-2</v>
      </c>
      <c r="K179" s="25">
        <v>0</v>
      </c>
      <c r="L179" s="25">
        <f t="shared" si="9"/>
        <v>0</v>
      </c>
      <c r="M179" s="18">
        <f t="shared" si="10"/>
        <v>3.7566000000000002E-2</v>
      </c>
      <c r="N179" s="25">
        <v>3.62016E-2</v>
      </c>
      <c r="O179" s="2">
        <f t="shared" si="4"/>
        <v>0.89736839999999995</v>
      </c>
    </row>
    <row r="180" spans="1:15" x14ac:dyDescent="0.7">
      <c r="A180" s="26"/>
      <c r="B180" s="26"/>
      <c r="C180" s="26">
        <v>27</v>
      </c>
      <c r="D180" s="27">
        <v>30.477999999999998</v>
      </c>
      <c r="E180" s="27">
        <v>2.7</v>
      </c>
      <c r="F180" s="40">
        <v>11.946</v>
      </c>
      <c r="G180" s="25">
        <f t="shared" si="6"/>
        <v>1032134.4</v>
      </c>
      <c r="H180" s="25">
        <f t="shared" si="7"/>
        <v>1.0321344000000001</v>
      </c>
      <c r="I180" s="25">
        <v>38312</v>
      </c>
      <c r="J180" s="81">
        <f t="shared" si="8"/>
        <v>3.8311999999999999E-2</v>
      </c>
      <c r="K180" s="25">
        <v>1768</v>
      </c>
      <c r="L180" s="25">
        <f t="shared" si="9"/>
        <v>1.768E-3</v>
      </c>
      <c r="M180" s="18">
        <f t="shared" si="10"/>
        <v>4.0079999999999998E-2</v>
      </c>
      <c r="N180" s="25">
        <v>4.4841599999999995E-2</v>
      </c>
      <c r="O180" s="2">
        <f t="shared" si="4"/>
        <v>0.94721280000000008</v>
      </c>
    </row>
    <row r="181" spans="1:15" x14ac:dyDescent="0.7">
      <c r="A181" s="26"/>
      <c r="B181" s="26"/>
      <c r="C181" s="26">
        <v>28</v>
      </c>
      <c r="D181" s="27">
        <v>20.741999999999997</v>
      </c>
      <c r="E181" s="27">
        <v>6.4</v>
      </c>
      <c r="F181" s="40">
        <v>14.89</v>
      </c>
      <c r="G181" s="25">
        <f t="shared" si="6"/>
        <v>1286496</v>
      </c>
      <c r="H181" s="25">
        <f t="shared" si="7"/>
        <v>1.2864960000000001</v>
      </c>
      <c r="I181" s="25">
        <v>36674</v>
      </c>
      <c r="J181" s="81">
        <f t="shared" si="8"/>
        <v>3.6673999999999998E-2</v>
      </c>
      <c r="K181" s="25">
        <v>0</v>
      </c>
      <c r="L181" s="25">
        <f t="shared" si="9"/>
        <v>0</v>
      </c>
      <c r="M181" s="18">
        <f t="shared" si="10"/>
        <v>3.6673999999999998E-2</v>
      </c>
      <c r="N181" s="25">
        <v>4.4841599999999995E-2</v>
      </c>
      <c r="O181" s="2">
        <f t="shared" si="4"/>
        <v>1.2049804</v>
      </c>
    </row>
    <row r="182" spans="1:15" x14ac:dyDescent="0.7">
      <c r="A182" s="26"/>
      <c r="B182" s="26"/>
      <c r="C182" s="26">
        <v>29</v>
      </c>
      <c r="D182" s="27">
        <v>31.935000000000002</v>
      </c>
      <c r="E182" s="27">
        <v>16.100000000000001</v>
      </c>
      <c r="F182" s="40">
        <v>15.554</v>
      </c>
      <c r="G182" s="25">
        <f t="shared" si="6"/>
        <v>1343865.6</v>
      </c>
      <c r="H182" s="25">
        <f t="shared" si="7"/>
        <v>1.3438656</v>
      </c>
      <c r="I182" s="25">
        <v>38066</v>
      </c>
      <c r="J182" s="81">
        <f t="shared" si="8"/>
        <v>3.8066000000000003E-2</v>
      </c>
      <c r="K182" s="25">
        <v>0</v>
      </c>
      <c r="L182" s="25">
        <f t="shared" si="9"/>
        <v>0</v>
      </c>
      <c r="M182" s="18">
        <f t="shared" si="10"/>
        <v>3.8066000000000003E-2</v>
      </c>
      <c r="N182" s="25">
        <v>4.3200000000000002E-2</v>
      </c>
      <c r="O182" s="2">
        <f t="shared" si="4"/>
        <v>1.2625996000000002</v>
      </c>
    </row>
    <row r="183" spans="1:15" s="3" customFormat="1" ht="25.2" thickBot="1" x14ac:dyDescent="0.75">
      <c r="A183" s="29"/>
      <c r="B183" s="29" t="s">
        <v>20</v>
      </c>
      <c r="C183" s="29">
        <v>30</v>
      </c>
      <c r="D183" s="30">
        <v>12.047000000000001</v>
      </c>
      <c r="E183" s="30">
        <v>1.1000000000000001</v>
      </c>
      <c r="F183" s="50">
        <v>12.054</v>
      </c>
      <c r="G183" s="45">
        <f t="shared" si="6"/>
        <v>1041465.6</v>
      </c>
      <c r="H183" s="45">
        <f t="shared" si="7"/>
        <v>1.0414656</v>
      </c>
      <c r="I183" s="45">
        <v>41555</v>
      </c>
      <c r="J183" s="82">
        <f t="shared" si="8"/>
        <v>4.1555000000000002E-2</v>
      </c>
      <c r="K183" s="45">
        <v>0</v>
      </c>
      <c r="L183" s="45">
        <f t="shared" si="9"/>
        <v>0</v>
      </c>
      <c r="M183" s="19">
        <f t="shared" si="10"/>
        <v>4.1555000000000002E-2</v>
      </c>
      <c r="N183" s="45">
        <v>4.3200000000000002E-2</v>
      </c>
      <c r="O183" s="46">
        <f t="shared" si="4"/>
        <v>0.95671059999999997</v>
      </c>
    </row>
    <row r="184" spans="1:15" x14ac:dyDescent="0.7">
      <c r="A184" s="23"/>
      <c r="B184" s="23" t="s">
        <v>21</v>
      </c>
      <c r="C184" s="23">
        <v>1</v>
      </c>
      <c r="D184" s="24">
        <v>12.061999999999999</v>
      </c>
      <c r="E184" s="24">
        <v>0.6</v>
      </c>
      <c r="F184" s="42">
        <v>13.39</v>
      </c>
      <c r="G184" s="20">
        <f t="shared" si="6"/>
        <v>1156896</v>
      </c>
      <c r="H184" s="20">
        <f t="shared" si="7"/>
        <v>1.1568959999999999</v>
      </c>
      <c r="I184" s="20">
        <v>41492</v>
      </c>
      <c r="J184" s="80">
        <f t="shared" si="8"/>
        <v>4.1492000000000001E-2</v>
      </c>
      <c r="K184" s="20">
        <v>2408</v>
      </c>
      <c r="L184" s="20">
        <f t="shared" si="9"/>
        <v>2.408E-3</v>
      </c>
      <c r="M184" s="17">
        <f t="shared" si="10"/>
        <v>4.3900000000000002E-2</v>
      </c>
      <c r="N184" s="20">
        <v>2.5919999999999999E-2</v>
      </c>
      <c r="O184" s="2">
        <f t="shared" si="4"/>
        <v>1.0870759999999999</v>
      </c>
    </row>
    <row r="185" spans="1:15" x14ac:dyDescent="0.7">
      <c r="A185" s="26"/>
      <c r="B185" s="26"/>
      <c r="C185" s="26">
        <v>2</v>
      </c>
      <c r="D185" s="27">
        <v>14.718</v>
      </c>
      <c r="E185" s="27">
        <v>4.5999999999999996</v>
      </c>
      <c r="F185" s="41">
        <v>14.27</v>
      </c>
      <c r="G185" s="25">
        <f t="shared" si="6"/>
        <v>1232928</v>
      </c>
      <c r="H185" s="25">
        <f t="shared" si="7"/>
        <v>1.232928</v>
      </c>
      <c r="I185" s="25">
        <v>38353</v>
      </c>
      <c r="J185" s="81">
        <f t="shared" si="8"/>
        <v>3.8352999999999998E-2</v>
      </c>
      <c r="K185" s="25">
        <v>5686</v>
      </c>
      <c r="L185" s="25">
        <f t="shared" si="9"/>
        <v>5.6860000000000001E-3</v>
      </c>
      <c r="M185" s="18">
        <f t="shared" si="10"/>
        <v>4.4038999999999995E-2</v>
      </c>
      <c r="N185" s="25">
        <v>2.5919999999999999E-2</v>
      </c>
      <c r="O185" s="2">
        <f t="shared" si="4"/>
        <v>1.1629690000000001</v>
      </c>
    </row>
    <row r="186" spans="1:15" x14ac:dyDescent="0.7">
      <c r="A186" s="26"/>
      <c r="B186" s="26"/>
      <c r="C186" s="26">
        <v>3</v>
      </c>
      <c r="D186" s="27">
        <v>13.821999999999999</v>
      </c>
      <c r="E186" s="27">
        <v>5.9</v>
      </c>
      <c r="F186" s="41">
        <v>15.462</v>
      </c>
      <c r="G186" s="25">
        <f t="shared" si="6"/>
        <v>1335916.8</v>
      </c>
      <c r="H186" s="25">
        <f t="shared" si="7"/>
        <v>1.3359168000000001</v>
      </c>
      <c r="I186" s="25">
        <v>38041</v>
      </c>
      <c r="J186" s="81">
        <f t="shared" si="8"/>
        <v>3.8040999999999998E-2</v>
      </c>
      <c r="K186" s="25">
        <v>4199</v>
      </c>
      <c r="L186" s="25">
        <f t="shared" si="9"/>
        <v>4.1989999999999996E-3</v>
      </c>
      <c r="M186" s="18">
        <f t="shared" si="10"/>
        <v>4.224E-2</v>
      </c>
      <c r="N186" s="25">
        <v>8.6400000000000001E-3</v>
      </c>
      <c r="O186" s="2">
        <f t="shared" si="4"/>
        <v>1.2850368000000001</v>
      </c>
    </row>
    <row r="187" spans="1:15" x14ac:dyDescent="0.7">
      <c r="A187" s="26"/>
      <c r="B187" s="26"/>
      <c r="C187" s="26">
        <v>4</v>
      </c>
      <c r="D187" s="27">
        <v>17.100999999999999</v>
      </c>
      <c r="E187" s="27">
        <v>6.7</v>
      </c>
      <c r="F187" s="41">
        <v>17.693999999999999</v>
      </c>
      <c r="G187" s="25">
        <f t="shared" si="6"/>
        <v>1528761.5999999999</v>
      </c>
      <c r="H187" s="25">
        <f t="shared" si="7"/>
        <v>1.5287615999999999</v>
      </c>
      <c r="I187" s="25">
        <v>40543</v>
      </c>
      <c r="J187" s="81">
        <f t="shared" si="8"/>
        <v>4.0543000000000003E-2</v>
      </c>
      <c r="K187" s="25">
        <v>5897</v>
      </c>
      <c r="L187" s="25">
        <f t="shared" si="9"/>
        <v>5.8970000000000003E-3</v>
      </c>
      <c r="M187" s="18">
        <f t="shared" si="10"/>
        <v>4.6440000000000002E-2</v>
      </c>
      <c r="N187" s="25">
        <v>8.6400000000000001E-3</v>
      </c>
      <c r="O187" s="2">
        <f t="shared" si="4"/>
        <v>1.4736815999999999</v>
      </c>
    </row>
    <row r="188" spans="1:15" x14ac:dyDescent="0.7">
      <c r="A188" s="26"/>
      <c r="B188" s="26"/>
      <c r="C188" s="26">
        <v>5</v>
      </c>
      <c r="D188" s="27">
        <v>22.94</v>
      </c>
      <c r="E188" s="27">
        <v>1.9</v>
      </c>
      <c r="F188" s="41">
        <v>16.071999999999999</v>
      </c>
      <c r="G188" s="25">
        <f t="shared" si="6"/>
        <v>1388620.7999999998</v>
      </c>
      <c r="H188" s="25">
        <f t="shared" si="7"/>
        <v>1.3886207999999998</v>
      </c>
      <c r="I188" s="25">
        <v>38369</v>
      </c>
      <c r="J188" s="81">
        <f t="shared" si="8"/>
        <v>3.8369E-2</v>
      </c>
      <c r="K188" s="25">
        <v>4077</v>
      </c>
      <c r="L188" s="25">
        <f t="shared" si="9"/>
        <v>4.0769999999999999E-3</v>
      </c>
      <c r="M188" s="18">
        <f t="shared" si="10"/>
        <v>4.2445999999999998E-2</v>
      </c>
      <c r="N188" s="25">
        <v>8.6400000000000001E-3</v>
      </c>
      <c r="O188" s="2">
        <f t="shared" si="4"/>
        <v>1.3375347999999998</v>
      </c>
    </row>
    <row r="189" spans="1:15" x14ac:dyDescent="0.7">
      <c r="A189" s="26"/>
      <c r="B189" s="26"/>
      <c r="C189" s="26">
        <v>6</v>
      </c>
      <c r="D189" s="27">
        <v>13.858000000000001</v>
      </c>
      <c r="E189" s="27">
        <v>0</v>
      </c>
      <c r="F189" s="41">
        <v>13.368</v>
      </c>
      <c r="G189" s="25">
        <f t="shared" si="6"/>
        <v>1154995.2</v>
      </c>
      <c r="H189" s="25">
        <f t="shared" si="7"/>
        <v>1.1549951999999999</v>
      </c>
      <c r="I189" s="25">
        <v>38676</v>
      </c>
      <c r="J189" s="81">
        <f t="shared" si="8"/>
        <v>3.8676000000000002E-2</v>
      </c>
      <c r="K189" s="25">
        <v>0</v>
      </c>
      <c r="L189" s="25">
        <f t="shared" si="9"/>
        <v>0</v>
      </c>
      <c r="M189" s="18">
        <f t="shared" si="10"/>
        <v>3.8676000000000002E-2</v>
      </c>
      <c r="N189" s="25">
        <v>2.5919999999999999E-2</v>
      </c>
      <c r="O189" s="2">
        <f t="shared" si="4"/>
        <v>1.0903992</v>
      </c>
    </row>
    <row r="190" spans="1:15" x14ac:dyDescent="0.7">
      <c r="A190" s="26"/>
      <c r="B190" s="26"/>
      <c r="C190" s="26">
        <v>7</v>
      </c>
      <c r="D190" s="27">
        <v>12.21</v>
      </c>
      <c r="E190" s="27">
        <v>0</v>
      </c>
      <c r="F190" s="41">
        <v>11.659000000000001</v>
      </c>
      <c r="G190" s="25">
        <f t="shared" si="6"/>
        <v>1007337.6000000001</v>
      </c>
      <c r="H190" s="25">
        <f t="shared" si="7"/>
        <v>1.0073376000000001</v>
      </c>
      <c r="I190" s="25">
        <v>40344</v>
      </c>
      <c r="J190" s="81">
        <f t="shared" si="8"/>
        <v>4.0343999999999998E-2</v>
      </c>
      <c r="K190" s="25">
        <v>0</v>
      </c>
      <c r="L190" s="25">
        <f t="shared" si="9"/>
        <v>0</v>
      </c>
      <c r="M190" s="18">
        <f t="shared" si="10"/>
        <v>4.0343999999999998E-2</v>
      </c>
      <c r="N190" s="25">
        <v>2.5919999999999999E-2</v>
      </c>
      <c r="O190" s="2">
        <f t="shared" si="4"/>
        <v>0.94107359999999995</v>
      </c>
    </row>
    <row r="191" spans="1:15" x14ac:dyDescent="0.7">
      <c r="A191" s="26"/>
      <c r="B191" s="26"/>
      <c r="C191" s="26">
        <v>8</v>
      </c>
      <c r="D191" s="27">
        <v>10.076000000000001</v>
      </c>
      <c r="E191" s="27">
        <v>0</v>
      </c>
      <c r="F191" s="41">
        <v>9.2739999999999991</v>
      </c>
      <c r="G191" s="25">
        <f t="shared" si="6"/>
        <v>801273.6</v>
      </c>
      <c r="H191" s="25">
        <f t="shared" si="7"/>
        <v>0.80127360000000003</v>
      </c>
      <c r="I191" s="25">
        <v>41500</v>
      </c>
      <c r="J191" s="81">
        <f t="shared" si="8"/>
        <v>4.1500000000000002E-2</v>
      </c>
      <c r="K191" s="25">
        <v>0</v>
      </c>
      <c r="L191" s="25">
        <f t="shared" si="9"/>
        <v>0</v>
      </c>
      <c r="M191" s="18">
        <f t="shared" si="10"/>
        <v>4.1500000000000002E-2</v>
      </c>
      <c r="N191" s="25">
        <v>2.5919999999999999E-2</v>
      </c>
      <c r="O191" s="2">
        <f t="shared" si="4"/>
        <v>0.73385359999999999</v>
      </c>
    </row>
    <row r="192" spans="1:15" x14ac:dyDescent="0.7">
      <c r="A192" s="26"/>
      <c r="B192" s="26"/>
      <c r="C192" s="26">
        <v>9</v>
      </c>
      <c r="D192" s="27">
        <v>8.0530000000000008</v>
      </c>
      <c r="E192" s="27">
        <v>0</v>
      </c>
      <c r="F192" s="41">
        <v>7.4390000000000001</v>
      </c>
      <c r="G192" s="25">
        <f t="shared" si="6"/>
        <v>642729.6</v>
      </c>
      <c r="H192" s="25">
        <f t="shared" si="7"/>
        <v>0.64272960000000001</v>
      </c>
      <c r="I192" s="25">
        <v>41513</v>
      </c>
      <c r="J192" s="81">
        <f t="shared" si="8"/>
        <v>4.1513000000000001E-2</v>
      </c>
      <c r="K192" s="25">
        <v>6338</v>
      </c>
      <c r="L192" s="25">
        <f t="shared" si="9"/>
        <v>6.3379999999999999E-3</v>
      </c>
      <c r="M192" s="18">
        <f t="shared" si="10"/>
        <v>4.7851000000000005E-2</v>
      </c>
      <c r="N192" s="25">
        <v>1.728E-2</v>
      </c>
      <c r="O192" s="2">
        <f t="shared" si="4"/>
        <v>0.57759860000000007</v>
      </c>
    </row>
    <row r="193" spans="1:15" x14ac:dyDescent="0.7">
      <c r="A193" s="26"/>
      <c r="B193" s="26"/>
      <c r="C193" s="26">
        <v>10</v>
      </c>
      <c r="D193" s="27">
        <v>6.8250000000000002</v>
      </c>
      <c r="E193" s="27">
        <v>0</v>
      </c>
      <c r="F193" s="41">
        <v>11.481999999999999</v>
      </c>
      <c r="G193" s="25">
        <f t="shared" si="6"/>
        <v>992044.79999999993</v>
      </c>
      <c r="H193" s="25">
        <f t="shared" si="7"/>
        <v>0.99204479999999995</v>
      </c>
      <c r="I193" s="25">
        <v>42686</v>
      </c>
      <c r="J193" s="81">
        <f t="shared" si="8"/>
        <v>4.2686000000000002E-2</v>
      </c>
      <c r="K193" s="25">
        <v>2052</v>
      </c>
      <c r="L193" s="25">
        <f t="shared" si="9"/>
        <v>2.052E-3</v>
      </c>
      <c r="M193" s="18">
        <f t="shared" si="10"/>
        <v>4.4738E-2</v>
      </c>
      <c r="N193" s="25">
        <v>1.728E-2</v>
      </c>
      <c r="O193" s="2">
        <f t="shared" si="4"/>
        <v>0.93002680000000004</v>
      </c>
    </row>
    <row r="194" spans="1:15" x14ac:dyDescent="0.7">
      <c r="A194" s="26"/>
      <c r="B194" s="26"/>
      <c r="C194" s="26">
        <v>11</v>
      </c>
      <c r="D194" s="27">
        <v>16.903000000000002</v>
      </c>
      <c r="E194" s="27">
        <v>9.6</v>
      </c>
      <c r="F194" s="41">
        <v>17.228000000000002</v>
      </c>
      <c r="G194" s="25">
        <f t="shared" si="6"/>
        <v>1488499.2000000002</v>
      </c>
      <c r="H194" s="25">
        <f t="shared" si="7"/>
        <v>1.4884992000000001</v>
      </c>
      <c r="I194" s="25">
        <v>40635</v>
      </c>
      <c r="J194" s="81">
        <f t="shared" si="8"/>
        <v>4.0634999999999998E-2</v>
      </c>
      <c r="K194" s="25">
        <v>2666</v>
      </c>
      <c r="L194" s="25">
        <f t="shared" si="9"/>
        <v>2.666E-3</v>
      </c>
      <c r="M194" s="18">
        <f t="shared" si="10"/>
        <v>4.3300999999999999E-2</v>
      </c>
      <c r="N194" s="25">
        <v>1.728E-2</v>
      </c>
      <c r="O194" s="2">
        <f t="shared" si="4"/>
        <v>1.4279182000000001</v>
      </c>
    </row>
    <row r="195" spans="1:15" x14ac:dyDescent="0.7">
      <c r="A195" s="26"/>
      <c r="B195" s="26"/>
      <c r="C195" s="26">
        <v>12</v>
      </c>
      <c r="D195" s="27">
        <v>17.547999999999998</v>
      </c>
      <c r="E195" s="27">
        <v>0</v>
      </c>
      <c r="F195" s="41">
        <v>16.556000000000001</v>
      </c>
      <c r="G195" s="25">
        <f t="shared" si="6"/>
        <v>1430438.4000000001</v>
      </c>
      <c r="H195" s="25">
        <f t="shared" si="7"/>
        <v>1.4304384000000001</v>
      </c>
      <c r="I195" s="25">
        <v>38500</v>
      </c>
      <c r="J195" s="81">
        <f t="shared" si="8"/>
        <v>3.85E-2</v>
      </c>
      <c r="K195" s="25">
        <v>2497</v>
      </c>
      <c r="L195" s="25">
        <f t="shared" si="9"/>
        <v>2.4970000000000001E-3</v>
      </c>
      <c r="M195" s="18">
        <f t="shared" si="10"/>
        <v>4.0996999999999999E-2</v>
      </c>
      <c r="N195" s="25">
        <v>1.728E-2</v>
      </c>
      <c r="O195" s="2">
        <f t="shared" ref="O195:O258" si="11">H195-M195-N195</f>
        <v>1.3721614000000002</v>
      </c>
    </row>
    <row r="196" spans="1:15" x14ac:dyDescent="0.7">
      <c r="A196" s="26"/>
      <c r="B196" s="26"/>
      <c r="C196" s="26">
        <v>13</v>
      </c>
      <c r="D196" s="27">
        <v>15.564</v>
      </c>
      <c r="E196" s="27">
        <v>14.7</v>
      </c>
      <c r="F196" s="41">
        <v>14.865</v>
      </c>
      <c r="G196" s="25">
        <f t="shared" si="6"/>
        <v>1284336</v>
      </c>
      <c r="H196" s="25">
        <f t="shared" si="7"/>
        <v>1.2843359999999999</v>
      </c>
      <c r="I196" s="25">
        <v>41881</v>
      </c>
      <c r="J196" s="81">
        <f t="shared" si="8"/>
        <v>4.1881000000000002E-2</v>
      </c>
      <c r="K196" s="25">
        <v>0</v>
      </c>
      <c r="L196" s="25">
        <f t="shared" si="9"/>
        <v>0</v>
      </c>
      <c r="M196" s="18">
        <f t="shared" si="10"/>
        <v>4.1881000000000002E-2</v>
      </c>
      <c r="N196" s="25">
        <v>5.1839999999999997E-2</v>
      </c>
      <c r="O196" s="2">
        <f t="shared" si="11"/>
        <v>1.1906149999999998</v>
      </c>
    </row>
    <row r="197" spans="1:15" x14ac:dyDescent="0.7">
      <c r="A197" s="26"/>
      <c r="B197" s="26"/>
      <c r="C197" s="26">
        <v>14</v>
      </c>
      <c r="D197" s="27">
        <v>11.085000000000001</v>
      </c>
      <c r="E197" s="27">
        <v>0</v>
      </c>
      <c r="F197" s="41">
        <v>10.037000000000001</v>
      </c>
      <c r="G197" s="25">
        <f t="shared" si="6"/>
        <v>867196.8</v>
      </c>
      <c r="H197" s="25">
        <f t="shared" si="7"/>
        <v>0.8671968000000001</v>
      </c>
      <c r="I197" s="25">
        <v>38894</v>
      </c>
      <c r="J197" s="81">
        <f t="shared" si="8"/>
        <v>3.8893999999999998E-2</v>
      </c>
      <c r="K197" s="25">
        <v>0</v>
      </c>
      <c r="L197" s="25">
        <f t="shared" si="9"/>
        <v>0</v>
      </c>
      <c r="M197" s="18">
        <f t="shared" si="10"/>
        <v>3.8893999999999998E-2</v>
      </c>
      <c r="N197" s="25">
        <v>3.456E-2</v>
      </c>
      <c r="O197" s="2">
        <f t="shared" si="11"/>
        <v>0.79374280000000008</v>
      </c>
    </row>
    <row r="198" spans="1:15" x14ac:dyDescent="0.7">
      <c r="A198" s="26"/>
      <c r="B198" s="26"/>
      <c r="C198" s="26">
        <v>15</v>
      </c>
      <c r="D198" s="27">
        <v>8.9879999999999995</v>
      </c>
      <c r="E198" s="27">
        <v>0</v>
      </c>
      <c r="F198" s="41">
        <v>8.5190000000000001</v>
      </c>
      <c r="G198" s="25">
        <f t="shared" si="6"/>
        <v>736041.6</v>
      </c>
      <c r="H198" s="25">
        <f t="shared" si="7"/>
        <v>0.73604159999999996</v>
      </c>
      <c r="I198" s="25">
        <v>39819</v>
      </c>
      <c r="J198" s="81">
        <f t="shared" si="8"/>
        <v>3.9819E-2</v>
      </c>
      <c r="K198" s="25">
        <v>0</v>
      </c>
      <c r="L198" s="25">
        <f t="shared" si="9"/>
        <v>0</v>
      </c>
      <c r="M198" s="18">
        <f t="shared" si="10"/>
        <v>3.9819E-2</v>
      </c>
      <c r="N198" s="25">
        <v>5.1839999999999997E-2</v>
      </c>
      <c r="O198" s="2">
        <f t="shared" si="11"/>
        <v>0.64438259999999992</v>
      </c>
    </row>
    <row r="199" spans="1:15" x14ac:dyDescent="0.7">
      <c r="A199" s="26"/>
      <c r="B199" s="26"/>
      <c r="C199" s="26">
        <v>16</v>
      </c>
      <c r="D199" s="27">
        <v>8.0489999999999995</v>
      </c>
      <c r="E199" s="27">
        <v>0</v>
      </c>
      <c r="F199" s="41">
        <v>7.7519999999999998</v>
      </c>
      <c r="G199" s="25">
        <f t="shared" si="6"/>
        <v>669772.79999999993</v>
      </c>
      <c r="H199" s="25">
        <f t="shared" si="7"/>
        <v>0.66977279999999995</v>
      </c>
      <c r="I199" s="25">
        <v>40453</v>
      </c>
      <c r="J199" s="81">
        <f t="shared" si="8"/>
        <v>4.0453000000000003E-2</v>
      </c>
      <c r="K199" s="25">
        <v>0</v>
      </c>
      <c r="L199" s="25">
        <f t="shared" si="9"/>
        <v>0</v>
      </c>
      <c r="M199" s="18">
        <f t="shared" si="10"/>
        <v>4.0453000000000003E-2</v>
      </c>
      <c r="N199" s="25">
        <v>5.1839999999999997E-2</v>
      </c>
      <c r="O199" s="2">
        <f t="shared" si="11"/>
        <v>0.57747979999999999</v>
      </c>
    </row>
    <row r="200" spans="1:15" x14ac:dyDescent="0.7">
      <c r="A200" s="26"/>
      <c r="B200" s="26"/>
      <c r="C200" s="26">
        <v>17</v>
      </c>
      <c r="D200" s="27">
        <v>7.4539999999999997</v>
      </c>
      <c r="E200" s="27">
        <v>0</v>
      </c>
      <c r="F200" s="41">
        <v>8.0060000000000002</v>
      </c>
      <c r="G200" s="25">
        <f t="shared" si="6"/>
        <v>691718.4</v>
      </c>
      <c r="H200" s="25">
        <f t="shared" si="7"/>
        <v>0.69171840000000007</v>
      </c>
      <c r="I200" s="25">
        <v>42672</v>
      </c>
      <c r="J200" s="81">
        <f t="shared" si="8"/>
        <v>4.2672000000000002E-2</v>
      </c>
      <c r="K200" s="25">
        <v>0</v>
      </c>
      <c r="L200" s="25">
        <f t="shared" si="9"/>
        <v>0</v>
      </c>
      <c r="M200" s="18">
        <f t="shared" si="10"/>
        <v>4.2672000000000002E-2</v>
      </c>
      <c r="N200" s="25">
        <v>8.6400000000000001E-3</v>
      </c>
      <c r="O200" s="2">
        <f t="shared" si="11"/>
        <v>0.64040640000000004</v>
      </c>
    </row>
    <row r="201" spans="1:15" x14ac:dyDescent="0.7">
      <c r="A201" s="26"/>
      <c r="B201" s="26"/>
      <c r="C201" s="26">
        <v>18</v>
      </c>
      <c r="D201" s="27">
        <v>8.5579999999999998</v>
      </c>
      <c r="E201" s="27">
        <v>0</v>
      </c>
      <c r="F201" s="41">
        <v>16.071000000000002</v>
      </c>
      <c r="G201" s="25">
        <f t="shared" si="6"/>
        <v>1388534.4000000001</v>
      </c>
      <c r="H201" s="25">
        <f t="shared" si="7"/>
        <v>1.3885344000000002</v>
      </c>
      <c r="I201" s="25">
        <v>40752</v>
      </c>
      <c r="J201" s="81">
        <f t="shared" si="8"/>
        <v>4.0751999999999997E-2</v>
      </c>
      <c r="K201" s="25">
        <v>3220</v>
      </c>
      <c r="L201" s="25">
        <f t="shared" si="9"/>
        <v>3.2200000000000002E-3</v>
      </c>
      <c r="M201" s="18">
        <f t="shared" si="10"/>
        <v>4.3971999999999997E-2</v>
      </c>
      <c r="N201" s="25">
        <v>8.6400000000000001E-3</v>
      </c>
      <c r="O201" s="2">
        <f t="shared" si="11"/>
        <v>1.3359224000000003</v>
      </c>
    </row>
    <row r="202" spans="1:15" x14ac:dyDescent="0.7">
      <c r="A202" s="26"/>
      <c r="B202" s="26"/>
      <c r="C202" s="26">
        <v>19</v>
      </c>
      <c r="D202" s="27">
        <v>44.231999999999999</v>
      </c>
      <c r="E202" s="27">
        <v>11.6</v>
      </c>
      <c r="F202" s="41">
        <v>23.652000000000001</v>
      </c>
      <c r="G202" s="25">
        <f t="shared" si="6"/>
        <v>2043532.8</v>
      </c>
      <c r="H202" s="25">
        <f t="shared" si="7"/>
        <v>2.0435327999999999</v>
      </c>
      <c r="I202" s="25">
        <v>43260</v>
      </c>
      <c r="J202" s="81">
        <f t="shared" si="8"/>
        <v>4.326E-2</v>
      </c>
      <c r="K202" s="25">
        <v>6022</v>
      </c>
      <c r="L202" s="25">
        <f t="shared" si="9"/>
        <v>6.0219999999999996E-3</v>
      </c>
      <c r="M202" s="18">
        <f t="shared" si="10"/>
        <v>4.9281999999999999E-2</v>
      </c>
      <c r="N202" s="25">
        <v>8.6400000000000001E-3</v>
      </c>
      <c r="O202" s="2">
        <f t="shared" si="11"/>
        <v>1.9856107999999999</v>
      </c>
    </row>
    <row r="203" spans="1:15" x14ac:dyDescent="0.7">
      <c r="A203" s="26"/>
      <c r="B203" s="26"/>
      <c r="C203" s="26">
        <v>20</v>
      </c>
      <c r="D203" s="27">
        <v>59.564</v>
      </c>
      <c r="E203" s="27">
        <v>3.1</v>
      </c>
      <c r="F203" s="41">
        <v>22.981999999999999</v>
      </c>
      <c r="G203" s="25">
        <f t="shared" si="6"/>
        <v>1985644.8</v>
      </c>
      <c r="H203" s="25">
        <f t="shared" si="7"/>
        <v>1.9856448</v>
      </c>
      <c r="I203" s="25">
        <v>41639</v>
      </c>
      <c r="J203" s="81">
        <f t="shared" si="8"/>
        <v>4.1639000000000002E-2</v>
      </c>
      <c r="K203" s="25">
        <v>5931</v>
      </c>
      <c r="L203" s="25">
        <f t="shared" si="9"/>
        <v>5.9309999999999996E-3</v>
      </c>
      <c r="M203" s="18">
        <f t="shared" si="10"/>
        <v>4.7570000000000001E-2</v>
      </c>
      <c r="N203" s="25">
        <v>8.6400000000000001E-3</v>
      </c>
      <c r="O203" s="2">
        <f t="shared" si="11"/>
        <v>1.9294347999999999</v>
      </c>
    </row>
    <row r="204" spans="1:15" x14ac:dyDescent="0.7">
      <c r="A204" s="26"/>
      <c r="B204" s="26"/>
      <c r="C204" s="26">
        <v>21</v>
      </c>
      <c r="D204" s="27">
        <v>21.436</v>
      </c>
      <c r="E204" s="27">
        <v>22.9</v>
      </c>
      <c r="F204" s="41">
        <v>20.684000000000001</v>
      </c>
      <c r="G204" s="25">
        <f t="shared" si="6"/>
        <v>1787097.6</v>
      </c>
      <c r="H204" s="25">
        <f t="shared" si="7"/>
        <v>1.7870976000000001</v>
      </c>
      <c r="I204" s="25">
        <v>40965</v>
      </c>
      <c r="J204" s="81">
        <f t="shared" si="8"/>
        <v>4.0965000000000001E-2</v>
      </c>
      <c r="K204" s="25">
        <v>6004</v>
      </c>
      <c r="L204" s="25">
        <f t="shared" si="9"/>
        <v>6.0039999999999998E-3</v>
      </c>
      <c r="M204" s="18">
        <f t="shared" si="10"/>
        <v>4.6969000000000004E-2</v>
      </c>
      <c r="N204" s="25">
        <v>8.6400000000000001E-3</v>
      </c>
      <c r="O204" s="2">
        <f t="shared" si="11"/>
        <v>1.7314886</v>
      </c>
    </row>
    <row r="205" spans="1:15" x14ac:dyDescent="0.7">
      <c r="A205" s="26"/>
      <c r="B205" s="26"/>
      <c r="C205" s="26">
        <v>22</v>
      </c>
      <c r="D205" s="27">
        <v>20.077999999999999</v>
      </c>
      <c r="E205" s="27">
        <v>11.6</v>
      </c>
      <c r="F205" s="41">
        <v>20.577999999999999</v>
      </c>
      <c r="G205" s="25">
        <f t="shared" si="6"/>
        <v>1777939.2</v>
      </c>
      <c r="H205" s="25">
        <f t="shared" si="7"/>
        <v>1.7779392000000001</v>
      </c>
      <c r="I205" s="25">
        <v>40457</v>
      </c>
      <c r="J205" s="81">
        <f t="shared" si="8"/>
        <v>4.0457E-2</v>
      </c>
      <c r="K205" s="25">
        <v>5945</v>
      </c>
      <c r="L205" s="25">
        <f t="shared" si="9"/>
        <v>5.9449999999999998E-3</v>
      </c>
      <c r="M205" s="18">
        <f t="shared" si="10"/>
        <v>4.6401999999999999E-2</v>
      </c>
      <c r="N205" s="25">
        <v>1.3823999999999999E-2</v>
      </c>
      <c r="O205" s="2">
        <f t="shared" si="11"/>
        <v>1.7177131999999999</v>
      </c>
    </row>
    <row r="206" spans="1:15" x14ac:dyDescent="0.7">
      <c r="A206" s="26"/>
      <c r="B206" s="26"/>
      <c r="C206" s="26">
        <v>23</v>
      </c>
      <c r="D206" s="27">
        <v>18.059000000000001</v>
      </c>
      <c r="E206" s="27">
        <v>0</v>
      </c>
      <c r="F206" s="41">
        <v>16.431000000000001</v>
      </c>
      <c r="G206" s="25">
        <f t="shared" si="6"/>
        <v>1419638.4000000001</v>
      </c>
      <c r="H206" s="25">
        <f t="shared" si="7"/>
        <v>1.4196384000000002</v>
      </c>
      <c r="I206" s="25">
        <v>40732</v>
      </c>
      <c r="J206" s="81">
        <f t="shared" si="8"/>
        <v>4.0731999999999997E-2</v>
      </c>
      <c r="K206" s="25">
        <v>5873</v>
      </c>
      <c r="L206" s="25">
        <f t="shared" si="9"/>
        <v>5.8729999999999997E-3</v>
      </c>
      <c r="M206" s="18">
        <f t="shared" si="10"/>
        <v>4.6604999999999994E-2</v>
      </c>
      <c r="N206" s="25">
        <v>3.9744000000000002E-2</v>
      </c>
      <c r="O206" s="2">
        <f t="shared" si="11"/>
        <v>1.3332894000000002</v>
      </c>
    </row>
    <row r="207" spans="1:15" x14ac:dyDescent="0.7">
      <c r="A207" s="26"/>
      <c r="B207" s="26"/>
      <c r="C207" s="26">
        <v>24</v>
      </c>
      <c r="D207" s="27">
        <v>12.657</v>
      </c>
      <c r="E207" s="27">
        <v>0</v>
      </c>
      <c r="F207" s="41">
        <v>11.59</v>
      </c>
      <c r="G207" s="25">
        <f t="shared" si="6"/>
        <v>1001376</v>
      </c>
      <c r="H207" s="25">
        <f t="shared" si="7"/>
        <v>1.001376</v>
      </c>
      <c r="I207" s="25">
        <v>43550</v>
      </c>
      <c r="J207" s="81">
        <f t="shared" si="8"/>
        <v>4.3549999999999998E-2</v>
      </c>
      <c r="K207" s="25">
        <v>5712</v>
      </c>
      <c r="L207" s="25">
        <f t="shared" si="9"/>
        <v>5.7120000000000001E-3</v>
      </c>
      <c r="M207" s="18">
        <f t="shared" si="10"/>
        <v>4.9262E-2</v>
      </c>
      <c r="N207" s="25">
        <v>4.3200000000000002E-2</v>
      </c>
      <c r="O207" s="2">
        <f t="shared" si="11"/>
        <v>0.908914</v>
      </c>
    </row>
    <row r="208" spans="1:15" x14ac:dyDescent="0.7">
      <c r="A208" s="26"/>
      <c r="B208" s="26"/>
      <c r="C208" s="26">
        <v>25</v>
      </c>
      <c r="D208" s="27">
        <v>10.523</v>
      </c>
      <c r="E208" s="27">
        <v>0</v>
      </c>
      <c r="F208" s="41">
        <v>10.84</v>
      </c>
      <c r="G208" s="25">
        <f t="shared" si="6"/>
        <v>936576</v>
      </c>
      <c r="H208" s="25">
        <f t="shared" si="7"/>
        <v>0.93657599999999996</v>
      </c>
      <c r="I208" s="25">
        <v>41939</v>
      </c>
      <c r="J208" s="81">
        <f t="shared" si="8"/>
        <v>4.1938999999999997E-2</v>
      </c>
      <c r="K208" s="25">
        <v>5891</v>
      </c>
      <c r="L208" s="25">
        <f t="shared" si="9"/>
        <v>5.8910000000000004E-3</v>
      </c>
      <c r="M208" s="18">
        <f t="shared" si="10"/>
        <v>4.7829999999999998E-2</v>
      </c>
      <c r="N208" s="25">
        <v>4.3200000000000002E-2</v>
      </c>
      <c r="O208" s="2">
        <f t="shared" si="11"/>
        <v>0.84554599999999991</v>
      </c>
    </row>
    <row r="209" spans="1:15" x14ac:dyDescent="0.7">
      <c r="A209" s="26"/>
      <c r="B209" s="26"/>
      <c r="C209" s="26">
        <v>26</v>
      </c>
      <c r="D209" s="27">
        <v>11.156000000000001</v>
      </c>
      <c r="E209" s="27">
        <v>0</v>
      </c>
      <c r="F209" s="41">
        <v>10.722</v>
      </c>
      <c r="G209" s="25">
        <f t="shared" si="6"/>
        <v>926380.79999999993</v>
      </c>
      <c r="H209" s="25">
        <f t="shared" si="7"/>
        <v>0.92638079999999989</v>
      </c>
      <c r="I209" s="25">
        <v>43138</v>
      </c>
      <c r="J209" s="81">
        <f t="shared" si="8"/>
        <v>4.3138000000000003E-2</v>
      </c>
      <c r="K209" s="25">
        <v>0</v>
      </c>
      <c r="L209" s="25">
        <f t="shared" si="9"/>
        <v>0</v>
      </c>
      <c r="M209" s="18">
        <f t="shared" si="10"/>
        <v>4.3138000000000003E-2</v>
      </c>
      <c r="N209" s="25">
        <v>4.3200000000000002E-2</v>
      </c>
      <c r="O209" s="2">
        <f t="shared" si="11"/>
        <v>0.84004279999999987</v>
      </c>
    </row>
    <row r="210" spans="1:15" x14ac:dyDescent="0.7">
      <c r="A210" s="26"/>
      <c r="B210" s="26"/>
      <c r="C210" s="26">
        <v>27</v>
      </c>
      <c r="D210" s="27">
        <v>10.461</v>
      </c>
      <c r="E210" s="27">
        <v>0</v>
      </c>
      <c r="F210" s="41">
        <v>9.4499999999999993</v>
      </c>
      <c r="G210" s="25">
        <f t="shared" si="6"/>
        <v>816479.99999999988</v>
      </c>
      <c r="H210" s="25">
        <f t="shared" si="7"/>
        <v>0.81647999999999987</v>
      </c>
      <c r="I210" s="25">
        <v>43380</v>
      </c>
      <c r="J210" s="81">
        <f t="shared" si="8"/>
        <v>4.3380000000000002E-2</v>
      </c>
      <c r="K210" s="25">
        <v>0</v>
      </c>
      <c r="L210" s="25">
        <f t="shared" si="9"/>
        <v>0</v>
      </c>
      <c r="M210" s="18">
        <f t="shared" si="10"/>
        <v>4.3380000000000002E-2</v>
      </c>
      <c r="N210" s="25">
        <v>4.3200000000000002E-2</v>
      </c>
      <c r="O210" s="2">
        <f t="shared" si="11"/>
        <v>0.72989999999999988</v>
      </c>
    </row>
    <row r="211" spans="1:15" x14ac:dyDescent="0.7">
      <c r="A211" s="26"/>
      <c r="B211" s="26"/>
      <c r="C211" s="26">
        <v>28</v>
      </c>
      <c r="D211" s="27">
        <v>8.7579999999999991</v>
      </c>
      <c r="E211" s="27">
        <v>0</v>
      </c>
      <c r="F211" s="41">
        <v>8.2799999999999994</v>
      </c>
      <c r="G211" s="25">
        <f t="shared" si="6"/>
        <v>715392</v>
      </c>
      <c r="H211" s="25">
        <f t="shared" si="7"/>
        <v>0.71539200000000003</v>
      </c>
      <c r="I211" s="25">
        <v>44971</v>
      </c>
      <c r="J211" s="81">
        <f t="shared" si="8"/>
        <v>4.4970999999999997E-2</v>
      </c>
      <c r="K211" s="25">
        <v>4892</v>
      </c>
      <c r="L211" s="25">
        <f t="shared" si="9"/>
        <v>4.8919999999999996E-3</v>
      </c>
      <c r="M211" s="18">
        <f t="shared" si="10"/>
        <v>4.9862999999999998E-2</v>
      </c>
      <c r="N211" s="25">
        <v>4.3200000000000002E-2</v>
      </c>
      <c r="O211" s="2">
        <f t="shared" si="11"/>
        <v>0.62232900000000002</v>
      </c>
    </row>
    <row r="212" spans="1:15" x14ac:dyDescent="0.7">
      <c r="A212" s="26"/>
      <c r="B212" s="26"/>
      <c r="C212" s="26">
        <v>29</v>
      </c>
      <c r="D212" s="27">
        <v>7.8010000000000002</v>
      </c>
      <c r="E212" s="27">
        <v>1.2</v>
      </c>
      <c r="F212" s="41">
        <v>7.7149999999999999</v>
      </c>
      <c r="G212" s="25">
        <f t="shared" si="6"/>
        <v>666576</v>
      </c>
      <c r="H212" s="25">
        <f t="shared" si="7"/>
        <v>0.66657599999999995</v>
      </c>
      <c r="I212" s="25">
        <v>42501</v>
      </c>
      <c r="J212" s="81">
        <f t="shared" si="8"/>
        <v>4.2500999999999997E-2</v>
      </c>
      <c r="K212" s="25">
        <v>2420</v>
      </c>
      <c r="L212" s="25">
        <f t="shared" si="9"/>
        <v>2.4199999999999998E-3</v>
      </c>
      <c r="M212" s="18">
        <f t="shared" si="10"/>
        <v>4.4920999999999996E-2</v>
      </c>
      <c r="N212" s="25">
        <v>4.3200000000000002E-2</v>
      </c>
      <c r="O212" s="2">
        <f t="shared" si="11"/>
        <v>0.57845499999999994</v>
      </c>
    </row>
    <row r="213" spans="1:15" x14ac:dyDescent="0.7">
      <c r="A213" s="26"/>
      <c r="B213" s="26"/>
      <c r="C213" s="26">
        <v>30</v>
      </c>
      <c r="D213" s="27">
        <v>7.6289999999999996</v>
      </c>
      <c r="E213" s="27">
        <v>31.1</v>
      </c>
      <c r="F213" s="41">
        <v>11.192</v>
      </c>
      <c r="G213" s="25">
        <f t="shared" si="6"/>
        <v>966988.80000000005</v>
      </c>
      <c r="H213" s="25">
        <f t="shared" si="7"/>
        <v>0.96698880000000009</v>
      </c>
      <c r="I213" s="25">
        <v>43341</v>
      </c>
      <c r="J213" s="81">
        <f t="shared" si="8"/>
        <v>4.3340999999999998E-2</v>
      </c>
      <c r="K213" s="25">
        <v>0</v>
      </c>
      <c r="L213" s="25">
        <f t="shared" si="9"/>
        <v>0</v>
      </c>
      <c r="M213" s="18">
        <f t="shared" si="10"/>
        <v>4.3340999999999998E-2</v>
      </c>
      <c r="N213" s="25">
        <v>4.3200000000000002E-2</v>
      </c>
      <c r="O213" s="2">
        <f t="shared" si="11"/>
        <v>0.88044780000000011</v>
      </c>
    </row>
    <row r="214" spans="1:15" s="3" customFormat="1" ht="25.2" thickBot="1" x14ac:dyDescent="0.75">
      <c r="A214" s="29"/>
      <c r="B214" s="29" t="s">
        <v>21</v>
      </c>
      <c r="C214" s="29">
        <v>31</v>
      </c>
      <c r="D214" s="30">
        <v>14.755000000000001</v>
      </c>
      <c r="E214" s="30">
        <v>5.7</v>
      </c>
      <c r="F214" s="51">
        <v>13.132999999999999</v>
      </c>
      <c r="G214" s="45">
        <f t="shared" si="6"/>
        <v>1134691.2</v>
      </c>
      <c r="H214" s="45">
        <f t="shared" si="7"/>
        <v>1.1346912</v>
      </c>
      <c r="I214" s="45">
        <v>41159</v>
      </c>
      <c r="J214" s="82">
        <f t="shared" si="8"/>
        <v>4.1159000000000001E-2</v>
      </c>
      <c r="K214" s="45">
        <v>0</v>
      </c>
      <c r="L214" s="45">
        <f t="shared" si="9"/>
        <v>0</v>
      </c>
      <c r="M214" s="19">
        <f t="shared" si="10"/>
        <v>4.1159000000000001E-2</v>
      </c>
      <c r="N214" s="45">
        <v>4.3200000000000002E-2</v>
      </c>
      <c r="O214" s="46">
        <f t="shared" si="11"/>
        <v>1.0503322000000002</v>
      </c>
    </row>
    <row r="215" spans="1:15" x14ac:dyDescent="0.7">
      <c r="A215" s="23"/>
      <c r="B215" s="23" t="s">
        <v>22</v>
      </c>
      <c r="C215" s="23">
        <v>1</v>
      </c>
      <c r="D215" s="24">
        <v>13.021000000000001</v>
      </c>
      <c r="E215" s="24">
        <v>7.1</v>
      </c>
      <c r="F215" s="42">
        <v>16.018999999999998</v>
      </c>
      <c r="G215" s="20">
        <f t="shared" si="6"/>
        <v>1384041.5999999999</v>
      </c>
      <c r="H215" s="20">
        <f t="shared" si="7"/>
        <v>1.3840415999999998</v>
      </c>
      <c r="I215" s="20">
        <v>40579</v>
      </c>
      <c r="J215" s="80">
        <f t="shared" si="8"/>
        <v>4.0578999999999997E-2</v>
      </c>
      <c r="K215" s="20">
        <v>0</v>
      </c>
      <c r="L215" s="20">
        <f t="shared" si="9"/>
        <v>0</v>
      </c>
      <c r="M215" s="17">
        <f t="shared" si="10"/>
        <v>4.0578999999999997E-2</v>
      </c>
      <c r="N215" s="20">
        <v>0.11232</v>
      </c>
      <c r="O215" s="2">
        <f t="shared" si="11"/>
        <v>1.2311425999999999</v>
      </c>
    </row>
    <row r="216" spans="1:15" x14ac:dyDescent="0.7">
      <c r="A216" s="26"/>
      <c r="B216" s="26"/>
      <c r="C216" s="26">
        <v>2</v>
      </c>
      <c r="D216" s="27">
        <v>25.516999999999999</v>
      </c>
      <c r="E216" s="27">
        <v>29.7</v>
      </c>
      <c r="F216" s="41">
        <v>20.122</v>
      </c>
      <c r="G216" s="25">
        <f t="shared" si="6"/>
        <v>1738540.8</v>
      </c>
      <c r="H216" s="25">
        <f t="shared" si="7"/>
        <v>1.7385408</v>
      </c>
      <c r="I216" s="25">
        <v>41649</v>
      </c>
      <c r="J216" s="81">
        <f t="shared" si="8"/>
        <v>4.1648999999999999E-2</v>
      </c>
      <c r="K216" s="25">
        <v>6426</v>
      </c>
      <c r="L216" s="25">
        <f>K216/1000000</f>
        <v>6.4260000000000003E-3</v>
      </c>
      <c r="M216" s="18">
        <f t="shared" si="10"/>
        <v>4.8075E-2</v>
      </c>
      <c r="N216" s="25">
        <v>0.11232</v>
      </c>
      <c r="O216" s="2">
        <f t="shared" si="11"/>
        <v>1.5781457999999999</v>
      </c>
    </row>
    <row r="217" spans="1:15" x14ac:dyDescent="0.7">
      <c r="A217" s="26"/>
      <c r="B217" s="26"/>
      <c r="C217" s="26">
        <v>3</v>
      </c>
      <c r="D217" s="27">
        <v>16.059000000000001</v>
      </c>
      <c r="E217" s="27">
        <v>8.6999999999999993</v>
      </c>
      <c r="F217" s="41">
        <v>16.463000000000001</v>
      </c>
      <c r="G217" s="25">
        <f t="shared" si="6"/>
        <v>1422403.2000000002</v>
      </c>
      <c r="H217" s="25">
        <f t="shared" si="7"/>
        <v>1.4224032000000002</v>
      </c>
      <c r="I217" s="25">
        <v>42614</v>
      </c>
      <c r="J217" s="81">
        <f t="shared" si="8"/>
        <v>4.2613999999999999E-2</v>
      </c>
      <c r="K217" s="25">
        <v>6415</v>
      </c>
      <c r="L217" s="25">
        <f t="shared" si="9"/>
        <v>6.4149999999999997E-3</v>
      </c>
      <c r="M217" s="18">
        <f t="shared" si="10"/>
        <v>4.9028999999999996E-2</v>
      </c>
      <c r="N217" s="25">
        <v>0.11232</v>
      </c>
      <c r="O217" s="2">
        <f t="shared" si="11"/>
        <v>1.2610542000000002</v>
      </c>
    </row>
    <row r="218" spans="1:15" x14ac:dyDescent="0.7">
      <c r="A218" s="26"/>
      <c r="B218" s="26"/>
      <c r="C218" s="26">
        <v>4</v>
      </c>
      <c r="D218" s="27">
        <v>15.045999999999999</v>
      </c>
      <c r="E218" s="27">
        <v>6.5</v>
      </c>
      <c r="F218" s="41">
        <v>14.141999999999999</v>
      </c>
      <c r="G218" s="25">
        <f t="shared" ref="G218:G281" si="12">F218*86400</f>
        <v>1221868.8</v>
      </c>
      <c r="H218" s="25">
        <f t="shared" ref="H218:H281" si="13">G218/1000000</f>
        <v>1.2218688</v>
      </c>
      <c r="I218" s="25">
        <v>41615</v>
      </c>
      <c r="J218" s="81">
        <f t="shared" ref="J218:J281" si="14">I218/1000000</f>
        <v>4.1614999999999999E-2</v>
      </c>
      <c r="K218" s="25">
        <v>6476</v>
      </c>
      <c r="L218" s="25">
        <f t="shared" ref="L218:L281" si="15">K218/1000000</f>
        <v>6.476E-3</v>
      </c>
      <c r="M218" s="18">
        <f t="shared" ref="M218:M281" si="16">J218+L218</f>
        <v>4.8091000000000002E-2</v>
      </c>
      <c r="N218" s="25">
        <v>0.14316479999999998</v>
      </c>
      <c r="O218" s="2">
        <f t="shared" si="11"/>
        <v>1.0306129999999998</v>
      </c>
    </row>
    <row r="219" spans="1:15" x14ac:dyDescent="0.7">
      <c r="A219" s="26"/>
      <c r="B219" s="26"/>
      <c r="C219" s="26">
        <v>5</v>
      </c>
      <c r="D219" s="27">
        <v>13.238</v>
      </c>
      <c r="E219" s="27">
        <v>6.6</v>
      </c>
      <c r="F219" s="41">
        <v>12.885999999999999</v>
      </c>
      <c r="G219" s="25">
        <f t="shared" si="12"/>
        <v>1113350.3999999999</v>
      </c>
      <c r="H219" s="25">
        <f t="shared" si="13"/>
        <v>1.1133503999999999</v>
      </c>
      <c r="I219" s="25">
        <v>42504</v>
      </c>
      <c r="J219" s="81">
        <f t="shared" si="14"/>
        <v>4.2504E-2</v>
      </c>
      <c r="K219" s="25">
        <v>3029</v>
      </c>
      <c r="L219" s="25">
        <f t="shared" si="15"/>
        <v>3.029E-3</v>
      </c>
      <c r="M219" s="18">
        <f t="shared" si="16"/>
        <v>4.5532999999999997E-2</v>
      </c>
      <c r="N219" s="25">
        <v>0.14316479999999998</v>
      </c>
      <c r="O219" s="2">
        <f t="shared" si="11"/>
        <v>0.92465259999999982</v>
      </c>
    </row>
    <row r="220" spans="1:15" x14ac:dyDescent="0.7">
      <c r="A220" s="26"/>
      <c r="B220" s="26"/>
      <c r="C220" s="26">
        <v>6</v>
      </c>
      <c r="D220" s="27">
        <v>12.44</v>
      </c>
      <c r="E220" s="27">
        <v>7.3</v>
      </c>
      <c r="F220" s="41">
        <v>13.949</v>
      </c>
      <c r="G220" s="25">
        <f t="shared" si="12"/>
        <v>1205193.6000000001</v>
      </c>
      <c r="H220" s="25">
        <f t="shared" si="13"/>
        <v>1.2051936000000001</v>
      </c>
      <c r="I220" s="25">
        <v>40882</v>
      </c>
      <c r="J220" s="81">
        <f t="shared" si="14"/>
        <v>4.0882000000000002E-2</v>
      </c>
      <c r="K220" s="25">
        <v>1071</v>
      </c>
      <c r="L220" s="25">
        <f t="shared" si="15"/>
        <v>1.0709999999999999E-3</v>
      </c>
      <c r="M220" s="18">
        <f t="shared" si="16"/>
        <v>4.1953000000000004E-2</v>
      </c>
      <c r="N220" s="25">
        <v>0.14316479999999998</v>
      </c>
      <c r="O220" s="2">
        <f t="shared" si="11"/>
        <v>1.0200758000000003</v>
      </c>
    </row>
    <row r="221" spans="1:15" x14ac:dyDescent="0.7">
      <c r="A221" s="26"/>
      <c r="B221" s="26"/>
      <c r="C221" s="26">
        <v>7</v>
      </c>
      <c r="D221" s="27">
        <v>15.457000000000001</v>
      </c>
      <c r="E221" s="27">
        <v>22.6</v>
      </c>
      <c r="F221" s="41">
        <v>11.775</v>
      </c>
      <c r="G221" s="25">
        <f t="shared" si="12"/>
        <v>1017360</v>
      </c>
      <c r="H221" s="25">
        <f t="shared" si="13"/>
        <v>1.01736</v>
      </c>
      <c r="I221" s="25">
        <v>45936</v>
      </c>
      <c r="J221" s="81">
        <f t="shared" si="14"/>
        <v>4.5935999999999998E-2</v>
      </c>
      <c r="K221" s="25">
        <v>0</v>
      </c>
      <c r="L221" s="25">
        <f t="shared" si="15"/>
        <v>0</v>
      </c>
      <c r="M221" s="18">
        <f t="shared" si="16"/>
        <v>4.5935999999999998E-2</v>
      </c>
      <c r="N221" s="25">
        <v>0.14316479999999998</v>
      </c>
      <c r="O221" s="2">
        <f t="shared" si="11"/>
        <v>0.82825920000000008</v>
      </c>
    </row>
    <row r="222" spans="1:15" x14ac:dyDescent="0.7">
      <c r="A222" s="26"/>
      <c r="B222" s="26"/>
      <c r="C222" s="26">
        <v>8</v>
      </c>
      <c r="D222" s="27">
        <v>45.256</v>
      </c>
      <c r="E222" s="27">
        <v>22.2</v>
      </c>
      <c r="F222" s="41">
        <v>8.093</v>
      </c>
      <c r="G222" s="25">
        <f t="shared" si="12"/>
        <v>699235.2</v>
      </c>
      <c r="H222" s="25">
        <f t="shared" si="13"/>
        <v>0.69923519999999995</v>
      </c>
      <c r="I222" s="25">
        <v>45331</v>
      </c>
      <c r="J222" s="81">
        <f t="shared" si="14"/>
        <v>4.5331000000000003E-2</v>
      </c>
      <c r="K222" s="25">
        <v>0</v>
      </c>
      <c r="L222" s="25">
        <f t="shared" si="15"/>
        <v>0</v>
      </c>
      <c r="M222" s="18">
        <f t="shared" si="16"/>
        <v>4.5331000000000003E-2</v>
      </c>
      <c r="N222" s="25">
        <v>0.10860479999999999</v>
      </c>
      <c r="O222" s="2">
        <f t="shared" si="11"/>
        <v>0.54529939999999999</v>
      </c>
    </row>
    <row r="223" spans="1:15" x14ac:dyDescent="0.7">
      <c r="A223" s="26"/>
      <c r="B223" s="26"/>
      <c r="C223" s="26">
        <v>9</v>
      </c>
      <c r="D223" s="27">
        <v>85.22</v>
      </c>
      <c r="E223" s="27">
        <v>28.6</v>
      </c>
      <c r="F223" s="41">
        <v>8.093</v>
      </c>
      <c r="G223" s="25">
        <f t="shared" si="12"/>
        <v>699235.2</v>
      </c>
      <c r="H223" s="25">
        <f t="shared" si="13"/>
        <v>0.69923519999999995</v>
      </c>
      <c r="I223" s="25">
        <v>43835</v>
      </c>
      <c r="J223" s="81">
        <f t="shared" si="14"/>
        <v>4.3834999999999999E-2</v>
      </c>
      <c r="K223" s="25">
        <v>3131</v>
      </c>
      <c r="L223" s="25">
        <f t="shared" si="15"/>
        <v>3.1310000000000001E-3</v>
      </c>
      <c r="M223" s="18">
        <f t="shared" si="16"/>
        <v>4.6966000000000001E-2</v>
      </c>
      <c r="N223" s="25">
        <v>0.10860479999999999</v>
      </c>
      <c r="O223" s="2">
        <f t="shared" si="11"/>
        <v>0.54366440000000005</v>
      </c>
    </row>
    <row r="224" spans="1:15" x14ac:dyDescent="0.7">
      <c r="A224" s="26"/>
      <c r="B224" s="26"/>
      <c r="C224" s="26">
        <v>10</v>
      </c>
      <c r="D224" s="27">
        <v>66.495000000000005</v>
      </c>
      <c r="E224" s="27">
        <v>0</v>
      </c>
      <c r="F224" s="41">
        <v>8.093</v>
      </c>
      <c r="G224" s="25">
        <f t="shared" si="12"/>
        <v>699235.2</v>
      </c>
      <c r="H224" s="25">
        <f t="shared" si="13"/>
        <v>0.69923519999999995</v>
      </c>
      <c r="I224" s="25">
        <v>43328</v>
      </c>
      <c r="J224" s="81">
        <f t="shared" si="14"/>
        <v>4.3327999999999998E-2</v>
      </c>
      <c r="K224" s="25">
        <v>4984</v>
      </c>
      <c r="L224" s="25">
        <f t="shared" si="15"/>
        <v>4.9839999999999997E-3</v>
      </c>
      <c r="M224" s="18">
        <f t="shared" si="16"/>
        <v>4.8312000000000001E-2</v>
      </c>
      <c r="N224" s="25">
        <v>0.10860479999999999</v>
      </c>
      <c r="O224" s="2">
        <f t="shared" si="11"/>
        <v>0.54231839999999998</v>
      </c>
    </row>
    <row r="225" spans="1:15" x14ac:dyDescent="0.7">
      <c r="A225" s="26"/>
      <c r="B225" s="26"/>
      <c r="C225" s="26">
        <v>11</v>
      </c>
      <c r="D225" s="27">
        <v>32.268000000000001</v>
      </c>
      <c r="E225" s="27">
        <v>0</v>
      </c>
      <c r="F225" s="41">
        <v>11.086</v>
      </c>
      <c r="G225" s="25">
        <f t="shared" si="12"/>
        <v>957830.4</v>
      </c>
      <c r="H225" s="25">
        <f t="shared" si="13"/>
        <v>0.95783039999999997</v>
      </c>
      <c r="I225" s="25">
        <v>40842</v>
      </c>
      <c r="J225" s="81">
        <f t="shared" si="14"/>
        <v>4.0842000000000003E-2</v>
      </c>
      <c r="K225" s="25">
        <v>4967</v>
      </c>
      <c r="L225" s="25">
        <f t="shared" si="15"/>
        <v>4.9670000000000001E-3</v>
      </c>
      <c r="M225" s="18">
        <f t="shared" si="16"/>
        <v>4.5809000000000002E-2</v>
      </c>
      <c r="N225" s="25">
        <v>0.10860479999999999</v>
      </c>
      <c r="O225" s="2">
        <f t="shared" si="11"/>
        <v>0.80341660000000004</v>
      </c>
    </row>
    <row r="226" spans="1:15" x14ac:dyDescent="0.7">
      <c r="A226" s="26"/>
      <c r="B226" s="26"/>
      <c r="C226" s="26">
        <v>12</v>
      </c>
      <c r="D226" s="27">
        <v>18.060000000000002</v>
      </c>
      <c r="E226" s="27">
        <v>1.5</v>
      </c>
      <c r="F226" s="41">
        <v>14.092000000000001</v>
      </c>
      <c r="G226" s="25">
        <f t="shared" si="12"/>
        <v>1217548.8</v>
      </c>
      <c r="H226" s="25">
        <f t="shared" si="13"/>
        <v>1.2175488000000001</v>
      </c>
      <c r="I226" s="25">
        <v>43320</v>
      </c>
      <c r="J226" s="81">
        <f t="shared" si="14"/>
        <v>4.3319999999999997E-2</v>
      </c>
      <c r="K226" s="25">
        <v>6140</v>
      </c>
      <c r="L226" s="25">
        <f t="shared" si="15"/>
        <v>6.1399999999999996E-3</v>
      </c>
      <c r="M226" s="18">
        <f t="shared" si="16"/>
        <v>4.9459999999999997E-2</v>
      </c>
      <c r="N226" s="25">
        <v>0.23820479999999999</v>
      </c>
      <c r="O226" s="2">
        <f t="shared" si="11"/>
        <v>0.92988400000000004</v>
      </c>
    </row>
    <row r="227" spans="1:15" x14ac:dyDescent="0.7">
      <c r="A227" s="26"/>
      <c r="B227" s="26"/>
      <c r="C227" s="26">
        <v>13</v>
      </c>
      <c r="D227" s="27">
        <v>14.097</v>
      </c>
      <c r="E227" s="27">
        <v>0</v>
      </c>
      <c r="F227" s="41">
        <v>13.845000000000001</v>
      </c>
      <c r="G227" s="25">
        <f t="shared" si="12"/>
        <v>1196208</v>
      </c>
      <c r="H227" s="25">
        <f t="shared" si="13"/>
        <v>1.1962079999999999</v>
      </c>
      <c r="I227" s="25">
        <v>43246</v>
      </c>
      <c r="J227" s="81">
        <f t="shared" si="14"/>
        <v>4.3246E-2</v>
      </c>
      <c r="K227" s="25">
        <v>4015</v>
      </c>
      <c r="L227" s="25">
        <f t="shared" si="15"/>
        <v>4.0150000000000003E-3</v>
      </c>
      <c r="M227" s="18">
        <f t="shared" si="16"/>
        <v>4.7260999999999997E-2</v>
      </c>
      <c r="N227" s="25">
        <v>0.23820479999999999</v>
      </c>
      <c r="O227" s="2">
        <f t="shared" si="11"/>
        <v>0.91074219999999995</v>
      </c>
    </row>
    <row r="228" spans="1:15" x14ac:dyDescent="0.7">
      <c r="A228" s="26"/>
      <c r="B228" s="26"/>
      <c r="C228" s="26">
        <v>14</v>
      </c>
      <c r="D228" s="27">
        <v>13.593</v>
      </c>
      <c r="E228" s="27">
        <v>0</v>
      </c>
      <c r="F228" s="41">
        <v>12.831</v>
      </c>
      <c r="G228" s="25">
        <f t="shared" si="12"/>
        <v>1108598.3999999999</v>
      </c>
      <c r="H228" s="25">
        <f t="shared" si="13"/>
        <v>1.1085984</v>
      </c>
      <c r="I228" s="25">
        <v>46528</v>
      </c>
      <c r="J228" s="81">
        <f t="shared" si="14"/>
        <v>4.6528E-2</v>
      </c>
      <c r="K228" s="25">
        <v>0</v>
      </c>
      <c r="L228" s="25">
        <f t="shared" si="15"/>
        <v>0</v>
      </c>
      <c r="M228" s="18">
        <f t="shared" si="16"/>
        <v>4.6528E-2</v>
      </c>
      <c r="N228" s="25">
        <v>0.23820479999999999</v>
      </c>
      <c r="O228" s="2">
        <f t="shared" si="11"/>
        <v>0.82386560000000009</v>
      </c>
    </row>
    <row r="229" spans="1:15" x14ac:dyDescent="0.7">
      <c r="A229" s="26"/>
      <c r="B229" s="26"/>
      <c r="C229" s="26">
        <v>15</v>
      </c>
      <c r="D229" s="27">
        <v>12.069000000000001</v>
      </c>
      <c r="E229" s="27">
        <v>0</v>
      </c>
      <c r="F229" s="41">
        <v>13.427</v>
      </c>
      <c r="G229" s="25">
        <f t="shared" si="12"/>
        <v>1160092.8</v>
      </c>
      <c r="H229" s="25">
        <f t="shared" si="13"/>
        <v>1.1600928000000001</v>
      </c>
      <c r="I229" s="25">
        <v>38637</v>
      </c>
      <c r="J229" s="81">
        <f t="shared" si="14"/>
        <v>3.8636999999999998E-2</v>
      </c>
      <c r="K229" s="25">
        <v>10</v>
      </c>
      <c r="L229" s="25">
        <f t="shared" si="15"/>
        <v>1.0000000000000001E-5</v>
      </c>
      <c r="M229" s="18">
        <f t="shared" si="16"/>
        <v>3.8647000000000001E-2</v>
      </c>
      <c r="N229" s="25">
        <v>0.23820479999999999</v>
      </c>
      <c r="O229" s="2">
        <f t="shared" si="11"/>
        <v>0.88324100000000005</v>
      </c>
    </row>
    <row r="230" spans="1:15" x14ac:dyDescent="0.7">
      <c r="A230" s="26"/>
      <c r="B230" s="26"/>
      <c r="C230" s="26">
        <v>16</v>
      </c>
      <c r="D230" s="27">
        <v>14.784000000000001</v>
      </c>
      <c r="E230" s="27">
        <v>23.6</v>
      </c>
      <c r="F230" s="41">
        <v>14.417</v>
      </c>
      <c r="G230" s="25">
        <f>F230*86400</f>
        <v>1245628.8</v>
      </c>
      <c r="H230" s="25">
        <f t="shared" si="13"/>
        <v>1.2456288</v>
      </c>
      <c r="I230" s="25">
        <v>41933</v>
      </c>
      <c r="J230" s="81">
        <f t="shared" si="14"/>
        <v>4.1932999999999998E-2</v>
      </c>
      <c r="K230" s="25">
        <v>3597</v>
      </c>
      <c r="L230" s="25">
        <f t="shared" si="15"/>
        <v>3.5969999999999999E-3</v>
      </c>
      <c r="M230" s="18">
        <f t="shared" si="16"/>
        <v>4.5530000000000001E-2</v>
      </c>
      <c r="N230" s="25">
        <v>0.11724479999999998</v>
      </c>
      <c r="O230" s="2">
        <f t="shared" si="11"/>
        <v>1.082854</v>
      </c>
    </row>
    <row r="231" spans="1:15" x14ac:dyDescent="0.7">
      <c r="A231" s="26"/>
      <c r="B231" s="26"/>
      <c r="C231" s="26">
        <v>17</v>
      </c>
      <c r="D231" s="27">
        <v>23.469000000000001</v>
      </c>
      <c r="E231" s="27">
        <v>0</v>
      </c>
      <c r="F231" s="41">
        <v>15.05</v>
      </c>
      <c r="G231" s="25">
        <f t="shared" si="12"/>
        <v>1300320</v>
      </c>
      <c r="H231" s="25">
        <f t="shared" si="13"/>
        <v>1.3003199999999999</v>
      </c>
      <c r="I231" s="25">
        <v>41129</v>
      </c>
      <c r="J231" s="81">
        <f t="shared" si="14"/>
        <v>4.1128999999999999E-2</v>
      </c>
      <c r="K231" s="25">
        <v>6577</v>
      </c>
      <c r="L231" s="25">
        <f t="shared" si="15"/>
        <v>6.5770000000000004E-3</v>
      </c>
      <c r="M231" s="18">
        <f t="shared" si="16"/>
        <v>4.7705999999999998E-2</v>
      </c>
      <c r="N231" s="25">
        <v>0.11724479999999998</v>
      </c>
      <c r="O231" s="2">
        <f t="shared" si="11"/>
        <v>1.1353692</v>
      </c>
    </row>
    <row r="232" spans="1:15" x14ac:dyDescent="0.7">
      <c r="A232" s="26"/>
      <c r="B232" s="26"/>
      <c r="C232" s="26">
        <v>18</v>
      </c>
      <c r="D232" s="27">
        <v>17.227</v>
      </c>
      <c r="E232" s="27">
        <v>0</v>
      </c>
      <c r="F232" s="41">
        <v>15.818</v>
      </c>
      <c r="G232" s="25">
        <f t="shared" si="12"/>
        <v>1366675.2</v>
      </c>
      <c r="H232" s="25">
        <f t="shared" si="13"/>
        <v>1.3666752</v>
      </c>
      <c r="I232" s="25">
        <v>41756</v>
      </c>
      <c r="J232" s="81">
        <f t="shared" si="14"/>
        <v>4.1756000000000001E-2</v>
      </c>
      <c r="K232" s="25">
        <v>6580</v>
      </c>
      <c r="L232" s="25">
        <f t="shared" si="15"/>
        <v>6.5799999999999999E-3</v>
      </c>
      <c r="M232" s="18">
        <f t="shared" si="16"/>
        <v>4.8336000000000004E-2</v>
      </c>
      <c r="N232" s="25">
        <v>0.1345248</v>
      </c>
      <c r="O232" s="2">
        <f t="shared" si="11"/>
        <v>1.1838144000000002</v>
      </c>
    </row>
    <row r="233" spans="1:15" x14ac:dyDescent="0.7">
      <c r="A233" s="26"/>
      <c r="B233" s="26"/>
      <c r="C233" s="26">
        <v>19</v>
      </c>
      <c r="D233" s="27">
        <v>15.586</v>
      </c>
      <c r="E233" s="27">
        <v>0</v>
      </c>
      <c r="F233" s="41">
        <v>14.09</v>
      </c>
      <c r="G233" s="25">
        <f>F233*86400</f>
        <v>1217376</v>
      </c>
      <c r="H233" s="25">
        <f t="shared" si="13"/>
        <v>1.217376</v>
      </c>
      <c r="I233" s="25">
        <v>45380</v>
      </c>
      <c r="J233" s="81">
        <f t="shared" si="14"/>
        <v>4.5379999999999997E-2</v>
      </c>
      <c r="K233" s="25">
        <v>5168</v>
      </c>
      <c r="L233" s="25">
        <f t="shared" si="15"/>
        <v>5.1679999999999999E-3</v>
      </c>
      <c r="M233" s="18">
        <f t="shared" si="16"/>
        <v>5.0547999999999996E-2</v>
      </c>
      <c r="N233" s="25">
        <v>0.1345248</v>
      </c>
      <c r="O233" s="2">
        <f t="shared" si="11"/>
        <v>1.0323031999999999</v>
      </c>
    </row>
    <row r="234" spans="1:15" x14ac:dyDescent="0.7">
      <c r="A234" s="26"/>
      <c r="B234" s="26"/>
      <c r="C234" s="26">
        <v>20</v>
      </c>
      <c r="D234" s="27">
        <v>12.593999999999999</v>
      </c>
      <c r="E234" s="27">
        <v>0</v>
      </c>
      <c r="F234" s="41">
        <v>11.991</v>
      </c>
      <c r="G234" s="25">
        <f t="shared" si="12"/>
        <v>1036022.4</v>
      </c>
      <c r="H234" s="25">
        <f t="shared" si="13"/>
        <v>1.0360224</v>
      </c>
      <c r="I234" s="25">
        <v>45523</v>
      </c>
      <c r="J234" s="81">
        <f t="shared" si="14"/>
        <v>4.5523000000000001E-2</v>
      </c>
      <c r="K234" s="25">
        <v>6597</v>
      </c>
      <c r="L234" s="25">
        <f t="shared" si="15"/>
        <v>6.5970000000000004E-3</v>
      </c>
      <c r="M234" s="18">
        <f t="shared" si="16"/>
        <v>5.212E-2</v>
      </c>
      <c r="N234" s="25">
        <v>0.1345248</v>
      </c>
      <c r="O234" s="2">
        <f t="shared" si="11"/>
        <v>0.84937760000000007</v>
      </c>
    </row>
    <row r="235" spans="1:15" x14ac:dyDescent="0.7">
      <c r="A235" s="26"/>
      <c r="B235" s="26"/>
      <c r="C235" s="26">
        <v>21</v>
      </c>
      <c r="D235" s="27">
        <v>11.388</v>
      </c>
      <c r="E235" s="27">
        <v>0</v>
      </c>
      <c r="F235" s="41">
        <v>11.87</v>
      </c>
      <c r="G235" s="25">
        <f t="shared" si="12"/>
        <v>1025567.9999999999</v>
      </c>
      <c r="H235" s="25">
        <f t="shared" si="13"/>
        <v>1.0255679999999998</v>
      </c>
      <c r="I235" s="25">
        <v>44305</v>
      </c>
      <c r="J235" s="81">
        <f t="shared" si="14"/>
        <v>4.4304999999999997E-2</v>
      </c>
      <c r="K235" s="25">
        <v>5680</v>
      </c>
      <c r="L235" s="25">
        <f t="shared" si="15"/>
        <v>5.6800000000000002E-3</v>
      </c>
      <c r="M235" s="18">
        <f t="shared" si="16"/>
        <v>4.9984999999999995E-2</v>
      </c>
      <c r="N235" s="25">
        <v>0.12588479999999999</v>
      </c>
      <c r="O235" s="2">
        <f t="shared" si="11"/>
        <v>0.84969819999999985</v>
      </c>
    </row>
    <row r="236" spans="1:15" x14ac:dyDescent="0.7">
      <c r="A236" s="26"/>
      <c r="B236" s="26"/>
      <c r="C236" s="26">
        <v>22</v>
      </c>
      <c r="D236" s="27">
        <v>12.352</v>
      </c>
      <c r="E236" s="27">
        <v>2.1</v>
      </c>
      <c r="F236" s="41">
        <v>13.25</v>
      </c>
      <c r="G236" s="25">
        <f t="shared" si="12"/>
        <v>1144800</v>
      </c>
      <c r="H236" s="25">
        <f t="shared" si="13"/>
        <v>1.1448</v>
      </c>
      <c r="I236" s="25">
        <v>43304</v>
      </c>
      <c r="J236" s="81">
        <f t="shared" si="14"/>
        <v>4.3304000000000002E-2</v>
      </c>
      <c r="K236" s="25">
        <v>5473</v>
      </c>
      <c r="L236" s="25">
        <f t="shared" si="15"/>
        <v>5.4729999999999996E-3</v>
      </c>
      <c r="M236" s="18">
        <f t="shared" si="16"/>
        <v>4.8777000000000001E-2</v>
      </c>
      <c r="N236" s="25">
        <v>0.11046239999999999</v>
      </c>
      <c r="O236" s="2">
        <f t="shared" si="11"/>
        <v>0.98556060000000001</v>
      </c>
    </row>
    <row r="237" spans="1:15" x14ac:dyDescent="0.7">
      <c r="A237" s="26"/>
      <c r="B237" s="26"/>
      <c r="C237" s="26">
        <v>23</v>
      </c>
      <c r="D237" s="27">
        <v>16.309999999999999</v>
      </c>
      <c r="E237" s="27">
        <v>32.200000000000003</v>
      </c>
      <c r="F237" s="41">
        <v>13.622</v>
      </c>
      <c r="G237" s="25">
        <f t="shared" si="12"/>
        <v>1176940.8</v>
      </c>
      <c r="H237" s="25">
        <f t="shared" si="13"/>
        <v>1.1769408000000001</v>
      </c>
      <c r="I237" s="25">
        <v>44465</v>
      </c>
      <c r="J237" s="81">
        <f t="shared" si="14"/>
        <v>4.4464999999999998E-2</v>
      </c>
      <c r="K237" s="25">
        <v>5787</v>
      </c>
      <c r="L237" s="25">
        <f t="shared" si="15"/>
        <v>5.7869999999999996E-3</v>
      </c>
      <c r="M237" s="18">
        <f t="shared" si="16"/>
        <v>5.0251999999999998E-2</v>
      </c>
      <c r="N237" s="25">
        <v>0.11046239999999999</v>
      </c>
      <c r="O237" s="2">
        <f t="shared" si="11"/>
        <v>1.0162264000000001</v>
      </c>
    </row>
    <row r="238" spans="1:15" x14ac:dyDescent="0.7">
      <c r="A238" s="26"/>
      <c r="B238" s="26"/>
      <c r="C238" s="26">
        <v>24</v>
      </c>
      <c r="D238" s="27">
        <v>13.097</v>
      </c>
      <c r="E238" s="27">
        <v>13.7</v>
      </c>
      <c r="F238" s="41">
        <v>6.4669999999999996</v>
      </c>
      <c r="G238" s="25">
        <f t="shared" si="12"/>
        <v>558748.79999999993</v>
      </c>
      <c r="H238" s="25">
        <f t="shared" si="13"/>
        <v>0.55874879999999993</v>
      </c>
      <c r="I238" s="25">
        <v>43801</v>
      </c>
      <c r="J238" s="81">
        <f t="shared" si="14"/>
        <v>4.3801E-2</v>
      </c>
      <c r="K238" s="25">
        <v>4538</v>
      </c>
      <c r="L238" s="25">
        <f t="shared" si="15"/>
        <v>4.5380000000000004E-3</v>
      </c>
      <c r="M238" s="18">
        <f t="shared" si="16"/>
        <v>4.8339E-2</v>
      </c>
      <c r="N238" s="25">
        <v>0.11046239999999999</v>
      </c>
      <c r="O238" s="2">
        <f t="shared" si="11"/>
        <v>0.39994739999999995</v>
      </c>
    </row>
    <row r="239" spans="1:15" x14ac:dyDescent="0.7">
      <c r="A239" s="26"/>
      <c r="B239" s="26"/>
      <c r="C239" s="26">
        <v>25</v>
      </c>
      <c r="D239" s="27">
        <v>10.827</v>
      </c>
      <c r="E239" s="27">
        <v>0</v>
      </c>
      <c r="F239" s="41">
        <v>10.45</v>
      </c>
      <c r="G239" s="25">
        <f t="shared" si="12"/>
        <v>902879.99999999988</v>
      </c>
      <c r="H239" s="25">
        <f t="shared" si="13"/>
        <v>0.9028799999999999</v>
      </c>
      <c r="I239" s="25">
        <v>45228</v>
      </c>
      <c r="J239" s="81">
        <f t="shared" si="14"/>
        <v>4.5227999999999997E-2</v>
      </c>
      <c r="K239" s="25">
        <v>5753</v>
      </c>
      <c r="L239" s="25">
        <f t="shared" si="15"/>
        <v>5.7530000000000003E-3</v>
      </c>
      <c r="M239" s="18">
        <f t="shared" si="16"/>
        <v>5.0980999999999999E-2</v>
      </c>
      <c r="N239" s="25">
        <v>0.11046239999999999</v>
      </c>
      <c r="O239" s="2">
        <f t="shared" si="11"/>
        <v>0.7414366</v>
      </c>
    </row>
    <row r="240" spans="1:15" x14ac:dyDescent="0.7">
      <c r="A240" s="26"/>
      <c r="B240" s="26"/>
      <c r="C240" s="26">
        <v>26</v>
      </c>
      <c r="D240" s="27">
        <v>10.071999999999999</v>
      </c>
      <c r="E240" s="27">
        <v>3.9</v>
      </c>
      <c r="F240" s="41">
        <v>9.843</v>
      </c>
      <c r="G240" s="25">
        <f t="shared" si="12"/>
        <v>850435.2</v>
      </c>
      <c r="H240" s="25">
        <f t="shared" si="13"/>
        <v>0.85043519999999995</v>
      </c>
      <c r="I240" s="25">
        <v>43391</v>
      </c>
      <c r="J240" s="81">
        <f t="shared" si="14"/>
        <v>4.3390999999999999E-2</v>
      </c>
      <c r="K240" s="25">
        <v>5040</v>
      </c>
      <c r="L240" s="25">
        <f t="shared" si="15"/>
        <v>5.0400000000000002E-3</v>
      </c>
      <c r="M240" s="18">
        <f t="shared" si="16"/>
        <v>4.8431000000000002E-2</v>
      </c>
      <c r="N240" s="25">
        <v>0.11046239999999999</v>
      </c>
      <c r="O240" s="2">
        <f t="shared" si="11"/>
        <v>0.69154179999999998</v>
      </c>
    </row>
    <row r="241" spans="1:15" x14ac:dyDescent="0.7">
      <c r="A241" s="26"/>
      <c r="B241" s="26"/>
      <c r="C241" s="26">
        <v>27</v>
      </c>
      <c r="D241" s="27">
        <v>9.6129999999999995</v>
      </c>
      <c r="E241" s="27">
        <v>0</v>
      </c>
      <c r="F241" s="41">
        <v>9.3439999999999994</v>
      </c>
      <c r="G241" s="25">
        <f t="shared" si="12"/>
        <v>807321.59999999998</v>
      </c>
      <c r="H241" s="25">
        <f t="shared" si="13"/>
        <v>0.80732159999999997</v>
      </c>
      <c r="I241" s="25">
        <v>41919</v>
      </c>
      <c r="J241" s="81">
        <f t="shared" si="14"/>
        <v>4.1918999999999998E-2</v>
      </c>
      <c r="K241" s="25">
        <v>5032</v>
      </c>
      <c r="L241" s="25">
        <f t="shared" si="15"/>
        <v>5.032E-3</v>
      </c>
      <c r="M241" s="18">
        <f t="shared" si="16"/>
        <v>4.6951E-2</v>
      </c>
      <c r="N241" s="25">
        <v>0.11046239999999999</v>
      </c>
      <c r="O241" s="2">
        <f t="shared" si="11"/>
        <v>0.64990820000000005</v>
      </c>
    </row>
    <row r="242" spans="1:15" x14ac:dyDescent="0.7">
      <c r="A242" s="26"/>
      <c r="B242" s="26"/>
      <c r="C242" s="26">
        <v>28</v>
      </c>
      <c r="D242" s="27">
        <v>9.0749999999999993</v>
      </c>
      <c r="E242" s="27">
        <v>0</v>
      </c>
      <c r="F242" s="41">
        <v>9.1449999999999996</v>
      </c>
      <c r="G242" s="25">
        <f t="shared" si="12"/>
        <v>790128</v>
      </c>
      <c r="H242" s="25">
        <f t="shared" si="13"/>
        <v>0.79012800000000005</v>
      </c>
      <c r="I242" s="25">
        <v>44187</v>
      </c>
      <c r="J242" s="81">
        <f t="shared" si="14"/>
        <v>4.4186999999999997E-2</v>
      </c>
      <c r="K242" s="25">
        <v>0</v>
      </c>
      <c r="L242" s="25">
        <f t="shared" si="15"/>
        <v>0</v>
      </c>
      <c r="M242" s="18">
        <f t="shared" si="16"/>
        <v>4.4186999999999997E-2</v>
      </c>
      <c r="N242" s="25">
        <v>0.11046239999999999</v>
      </c>
      <c r="O242" s="2">
        <f t="shared" si="11"/>
        <v>0.63547860000000012</v>
      </c>
    </row>
    <row r="243" spans="1:15" x14ac:dyDescent="0.7">
      <c r="A243" s="26"/>
      <c r="B243" s="26"/>
      <c r="C243" s="26">
        <v>29</v>
      </c>
      <c r="D243" s="27">
        <v>9.2149999999999999</v>
      </c>
      <c r="E243" s="27">
        <v>0</v>
      </c>
      <c r="F243" s="41">
        <v>9.0410000000000004</v>
      </c>
      <c r="G243" s="25">
        <f t="shared" si="12"/>
        <v>781142.4</v>
      </c>
      <c r="H243" s="25">
        <f t="shared" si="13"/>
        <v>0.78114240000000001</v>
      </c>
      <c r="I243" s="25">
        <v>43976</v>
      </c>
      <c r="J243" s="81">
        <f t="shared" si="14"/>
        <v>4.3976000000000001E-2</v>
      </c>
      <c r="K243" s="25">
        <v>0</v>
      </c>
      <c r="L243" s="25">
        <f t="shared" si="15"/>
        <v>0</v>
      </c>
      <c r="M243" s="18">
        <f t="shared" si="16"/>
        <v>4.3976000000000001E-2</v>
      </c>
      <c r="N243" s="25">
        <v>0.1450224</v>
      </c>
      <c r="O243" s="2">
        <f t="shared" si="11"/>
        <v>0.592144</v>
      </c>
    </row>
    <row r="244" spans="1:15" x14ac:dyDescent="0.7">
      <c r="A244" s="26"/>
      <c r="B244" s="26"/>
      <c r="C244" s="26">
        <v>30</v>
      </c>
      <c r="D244" s="27">
        <v>8.8659999999999997</v>
      </c>
      <c r="E244" s="27">
        <v>1.1000000000000001</v>
      </c>
      <c r="F244" s="41">
        <v>8.9640000000000004</v>
      </c>
      <c r="G244" s="25">
        <f t="shared" si="12"/>
        <v>774489.60000000009</v>
      </c>
      <c r="H244" s="25">
        <f t="shared" si="13"/>
        <v>0.77448960000000011</v>
      </c>
      <c r="I244" s="25">
        <v>44580</v>
      </c>
      <c r="J244" s="81">
        <f t="shared" si="14"/>
        <v>4.4580000000000002E-2</v>
      </c>
      <c r="K244" s="25">
        <v>2668</v>
      </c>
      <c r="L244" s="25">
        <f t="shared" si="15"/>
        <v>2.6679999999999998E-3</v>
      </c>
      <c r="M244" s="18">
        <f t="shared" si="16"/>
        <v>4.7247999999999998E-2</v>
      </c>
      <c r="N244" s="25">
        <v>0.1450224</v>
      </c>
      <c r="O244" s="2">
        <f t="shared" si="11"/>
        <v>0.58221920000000016</v>
      </c>
    </row>
    <row r="245" spans="1:15" s="3" customFormat="1" ht="25.2" thickBot="1" x14ac:dyDescent="0.75">
      <c r="A245" s="29"/>
      <c r="B245" s="29" t="s">
        <v>22</v>
      </c>
      <c r="C245" s="29">
        <v>31</v>
      </c>
      <c r="D245" s="30">
        <v>9.0619999999999994</v>
      </c>
      <c r="E245" s="30">
        <v>0</v>
      </c>
      <c r="F245" s="51">
        <v>13.459</v>
      </c>
      <c r="G245" s="45">
        <f t="shared" si="12"/>
        <v>1162857.5999999999</v>
      </c>
      <c r="H245" s="45">
        <f t="shared" si="13"/>
        <v>1.1628575999999999</v>
      </c>
      <c r="I245" s="45">
        <v>41848</v>
      </c>
      <c r="J245" s="82">
        <f t="shared" si="14"/>
        <v>4.1848000000000003E-2</v>
      </c>
      <c r="K245" s="45">
        <v>3427</v>
      </c>
      <c r="L245" s="45">
        <f t="shared" si="15"/>
        <v>3.4269999999999999E-3</v>
      </c>
      <c r="M245" s="19">
        <f t="shared" si="16"/>
        <v>4.5275000000000003E-2</v>
      </c>
      <c r="N245" s="45">
        <v>0.1450224</v>
      </c>
      <c r="O245" s="46">
        <f t="shared" si="11"/>
        <v>0.97256019999999999</v>
      </c>
    </row>
    <row r="246" spans="1:15" x14ac:dyDescent="0.7">
      <c r="A246" s="23"/>
      <c r="B246" s="23" t="s">
        <v>23</v>
      </c>
      <c r="C246" s="23">
        <v>1</v>
      </c>
      <c r="D246" s="24">
        <v>17.856999999999999</v>
      </c>
      <c r="E246" s="24">
        <v>29.1</v>
      </c>
      <c r="F246" s="42">
        <v>13.95</v>
      </c>
      <c r="G246" s="20">
        <f t="shared" si="12"/>
        <v>1205280</v>
      </c>
      <c r="H246" s="20">
        <f t="shared" si="13"/>
        <v>1.2052799999999999</v>
      </c>
      <c r="I246" s="20">
        <v>42532</v>
      </c>
      <c r="J246" s="80">
        <f t="shared" si="14"/>
        <v>4.2532E-2</v>
      </c>
      <c r="K246" s="20">
        <v>3342</v>
      </c>
      <c r="L246" s="20">
        <f t="shared" si="15"/>
        <v>3.3419999999999999E-3</v>
      </c>
      <c r="M246" s="17">
        <f t="shared" si="16"/>
        <v>4.5873999999999998E-2</v>
      </c>
      <c r="N246" s="20">
        <v>0.13638239999999999</v>
      </c>
      <c r="O246" s="2">
        <f t="shared" si="11"/>
        <v>1.0230235999999999</v>
      </c>
    </row>
    <row r="247" spans="1:15" x14ac:dyDescent="0.7">
      <c r="A247" s="26"/>
      <c r="B247" s="26"/>
      <c r="C247" s="26">
        <v>2</v>
      </c>
      <c r="D247" s="27">
        <v>35.445</v>
      </c>
      <c r="E247" s="27">
        <v>36.4</v>
      </c>
      <c r="F247" s="41">
        <v>10.044</v>
      </c>
      <c r="G247" s="25">
        <f t="shared" si="12"/>
        <v>867801.60000000009</v>
      </c>
      <c r="H247" s="25">
        <f t="shared" si="13"/>
        <v>0.86780160000000006</v>
      </c>
      <c r="I247" s="25">
        <v>42382</v>
      </c>
      <c r="J247" s="81">
        <f t="shared" si="14"/>
        <v>4.2382000000000003E-2</v>
      </c>
      <c r="K247" s="25">
        <v>2674</v>
      </c>
      <c r="L247" s="25">
        <f t="shared" si="15"/>
        <v>2.6740000000000002E-3</v>
      </c>
      <c r="M247" s="18">
        <f t="shared" si="16"/>
        <v>4.5056000000000006E-2</v>
      </c>
      <c r="N247" s="25">
        <v>0.30918240000000002</v>
      </c>
      <c r="O247" s="2">
        <f t="shared" si="11"/>
        <v>0.51356320000000011</v>
      </c>
    </row>
    <row r="248" spans="1:15" x14ac:dyDescent="0.7">
      <c r="A248" s="26"/>
      <c r="B248" s="26"/>
      <c r="C248" s="26">
        <v>3</v>
      </c>
      <c r="D248" s="27">
        <v>39.224000000000004</v>
      </c>
      <c r="E248" s="27">
        <v>1.4</v>
      </c>
      <c r="F248" s="41">
        <v>10.044</v>
      </c>
      <c r="G248" s="25">
        <f t="shared" si="12"/>
        <v>867801.60000000009</v>
      </c>
      <c r="H248" s="25">
        <f t="shared" si="13"/>
        <v>0.86780160000000006</v>
      </c>
      <c r="I248" s="25">
        <v>45748</v>
      </c>
      <c r="J248" s="81">
        <f t="shared" si="14"/>
        <v>4.5747999999999997E-2</v>
      </c>
      <c r="K248" s="25">
        <v>0</v>
      </c>
      <c r="L248" s="25">
        <f t="shared" si="15"/>
        <v>0</v>
      </c>
      <c r="M248" s="18">
        <f t="shared" si="16"/>
        <v>4.5747999999999997E-2</v>
      </c>
      <c r="N248" s="25">
        <v>0.13638239999999999</v>
      </c>
      <c r="O248" s="2">
        <f t="shared" si="11"/>
        <v>0.68567120000000004</v>
      </c>
    </row>
    <row r="249" spans="1:15" x14ac:dyDescent="0.7">
      <c r="A249" s="26"/>
      <c r="B249" s="26"/>
      <c r="C249" s="26">
        <v>4</v>
      </c>
      <c r="D249" s="27">
        <v>20.356000000000002</v>
      </c>
      <c r="E249" s="27">
        <v>0</v>
      </c>
      <c r="F249" s="41">
        <v>10.063000000000001</v>
      </c>
      <c r="G249" s="25">
        <f t="shared" si="12"/>
        <v>869443.20000000007</v>
      </c>
      <c r="H249" s="25">
        <f t="shared" si="13"/>
        <v>0.86944320000000008</v>
      </c>
      <c r="I249" s="25">
        <v>43659</v>
      </c>
      <c r="J249" s="81">
        <f t="shared" si="14"/>
        <v>4.3659000000000003E-2</v>
      </c>
      <c r="K249" s="25">
        <v>0</v>
      </c>
      <c r="L249" s="25">
        <f t="shared" si="15"/>
        <v>0</v>
      </c>
      <c r="M249" s="18">
        <f t="shared" si="16"/>
        <v>4.3659000000000003E-2</v>
      </c>
      <c r="N249" s="25">
        <v>0.12096</v>
      </c>
      <c r="O249" s="2">
        <f t="shared" si="11"/>
        <v>0.70482420000000012</v>
      </c>
    </row>
    <row r="250" spans="1:15" x14ac:dyDescent="0.7">
      <c r="A250" s="26"/>
      <c r="B250" s="26"/>
      <c r="C250" s="26">
        <v>5</v>
      </c>
      <c r="D250" s="27">
        <v>84.210000000000008</v>
      </c>
      <c r="E250" s="27">
        <v>19.2</v>
      </c>
      <c r="F250" s="41">
        <v>11.084</v>
      </c>
      <c r="G250" s="25">
        <f t="shared" si="12"/>
        <v>957657.59999999998</v>
      </c>
      <c r="H250" s="25">
        <f t="shared" si="13"/>
        <v>0.9576576</v>
      </c>
      <c r="I250" s="25">
        <v>42402</v>
      </c>
      <c r="J250" s="81">
        <f t="shared" si="14"/>
        <v>4.2402000000000002E-2</v>
      </c>
      <c r="K250" s="25">
        <v>3241</v>
      </c>
      <c r="L250" s="25">
        <f t="shared" si="15"/>
        <v>3.241E-3</v>
      </c>
      <c r="M250" s="18">
        <f t="shared" si="16"/>
        <v>4.5643000000000003E-2</v>
      </c>
      <c r="N250" s="25">
        <v>0.24192</v>
      </c>
      <c r="O250" s="2">
        <f t="shared" si="11"/>
        <v>0.67009459999999998</v>
      </c>
    </row>
    <row r="251" spans="1:15" x14ac:dyDescent="0.7">
      <c r="A251" s="26"/>
      <c r="B251" s="26"/>
      <c r="C251" s="26">
        <v>6</v>
      </c>
      <c r="D251" s="27">
        <v>26.316000000000003</v>
      </c>
      <c r="E251" s="27">
        <v>11.6</v>
      </c>
      <c r="F251" s="41">
        <v>10.086</v>
      </c>
      <c r="G251" s="25">
        <f t="shared" si="12"/>
        <v>871430.4</v>
      </c>
      <c r="H251" s="25">
        <f t="shared" si="13"/>
        <v>0.87143040000000005</v>
      </c>
      <c r="I251" s="25">
        <v>40305</v>
      </c>
      <c r="J251" s="81">
        <f t="shared" si="14"/>
        <v>4.0305000000000001E-2</v>
      </c>
      <c r="K251" s="25">
        <v>2505</v>
      </c>
      <c r="L251" s="25">
        <f t="shared" si="15"/>
        <v>2.5049999999999998E-3</v>
      </c>
      <c r="M251" s="18">
        <f t="shared" si="16"/>
        <v>4.2810000000000001E-2</v>
      </c>
      <c r="N251" s="25">
        <v>0.24192</v>
      </c>
      <c r="O251" s="2">
        <f t="shared" si="11"/>
        <v>0.58670040000000001</v>
      </c>
    </row>
    <row r="252" spans="1:15" x14ac:dyDescent="0.7">
      <c r="A252" s="26"/>
      <c r="B252" s="26"/>
      <c r="C252" s="26">
        <v>7</v>
      </c>
      <c r="D252" s="27">
        <v>96.284999999999997</v>
      </c>
      <c r="E252" s="27">
        <v>86.4</v>
      </c>
      <c r="F252" s="41">
        <v>11.087</v>
      </c>
      <c r="G252" s="25">
        <f t="shared" si="12"/>
        <v>957916.79999999993</v>
      </c>
      <c r="H252" s="25">
        <f t="shared" si="13"/>
        <v>0.9579167999999999</v>
      </c>
      <c r="I252" s="25">
        <v>41519</v>
      </c>
      <c r="J252" s="81">
        <f t="shared" si="14"/>
        <v>4.1519E-2</v>
      </c>
      <c r="K252" s="25">
        <v>5486</v>
      </c>
      <c r="L252" s="25">
        <f t="shared" si="15"/>
        <v>5.4860000000000004E-3</v>
      </c>
      <c r="M252" s="18">
        <f t="shared" si="16"/>
        <v>4.7004999999999998E-2</v>
      </c>
      <c r="N252" s="25">
        <v>0.27648</v>
      </c>
      <c r="O252" s="2">
        <f t="shared" si="11"/>
        <v>0.63443179999999999</v>
      </c>
    </row>
    <row r="253" spans="1:15" x14ac:dyDescent="0.7">
      <c r="A253" s="26"/>
      <c r="B253" s="26"/>
      <c r="C253" s="26">
        <v>8</v>
      </c>
      <c r="D253" s="27">
        <v>65.688000000000002</v>
      </c>
      <c r="E253" s="27">
        <v>0</v>
      </c>
      <c r="F253" s="41">
        <v>12.083</v>
      </c>
      <c r="G253" s="25">
        <f t="shared" si="12"/>
        <v>1043971.2000000001</v>
      </c>
      <c r="H253" s="25">
        <f t="shared" si="13"/>
        <v>1.0439712000000001</v>
      </c>
      <c r="I253" s="25">
        <v>45642</v>
      </c>
      <c r="J253" s="81">
        <f t="shared" si="14"/>
        <v>4.5642000000000002E-2</v>
      </c>
      <c r="K253" s="25">
        <v>0</v>
      </c>
      <c r="L253" s="25">
        <f t="shared" si="15"/>
        <v>0</v>
      </c>
      <c r="M253" s="18">
        <f t="shared" si="16"/>
        <v>4.5642000000000002E-2</v>
      </c>
      <c r="N253" s="25">
        <v>0.27648</v>
      </c>
      <c r="O253" s="2">
        <f t="shared" si="11"/>
        <v>0.72184920000000008</v>
      </c>
    </row>
    <row r="254" spans="1:15" x14ac:dyDescent="0.7">
      <c r="A254" s="26"/>
      <c r="B254" s="26"/>
      <c r="C254" s="26">
        <v>9</v>
      </c>
      <c r="D254" s="27">
        <v>52.141000000000005</v>
      </c>
      <c r="E254" s="27">
        <v>0</v>
      </c>
      <c r="F254" s="41">
        <v>12.077999999999999</v>
      </c>
      <c r="G254" s="25">
        <f t="shared" si="12"/>
        <v>1043539.2</v>
      </c>
      <c r="H254" s="25">
        <f t="shared" si="13"/>
        <v>1.0435391999999999</v>
      </c>
      <c r="I254" s="25">
        <v>42897</v>
      </c>
      <c r="J254" s="81">
        <f t="shared" si="14"/>
        <v>4.2896999999999998E-2</v>
      </c>
      <c r="K254" s="25">
        <v>0</v>
      </c>
      <c r="L254" s="25">
        <f t="shared" si="15"/>
        <v>0</v>
      </c>
      <c r="M254" s="18">
        <f t="shared" si="16"/>
        <v>4.2896999999999998E-2</v>
      </c>
      <c r="N254" s="25">
        <v>0.27648</v>
      </c>
      <c r="O254" s="2">
        <f t="shared" si="11"/>
        <v>0.72416219999999987</v>
      </c>
    </row>
    <row r="255" spans="1:15" x14ac:dyDescent="0.7">
      <c r="A255" s="26"/>
      <c r="B255" s="26"/>
      <c r="C255" s="26">
        <v>10</v>
      </c>
      <c r="D255" s="27">
        <v>43.866</v>
      </c>
      <c r="E255" s="27">
        <v>6.9</v>
      </c>
      <c r="F255" s="41">
        <v>12.077999999999999</v>
      </c>
      <c r="G255" s="25">
        <f t="shared" si="12"/>
        <v>1043539.2</v>
      </c>
      <c r="H255" s="25">
        <f t="shared" si="13"/>
        <v>1.0435391999999999</v>
      </c>
      <c r="I255" s="25">
        <v>41038</v>
      </c>
      <c r="J255" s="81">
        <f t="shared" si="14"/>
        <v>4.1037999999999998E-2</v>
      </c>
      <c r="K255" s="25">
        <v>0</v>
      </c>
      <c r="L255" s="25">
        <f t="shared" si="15"/>
        <v>0</v>
      </c>
      <c r="M255" s="18">
        <f t="shared" si="16"/>
        <v>4.1037999999999998E-2</v>
      </c>
      <c r="N255" s="25">
        <v>0.15551999999999999</v>
      </c>
      <c r="O255" s="2">
        <f t="shared" si="11"/>
        <v>0.84698119999999999</v>
      </c>
    </row>
    <row r="256" spans="1:15" x14ac:dyDescent="0.7">
      <c r="A256" s="26"/>
      <c r="B256" s="26"/>
      <c r="C256" s="26">
        <v>11</v>
      </c>
      <c r="D256" s="27">
        <v>64.114000000000004</v>
      </c>
      <c r="E256" s="27">
        <v>8.1</v>
      </c>
      <c r="F256" s="41">
        <v>12.082000000000001</v>
      </c>
      <c r="G256" s="25">
        <f t="shared" si="12"/>
        <v>1043884.8</v>
      </c>
      <c r="H256" s="25">
        <f t="shared" si="13"/>
        <v>1.0438848000000001</v>
      </c>
      <c r="I256" s="25">
        <v>41749</v>
      </c>
      <c r="J256" s="81">
        <f t="shared" si="14"/>
        <v>4.1749000000000001E-2</v>
      </c>
      <c r="K256" s="25">
        <v>0</v>
      </c>
      <c r="L256" s="25">
        <f t="shared" si="15"/>
        <v>0</v>
      </c>
      <c r="M256" s="18">
        <f t="shared" si="16"/>
        <v>4.1749000000000001E-2</v>
      </c>
      <c r="N256" s="25">
        <v>1.3287023999999998</v>
      </c>
      <c r="O256" s="2">
        <f t="shared" si="11"/>
        <v>-0.32656659999999982</v>
      </c>
    </row>
    <row r="257" spans="1:15" x14ac:dyDescent="0.7">
      <c r="A257" s="26"/>
      <c r="B257" s="26"/>
      <c r="C257" s="26">
        <v>12</v>
      </c>
      <c r="D257" s="27">
        <v>82.201999999999998</v>
      </c>
      <c r="E257" s="27">
        <v>42.9</v>
      </c>
      <c r="F257" s="41">
        <v>10.065</v>
      </c>
      <c r="G257" s="25">
        <f t="shared" si="12"/>
        <v>869616</v>
      </c>
      <c r="H257" s="25">
        <f t="shared" si="13"/>
        <v>0.86961599999999994</v>
      </c>
      <c r="I257" s="25">
        <v>40808</v>
      </c>
      <c r="J257" s="81">
        <f t="shared" si="14"/>
        <v>4.0807999999999997E-2</v>
      </c>
      <c r="K257" s="25">
        <v>0</v>
      </c>
      <c r="L257" s="25">
        <f t="shared" si="15"/>
        <v>0</v>
      </c>
      <c r="M257" s="18">
        <f t="shared" si="16"/>
        <v>4.0807999999999997E-2</v>
      </c>
      <c r="N257" s="25">
        <v>8.4931199999999998E-2</v>
      </c>
      <c r="O257" s="2">
        <f t="shared" si="11"/>
        <v>0.7438768</v>
      </c>
    </row>
    <row r="258" spans="1:15" x14ac:dyDescent="0.7">
      <c r="A258" s="26"/>
      <c r="B258" s="26"/>
      <c r="C258" s="26">
        <v>13</v>
      </c>
      <c r="D258" s="27">
        <v>52.509</v>
      </c>
      <c r="E258" s="27">
        <v>20.6</v>
      </c>
      <c r="F258" s="41">
        <v>9.08</v>
      </c>
      <c r="G258" s="25">
        <f t="shared" si="12"/>
        <v>784512</v>
      </c>
      <c r="H258" s="25">
        <f t="shared" si="13"/>
        <v>0.78451199999999999</v>
      </c>
      <c r="I258" s="25">
        <v>39531</v>
      </c>
      <c r="J258" s="81">
        <f t="shared" si="14"/>
        <v>3.9530999999999997E-2</v>
      </c>
      <c r="K258" s="25">
        <v>3408</v>
      </c>
      <c r="L258" s="25">
        <f t="shared" si="15"/>
        <v>3.408E-3</v>
      </c>
      <c r="M258" s="18">
        <f t="shared" si="16"/>
        <v>4.2938999999999998E-2</v>
      </c>
      <c r="N258" s="25">
        <v>6.7651199999999995E-2</v>
      </c>
      <c r="O258" s="2">
        <f t="shared" si="11"/>
        <v>0.67392180000000002</v>
      </c>
    </row>
    <row r="259" spans="1:15" x14ac:dyDescent="0.7">
      <c r="A259" s="26"/>
      <c r="B259" s="26"/>
      <c r="C259" s="26">
        <v>14</v>
      </c>
      <c r="D259" s="27">
        <v>59.023000000000003</v>
      </c>
      <c r="E259" s="27">
        <v>34.700000000000003</v>
      </c>
      <c r="F259" s="41">
        <v>10.071999999999999</v>
      </c>
      <c r="G259" s="25">
        <f t="shared" si="12"/>
        <v>870220.79999999993</v>
      </c>
      <c r="H259" s="25">
        <f t="shared" si="13"/>
        <v>0.87022079999999991</v>
      </c>
      <c r="I259" s="25">
        <v>41088</v>
      </c>
      <c r="J259" s="81">
        <f t="shared" si="14"/>
        <v>4.1088E-2</v>
      </c>
      <c r="K259" s="25">
        <v>5202</v>
      </c>
      <c r="L259" s="25">
        <f t="shared" si="15"/>
        <v>5.202E-3</v>
      </c>
      <c r="M259" s="18">
        <f t="shared" si="16"/>
        <v>4.6289999999999998E-2</v>
      </c>
      <c r="N259" s="25">
        <v>0.14255999999999999</v>
      </c>
      <c r="O259" s="2">
        <f t="shared" ref="O259:O322" si="17">H259-M259-N259</f>
        <v>0.68137079999999983</v>
      </c>
    </row>
    <row r="260" spans="1:15" x14ac:dyDescent="0.7">
      <c r="A260" s="26"/>
      <c r="B260" s="26"/>
      <c r="C260" s="26">
        <v>15</v>
      </c>
      <c r="D260" s="27">
        <v>45.91</v>
      </c>
      <c r="E260" s="27">
        <v>28.4</v>
      </c>
      <c r="F260" s="41">
        <v>7.57</v>
      </c>
      <c r="G260" s="25">
        <f t="shared" si="12"/>
        <v>654048</v>
      </c>
      <c r="H260" s="25">
        <f t="shared" si="13"/>
        <v>0.65404799999999996</v>
      </c>
      <c r="I260" s="25">
        <v>41549</v>
      </c>
      <c r="J260" s="81">
        <f t="shared" si="14"/>
        <v>4.1549000000000003E-2</v>
      </c>
      <c r="K260" s="25">
        <v>5415</v>
      </c>
      <c r="L260" s="25">
        <f t="shared" si="15"/>
        <v>5.4149999999999997E-3</v>
      </c>
      <c r="M260" s="18">
        <f t="shared" si="16"/>
        <v>4.6964000000000006E-2</v>
      </c>
      <c r="N260" s="25">
        <v>0.17712</v>
      </c>
      <c r="O260" s="2">
        <f t="shared" si="17"/>
        <v>0.42996399999999996</v>
      </c>
    </row>
    <row r="261" spans="1:15" x14ac:dyDescent="0.7">
      <c r="A261" s="26"/>
      <c r="B261" s="26"/>
      <c r="C261" s="26">
        <v>16</v>
      </c>
      <c r="D261" s="27">
        <v>52.497</v>
      </c>
      <c r="E261" s="27">
        <v>23.6</v>
      </c>
      <c r="F261" s="41">
        <v>5.0759999999999996</v>
      </c>
      <c r="G261" s="25">
        <f t="shared" si="12"/>
        <v>438566.39999999997</v>
      </c>
      <c r="H261" s="25">
        <f t="shared" si="13"/>
        <v>0.43856639999999997</v>
      </c>
      <c r="I261" s="25">
        <v>41283</v>
      </c>
      <c r="J261" s="81">
        <f t="shared" si="14"/>
        <v>4.1283E-2</v>
      </c>
      <c r="K261" s="25">
        <v>2351</v>
      </c>
      <c r="L261" s="25">
        <f t="shared" si="15"/>
        <v>2.3509999999999998E-3</v>
      </c>
      <c r="M261" s="18">
        <f t="shared" si="16"/>
        <v>4.3633999999999999E-2</v>
      </c>
      <c r="N261" s="25">
        <v>0.39312000000000002</v>
      </c>
      <c r="O261" s="2">
        <f t="shared" si="17"/>
        <v>1.8123999999999363E-3</v>
      </c>
    </row>
    <row r="262" spans="1:15" x14ac:dyDescent="0.7">
      <c r="A262" s="26"/>
      <c r="B262" s="26"/>
      <c r="C262" s="26">
        <v>17</v>
      </c>
      <c r="D262" s="27">
        <v>66.753</v>
      </c>
      <c r="E262" s="27">
        <v>39.200000000000003</v>
      </c>
      <c r="F262" s="41">
        <v>5.0780000000000003</v>
      </c>
      <c r="G262" s="25">
        <f t="shared" si="12"/>
        <v>438739.20000000001</v>
      </c>
      <c r="H262" s="25">
        <f t="shared" si="13"/>
        <v>0.4387392</v>
      </c>
      <c r="I262" s="25">
        <v>40427</v>
      </c>
      <c r="J262" s="81">
        <f t="shared" si="14"/>
        <v>4.0426999999999998E-2</v>
      </c>
      <c r="K262" s="25">
        <v>6377</v>
      </c>
      <c r="L262" s="25">
        <f t="shared" si="15"/>
        <v>6.3769999999999999E-3</v>
      </c>
      <c r="M262" s="18">
        <f t="shared" si="16"/>
        <v>4.6803999999999998E-2</v>
      </c>
      <c r="N262" s="25">
        <v>0.39312000000000002</v>
      </c>
      <c r="O262" s="2">
        <f t="shared" si="17"/>
        <v>-1.1848000000000414E-3</v>
      </c>
    </row>
    <row r="263" spans="1:15" x14ac:dyDescent="0.7">
      <c r="A263" s="26"/>
      <c r="B263" s="26"/>
      <c r="C263" s="26">
        <v>18</v>
      </c>
      <c r="D263" s="27">
        <v>91.274999999999991</v>
      </c>
      <c r="E263" s="27">
        <v>23.6</v>
      </c>
      <c r="F263" s="41">
        <v>5.0819999999999999</v>
      </c>
      <c r="G263" s="25">
        <f t="shared" si="12"/>
        <v>439084.79999999999</v>
      </c>
      <c r="H263" s="25">
        <f t="shared" si="13"/>
        <v>0.4390848</v>
      </c>
      <c r="I263" s="25">
        <v>41562</v>
      </c>
      <c r="J263" s="81">
        <f t="shared" si="14"/>
        <v>4.1562000000000002E-2</v>
      </c>
      <c r="K263" s="25">
        <v>5359</v>
      </c>
      <c r="L263" s="25">
        <f t="shared" si="15"/>
        <v>5.359E-3</v>
      </c>
      <c r="M263" s="18">
        <f t="shared" si="16"/>
        <v>4.6921000000000004E-2</v>
      </c>
      <c r="N263" s="25">
        <v>0.30093120000000001</v>
      </c>
      <c r="O263" s="2">
        <f t="shared" si="17"/>
        <v>9.1232599999999997E-2</v>
      </c>
    </row>
    <row r="264" spans="1:15" x14ac:dyDescent="0.7">
      <c r="A264" s="26"/>
      <c r="B264" s="26"/>
      <c r="C264" s="26">
        <v>19</v>
      </c>
      <c r="D264" s="27">
        <v>158.93200000000002</v>
      </c>
      <c r="E264" s="27">
        <v>20.7</v>
      </c>
      <c r="F264" s="41">
        <v>5.0819999999999999</v>
      </c>
      <c r="G264" s="25">
        <f t="shared" si="12"/>
        <v>439084.79999999999</v>
      </c>
      <c r="H264" s="25">
        <f t="shared" si="13"/>
        <v>0.4390848</v>
      </c>
      <c r="I264" s="25">
        <v>41586</v>
      </c>
      <c r="J264" s="81">
        <f t="shared" si="14"/>
        <v>4.1585999999999998E-2</v>
      </c>
      <c r="K264" s="25">
        <v>0</v>
      </c>
      <c r="L264" s="25">
        <f t="shared" si="15"/>
        <v>0</v>
      </c>
      <c r="M264" s="18">
        <f t="shared" si="16"/>
        <v>4.1585999999999998E-2</v>
      </c>
      <c r="N264" s="25">
        <v>0.30957119999999999</v>
      </c>
      <c r="O264" s="2">
        <f t="shared" si="17"/>
        <v>8.7927599999999995E-2</v>
      </c>
    </row>
    <row r="265" spans="1:15" x14ac:dyDescent="0.7">
      <c r="A265" s="26"/>
      <c r="B265" s="26"/>
      <c r="C265" s="26">
        <v>20</v>
      </c>
      <c r="D265" s="27">
        <v>80.432999999999993</v>
      </c>
      <c r="E265" s="27">
        <v>0</v>
      </c>
      <c r="F265" s="41">
        <v>5.077</v>
      </c>
      <c r="G265" s="25">
        <f t="shared" si="12"/>
        <v>438652.8</v>
      </c>
      <c r="H265" s="25">
        <f t="shared" si="13"/>
        <v>0.43865280000000001</v>
      </c>
      <c r="I265" s="25">
        <v>41968</v>
      </c>
      <c r="J265" s="81">
        <f t="shared" si="14"/>
        <v>4.1967999999999998E-2</v>
      </c>
      <c r="K265" s="25">
        <v>0</v>
      </c>
      <c r="L265" s="25">
        <f t="shared" si="15"/>
        <v>0</v>
      </c>
      <c r="M265" s="18">
        <f t="shared" si="16"/>
        <v>4.1967999999999998E-2</v>
      </c>
      <c r="N265" s="25">
        <v>0.26637120000000003</v>
      </c>
      <c r="O265" s="2">
        <f t="shared" si="17"/>
        <v>0.13031359999999997</v>
      </c>
    </row>
    <row r="266" spans="1:15" x14ac:dyDescent="0.7">
      <c r="A266" s="26"/>
      <c r="B266" s="26"/>
      <c r="C266" s="26">
        <v>21</v>
      </c>
      <c r="D266" s="27">
        <v>60.262</v>
      </c>
      <c r="E266" s="27">
        <v>0</v>
      </c>
      <c r="F266" s="41">
        <v>9.0809999999999995</v>
      </c>
      <c r="G266" s="25">
        <f t="shared" si="12"/>
        <v>784598.39999999991</v>
      </c>
      <c r="H266" s="25">
        <f t="shared" si="13"/>
        <v>0.78459839999999992</v>
      </c>
      <c r="I266" s="25">
        <v>42215</v>
      </c>
      <c r="J266" s="81">
        <f t="shared" si="14"/>
        <v>4.2215000000000003E-2</v>
      </c>
      <c r="K266" s="25">
        <v>0</v>
      </c>
      <c r="L266" s="25">
        <f t="shared" si="15"/>
        <v>0</v>
      </c>
      <c r="M266" s="18">
        <f t="shared" si="16"/>
        <v>4.2215000000000003E-2</v>
      </c>
      <c r="N266" s="25">
        <v>5.0371199999999998E-2</v>
      </c>
      <c r="O266" s="2">
        <f t="shared" si="17"/>
        <v>0.69201219999999997</v>
      </c>
    </row>
    <row r="267" spans="1:15" x14ac:dyDescent="0.7">
      <c r="A267" s="26"/>
      <c r="B267" s="26"/>
      <c r="C267" s="26">
        <v>22</v>
      </c>
      <c r="D267" s="27">
        <v>47.564</v>
      </c>
      <c r="E267" s="27">
        <v>0</v>
      </c>
      <c r="F267" s="41">
        <v>13.085000000000001</v>
      </c>
      <c r="G267" s="25">
        <f t="shared" si="12"/>
        <v>1130544</v>
      </c>
      <c r="H267" s="25">
        <f t="shared" si="13"/>
        <v>1.130544</v>
      </c>
      <c r="I267" s="25">
        <v>42947</v>
      </c>
      <c r="J267" s="81">
        <f t="shared" si="14"/>
        <v>4.2946999999999999E-2</v>
      </c>
      <c r="K267" s="25">
        <v>0</v>
      </c>
      <c r="L267" s="25">
        <f t="shared" si="15"/>
        <v>0</v>
      </c>
      <c r="M267" s="18">
        <f t="shared" si="16"/>
        <v>4.2946999999999999E-2</v>
      </c>
      <c r="N267" s="25">
        <v>0.13677120000000001</v>
      </c>
      <c r="O267" s="2">
        <f t="shared" si="17"/>
        <v>0.95082579999999994</v>
      </c>
    </row>
    <row r="268" spans="1:15" x14ac:dyDescent="0.7">
      <c r="A268" s="26"/>
      <c r="B268" s="26"/>
      <c r="C268" s="26">
        <v>23</v>
      </c>
      <c r="D268" s="27">
        <v>36.066000000000003</v>
      </c>
      <c r="E268" s="27">
        <v>0</v>
      </c>
      <c r="F268" s="41">
        <v>13.08</v>
      </c>
      <c r="G268" s="25">
        <f t="shared" si="12"/>
        <v>1130112</v>
      </c>
      <c r="H268" s="25">
        <f t="shared" si="13"/>
        <v>1.130112</v>
      </c>
      <c r="I268" s="25">
        <v>44175</v>
      </c>
      <c r="J268" s="81">
        <f t="shared" si="14"/>
        <v>4.4174999999999999E-2</v>
      </c>
      <c r="K268" s="25">
        <v>0</v>
      </c>
      <c r="L268" s="25">
        <f t="shared" si="15"/>
        <v>0</v>
      </c>
      <c r="M268" s="18">
        <f t="shared" si="16"/>
        <v>4.4174999999999999E-2</v>
      </c>
      <c r="N268" s="25">
        <v>0.18861120000000001</v>
      </c>
      <c r="O268" s="2">
        <f t="shared" si="17"/>
        <v>0.89732579999999995</v>
      </c>
    </row>
    <row r="269" spans="1:15" x14ac:dyDescent="0.7">
      <c r="A269" s="26"/>
      <c r="B269" s="26"/>
      <c r="C269" s="26">
        <v>24</v>
      </c>
      <c r="D269" s="27">
        <v>29.312000000000001</v>
      </c>
      <c r="E269" s="27">
        <v>0</v>
      </c>
      <c r="F269" s="41">
        <v>13.076000000000001</v>
      </c>
      <c r="G269" s="25">
        <f t="shared" si="12"/>
        <v>1129766.4000000001</v>
      </c>
      <c r="H269" s="25">
        <f t="shared" si="13"/>
        <v>1.1297664000000001</v>
      </c>
      <c r="I269" s="25">
        <v>43459</v>
      </c>
      <c r="J269" s="81">
        <f t="shared" si="14"/>
        <v>4.3458999999999998E-2</v>
      </c>
      <c r="K269" s="25">
        <v>0</v>
      </c>
      <c r="L269" s="25">
        <f t="shared" si="15"/>
        <v>0</v>
      </c>
      <c r="M269" s="18">
        <f t="shared" si="16"/>
        <v>4.3458999999999998E-2</v>
      </c>
      <c r="N269" s="25">
        <v>0.18861120000000001</v>
      </c>
      <c r="O269" s="2">
        <f t="shared" si="17"/>
        <v>0.89769620000000017</v>
      </c>
    </row>
    <row r="270" spans="1:15" x14ac:dyDescent="0.7">
      <c r="A270" s="26"/>
      <c r="B270" s="26"/>
      <c r="C270" s="26">
        <v>25</v>
      </c>
      <c r="D270" s="27">
        <v>26.238</v>
      </c>
      <c r="E270" s="27">
        <v>0</v>
      </c>
      <c r="F270" s="41">
        <v>13.074999999999999</v>
      </c>
      <c r="G270" s="25">
        <f t="shared" si="12"/>
        <v>1129680</v>
      </c>
      <c r="H270" s="25">
        <f t="shared" si="13"/>
        <v>1.12968</v>
      </c>
      <c r="I270" s="25">
        <v>41940</v>
      </c>
      <c r="J270" s="81">
        <f t="shared" si="14"/>
        <v>4.1939999999999998E-2</v>
      </c>
      <c r="K270" s="25">
        <v>0</v>
      </c>
      <c r="L270" s="25">
        <f t="shared" si="15"/>
        <v>0</v>
      </c>
      <c r="M270" s="18">
        <f t="shared" si="16"/>
        <v>4.1939999999999998E-2</v>
      </c>
      <c r="N270" s="25">
        <v>0.18861120000000001</v>
      </c>
      <c r="O270" s="2">
        <f t="shared" si="17"/>
        <v>0.89912879999999995</v>
      </c>
    </row>
    <row r="271" spans="1:15" x14ac:dyDescent="0.7">
      <c r="A271" s="26"/>
      <c r="B271" s="26"/>
      <c r="C271" s="26">
        <v>26</v>
      </c>
      <c r="D271" s="27">
        <v>27.239000000000001</v>
      </c>
      <c r="E271" s="27">
        <v>24.7</v>
      </c>
      <c r="F271" s="41">
        <v>13.074999999999999</v>
      </c>
      <c r="G271" s="25">
        <f t="shared" si="12"/>
        <v>1129680</v>
      </c>
      <c r="H271" s="25">
        <f t="shared" si="13"/>
        <v>1.12968</v>
      </c>
      <c r="I271" s="25">
        <v>42668</v>
      </c>
      <c r="J271" s="81">
        <f t="shared" si="14"/>
        <v>4.2667999999999998E-2</v>
      </c>
      <c r="K271" s="25">
        <v>0</v>
      </c>
      <c r="L271" s="25">
        <f t="shared" si="15"/>
        <v>0</v>
      </c>
      <c r="M271" s="18">
        <f t="shared" si="16"/>
        <v>4.2667999999999998E-2</v>
      </c>
      <c r="N271" s="25">
        <v>0.18308160000000001</v>
      </c>
      <c r="O271" s="2">
        <f t="shared" si="17"/>
        <v>0.90393040000000013</v>
      </c>
    </row>
    <row r="272" spans="1:15" x14ac:dyDescent="0.7">
      <c r="A272" s="26"/>
      <c r="B272" s="26"/>
      <c r="C272" s="26">
        <v>27</v>
      </c>
      <c r="D272" s="27">
        <v>25.262999999999998</v>
      </c>
      <c r="E272" s="27">
        <v>3.6</v>
      </c>
      <c r="F272" s="41">
        <v>10.073</v>
      </c>
      <c r="G272" s="25">
        <f t="shared" si="12"/>
        <v>870307.20000000007</v>
      </c>
      <c r="H272" s="25">
        <f t="shared" si="13"/>
        <v>0.87030720000000006</v>
      </c>
      <c r="I272" s="25">
        <v>43527</v>
      </c>
      <c r="J272" s="81">
        <f t="shared" si="14"/>
        <v>4.3527000000000003E-2</v>
      </c>
      <c r="K272" s="25">
        <v>0</v>
      </c>
      <c r="L272" s="25">
        <f t="shared" si="15"/>
        <v>0</v>
      </c>
      <c r="M272" s="18">
        <f t="shared" si="16"/>
        <v>4.3527000000000003E-2</v>
      </c>
      <c r="N272" s="25">
        <v>0.13124160000000001</v>
      </c>
      <c r="O272" s="2">
        <f t="shared" si="17"/>
        <v>0.69553860000000012</v>
      </c>
    </row>
    <row r="273" spans="1:15" x14ac:dyDescent="0.7">
      <c r="A273" s="26"/>
      <c r="B273" s="26"/>
      <c r="C273" s="26">
        <v>28</v>
      </c>
      <c r="D273" s="27">
        <v>23.387999999999998</v>
      </c>
      <c r="E273" s="27">
        <v>4.7</v>
      </c>
      <c r="F273" s="41">
        <v>13.073</v>
      </c>
      <c r="G273" s="25">
        <f t="shared" si="12"/>
        <v>1129507.2</v>
      </c>
      <c r="H273" s="25">
        <f t="shared" si="13"/>
        <v>1.1295071999999999</v>
      </c>
      <c r="I273" s="25">
        <v>38978</v>
      </c>
      <c r="J273" s="81">
        <f t="shared" si="14"/>
        <v>3.8977999999999999E-2</v>
      </c>
      <c r="K273" s="25">
        <v>0</v>
      </c>
      <c r="L273" s="25">
        <f t="shared" si="15"/>
        <v>0</v>
      </c>
      <c r="M273" s="18">
        <f t="shared" si="16"/>
        <v>3.8977999999999999E-2</v>
      </c>
      <c r="N273" s="25">
        <v>0.13124160000000001</v>
      </c>
      <c r="O273" s="2">
        <f t="shared" si="17"/>
        <v>0.95928759999999991</v>
      </c>
    </row>
    <row r="274" spans="1:15" x14ac:dyDescent="0.7">
      <c r="A274" s="26"/>
      <c r="B274" s="26"/>
      <c r="C274" s="26">
        <v>29</v>
      </c>
      <c r="D274" s="27">
        <v>63.558999999999997</v>
      </c>
      <c r="E274" s="27">
        <v>57.8</v>
      </c>
      <c r="F274" s="41">
        <v>10.065</v>
      </c>
      <c r="G274" s="25">
        <f t="shared" si="12"/>
        <v>869616</v>
      </c>
      <c r="H274" s="25">
        <f t="shared" si="13"/>
        <v>0.86961599999999994</v>
      </c>
      <c r="I274" s="25">
        <v>41349</v>
      </c>
      <c r="J274" s="81">
        <f t="shared" si="14"/>
        <v>4.1348999999999997E-2</v>
      </c>
      <c r="K274" s="25">
        <v>0</v>
      </c>
      <c r="L274" s="25">
        <f t="shared" si="15"/>
        <v>0</v>
      </c>
      <c r="M274" s="18">
        <f t="shared" si="16"/>
        <v>4.1348999999999997E-2</v>
      </c>
      <c r="N274" s="25">
        <v>0.33428159999999996</v>
      </c>
      <c r="O274" s="2">
        <f t="shared" si="17"/>
        <v>0.49398540000000002</v>
      </c>
    </row>
    <row r="275" spans="1:15" s="3" customFormat="1" ht="25.2" thickBot="1" x14ac:dyDescent="0.75">
      <c r="A275" s="29"/>
      <c r="B275" s="29" t="s">
        <v>23</v>
      </c>
      <c r="C275" s="29">
        <v>30</v>
      </c>
      <c r="D275" s="30">
        <v>71.343000000000004</v>
      </c>
      <c r="E275" s="30">
        <v>31.6</v>
      </c>
      <c r="F275" s="51">
        <v>0</v>
      </c>
      <c r="G275" s="45">
        <f t="shared" si="12"/>
        <v>0</v>
      </c>
      <c r="H275" s="45">
        <f t="shared" si="13"/>
        <v>0</v>
      </c>
      <c r="I275" s="45">
        <v>40738</v>
      </c>
      <c r="J275" s="82">
        <f t="shared" si="14"/>
        <v>4.0738000000000003E-2</v>
      </c>
      <c r="K275" s="45">
        <v>0</v>
      </c>
      <c r="L275" s="45">
        <f t="shared" si="15"/>
        <v>0</v>
      </c>
      <c r="M275" s="19">
        <f t="shared" si="16"/>
        <v>4.0738000000000003E-2</v>
      </c>
      <c r="N275" s="45">
        <v>0.24788160000000001</v>
      </c>
      <c r="O275" s="46">
        <f t="shared" si="17"/>
        <v>-0.28861960000000003</v>
      </c>
    </row>
    <row r="276" spans="1:15" x14ac:dyDescent="0.7">
      <c r="A276" s="23"/>
      <c r="B276" s="23" t="s">
        <v>24</v>
      </c>
      <c r="C276" s="23">
        <v>1</v>
      </c>
      <c r="D276" s="24">
        <v>113.34</v>
      </c>
      <c r="E276" s="24">
        <v>1</v>
      </c>
      <c r="F276" s="42">
        <v>0</v>
      </c>
      <c r="G276" s="20">
        <f t="shared" si="12"/>
        <v>0</v>
      </c>
      <c r="H276" s="20">
        <f t="shared" si="13"/>
        <v>0</v>
      </c>
      <c r="I276" s="20">
        <v>41693</v>
      </c>
      <c r="J276" s="80">
        <f t="shared" si="14"/>
        <v>4.1693000000000001E-2</v>
      </c>
      <c r="K276" s="20">
        <v>0</v>
      </c>
      <c r="L276" s="20">
        <f t="shared" si="15"/>
        <v>0</v>
      </c>
      <c r="M276" s="17">
        <f t="shared" si="16"/>
        <v>4.1693000000000001E-2</v>
      </c>
      <c r="N276" s="20">
        <v>0.20468160000000002</v>
      </c>
      <c r="O276" s="2">
        <f t="shared" si="17"/>
        <v>-0.24637460000000003</v>
      </c>
    </row>
    <row r="277" spans="1:15" x14ac:dyDescent="0.7">
      <c r="A277" s="26"/>
      <c r="B277" s="26"/>
      <c r="C277" s="26">
        <v>2</v>
      </c>
      <c r="D277" s="27">
        <v>103.68300000000001</v>
      </c>
      <c r="E277" s="27">
        <v>0</v>
      </c>
      <c r="F277" s="41">
        <v>8.0879999999999992</v>
      </c>
      <c r="G277" s="25">
        <f t="shared" si="12"/>
        <v>698803.19999999995</v>
      </c>
      <c r="H277" s="25">
        <f t="shared" si="13"/>
        <v>0.69880319999999996</v>
      </c>
      <c r="I277" s="25">
        <v>45984</v>
      </c>
      <c r="J277" s="81">
        <f t="shared" si="14"/>
        <v>4.5983999999999997E-2</v>
      </c>
      <c r="K277" s="25">
        <v>0</v>
      </c>
      <c r="L277" s="25">
        <f t="shared" si="15"/>
        <v>0</v>
      </c>
      <c r="M277" s="18">
        <f t="shared" si="16"/>
        <v>4.5983999999999997E-2</v>
      </c>
      <c r="N277" s="25">
        <v>1.0281599999999998E-2</v>
      </c>
      <c r="O277" s="2">
        <f t="shared" si="17"/>
        <v>0.64253759999999993</v>
      </c>
    </row>
    <row r="278" spans="1:15" x14ac:dyDescent="0.7">
      <c r="A278" s="26"/>
      <c r="B278" s="26"/>
      <c r="C278" s="26">
        <v>3</v>
      </c>
      <c r="D278" s="27">
        <v>74.783999999999992</v>
      </c>
      <c r="E278" s="27">
        <v>0</v>
      </c>
      <c r="F278" s="40">
        <v>8.0830000000000002</v>
      </c>
      <c r="G278" s="25">
        <f t="shared" si="12"/>
        <v>698371.20000000007</v>
      </c>
      <c r="H278" s="25">
        <f t="shared" si="13"/>
        <v>0.69837120000000008</v>
      </c>
      <c r="I278" s="25">
        <v>43275</v>
      </c>
      <c r="J278" s="81">
        <f t="shared" si="14"/>
        <v>4.3275000000000001E-2</v>
      </c>
      <c r="K278" s="25">
        <v>0</v>
      </c>
      <c r="L278" s="25">
        <f t="shared" si="15"/>
        <v>0</v>
      </c>
      <c r="M278" s="18">
        <f t="shared" si="16"/>
        <v>4.3275000000000001E-2</v>
      </c>
      <c r="N278" s="25">
        <v>1.0281599999999998E-2</v>
      </c>
      <c r="O278" s="2">
        <f t="shared" si="17"/>
        <v>0.64481460000000013</v>
      </c>
    </row>
    <row r="279" spans="1:15" x14ac:dyDescent="0.7">
      <c r="A279" s="26"/>
      <c r="B279" s="26"/>
      <c r="C279" s="26">
        <v>4</v>
      </c>
      <c r="D279" s="27">
        <v>55.501999999999995</v>
      </c>
      <c r="E279" s="27">
        <v>0</v>
      </c>
      <c r="F279" s="40">
        <v>8.0779999999999994</v>
      </c>
      <c r="G279" s="25">
        <f t="shared" si="12"/>
        <v>697939.2</v>
      </c>
      <c r="H279" s="25">
        <f t="shared" si="13"/>
        <v>0.69793919999999998</v>
      </c>
      <c r="I279" s="25">
        <v>25155</v>
      </c>
      <c r="J279" s="81">
        <f t="shared" si="14"/>
        <v>2.5155E-2</v>
      </c>
      <c r="K279" s="25">
        <v>0</v>
      </c>
      <c r="L279" s="25">
        <f t="shared" si="15"/>
        <v>0</v>
      </c>
      <c r="M279" s="18">
        <f t="shared" si="16"/>
        <v>2.5155E-2</v>
      </c>
      <c r="N279" s="25">
        <v>1.0281599999999998E-2</v>
      </c>
      <c r="O279" s="2">
        <f t="shared" si="17"/>
        <v>0.66250259999999994</v>
      </c>
    </row>
    <row r="280" spans="1:15" x14ac:dyDescent="0.7">
      <c r="A280" s="26"/>
      <c r="B280" s="26"/>
      <c r="C280" s="26">
        <v>5</v>
      </c>
      <c r="D280" s="27">
        <v>46.713999999999999</v>
      </c>
      <c r="E280" s="27">
        <v>0</v>
      </c>
      <c r="F280" s="40">
        <v>8.0749999999999993</v>
      </c>
      <c r="G280" s="25">
        <f t="shared" si="12"/>
        <v>697679.99999999988</v>
      </c>
      <c r="H280" s="25">
        <f t="shared" si="13"/>
        <v>0.69767999999999986</v>
      </c>
      <c r="I280" s="25">
        <v>25234</v>
      </c>
      <c r="J280" s="81">
        <f t="shared" si="14"/>
        <v>2.5233999999999999E-2</v>
      </c>
      <c r="K280" s="25">
        <v>0</v>
      </c>
      <c r="L280" s="25">
        <f t="shared" si="15"/>
        <v>0</v>
      </c>
      <c r="M280" s="18">
        <f t="shared" si="16"/>
        <v>2.5233999999999999E-2</v>
      </c>
      <c r="N280" s="25">
        <v>1.5811200000000001E-2</v>
      </c>
      <c r="O280" s="2">
        <f t="shared" si="17"/>
        <v>0.65663479999999985</v>
      </c>
    </row>
    <row r="281" spans="1:15" x14ac:dyDescent="0.7">
      <c r="A281" s="26"/>
      <c r="B281" s="26"/>
      <c r="C281" s="26">
        <v>6</v>
      </c>
      <c r="D281" s="27">
        <v>39.863999999999997</v>
      </c>
      <c r="E281" s="27">
        <v>0</v>
      </c>
      <c r="F281" s="40">
        <v>8.0739999999999998</v>
      </c>
      <c r="G281" s="25">
        <f t="shared" si="12"/>
        <v>697593.6</v>
      </c>
      <c r="H281" s="25">
        <f t="shared" si="13"/>
        <v>0.69759359999999992</v>
      </c>
      <c r="I281" s="25">
        <v>23899</v>
      </c>
      <c r="J281" s="81">
        <f t="shared" si="14"/>
        <v>2.3899E-2</v>
      </c>
      <c r="K281" s="25">
        <v>0</v>
      </c>
      <c r="L281" s="25">
        <f t="shared" si="15"/>
        <v>0</v>
      </c>
      <c r="M281" s="18">
        <f t="shared" si="16"/>
        <v>2.3899E-2</v>
      </c>
      <c r="N281" s="25">
        <v>7.6291200000000003E-2</v>
      </c>
      <c r="O281" s="2">
        <f t="shared" si="17"/>
        <v>0.59740339999999992</v>
      </c>
    </row>
    <row r="282" spans="1:15" x14ac:dyDescent="0.7">
      <c r="A282" s="26"/>
      <c r="B282" s="26"/>
      <c r="C282" s="26">
        <v>7</v>
      </c>
      <c r="D282" s="27">
        <v>39.863999999999997</v>
      </c>
      <c r="E282" s="27">
        <v>0</v>
      </c>
      <c r="F282" s="40">
        <v>8.0730000000000004</v>
      </c>
      <c r="G282" s="25">
        <f t="shared" ref="G282:G345" si="18">F282*86400</f>
        <v>697507.20000000007</v>
      </c>
      <c r="H282" s="25">
        <f t="shared" ref="H282:H345" si="19">G282/1000000</f>
        <v>0.6975072000000001</v>
      </c>
      <c r="I282" s="25">
        <v>23842</v>
      </c>
      <c r="J282" s="81">
        <f t="shared" ref="J282:J345" si="20">I282/1000000</f>
        <v>2.3841999999999999E-2</v>
      </c>
      <c r="K282" s="25">
        <v>0</v>
      </c>
      <c r="L282" s="25">
        <f>K282/1000000</f>
        <v>0</v>
      </c>
      <c r="M282" s="18">
        <f t="shared" ref="M282:M345" si="21">J282+L282</f>
        <v>2.3841999999999999E-2</v>
      </c>
      <c r="N282" s="25">
        <v>0.50829120000000005</v>
      </c>
      <c r="O282" s="2">
        <f t="shared" si="17"/>
        <v>0.16537400000000002</v>
      </c>
    </row>
    <row r="283" spans="1:15" x14ac:dyDescent="0.7">
      <c r="A283" s="26"/>
      <c r="B283" s="26"/>
      <c r="C283" s="26">
        <v>8</v>
      </c>
      <c r="D283" s="27">
        <v>38.546999999999997</v>
      </c>
      <c r="E283" s="27">
        <v>2.5</v>
      </c>
      <c r="F283" s="40">
        <v>8.0790000000000006</v>
      </c>
      <c r="G283" s="25">
        <f t="shared" si="18"/>
        <v>698025.60000000009</v>
      </c>
      <c r="H283" s="25">
        <f t="shared" si="19"/>
        <v>0.69802560000000013</v>
      </c>
      <c r="I283" s="25">
        <v>40295</v>
      </c>
      <c r="J283" s="81">
        <f t="shared" si="20"/>
        <v>4.0294999999999997E-2</v>
      </c>
      <c r="K283" s="25">
        <v>0</v>
      </c>
      <c r="L283" s="25">
        <f t="shared" ref="L283:L346" si="22">K283/1000000</f>
        <v>0</v>
      </c>
      <c r="M283" s="18">
        <f t="shared" si="21"/>
        <v>4.0294999999999997E-2</v>
      </c>
      <c r="N283" s="25">
        <v>5.0371199999999998E-2</v>
      </c>
      <c r="O283" s="2">
        <f t="shared" si="17"/>
        <v>0.60735940000000022</v>
      </c>
    </row>
    <row r="284" spans="1:15" x14ac:dyDescent="0.7">
      <c r="A284" s="26"/>
      <c r="B284" s="26"/>
      <c r="C284" s="26">
        <v>9</v>
      </c>
      <c r="D284" s="27">
        <v>92.441000000000003</v>
      </c>
      <c r="E284" s="27">
        <v>3.7</v>
      </c>
      <c r="F284" s="40">
        <v>6.5869999999999997</v>
      </c>
      <c r="G284" s="25">
        <f t="shared" si="18"/>
        <v>569116.79999999993</v>
      </c>
      <c r="H284" s="25">
        <f t="shared" si="19"/>
        <v>0.56911679999999998</v>
      </c>
      <c r="I284" s="25">
        <v>40407</v>
      </c>
      <c r="J284" s="81">
        <f t="shared" si="20"/>
        <v>4.0406999999999998E-2</v>
      </c>
      <c r="K284" s="25">
        <v>0</v>
      </c>
      <c r="L284" s="25">
        <f t="shared" si="22"/>
        <v>0</v>
      </c>
      <c r="M284" s="18">
        <f t="shared" si="21"/>
        <v>4.0406999999999998E-2</v>
      </c>
      <c r="N284" s="25">
        <v>4.4841599999999995E-2</v>
      </c>
      <c r="O284" s="2">
        <f t="shared" si="17"/>
        <v>0.48386820000000003</v>
      </c>
    </row>
    <row r="285" spans="1:15" x14ac:dyDescent="0.7">
      <c r="A285" s="26"/>
      <c r="B285" s="26"/>
      <c r="C285" s="26">
        <v>10</v>
      </c>
      <c r="D285" s="27">
        <v>102.599</v>
      </c>
      <c r="E285" s="27">
        <v>36.200000000000003</v>
      </c>
      <c r="F285" s="41">
        <v>5.085</v>
      </c>
      <c r="G285" s="25">
        <f t="shared" si="18"/>
        <v>439344</v>
      </c>
      <c r="H285" s="25">
        <f t="shared" si="19"/>
        <v>0.43934400000000001</v>
      </c>
      <c r="I285" s="25">
        <v>44533</v>
      </c>
      <c r="J285" s="81">
        <f t="shared" si="20"/>
        <v>4.4533000000000003E-2</v>
      </c>
      <c r="K285" s="25">
        <v>0</v>
      </c>
      <c r="L285" s="25">
        <f t="shared" si="22"/>
        <v>0</v>
      </c>
      <c r="M285" s="18">
        <f t="shared" si="21"/>
        <v>4.4533000000000003E-2</v>
      </c>
      <c r="N285" s="25">
        <v>5.3481599999999997E-2</v>
      </c>
      <c r="O285" s="2">
        <f t="shared" si="17"/>
        <v>0.34132940000000001</v>
      </c>
    </row>
    <row r="286" spans="1:15" x14ac:dyDescent="0.7">
      <c r="A286" s="26"/>
      <c r="B286" s="26"/>
      <c r="C286" s="26">
        <v>11</v>
      </c>
      <c r="D286" s="27">
        <v>94.998999999999995</v>
      </c>
      <c r="E286" s="27">
        <v>20.100000000000001</v>
      </c>
      <c r="F286" s="41">
        <v>5.0819999999999999</v>
      </c>
      <c r="G286" s="25">
        <f t="shared" si="18"/>
        <v>439084.79999999999</v>
      </c>
      <c r="H286" s="25">
        <f>G286/1000000</f>
        <v>0.4390848</v>
      </c>
      <c r="I286" s="25">
        <v>43864</v>
      </c>
      <c r="J286" s="81">
        <f t="shared" si="20"/>
        <v>4.3864E-2</v>
      </c>
      <c r="K286" s="25">
        <v>0</v>
      </c>
      <c r="L286" s="25">
        <f t="shared" si="22"/>
        <v>0</v>
      </c>
      <c r="M286" s="18">
        <f t="shared" si="21"/>
        <v>4.3864E-2</v>
      </c>
      <c r="N286" s="25">
        <v>9.6681600000000006E-2</v>
      </c>
      <c r="O286" s="2">
        <f t="shared" si="17"/>
        <v>0.2985392</v>
      </c>
    </row>
    <row r="287" spans="1:15" x14ac:dyDescent="0.7">
      <c r="A287" s="26"/>
      <c r="B287" s="26"/>
      <c r="C287" s="26">
        <v>12</v>
      </c>
      <c r="D287" s="27">
        <v>75.197999999999993</v>
      </c>
      <c r="E287" s="27">
        <v>33.200000000000003</v>
      </c>
      <c r="F287" s="41">
        <v>5.0780000000000003</v>
      </c>
      <c r="G287" s="25">
        <f t="shared" si="18"/>
        <v>438739.20000000001</v>
      </c>
      <c r="H287" s="25">
        <f t="shared" si="19"/>
        <v>0.4387392</v>
      </c>
      <c r="I287" s="25">
        <v>42533</v>
      </c>
      <c r="J287" s="81">
        <f t="shared" si="20"/>
        <v>4.2533000000000001E-2</v>
      </c>
      <c r="K287" s="25">
        <v>0</v>
      </c>
      <c r="L287" s="25">
        <f t="shared" si="22"/>
        <v>0</v>
      </c>
      <c r="M287" s="18">
        <f t="shared" si="21"/>
        <v>4.2533000000000001E-2</v>
      </c>
      <c r="N287" s="25">
        <v>9.1540800000000005E-2</v>
      </c>
      <c r="O287" s="2">
        <f t="shared" si="17"/>
        <v>0.30466539999999998</v>
      </c>
    </row>
    <row r="288" spans="1:15" x14ac:dyDescent="0.7">
      <c r="A288" s="26"/>
      <c r="B288" s="26"/>
      <c r="C288" s="26">
        <v>13</v>
      </c>
      <c r="D288" s="27">
        <v>61.863</v>
      </c>
      <c r="E288" s="27">
        <v>5.4</v>
      </c>
      <c r="F288" s="41">
        <v>5.0750000000000002</v>
      </c>
      <c r="G288" s="25">
        <f t="shared" si="18"/>
        <v>438480</v>
      </c>
      <c r="H288" s="25">
        <f t="shared" si="19"/>
        <v>0.43847999999999998</v>
      </c>
      <c r="I288" s="25">
        <v>44511</v>
      </c>
      <c r="J288" s="81">
        <f t="shared" si="20"/>
        <v>4.4511000000000002E-2</v>
      </c>
      <c r="K288" s="25">
        <v>0</v>
      </c>
      <c r="L288" s="25">
        <f t="shared" si="22"/>
        <v>0</v>
      </c>
      <c r="M288" s="18">
        <f t="shared" si="21"/>
        <v>4.4511000000000002E-2</v>
      </c>
      <c r="N288" s="25">
        <v>0.13474079999999999</v>
      </c>
      <c r="O288" s="2">
        <f t="shared" si="17"/>
        <v>0.25922819999999996</v>
      </c>
    </row>
    <row r="289" spans="1:15" x14ac:dyDescent="0.7">
      <c r="A289" s="26"/>
      <c r="B289" s="26"/>
      <c r="C289" s="26">
        <v>14</v>
      </c>
      <c r="D289" s="27">
        <v>57.107999999999997</v>
      </c>
      <c r="E289" s="27">
        <v>0</v>
      </c>
      <c r="F289" s="41">
        <v>5.0759999999999996</v>
      </c>
      <c r="G289" s="25">
        <f t="shared" si="18"/>
        <v>438566.39999999997</v>
      </c>
      <c r="H289" s="25">
        <f t="shared" si="19"/>
        <v>0.43856639999999997</v>
      </c>
      <c r="I289" s="25">
        <v>43382</v>
      </c>
      <c r="J289" s="81">
        <f t="shared" si="20"/>
        <v>4.3381999999999997E-2</v>
      </c>
      <c r="K289" s="25">
        <v>0</v>
      </c>
      <c r="L289" s="25">
        <f t="shared" si="22"/>
        <v>0</v>
      </c>
      <c r="M289" s="18">
        <f t="shared" si="21"/>
        <v>4.3381999999999997E-2</v>
      </c>
      <c r="N289" s="25">
        <v>0.13474079999999999</v>
      </c>
      <c r="O289" s="2">
        <f t="shared" si="17"/>
        <v>0.2604436</v>
      </c>
    </row>
    <row r="290" spans="1:15" x14ac:dyDescent="0.7">
      <c r="A290" s="26"/>
      <c r="B290" s="26"/>
      <c r="C290" s="26">
        <v>15</v>
      </c>
      <c r="D290" s="27">
        <v>80.432000000000002</v>
      </c>
      <c r="E290" s="27">
        <v>6.1</v>
      </c>
      <c r="F290" s="41">
        <v>5.0789999999999997</v>
      </c>
      <c r="G290" s="25">
        <f t="shared" si="18"/>
        <v>438825.6</v>
      </c>
      <c r="H290" s="25">
        <f t="shared" si="19"/>
        <v>0.43882559999999998</v>
      </c>
      <c r="I290" s="25">
        <v>45895</v>
      </c>
      <c r="J290" s="81">
        <f t="shared" si="20"/>
        <v>4.5894999999999998E-2</v>
      </c>
      <c r="K290" s="25">
        <v>0</v>
      </c>
      <c r="L290" s="25">
        <f t="shared" si="22"/>
        <v>0</v>
      </c>
      <c r="M290" s="18">
        <f t="shared" si="21"/>
        <v>4.5894999999999998E-2</v>
      </c>
      <c r="N290" s="25">
        <v>0.13474079999999999</v>
      </c>
      <c r="O290" s="2">
        <f t="shared" si="17"/>
        <v>0.25818979999999997</v>
      </c>
    </row>
    <row r="291" spans="1:15" x14ac:dyDescent="0.7">
      <c r="A291" s="26"/>
      <c r="B291" s="26"/>
      <c r="C291" s="26">
        <v>16</v>
      </c>
      <c r="D291" s="27">
        <v>116.369</v>
      </c>
      <c r="E291" s="27">
        <v>25.2</v>
      </c>
      <c r="F291" s="41">
        <v>5.0810000000000004</v>
      </c>
      <c r="G291" s="25">
        <f t="shared" si="18"/>
        <v>438998.4</v>
      </c>
      <c r="H291" s="25">
        <f t="shared" si="19"/>
        <v>0.43899840000000001</v>
      </c>
      <c r="I291" s="25">
        <v>45078</v>
      </c>
      <c r="J291" s="81">
        <f t="shared" si="20"/>
        <v>4.5078E-2</v>
      </c>
      <c r="K291" s="25">
        <v>0</v>
      </c>
      <c r="L291" s="25">
        <f t="shared" si="22"/>
        <v>0</v>
      </c>
      <c r="M291" s="18">
        <f t="shared" si="21"/>
        <v>4.5078E-2</v>
      </c>
      <c r="N291" s="25">
        <v>0.47520000000000001</v>
      </c>
      <c r="O291" s="2">
        <f t="shared" si="17"/>
        <v>-8.1279600000000007E-2</v>
      </c>
    </row>
    <row r="292" spans="1:15" x14ac:dyDescent="0.7">
      <c r="A292" s="26"/>
      <c r="B292" s="26"/>
      <c r="C292" s="26">
        <v>17</v>
      </c>
      <c r="D292" s="27">
        <v>126.568</v>
      </c>
      <c r="E292" s="27">
        <v>0.7</v>
      </c>
      <c r="F292" s="40">
        <v>5.08</v>
      </c>
      <c r="G292" s="25">
        <f t="shared" si="18"/>
        <v>438912</v>
      </c>
      <c r="H292" s="25">
        <f t="shared" si="19"/>
        <v>0.43891200000000002</v>
      </c>
      <c r="I292" s="25">
        <v>43912</v>
      </c>
      <c r="J292" s="81">
        <f t="shared" si="20"/>
        <v>4.3912E-2</v>
      </c>
      <c r="K292" s="25">
        <v>0</v>
      </c>
      <c r="L292" s="25">
        <f t="shared" si="22"/>
        <v>0</v>
      </c>
      <c r="M292" s="18">
        <f t="shared" si="21"/>
        <v>4.3912E-2</v>
      </c>
      <c r="N292" s="25">
        <v>3.456E-2</v>
      </c>
      <c r="O292" s="2">
        <f t="shared" si="17"/>
        <v>0.36044000000000004</v>
      </c>
    </row>
    <row r="293" spans="1:15" x14ac:dyDescent="0.7">
      <c r="A293" s="26"/>
      <c r="B293" s="26"/>
      <c r="C293" s="26">
        <v>18</v>
      </c>
      <c r="D293" s="27">
        <v>80.432000000000002</v>
      </c>
      <c r="E293" s="27">
        <v>3.8</v>
      </c>
      <c r="F293" s="41">
        <v>5.077</v>
      </c>
      <c r="G293" s="25">
        <f t="shared" si="18"/>
        <v>438652.8</v>
      </c>
      <c r="H293" s="25">
        <f t="shared" si="19"/>
        <v>0.43865280000000001</v>
      </c>
      <c r="I293" s="25">
        <v>45768</v>
      </c>
      <c r="J293" s="81">
        <f t="shared" si="20"/>
        <v>4.5768000000000003E-2</v>
      </c>
      <c r="K293" s="25">
        <v>0</v>
      </c>
      <c r="L293" s="25">
        <f t="shared" si="22"/>
        <v>0</v>
      </c>
      <c r="M293" s="18">
        <f t="shared" si="21"/>
        <v>4.5768000000000003E-2</v>
      </c>
      <c r="N293" s="25">
        <v>3.456E-2</v>
      </c>
      <c r="O293" s="2">
        <f t="shared" si="17"/>
        <v>0.35832480000000005</v>
      </c>
    </row>
    <row r="294" spans="1:15" x14ac:dyDescent="0.7">
      <c r="A294" s="26"/>
      <c r="B294" s="26"/>
      <c r="C294" s="26">
        <v>19</v>
      </c>
      <c r="D294" s="27">
        <v>61.862000000000002</v>
      </c>
      <c r="E294" s="27">
        <v>0</v>
      </c>
      <c r="F294" s="41">
        <v>5.0739999999999998</v>
      </c>
      <c r="G294" s="25">
        <f t="shared" si="18"/>
        <v>438393.59999999998</v>
      </c>
      <c r="H294" s="25">
        <f t="shared" si="19"/>
        <v>0.43839359999999999</v>
      </c>
      <c r="I294" s="25">
        <v>43117</v>
      </c>
      <c r="J294" s="81">
        <f t="shared" si="20"/>
        <v>4.3117000000000003E-2</v>
      </c>
      <c r="K294" s="25">
        <v>0</v>
      </c>
      <c r="L294" s="25">
        <f t="shared" si="22"/>
        <v>0</v>
      </c>
      <c r="M294" s="18">
        <f t="shared" si="21"/>
        <v>4.3117000000000003E-2</v>
      </c>
      <c r="N294" s="25">
        <v>3.456E-2</v>
      </c>
      <c r="O294" s="2">
        <f t="shared" si="17"/>
        <v>0.3607166</v>
      </c>
    </row>
    <row r="295" spans="1:15" x14ac:dyDescent="0.7">
      <c r="A295" s="26"/>
      <c r="B295" s="26"/>
      <c r="C295" s="26">
        <v>20</v>
      </c>
      <c r="D295" s="27">
        <v>55.553000000000004</v>
      </c>
      <c r="E295" s="27">
        <v>0</v>
      </c>
      <c r="F295" s="41">
        <v>5.0709999999999997</v>
      </c>
      <c r="G295" s="25">
        <f t="shared" si="18"/>
        <v>438134.39999999997</v>
      </c>
      <c r="H295" s="25">
        <f t="shared" si="19"/>
        <v>0.43813439999999998</v>
      </c>
      <c r="I295" s="25">
        <v>42815</v>
      </c>
      <c r="J295" s="81">
        <f t="shared" si="20"/>
        <v>4.2814999999999999E-2</v>
      </c>
      <c r="K295" s="25">
        <v>0</v>
      </c>
      <c r="L295" s="25">
        <f t="shared" si="22"/>
        <v>0</v>
      </c>
      <c r="M295" s="18">
        <f t="shared" si="21"/>
        <v>4.2814999999999999E-2</v>
      </c>
      <c r="N295" s="25">
        <v>5.1839999999999997E-2</v>
      </c>
      <c r="O295" s="2">
        <f t="shared" si="17"/>
        <v>0.34347939999999999</v>
      </c>
    </row>
    <row r="296" spans="1:15" x14ac:dyDescent="0.7">
      <c r="A296" s="26"/>
      <c r="B296" s="26"/>
      <c r="C296" s="26">
        <v>21</v>
      </c>
      <c r="D296" s="27">
        <v>44.497999999999998</v>
      </c>
      <c r="E296" s="27">
        <v>0</v>
      </c>
      <c r="F296" s="41">
        <v>5.069</v>
      </c>
      <c r="G296" s="25">
        <f t="shared" si="18"/>
        <v>437961.6</v>
      </c>
      <c r="H296" s="25">
        <f t="shared" si="19"/>
        <v>0.43796159999999995</v>
      </c>
      <c r="I296" s="25">
        <v>44582</v>
      </c>
      <c r="J296" s="81">
        <f t="shared" si="20"/>
        <v>4.4581999999999997E-2</v>
      </c>
      <c r="K296" s="25">
        <v>0</v>
      </c>
      <c r="L296" s="25">
        <f t="shared" si="22"/>
        <v>0</v>
      </c>
      <c r="M296" s="18">
        <f t="shared" si="21"/>
        <v>4.4581999999999997E-2</v>
      </c>
      <c r="N296" s="25">
        <v>5.1839999999999997E-2</v>
      </c>
      <c r="O296" s="2">
        <f t="shared" si="17"/>
        <v>0.34153959999999994</v>
      </c>
    </row>
    <row r="297" spans="1:15" x14ac:dyDescent="0.7">
      <c r="A297" s="26"/>
      <c r="B297" s="26"/>
      <c r="C297" s="26">
        <v>22</v>
      </c>
      <c r="D297" s="27">
        <v>46.567</v>
      </c>
      <c r="E297" s="27">
        <v>0</v>
      </c>
      <c r="F297" s="41">
        <v>5.0670000000000002</v>
      </c>
      <c r="G297" s="25">
        <f t="shared" si="18"/>
        <v>437788.8</v>
      </c>
      <c r="H297" s="25">
        <f t="shared" si="19"/>
        <v>0.43778879999999998</v>
      </c>
      <c r="I297" s="25">
        <v>45169</v>
      </c>
      <c r="J297" s="81">
        <f t="shared" si="20"/>
        <v>4.5169000000000001E-2</v>
      </c>
      <c r="K297" s="25">
        <v>0</v>
      </c>
      <c r="L297" s="25">
        <f t="shared" si="22"/>
        <v>0</v>
      </c>
      <c r="M297" s="18">
        <f t="shared" si="21"/>
        <v>4.5169000000000001E-2</v>
      </c>
      <c r="N297" s="25">
        <v>5.1839999999999997E-2</v>
      </c>
      <c r="O297" s="2">
        <f t="shared" si="17"/>
        <v>0.34077979999999997</v>
      </c>
    </row>
    <row r="298" spans="1:15" x14ac:dyDescent="0.7">
      <c r="A298" s="26"/>
      <c r="B298" s="26"/>
      <c r="C298" s="26">
        <v>23</v>
      </c>
      <c r="D298" s="27">
        <v>42.298999999999999</v>
      </c>
      <c r="E298" s="27">
        <v>0</v>
      </c>
      <c r="F298" s="41">
        <v>5.0720000000000001</v>
      </c>
      <c r="G298" s="25">
        <f t="shared" si="18"/>
        <v>438220.79999999999</v>
      </c>
      <c r="H298" s="25">
        <f t="shared" si="19"/>
        <v>0.43822079999999997</v>
      </c>
      <c r="I298" s="25">
        <v>44833</v>
      </c>
      <c r="J298" s="81">
        <f t="shared" si="20"/>
        <v>4.4832999999999998E-2</v>
      </c>
      <c r="K298" s="25">
        <v>0</v>
      </c>
      <c r="L298" s="25">
        <f t="shared" si="22"/>
        <v>0</v>
      </c>
      <c r="M298" s="18">
        <f t="shared" si="21"/>
        <v>4.4832999999999998E-2</v>
      </c>
      <c r="N298" s="25">
        <v>5.1839999999999997E-2</v>
      </c>
      <c r="O298" s="2">
        <f t="shared" si="17"/>
        <v>0.34154779999999996</v>
      </c>
    </row>
    <row r="299" spans="1:15" x14ac:dyDescent="0.7">
      <c r="A299" s="26"/>
      <c r="B299" s="26"/>
      <c r="C299" s="26">
        <v>24</v>
      </c>
      <c r="D299" s="27">
        <v>49.504999999999995</v>
      </c>
      <c r="E299" s="27">
        <v>0</v>
      </c>
      <c r="F299" s="41">
        <v>5.077</v>
      </c>
      <c r="G299" s="25">
        <f t="shared" si="18"/>
        <v>438652.8</v>
      </c>
      <c r="H299" s="25">
        <f t="shared" si="19"/>
        <v>0.43865280000000001</v>
      </c>
      <c r="I299" s="25">
        <v>47237</v>
      </c>
      <c r="J299" s="81">
        <f t="shared" si="20"/>
        <v>4.7237000000000001E-2</v>
      </c>
      <c r="K299" s="25">
        <v>0</v>
      </c>
      <c r="L299" s="25">
        <f t="shared" si="22"/>
        <v>0</v>
      </c>
      <c r="M299" s="18">
        <f t="shared" si="21"/>
        <v>4.7237000000000001E-2</v>
      </c>
      <c r="N299" s="25">
        <v>5.1839999999999997E-2</v>
      </c>
      <c r="O299" s="2">
        <f t="shared" si="17"/>
        <v>0.33957579999999998</v>
      </c>
    </row>
    <row r="300" spans="1:15" x14ac:dyDescent="0.7">
      <c r="A300" s="26"/>
      <c r="B300" s="26"/>
      <c r="C300" s="26">
        <v>25</v>
      </c>
      <c r="D300" s="27">
        <v>48.03</v>
      </c>
      <c r="E300" s="27">
        <v>0</v>
      </c>
      <c r="F300" s="41">
        <v>5.0739999999999998</v>
      </c>
      <c r="G300" s="25">
        <f t="shared" si="18"/>
        <v>438393.59999999998</v>
      </c>
      <c r="H300" s="25">
        <f t="shared" si="19"/>
        <v>0.43839359999999999</v>
      </c>
      <c r="I300" s="25">
        <v>48198</v>
      </c>
      <c r="J300" s="81">
        <f t="shared" si="20"/>
        <v>4.8197999999999998E-2</v>
      </c>
      <c r="K300" s="25">
        <v>0</v>
      </c>
      <c r="L300" s="25">
        <f t="shared" si="22"/>
        <v>0</v>
      </c>
      <c r="M300" s="18">
        <f t="shared" si="21"/>
        <v>4.8197999999999998E-2</v>
      </c>
      <c r="N300" s="25">
        <v>5.1839999999999997E-2</v>
      </c>
      <c r="O300" s="2">
        <f t="shared" si="17"/>
        <v>0.33835559999999998</v>
      </c>
    </row>
    <row r="301" spans="1:15" x14ac:dyDescent="0.7">
      <c r="A301" s="26"/>
      <c r="B301" s="26"/>
      <c r="C301" s="26">
        <v>26</v>
      </c>
      <c r="D301" s="27">
        <v>42.305</v>
      </c>
      <c r="E301" s="27">
        <v>0</v>
      </c>
      <c r="F301" s="41">
        <v>5.0709999999999997</v>
      </c>
      <c r="G301" s="25">
        <f t="shared" si="18"/>
        <v>438134.39999999997</v>
      </c>
      <c r="H301" s="25">
        <f t="shared" si="19"/>
        <v>0.43813439999999998</v>
      </c>
      <c r="I301" s="25">
        <v>45942</v>
      </c>
      <c r="J301" s="81">
        <f t="shared" si="20"/>
        <v>4.5941999999999997E-2</v>
      </c>
      <c r="K301" s="25">
        <v>0</v>
      </c>
      <c r="L301" s="25">
        <f t="shared" si="22"/>
        <v>0</v>
      </c>
      <c r="M301" s="18">
        <f t="shared" si="21"/>
        <v>4.5941999999999997E-2</v>
      </c>
      <c r="N301" s="25">
        <v>5.1839999999999997E-2</v>
      </c>
      <c r="O301" s="2">
        <f t="shared" si="17"/>
        <v>0.3403524</v>
      </c>
    </row>
    <row r="302" spans="1:15" x14ac:dyDescent="0.7">
      <c r="A302" s="26"/>
      <c r="B302" s="26"/>
      <c r="C302" s="26">
        <v>27</v>
      </c>
      <c r="D302" s="27">
        <v>38.196000000000005</v>
      </c>
      <c r="E302" s="27">
        <v>0</v>
      </c>
      <c r="F302" s="41">
        <v>5.0750000000000002</v>
      </c>
      <c r="G302" s="25">
        <f t="shared" si="18"/>
        <v>438480</v>
      </c>
      <c r="H302" s="25">
        <f t="shared" si="19"/>
        <v>0.43847999999999998</v>
      </c>
      <c r="I302" s="25">
        <v>46306</v>
      </c>
      <c r="J302" s="81">
        <f t="shared" si="20"/>
        <v>4.6306E-2</v>
      </c>
      <c r="K302" s="25">
        <v>0</v>
      </c>
      <c r="L302" s="25">
        <f t="shared" si="22"/>
        <v>0</v>
      </c>
      <c r="M302" s="18">
        <f t="shared" si="21"/>
        <v>4.6306E-2</v>
      </c>
      <c r="N302" s="25">
        <v>5.1839999999999997E-2</v>
      </c>
      <c r="O302" s="2">
        <f t="shared" si="17"/>
        <v>0.34033399999999997</v>
      </c>
    </row>
    <row r="303" spans="1:15" x14ac:dyDescent="0.7">
      <c r="A303" s="26"/>
      <c r="B303" s="26"/>
      <c r="C303" s="26">
        <v>28</v>
      </c>
      <c r="D303" s="27">
        <v>82.206999999999994</v>
      </c>
      <c r="E303" s="27">
        <v>21.5</v>
      </c>
      <c r="F303" s="41">
        <v>5.0750000000000002</v>
      </c>
      <c r="G303" s="25">
        <f t="shared" si="18"/>
        <v>438480</v>
      </c>
      <c r="H303" s="25">
        <f t="shared" si="19"/>
        <v>0.43847999999999998</v>
      </c>
      <c r="I303" s="25">
        <v>43611</v>
      </c>
      <c r="J303" s="81">
        <f t="shared" si="20"/>
        <v>4.3610999999999997E-2</v>
      </c>
      <c r="K303" s="25">
        <v>0</v>
      </c>
      <c r="L303" s="25">
        <f t="shared" si="22"/>
        <v>0</v>
      </c>
      <c r="M303" s="18">
        <f t="shared" si="21"/>
        <v>4.3610999999999997E-2</v>
      </c>
      <c r="N303" s="25">
        <v>5.1839999999999997E-2</v>
      </c>
      <c r="O303" s="2">
        <f t="shared" si="17"/>
        <v>0.34302899999999997</v>
      </c>
    </row>
    <row r="304" spans="1:15" x14ac:dyDescent="0.7">
      <c r="A304" s="26"/>
      <c r="B304" s="26"/>
      <c r="C304" s="26">
        <v>29</v>
      </c>
      <c r="D304" s="27">
        <v>58.673000000000002</v>
      </c>
      <c r="E304" s="27">
        <v>0</v>
      </c>
      <c r="F304" s="41">
        <v>5.069</v>
      </c>
      <c r="G304" s="25">
        <f t="shared" si="18"/>
        <v>437961.6</v>
      </c>
      <c r="H304" s="25">
        <f t="shared" si="19"/>
        <v>0.43796159999999995</v>
      </c>
      <c r="I304" s="25">
        <v>43443</v>
      </c>
      <c r="J304" s="81">
        <f t="shared" si="20"/>
        <v>4.3443000000000002E-2</v>
      </c>
      <c r="K304" s="25">
        <v>0</v>
      </c>
      <c r="L304" s="25">
        <f t="shared" si="22"/>
        <v>0</v>
      </c>
      <c r="M304" s="18">
        <f t="shared" si="21"/>
        <v>4.3443000000000002E-2</v>
      </c>
      <c r="N304" s="25">
        <v>5.1839999999999997E-2</v>
      </c>
      <c r="O304" s="2">
        <f t="shared" si="17"/>
        <v>0.34267859999999994</v>
      </c>
    </row>
    <row r="305" spans="1:15" x14ac:dyDescent="0.7">
      <c r="A305" s="26"/>
      <c r="B305" s="26"/>
      <c r="C305" s="26">
        <v>30</v>
      </c>
      <c r="D305" s="27">
        <v>46.567</v>
      </c>
      <c r="E305" s="27">
        <v>0</v>
      </c>
      <c r="F305" s="41">
        <v>5.0720000000000001</v>
      </c>
      <c r="G305" s="25">
        <f t="shared" si="18"/>
        <v>438220.79999999999</v>
      </c>
      <c r="H305" s="25">
        <f t="shared" si="19"/>
        <v>0.43822079999999997</v>
      </c>
      <c r="I305" s="25">
        <v>49196</v>
      </c>
      <c r="J305" s="81">
        <f t="shared" si="20"/>
        <v>4.9195999999999997E-2</v>
      </c>
      <c r="K305" s="25">
        <v>0</v>
      </c>
      <c r="L305" s="25">
        <f t="shared" si="22"/>
        <v>0</v>
      </c>
      <c r="M305" s="18">
        <f t="shared" si="21"/>
        <v>4.9195999999999997E-2</v>
      </c>
      <c r="N305" s="25">
        <v>5.1839999999999997E-2</v>
      </c>
      <c r="O305" s="2">
        <f t="shared" si="17"/>
        <v>0.33718479999999995</v>
      </c>
    </row>
    <row r="306" spans="1:15" s="3" customFormat="1" ht="25.2" thickBot="1" x14ac:dyDescent="0.75">
      <c r="A306" s="29"/>
      <c r="B306" s="29" t="s">
        <v>24</v>
      </c>
      <c r="C306" s="29">
        <v>31</v>
      </c>
      <c r="D306" s="30">
        <v>85.789999999999992</v>
      </c>
      <c r="E306" s="30">
        <v>16.2</v>
      </c>
      <c r="F306" s="51">
        <v>4.5789999999999997</v>
      </c>
      <c r="G306" s="45">
        <f t="shared" si="18"/>
        <v>395625.6</v>
      </c>
      <c r="H306" s="45">
        <f t="shared" si="19"/>
        <v>0.39562559999999997</v>
      </c>
      <c r="I306" s="45">
        <v>44257</v>
      </c>
      <c r="J306" s="82">
        <f t="shared" si="20"/>
        <v>4.4256999999999998E-2</v>
      </c>
      <c r="K306" s="45">
        <v>3947</v>
      </c>
      <c r="L306" s="45">
        <f t="shared" si="22"/>
        <v>3.947E-3</v>
      </c>
      <c r="M306" s="19">
        <f t="shared" si="21"/>
        <v>4.8203999999999997E-2</v>
      </c>
      <c r="N306" s="45">
        <v>0.48383999999999999</v>
      </c>
      <c r="O306" s="46">
        <f t="shared" si="17"/>
        <v>-0.1364184</v>
      </c>
    </row>
    <row r="307" spans="1:15" s="44" customFormat="1" x14ac:dyDescent="0.7">
      <c r="A307" s="52"/>
      <c r="B307" s="52" t="s">
        <v>25</v>
      </c>
      <c r="C307" s="52">
        <v>1</v>
      </c>
      <c r="D307" s="43">
        <v>43.994</v>
      </c>
      <c r="E307" s="43">
        <v>3.7</v>
      </c>
      <c r="F307" s="53">
        <v>4.085</v>
      </c>
      <c r="G307" s="21">
        <f t="shared" si="18"/>
        <v>352944</v>
      </c>
      <c r="H307" s="21">
        <f t="shared" si="19"/>
        <v>0.35294399999999998</v>
      </c>
      <c r="I307" s="21">
        <v>42979</v>
      </c>
      <c r="J307" s="83">
        <f t="shared" si="20"/>
        <v>4.2979000000000003E-2</v>
      </c>
      <c r="K307" s="21">
        <v>5154</v>
      </c>
      <c r="L307" s="21">
        <f t="shared" si="22"/>
        <v>5.1539999999999997E-3</v>
      </c>
      <c r="M307" s="54">
        <f t="shared" si="21"/>
        <v>4.8133000000000002E-2</v>
      </c>
      <c r="N307" s="21">
        <v>0.25056</v>
      </c>
      <c r="O307" s="43">
        <f t="shared" si="17"/>
        <v>5.4250999999999994E-2</v>
      </c>
    </row>
    <row r="308" spans="1:15" x14ac:dyDescent="0.7">
      <c r="A308" s="26"/>
      <c r="B308" s="26"/>
      <c r="C308" s="26">
        <v>2</v>
      </c>
      <c r="D308" s="27">
        <v>50.004000000000005</v>
      </c>
      <c r="E308" s="27">
        <v>0</v>
      </c>
      <c r="F308" s="41">
        <v>4.0869999999999997</v>
      </c>
      <c r="G308" s="25">
        <f t="shared" si="18"/>
        <v>353116.8</v>
      </c>
      <c r="H308" s="25">
        <f t="shared" si="19"/>
        <v>0.35311680000000001</v>
      </c>
      <c r="I308" s="25">
        <v>42265</v>
      </c>
      <c r="J308" s="81">
        <f t="shared" si="20"/>
        <v>4.2264999999999997E-2</v>
      </c>
      <c r="K308" s="25">
        <v>4882</v>
      </c>
      <c r="L308" s="25">
        <f t="shared" si="22"/>
        <v>4.8820000000000001E-3</v>
      </c>
      <c r="M308" s="18">
        <f t="shared" si="21"/>
        <v>4.7146999999999994E-2</v>
      </c>
      <c r="N308" s="25">
        <v>0.25056</v>
      </c>
      <c r="O308" s="2">
        <f t="shared" si="17"/>
        <v>5.5409800000000009E-2</v>
      </c>
    </row>
    <row r="309" spans="1:15" x14ac:dyDescent="0.7">
      <c r="A309" s="26"/>
      <c r="B309" s="26"/>
      <c r="C309" s="26">
        <v>3</v>
      </c>
      <c r="D309" s="27">
        <v>50.004000000000005</v>
      </c>
      <c r="E309" s="27">
        <v>0</v>
      </c>
      <c r="F309" s="41">
        <v>4.085</v>
      </c>
      <c r="G309" s="25">
        <f t="shared" si="18"/>
        <v>352944</v>
      </c>
      <c r="H309" s="25">
        <f t="shared" si="19"/>
        <v>0.35294399999999998</v>
      </c>
      <c r="I309" s="25">
        <v>42238</v>
      </c>
      <c r="J309" s="81">
        <f t="shared" si="20"/>
        <v>4.2237999999999998E-2</v>
      </c>
      <c r="K309" s="25">
        <v>5451</v>
      </c>
      <c r="L309" s="25">
        <f t="shared" si="22"/>
        <v>5.4510000000000001E-3</v>
      </c>
      <c r="M309" s="18">
        <f t="shared" si="21"/>
        <v>4.7688999999999995E-2</v>
      </c>
      <c r="N309" s="25">
        <v>7.7759999999999996E-2</v>
      </c>
      <c r="O309" s="2">
        <f t="shared" si="17"/>
        <v>0.227495</v>
      </c>
    </row>
    <row r="310" spans="1:15" x14ac:dyDescent="0.7">
      <c r="A310" s="26"/>
      <c r="B310" s="26"/>
      <c r="C310" s="26">
        <v>4</v>
      </c>
      <c r="D310" s="27">
        <v>44.143000000000001</v>
      </c>
      <c r="E310" s="27">
        <v>0</v>
      </c>
      <c r="F310" s="41">
        <v>4.0819999999999999</v>
      </c>
      <c r="G310" s="25">
        <f t="shared" si="18"/>
        <v>352684.79999999999</v>
      </c>
      <c r="H310" s="25">
        <f t="shared" si="19"/>
        <v>0.35268479999999996</v>
      </c>
      <c r="I310" s="25">
        <v>40556</v>
      </c>
      <c r="J310" s="81">
        <f t="shared" si="20"/>
        <v>4.0556000000000002E-2</v>
      </c>
      <c r="K310" s="25">
        <v>4600</v>
      </c>
      <c r="L310" s="25">
        <f t="shared" si="22"/>
        <v>4.5999999999999999E-3</v>
      </c>
      <c r="M310" s="18">
        <f t="shared" si="21"/>
        <v>4.5156000000000002E-2</v>
      </c>
      <c r="N310" s="25">
        <v>7.7759999999999996E-2</v>
      </c>
      <c r="O310" s="2">
        <f t="shared" si="17"/>
        <v>0.22976879999999994</v>
      </c>
    </row>
    <row r="311" spans="1:15" x14ac:dyDescent="0.7">
      <c r="A311" s="26"/>
      <c r="B311" s="26"/>
      <c r="C311" s="26">
        <v>5</v>
      </c>
      <c r="D311" s="27">
        <v>35.869999999999997</v>
      </c>
      <c r="E311" s="27">
        <v>0</v>
      </c>
      <c r="F311" s="41">
        <v>4.08</v>
      </c>
      <c r="G311" s="25">
        <f t="shared" si="18"/>
        <v>352512</v>
      </c>
      <c r="H311" s="25">
        <f t="shared" si="19"/>
        <v>0.35251199999999999</v>
      </c>
      <c r="I311" s="25">
        <v>41202</v>
      </c>
      <c r="J311" s="81">
        <f t="shared" si="20"/>
        <v>4.1202000000000003E-2</v>
      </c>
      <c r="K311" s="25">
        <v>5379</v>
      </c>
      <c r="L311" s="25">
        <f t="shared" si="22"/>
        <v>5.3790000000000001E-3</v>
      </c>
      <c r="M311" s="18">
        <f t="shared" si="21"/>
        <v>4.6581000000000004E-2</v>
      </c>
      <c r="N311" s="25">
        <v>7.7759999999999996E-2</v>
      </c>
      <c r="O311" s="2">
        <f t="shared" si="17"/>
        <v>0.22817100000000001</v>
      </c>
    </row>
    <row r="312" spans="1:15" x14ac:dyDescent="0.7">
      <c r="A312" s="26"/>
      <c r="B312" s="26"/>
      <c r="C312" s="26">
        <v>6</v>
      </c>
      <c r="D312" s="27">
        <v>35.869999999999997</v>
      </c>
      <c r="E312" s="27">
        <v>0</v>
      </c>
      <c r="F312" s="41">
        <v>4.08</v>
      </c>
      <c r="G312" s="25">
        <f t="shared" si="18"/>
        <v>352512</v>
      </c>
      <c r="H312" s="25">
        <f t="shared" si="19"/>
        <v>0.35251199999999999</v>
      </c>
      <c r="I312" s="25">
        <v>45181</v>
      </c>
      <c r="J312" s="81">
        <f t="shared" si="20"/>
        <v>4.5180999999999999E-2</v>
      </c>
      <c r="K312" s="25">
        <v>5181</v>
      </c>
      <c r="L312" s="25">
        <f t="shared" si="22"/>
        <v>5.1809999999999998E-3</v>
      </c>
      <c r="M312" s="18">
        <f t="shared" si="21"/>
        <v>5.0361999999999997E-2</v>
      </c>
      <c r="N312" s="25">
        <v>7.7759999999999996E-2</v>
      </c>
      <c r="O312" s="2">
        <f t="shared" si="17"/>
        <v>0.22438999999999998</v>
      </c>
    </row>
    <row r="313" spans="1:15" x14ac:dyDescent="0.7">
      <c r="A313" s="26"/>
      <c r="B313" s="26"/>
      <c r="C313" s="26">
        <v>7</v>
      </c>
      <c r="D313" s="27">
        <v>34.553000000000004</v>
      </c>
      <c r="E313" s="27">
        <v>0</v>
      </c>
      <c r="F313" s="41">
        <v>4.0780000000000003</v>
      </c>
      <c r="G313" s="25">
        <f t="shared" si="18"/>
        <v>352339.20000000001</v>
      </c>
      <c r="H313" s="25">
        <f t="shared" si="19"/>
        <v>0.35233920000000002</v>
      </c>
      <c r="I313" s="25">
        <v>49442</v>
      </c>
      <c r="J313" s="81">
        <f t="shared" si="20"/>
        <v>4.9442E-2</v>
      </c>
      <c r="K313" s="25">
        <v>4392</v>
      </c>
      <c r="L313" s="25">
        <f t="shared" si="22"/>
        <v>4.3920000000000001E-3</v>
      </c>
      <c r="M313" s="18">
        <f t="shared" si="21"/>
        <v>5.3834E-2</v>
      </c>
      <c r="N313" s="25">
        <v>7.7759999999999996E-2</v>
      </c>
      <c r="O313" s="2">
        <f t="shared" si="17"/>
        <v>0.22074520000000003</v>
      </c>
    </row>
    <row r="314" spans="1:15" x14ac:dyDescent="0.7">
      <c r="A314" s="26"/>
      <c r="B314" s="26"/>
      <c r="C314" s="26">
        <v>8</v>
      </c>
      <c r="D314" s="27">
        <v>34.553000000000004</v>
      </c>
      <c r="E314" s="27">
        <v>0</v>
      </c>
      <c r="F314" s="41">
        <v>4.0780000000000003</v>
      </c>
      <c r="G314" s="25">
        <f t="shared" si="18"/>
        <v>352339.20000000001</v>
      </c>
      <c r="H314" s="25">
        <f t="shared" si="19"/>
        <v>0.35233920000000002</v>
      </c>
      <c r="I314" s="25">
        <v>42022</v>
      </c>
      <c r="J314" s="81">
        <f t="shared" si="20"/>
        <v>4.2021999999999997E-2</v>
      </c>
      <c r="K314" s="25">
        <v>4225</v>
      </c>
      <c r="L314" s="25">
        <f t="shared" si="22"/>
        <v>4.2249999999999996E-3</v>
      </c>
      <c r="M314" s="18">
        <f t="shared" si="21"/>
        <v>4.6246999999999996E-2</v>
      </c>
      <c r="N314" s="25">
        <v>7.7759999999999996E-2</v>
      </c>
      <c r="O314" s="2">
        <f t="shared" si="17"/>
        <v>0.22833220000000004</v>
      </c>
    </row>
    <row r="315" spans="1:15" x14ac:dyDescent="0.7">
      <c r="A315" s="26"/>
      <c r="B315" s="26"/>
      <c r="C315" s="26">
        <v>9</v>
      </c>
      <c r="D315" s="27">
        <v>33.253999999999998</v>
      </c>
      <c r="E315" s="27">
        <v>0</v>
      </c>
      <c r="F315" s="41">
        <v>4.0750000000000002</v>
      </c>
      <c r="G315" s="25">
        <f t="shared" si="18"/>
        <v>352080</v>
      </c>
      <c r="H315" s="25">
        <f t="shared" si="19"/>
        <v>0.35208</v>
      </c>
      <c r="I315" s="25">
        <v>42000</v>
      </c>
      <c r="J315" s="81">
        <f t="shared" si="20"/>
        <v>4.2000000000000003E-2</v>
      </c>
      <c r="K315" s="25">
        <v>862</v>
      </c>
      <c r="L315" s="25">
        <f t="shared" si="22"/>
        <v>8.6200000000000003E-4</v>
      </c>
      <c r="M315" s="18">
        <f t="shared" si="21"/>
        <v>4.2862000000000004E-2</v>
      </c>
      <c r="N315" s="25">
        <v>7.7759999999999996E-2</v>
      </c>
      <c r="O315" s="2">
        <f t="shared" si="17"/>
        <v>0.231458</v>
      </c>
    </row>
    <row r="316" spans="1:15" x14ac:dyDescent="0.7">
      <c r="A316" s="26"/>
      <c r="B316" s="26"/>
      <c r="C316" s="26">
        <v>10</v>
      </c>
      <c r="D316" s="27">
        <v>29.476999999999997</v>
      </c>
      <c r="E316" s="27">
        <v>0</v>
      </c>
      <c r="F316" s="41">
        <v>4.0730000000000004</v>
      </c>
      <c r="G316" s="25">
        <f t="shared" si="18"/>
        <v>351907.2</v>
      </c>
      <c r="H316" s="25">
        <f t="shared" si="19"/>
        <v>0.35190720000000003</v>
      </c>
      <c r="I316" s="25">
        <v>44443</v>
      </c>
      <c r="J316" s="81">
        <f t="shared" si="20"/>
        <v>4.4443000000000003E-2</v>
      </c>
      <c r="K316" s="25">
        <v>0</v>
      </c>
      <c r="L316" s="25">
        <f t="shared" si="22"/>
        <v>0</v>
      </c>
      <c r="M316" s="18">
        <f t="shared" si="21"/>
        <v>4.4443000000000003E-2</v>
      </c>
      <c r="N316" s="25">
        <v>7.7759999999999996E-2</v>
      </c>
      <c r="O316" s="2">
        <f t="shared" si="17"/>
        <v>0.22970420000000003</v>
      </c>
    </row>
    <row r="317" spans="1:15" x14ac:dyDescent="0.7">
      <c r="A317" s="26"/>
      <c r="B317" s="26"/>
      <c r="C317" s="26">
        <v>11</v>
      </c>
      <c r="D317" s="27">
        <v>26.975999999999999</v>
      </c>
      <c r="E317" s="27">
        <v>0</v>
      </c>
      <c r="F317" s="41">
        <v>4.0720000000000001</v>
      </c>
      <c r="G317" s="25">
        <f t="shared" si="18"/>
        <v>351820.79999999999</v>
      </c>
      <c r="H317" s="25">
        <f t="shared" si="19"/>
        <v>0.35182079999999999</v>
      </c>
      <c r="I317" s="25">
        <v>44567</v>
      </c>
      <c r="J317" s="81">
        <f t="shared" si="20"/>
        <v>4.4567000000000002E-2</v>
      </c>
      <c r="K317" s="25">
        <v>2455</v>
      </c>
      <c r="L317" s="25">
        <f t="shared" si="22"/>
        <v>2.4550000000000002E-3</v>
      </c>
      <c r="M317" s="18">
        <f t="shared" si="21"/>
        <v>4.7022000000000001E-2</v>
      </c>
      <c r="N317" s="25">
        <v>7.7759999999999996E-2</v>
      </c>
      <c r="O317" s="2">
        <f t="shared" si="17"/>
        <v>0.22703879999999999</v>
      </c>
    </row>
    <row r="318" spans="1:15" x14ac:dyDescent="0.7">
      <c r="A318" s="26"/>
      <c r="B318" s="26"/>
      <c r="C318" s="26">
        <v>12</v>
      </c>
      <c r="D318" s="27">
        <v>26.975999999999999</v>
      </c>
      <c r="E318" s="27">
        <v>0</v>
      </c>
      <c r="F318" s="41">
        <v>4.0780000000000003</v>
      </c>
      <c r="G318" s="25">
        <f t="shared" si="18"/>
        <v>352339.20000000001</v>
      </c>
      <c r="H318" s="25">
        <f t="shared" si="19"/>
        <v>0.35233920000000002</v>
      </c>
      <c r="I318" s="25">
        <v>44781</v>
      </c>
      <c r="J318" s="81">
        <f t="shared" si="20"/>
        <v>4.4781000000000001E-2</v>
      </c>
      <c r="K318" s="25">
        <v>4260</v>
      </c>
      <c r="L318" s="25">
        <f t="shared" si="22"/>
        <v>4.2599999999999999E-3</v>
      </c>
      <c r="M318" s="18">
        <f t="shared" si="21"/>
        <v>4.9041000000000001E-2</v>
      </c>
      <c r="N318" s="25">
        <v>0.15551999999999999</v>
      </c>
      <c r="O318" s="2">
        <f t="shared" si="17"/>
        <v>0.14777820000000003</v>
      </c>
    </row>
    <row r="319" spans="1:15" x14ac:dyDescent="0.7">
      <c r="A319" s="26"/>
      <c r="B319" s="26"/>
      <c r="C319" s="26">
        <v>13</v>
      </c>
      <c r="D319" s="27">
        <v>44.14</v>
      </c>
      <c r="E319" s="27">
        <v>0</v>
      </c>
      <c r="F319" s="41">
        <v>4.0780000000000003</v>
      </c>
      <c r="G319" s="25">
        <f t="shared" si="18"/>
        <v>352339.20000000001</v>
      </c>
      <c r="H319" s="25">
        <f t="shared" si="19"/>
        <v>0.35233920000000002</v>
      </c>
      <c r="I319" s="25">
        <v>47789</v>
      </c>
      <c r="J319" s="81">
        <f t="shared" si="20"/>
        <v>4.7788999999999998E-2</v>
      </c>
      <c r="K319" s="25">
        <v>4236</v>
      </c>
      <c r="L319" s="25">
        <f t="shared" si="22"/>
        <v>4.2360000000000002E-3</v>
      </c>
      <c r="M319" s="18">
        <f t="shared" si="21"/>
        <v>5.2025000000000002E-2</v>
      </c>
      <c r="N319" s="25">
        <v>6.9120000000000001E-2</v>
      </c>
      <c r="O319" s="2">
        <f t="shared" si="17"/>
        <v>0.23119420000000002</v>
      </c>
    </row>
    <row r="320" spans="1:15" x14ac:dyDescent="0.7">
      <c r="A320" s="26"/>
      <c r="B320" s="26"/>
      <c r="C320" s="26">
        <v>14</v>
      </c>
      <c r="D320" s="27">
        <v>28.259</v>
      </c>
      <c r="E320" s="27">
        <v>0</v>
      </c>
      <c r="F320" s="41">
        <v>4.0789999999999997</v>
      </c>
      <c r="G320" s="25">
        <f t="shared" si="18"/>
        <v>352425.6</v>
      </c>
      <c r="H320" s="25">
        <f t="shared" si="19"/>
        <v>0.35242559999999995</v>
      </c>
      <c r="I320" s="25">
        <v>48287</v>
      </c>
      <c r="J320" s="81">
        <f t="shared" si="20"/>
        <v>4.8286999999999997E-2</v>
      </c>
      <c r="K320" s="25">
        <v>4396</v>
      </c>
      <c r="L320" s="25">
        <f t="shared" si="22"/>
        <v>4.3959999999999997E-3</v>
      </c>
      <c r="M320" s="18">
        <f t="shared" si="21"/>
        <v>5.2682999999999994E-2</v>
      </c>
      <c r="N320" s="25">
        <v>6.9120000000000001E-2</v>
      </c>
      <c r="O320" s="2">
        <f t="shared" si="17"/>
        <v>0.23062259999999996</v>
      </c>
    </row>
    <row r="321" spans="1:15" x14ac:dyDescent="0.7">
      <c r="A321" s="26"/>
      <c r="B321" s="26"/>
      <c r="C321" s="26">
        <v>15</v>
      </c>
      <c r="D321" s="27">
        <v>30.72</v>
      </c>
      <c r="E321" s="27">
        <v>0</v>
      </c>
      <c r="F321" s="41">
        <v>4.077</v>
      </c>
      <c r="G321" s="25">
        <f t="shared" si="18"/>
        <v>352252.8</v>
      </c>
      <c r="H321" s="25">
        <f t="shared" si="19"/>
        <v>0.35225279999999998</v>
      </c>
      <c r="I321" s="25">
        <v>63644</v>
      </c>
      <c r="J321" s="81">
        <f t="shared" si="20"/>
        <v>6.3644000000000006E-2</v>
      </c>
      <c r="K321" s="25">
        <v>4213</v>
      </c>
      <c r="L321" s="25">
        <f t="shared" si="22"/>
        <v>4.2129999999999997E-3</v>
      </c>
      <c r="M321" s="18">
        <f t="shared" si="21"/>
        <v>6.7857000000000001E-2</v>
      </c>
      <c r="N321" s="25">
        <v>6.9120000000000001E-2</v>
      </c>
      <c r="O321" s="2">
        <f t="shared" si="17"/>
        <v>0.21527579999999996</v>
      </c>
    </row>
    <row r="322" spans="1:15" x14ac:dyDescent="0.7">
      <c r="A322" s="26"/>
      <c r="B322" s="26"/>
      <c r="C322" s="26">
        <v>16</v>
      </c>
      <c r="D322" s="27">
        <v>25.881</v>
      </c>
      <c r="E322" s="27">
        <v>0</v>
      </c>
      <c r="F322" s="41">
        <v>4.0750000000000002</v>
      </c>
      <c r="G322" s="25">
        <f t="shared" si="18"/>
        <v>352080</v>
      </c>
      <c r="H322" s="25">
        <f t="shared" si="19"/>
        <v>0.35208</v>
      </c>
      <c r="I322" s="25">
        <v>41279</v>
      </c>
      <c r="J322" s="81">
        <f t="shared" si="20"/>
        <v>4.1279000000000003E-2</v>
      </c>
      <c r="K322" s="25">
        <v>4129</v>
      </c>
      <c r="L322" s="25">
        <f t="shared" si="22"/>
        <v>4.1289999999999999E-3</v>
      </c>
      <c r="M322" s="18">
        <f t="shared" si="21"/>
        <v>4.5408000000000004E-2</v>
      </c>
      <c r="N322" s="25">
        <v>6.9120000000000001E-2</v>
      </c>
      <c r="O322" s="2">
        <f t="shared" si="17"/>
        <v>0.23755199999999999</v>
      </c>
    </row>
    <row r="323" spans="1:15" x14ac:dyDescent="0.7">
      <c r="A323" s="26"/>
      <c r="B323" s="26"/>
      <c r="C323" s="26">
        <v>17</v>
      </c>
      <c r="D323" s="27">
        <v>25.881</v>
      </c>
      <c r="E323" s="27">
        <v>1.2</v>
      </c>
      <c r="F323" s="41">
        <v>4.0750000000000002</v>
      </c>
      <c r="G323" s="25">
        <f t="shared" si="18"/>
        <v>352080</v>
      </c>
      <c r="H323" s="25">
        <f t="shared" si="19"/>
        <v>0.35208</v>
      </c>
      <c r="I323" s="25">
        <v>40334</v>
      </c>
      <c r="J323" s="81">
        <f t="shared" si="20"/>
        <v>4.0334000000000002E-2</v>
      </c>
      <c r="K323" s="25">
        <v>1688</v>
      </c>
      <c r="L323" s="25">
        <f t="shared" si="22"/>
        <v>1.688E-3</v>
      </c>
      <c r="M323" s="18">
        <f t="shared" si="21"/>
        <v>4.2022000000000004E-2</v>
      </c>
      <c r="N323" s="25">
        <v>7.7759999999999996E-2</v>
      </c>
      <c r="O323" s="2">
        <f t="shared" ref="O323:O367" si="23">H323-M323-N323</f>
        <v>0.232298</v>
      </c>
    </row>
    <row r="324" spans="1:15" x14ac:dyDescent="0.7">
      <c r="A324" s="26"/>
      <c r="B324" s="26"/>
      <c r="C324" s="26">
        <v>18</v>
      </c>
      <c r="D324" s="27">
        <v>25.881</v>
      </c>
      <c r="E324" s="27">
        <v>0</v>
      </c>
      <c r="F324" s="41">
        <v>4.0739999999999998</v>
      </c>
      <c r="G324" s="25">
        <f t="shared" si="18"/>
        <v>351993.59999999998</v>
      </c>
      <c r="H324" s="25">
        <f t="shared" si="19"/>
        <v>0.35199359999999996</v>
      </c>
      <c r="I324" s="25">
        <v>46900</v>
      </c>
      <c r="J324" s="81">
        <f t="shared" si="20"/>
        <v>4.6899999999999997E-2</v>
      </c>
      <c r="K324" s="25">
        <v>2180</v>
      </c>
      <c r="L324" s="25">
        <f t="shared" si="22"/>
        <v>2.1800000000000001E-3</v>
      </c>
      <c r="M324" s="18">
        <f t="shared" si="21"/>
        <v>4.9079999999999999E-2</v>
      </c>
      <c r="N324" s="25">
        <v>7.7759999999999996E-2</v>
      </c>
      <c r="O324" s="2">
        <f t="shared" si="23"/>
        <v>0.22515359999999995</v>
      </c>
    </row>
    <row r="325" spans="1:15" x14ac:dyDescent="0.7">
      <c r="A325" s="26"/>
      <c r="B325" s="26"/>
      <c r="C325" s="26">
        <v>19</v>
      </c>
      <c r="D325" s="27">
        <v>22.468999999999998</v>
      </c>
      <c r="E325" s="27">
        <v>0</v>
      </c>
      <c r="F325" s="41">
        <v>4.0720000000000001</v>
      </c>
      <c r="G325" s="25">
        <f t="shared" si="18"/>
        <v>351820.79999999999</v>
      </c>
      <c r="H325" s="25">
        <f t="shared" si="19"/>
        <v>0.35182079999999999</v>
      </c>
      <c r="I325" s="25">
        <v>45073</v>
      </c>
      <c r="J325" s="81">
        <f t="shared" si="20"/>
        <v>4.5073000000000002E-2</v>
      </c>
      <c r="K325" s="25">
        <v>5173</v>
      </c>
      <c r="L325" s="25">
        <f t="shared" si="22"/>
        <v>5.1729999999999996E-3</v>
      </c>
      <c r="M325" s="18">
        <f t="shared" si="21"/>
        <v>5.0245999999999999E-2</v>
      </c>
      <c r="N325" s="25">
        <v>7.7759999999999996E-2</v>
      </c>
      <c r="O325" s="2">
        <f t="shared" si="23"/>
        <v>0.22381479999999998</v>
      </c>
    </row>
    <row r="326" spans="1:15" x14ac:dyDescent="0.7">
      <c r="A326" s="26"/>
      <c r="B326" s="26"/>
      <c r="C326" s="26">
        <v>20</v>
      </c>
      <c r="D326" s="27">
        <v>21.373999999999999</v>
      </c>
      <c r="E326" s="27">
        <v>0</v>
      </c>
      <c r="F326" s="41">
        <v>4.07</v>
      </c>
      <c r="G326" s="25">
        <f t="shared" si="18"/>
        <v>351648</v>
      </c>
      <c r="H326" s="25">
        <f t="shared" si="19"/>
        <v>0.35164800000000002</v>
      </c>
      <c r="I326" s="25">
        <v>43526</v>
      </c>
      <c r="J326" s="81">
        <f t="shared" si="20"/>
        <v>4.3526000000000002E-2</v>
      </c>
      <c r="K326" s="25">
        <v>4969</v>
      </c>
      <c r="L326" s="25">
        <f t="shared" si="22"/>
        <v>4.9690000000000003E-3</v>
      </c>
      <c r="M326" s="18">
        <f t="shared" si="21"/>
        <v>4.8495000000000003E-2</v>
      </c>
      <c r="N326" s="25">
        <v>8.6400000000000005E-2</v>
      </c>
      <c r="O326" s="2">
        <f t="shared" si="23"/>
        <v>0.216753</v>
      </c>
    </row>
    <row r="327" spans="1:15" x14ac:dyDescent="0.7">
      <c r="A327" s="26"/>
      <c r="B327" s="26"/>
      <c r="C327" s="26">
        <v>21</v>
      </c>
      <c r="D327" s="27">
        <v>21.373999999999999</v>
      </c>
      <c r="E327" s="27">
        <v>0</v>
      </c>
      <c r="F327" s="41">
        <v>4.07</v>
      </c>
      <c r="G327" s="25">
        <f t="shared" si="18"/>
        <v>351648</v>
      </c>
      <c r="H327" s="25">
        <f t="shared" si="19"/>
        <v>0.35164800000000002</v>
      </c>
      <c r="I327" s="25">
        <v>43413</v>
      </c>
      <c r="J327" s="81">
        <f t="shared" si="20"/>
        <v>4.3413E-2</v>
      </c>
      <c r="K327" s="25">
        <v>5402</v>
      </c>
      <c r="L327" s="25">
        <f t="shared" si="22"/>
        <v>5.4019999999999997E-3</v>
      </c>
      <c r="M327" s="18">
        <f t="shared" si="21"/>
        <v>4.8814999999999997E-2</v>
      </c>
      <c r="N327" s="25">
        <v>6.0479999999999999E-2</v>
      </c>
      <c r="O327" s="2">
        <f t="shared" si="23"/>
        <v>0.24235300000000001</v>
      </c>
    </row>
    <row r="328" spans="1:15" x14ac:dyDescent="0.7">
      <c r="A328" s="26"/>
      <c r="B328" s="26"/>
      <c r="C328" s="26">
        <v>22</v>
      </c>
      <c r="D328" s="27">
        <v>21.372</v>
      </c>
      <c r="E328" s="27">
        <v>0</v>
      </c>
      <c r="F328" s="41">
        <v>4.07</v>
      </c>
      <c r="G328" s="25">
        <f t="shared" si="18"/>
        <v>351648</v>
      </c>
      <c r="H328" s="25">
        <f t="shared" si="19"/>
        <v>0.35164800000000002</v>
      </c>
      <c r="I328" s="25">
        <v>44074</v>
      </c>
      <c r="J328" s="81">
        <f t="shared" si="20"/>
        <v>4.4074000000000002E-2</v>
      </c>
      <c r="K328" s="25">
        <v>5461</v>
      </c>
      <c r="L328" s="25">
        <f t="shared" si="22"/>
        <v>5.4609999999999997E-3</v>
      </c>
      <c r="M328" s="18">
        <f t="shared" si="21"/>
        <v>4.9535000000000003E-2</v>
      </c>
      <c r="N328" s="25">
        <v>6.0479999999999999E-2</v>
      </c>
      <c r="O328" s="2">
        <f t="shared" si="23"/>
        <v>0.24163300000000001</v>
      </c>
    </row>
    <row r="329" spans="1:15" x14ac:dyDescent="0.7">
      <c r="A329" s="26"/>
      <c r="B329" s="26"/>
      <c r="C329" s="26">
        <v>23</v>
      </c>
      <c r="D329" s="27">
        <v>20.302</v>
      </c>
      <c r="E329" s="27">
        <v>0</v>
      </c>
      <c r="F329" s="41">
        <v>4.0679999999999996</v>
      </c>
      <c r="G329" s="25">
        <f t="shared" si="18"/>
        <v>351475.19999999995</v>
      </c>
      <c r="H329" s="25">
        <f t="shared" si="19"/>
        <v>0.35147519999999993</v>
      </c>
      <c r="I329" s="25">
        <v>42843</v>
      </c>
      <c r="J329" s="81">
        <f t="shared" si="20"/>
        <v>4.2842999999999999E-2</v>
      </c>
      <c r="K329" s="25">
        <v>5145</v>
      </c>
      <c r="L329" s="25">
        <f t="shared" si="22"/>
        <v>5.1450000000000003E-3</v>
      </c>
      <c r="M329" s="18">
        <f t="shared" si="21"/>
        <v>4.7988000000000003E-2</v>
      </c>
      <c r="N329" s="25">
        <v>6.0479999999999999E-2</v>
      </c>
      <c r="O329" s="2">
        <f t="shared" si="23"/>
        <v>0.24300719999999995</v>
      </c>
    </row>
    <row r="330" spans="1:15" x14ac:dyDescent="0.7">
      <c r="A330" s="26"/>
      <c r="B330" s="26"/>
      <c r="C330" s="26">
        <v>24</v>
      </c>
      <c r="D330" s="27">
        <v>20.302</v>
      </c>
      <c r="E330" s="27">
        <v>0</v>
      </c>
      <c r="F330" s="41">
        <v>9.5719999999999992</v>
      </c>
      <c r="G330" s="25">
        <f t="shared" si="18"/>
        <v>827020.79999999993</v>
      </c>
      <c r="H330" s="25">
        <f t="shared" si="19"/>
        <v>0.82702079999999989</v>
      </c>
      <c r="I330" s="25">
        <v>42664</v>
      </c>
      <c r="J330" s="81">
        <f t="shared" si="20"/>
        <v>4.2664000000000001E-2</v>
      </c>
      <c r="K330" s="25">
        <v>5261</v>
      </c>
      <c r="L330" s="25">
        <f t="shared" si="22"/>
        <v>5.2610000000000001E-3</v>
      </c>
      <c r="M330" s="18">
        <f t="shared" si="21"/>
        <v>4.7925000000000002E-2</v>
      </c>
      <c r="N330" s="25">
        <v>0.18143999999999999</v>
      </c>
      <c r="O330" s="2">
        <f t="shared" si="23"/>
        <v>0.59765579999999985</v>
      </c>
    </row>
    <row r="331" spans="1:15" x14ac:dyDescent="0.7">
      <c r="A331" s="26"/>
      <c r="B331" s="26"/>
      <c r="C331" s="26">
        <v>25</v>
      </c>
      <c r="D331" s="27">
        <v>19.728999999999999</v>
      </c>
      <c r="E331" s="27">
        <v>0</v>
      </c>
      <c r="F331" s="41">
        <v>15.074</v>
      </c>
      <c r="G331" s="25">
        <f t="shared" si="18"/>
        <v>1302393.6000000001</v>
      </c>
      <c r="H331" s="25">
        <f t="shared" si="19"/>
        <v>1.3023936</v>
      </c>
      <c r="I331" s="25">
        <v>42335</v>
      </c>
      <c r="J331" s="81">
        <f t="shared" si="20"/>
        <v>4.2334999999999998E-2</v>
      </c>
      <c r="K331" s="25">
        <v>5220</v>
      </c>
      <c r="L331" s="25">
        <f t="shared" si="22"/>
        <v>5.2199999999999998E-3</v>
      </c>
      <c r="M331" s="18">
        <f t="shared" si="21"/>
        <v>4.7555E-2</v>
      </c>
      <c r="N331" s="25">
        <v>0.18143999999999999</v>
      </c>
      <c r="O331" s="2">
        <f t="shared" si="23"/>
        <v>1.0733986</v>
      </c>
    </row>
    <row r="332" spans="1:15" x14ac:dyDescent="0.7">
      <c r="A332" s="26"/>
      <c r="B332" s="26"/>
      <c r="C332" s="26">
        <v>26</v>
      </c>
      <c r="D332" s="27">
        <v>17.236000000000001</v>
      </c>
      <c r="E332" s="27">
        <v>0</v>
      </c>
      <c r="F332" s="41">
        <v>13.579000000000001</v>
      </c>
      <c r="G332" s="25">
        <f t="shared" si="18"/>
        <v>1173225.6000000001</v>
      </c>
      <c r="H332" s="25">
        <f t="shared" si="19"/>
        <v>1.1732256000000001</v>
      </c>
      <c r="I332" s="25">
        <v>43834</v>
      </c>
      <c r="J332" s="81">
        <f t="shared" si="20"/>
        <v>4.3833999999999998E-2</v>
      </c>
      <c r="K332" s="25">
        <v>4887</v>
      </c>
      <c r="L332" s="25">
        <f t="shared" si="22"/>
        <v>4.8869999999999999E-3</v>
      </c>
      <c r="M332" s="18">
        <f t="shared" si="21"/>
        <v>4.8721E-2</v>
      </c>
      <c r="N332" s="25">
        <v>0.51839999999999997</v>
      </c>
      <c r="O332" s="2">
        <f t="shared" si="23"/>
        <v>0.6061046000000001</v>
      </c>
    </row>
    <row r="333" spans="1:15" x14ac:dyDescent="0.7">
      <c r="A333" s="26"/>
      <c r="B333" s="26"/>
      <c r="C333" s="26">
        <v>27</v>
      </c>
      <c r="D333" s="27">
        <v>16.739000000000001</v>
      </c>
      <c r="E333" s="27">
        <v>0</v>
      </c>
      <c r="F333" s="41">
        <v>14.802</v>
      </c>
      <c r="G333" s="25">
        <f t="shared" si="18"/>
        <v>1278892.8</v>
      </c>
      <c r="H333" s="25">
        <f t="shared" si="19"/>
        <v>1.2788927999999999</v>
      </c>
      <c r="I333" s="25">
        <v>44586</v>
      </c>
      <c r="J333" s="81">
        <f t="shared" si="20"/>
        <v>4.4586000000000001E-2</v>
      </c>
      <c r="K333" s="25">
        <v>3187</v>
      </c>
      <c r="L333" s="25">
        <f t="shared" si="22"/>
        <v>3.1870000000000002E-3</v>
      </c>
      <c r="M333" s="18">
        <f t="shared" si="21"/>
        <v>4.7773000000000003E-2</v>
      </c>
      <c r="N333" s="25">
        <v>0.19725120000000002</v>
      </c>
      <c r="O333" s="2">
        <f t="shared" si="23"/>
        <v>1.0338685999999999</v>
      </c>
    </row>
    <row r="334" spans="1:15" x14ac:dyDescent="0.7">
      <c r="A334" s="26"/>
      <c r="B334" s="26"/>
      <c r="C334" s="26">
        <v>28</v>
      </c>
      <c r="D334" s="27">
        <v>17.52</v>
      </c>
      <c r="E334" s="27">
        <v>0</v>
      </c>
      <c r="F334" s="41">
        <v>17.146999999999998</v>
      </c>
      <c r="G334" s="25">
        <f t="shared" si="18"/>
        <v>1481500.7999999998</v>
      </c>
      <c r="H334" s="25">
        <f t="shared" si="19"/>
        <v>1.4815007999999998</v>
      </c>
      <c r="I334" s="25">
        <v>44488</v>
      </c>
      <c r="J334" s="81">
        <f t="shared" si="20"/>
        <v>4.4488E-2</v>
      </c>
      <c r="K334" s="25">
        <v>3975</v>
      </c>
      <c r="L334" s="25">
        <f t="shared" si="22"/>
        <v>3.9750000000000002E-3</v>
      </c>
      <c r="M334" s="18">
        <f t="shared" si="21"/>
        <v>4.8462999999999999E-2</v>
      </c>
      <c r="N334" s="25">
        <v>0.52557119999999991</v>
      </c>
      <c r="O334" s="2">
        <f t="shared" si="23"/>
        <v>0.90746660000000001</v>
      </c>
    </row>
    <row r="335" spans="1:15" x14ac:dyDescent="0.7">
      <c r="A335" s="26"/>
      <c r="B335" s="26"/>
      <c r="C335" s="26">
        <v>29</v>
      </c>
      <c r="D335" s="27">
        <v>17.59</v>
      </c>
      <c r="E335" s="27">
        <v>0</v>
      </c>
      <c r="F335" s="41">
        <v>16.498000000000001</v>
      </c>
      <c r="G335" s="25">
        <f t="shared" si="18"/>
        <v>1425427.2000000002</v>
      </c>
      <c r="H335" s="25">
        <f t="shared" si="19"/>
        <v>1.4254272000000001</v>
      </c>
      <c r="I335" s="25">
        <v>44350</v>
      </c>
      <c r="J335" s="81">
        <f t="shared" si="20"/>
        <v>4.4350000000000001E-2</v>
      </c>
      <c r="K335" s="25">
        <v>3865</v>
      </c>
      <c r="L335" s="25">
        <f t="shared" si="22"/>
        <v>3.8649999999999999E-3</v>
      </c>
      <c r="M335" s="18">
        <f t="shared" si="21"/>
        <v>4.8215000000000001E-2</v>
      </c>
      <c r="N335" s="25">
        <v>0.52557119999999991</v>
      </c>
      <c r="O335" s="2">
        <f t="shared" si="23"/>
        <v>0.85164100000000031</v>
      </c>
    </row>
    <row r="336" spans="1:15" s="3" customFormat="1" ht="25.2" thickBot="1" x14ac:dyDescent="0.75">
      <c r="A336" s="29"/>
      <c r="B336" s="29" t="s">
        <v>25</v>
      </c>
      <c r="C336" s="29">
        <v>30</v>
      </c>
      <c r="D336" s="30">
        <v>16.407</v>
      </c>
      <c r="E336" s="30">
        <v>0</v>
      </c>
      <c r="F336" s="51">
        <v>16.225000000000001</v>
      </c>
      <c r="G336" s="45">
        <f t="shared" si="18"/>
        <v>1401840.0000000002</v>
      </c>
      <c r="H336" s="45">
        <f t="shared" si="19"/>
        <v>1.4018400000000002</v>
      </c>
      <c r="I336" s="45">
        <v>46871</v>
      </c>
      <c r="J336" s="82">
        <f t="shared" si="20"/>
        <v>4.6871000000000003E-2</v>
      </c>
      <c r="K336" s="45">
        <v>0</v>
      </c>
      <c r="L336" s="45">
        <f t="shared" si="22"/>
        <v>0</v>
      </c>
      <c r="M336" s="19">
        <f t="shared" si="21"/>
        <v>4.6871000000000003E-2</v>
      </c>
      <c r="N336" s="45">
        <v>0.17280000000000001</v>
      </c>
      <c r="O336" s="46">
        <f t="shared" si="23"/>
        <v>1.182169</v>
      </c>
    </row>
    <row r="337" spans="1:15" x14ac:dyDescent="0.7">
      <c r="A337" s="35"/>
      <c r="B337" s="23" t="s">
        <v>26</v>
      </c>
      <c r="C337" s="23">
        <v>1</v>
      </c>
      <c r="D337" s="24">
        <v>15.865</v>
      </c>
      <c r="E337" s="24">
        <v>0</v>
      </c>
      <c r="F337" s="55">
        <v>15.865</v>
      </c>
      <c r="G337" s="20">
        <f t="shared" si="18"/>
        <v>1370736</v>
      </c>
      <c r="H337" s="20">
        <f t="shared" si="19"/>
        <v>1.370736</v>
      </c>
      <c r="I337" s="20">
        <v>43447</v>
      </c>
      <c r="J337" s="80">
        <f t="shared" si="20"/>
        <v>4.3447E-2</v>
      </c>
      <c r="K337" s="20">
        <v>0</v>
      </c>
      <c r="L337" s="20">
        <f t="shared" si="22"/>
        <v>0</v>
      </c>
      <c r="M337" s="17">
        <f t="shared" si="21"/>
        <v>4.3447E-2</v>
      </c>
      <c r="N337" s="20">
        <v>0.3024</v>
      </c>
      <c r="O337" s="2">
        <f t="shared" si="23"/>
        <v>1.0248889999999999</v>
      </c>
    </row>
    <row r="338" spans="1:15" x14ac:dyDescent="0.7">
      <c r="A338" s="37"/>
      <c r="B338" s="26"/>
      <c r="C338" s="26">
        <v>2</v>
      </c>
      <c r="D338" s="27">
        <v>15.865</v>
      </c>
      <c r="E338" s="27">
        <v>0</v>
      </c>
      <c r="F338" s="36">
        <v>15.868</v>
      </c>
      <c r="G338" s="25">
        <f t="shared" si="18"/>
        <v>1370995.2</v>
      </c>
      <c r="H338" s="25">
        <f t="shared" si="19"/>
        <v>1.3709951999999999</v>
      </c>
      <c r="I338" s="25">
        <v>46015</v>
      </c>
      <c r="J338" s="81">
        <f t="shared" si="20"/>
        <v>4.6015E-2</v>
      </c>
      <c r="K338" s="25">
        <v>0</v>
      </c>
      <c r="L338" s="25">
        <f t="shared" si="22"/>
        <v>0</v>
      </c>
      <c r="M338" s="18">
        <f t="shared" si="21"/>
        <v>4.6015E-2</v>
      </c>
      <c r="N338" s="25">
        <v>8.6400000000000005E-2</v>
      </c>
      <c r="O338" s="2">
        <f t="shared" si="23"/>
        <v>1.2385801999999999</v>
      </c>
    </row>
    <row r="339" spans="1:15" x14ac:dyDescent="0.7">
      <c r="A339" s="37"/>
      <c r="B339" s="26"/>
      <c r="C339" s="26">
        <v>3</v>
      </c>
      <c r="D339" s="27">
        <v>15.686</v>
      </c>
      <c r="E339" s="27">
        <v>0</v>
      </c>
      <c r="F339" s="36">
        <v>15.686</v>
      </c>
      <c r="G339" s="25">
        <f t="shared" si="18"/>
        <v>1355270.4</v>
      </c>
      <c r="H339" s="25">
        <f t="shared" si="19"/>
        <v>1.3552704</v>
      </c>
      <c r="I339" s="25">
        <v>46641</v>
      </c>
      <c r="J339" s="81">
        <f t="shared" si="20"/>
        <v>4.6641000000000002E-2</v>
      </c>
      <c r="K339" s="25">
        <v>0</v>
      </c>
      <c r="L339" s="25">
        <f t="shared" si="22"/>
        <v>0</v>
      </c>
      <c r="M339" s="18">
        <f t="shared" si="21"/>
        <v>4.6641000000000002E-2</v>
      </c>
      <c r="N339" s="25">
        <v>8.6400000000000005E-2</v>
      </c>
      <c r="O339" s="2">
        <f t="shared" si="23"/>
        <v>1.2222294</v>
      </c>
    </row>
    <row r="340" spans="1:15" x14ac:dyDescent="0.7">
      <c r="A340" s="37"/>
      <c r="B340" s="26"/>
      <c r="C340" s="26">
        <v>4</v>
      </c>
      <c r="D340" s="27">
        <v>15.509</v>
      </c>
      <c r="E340" s="27">
        <v>0</v>
      </c>
      <c r="F340" s="36">
        <v>15.420999999999999</v>
      </c>
      <c r="G340" s="25">
        <f t="shared" si="18"/>
        <v>1332374.3999999999</v>
      </c>
      <c r="H340" s="25">
        <f t="shared" si="19"/>
        <v>1.3323744</v>
      </c>
      <c r="I340" s="25">
        <v>36106</v>
      </c>
      <c r="J340" s="81">
        <f t="shared" si="20"/>
        <v>3.6105999999999999E-2</v>
      </c>
      <c r="K340" s="25">
        <v>0</v>
      </c>
      <c r="L340" s="25">
        <f t="shared" si="22"/>
        <v>0</v>
      </c>
      <c r="M340" s="18">
        <f t="shared" si="21"/>
        <v>3.6105999999999999E-2</v>
      </c>
      <c r="N340" s="25">
        <v>0.29540159999999999</v>
      </c>
      <c r="O340" s="2">
        <f t="shared" si="23"/>
        <v>1.0008668000000001</v>
      </c>
    </row>
    <row r="341" spans="1:15" x14ac:dyDescent="0.7">
      <c r="A341" s="37"/>
      <c r="B341" s="26"/>
      <c r="C341" s="26">
        <v>5</v>
      </c>
      <c r="D341" s="27">
        <v>15.333</v>
      </c>
      <c r="E341" s="27">
        <v>0</v>
      </c>
      <c r="F341" s="36">
        <v>15.157999999999999</v>
      </c>
      <c r="G341" s="25">
        <f t="shared" si="18"/>
        <v>1309651.2</v>
      </c>
      <c r="H341" s="25">
        <f t="shared" si="19"/>
        <v>1.3096512</v>
      </c>
      <c r="I341" s="25">
        <v>17968</v>
      </c>
      <c r="J341" s="81">
        <f t="shared" si="20"/>
        <v>1.7968000000000001E-2</v>
      </c>
      <c r="K341" s="25">
        <v>0</v>
      </c>
      <c r="L341" s="25">
        <f>K341/1000000</f>
        <v>0</v>
      </c>
      <c r="M341" s="18">
        <f t="shared" si="21"/>
        <v>1.7968000000000001E-2</v>
      </c>
      <c r="N341" s="25">
        <v>0.3024</v>
      </c>
      <c r="O341" s="2">
        <f t="shared" si="23"/>
        <v>0.98928320000000003</v>
      </c>
    </row>
    <row r="342" spans="1:15" x14ac:dyDescent="0.7">
      <c r="A342" s="37"/>
      <c r="B342" s="26"/>
      <c r="C342" s="26">
        <v>6</v>
      </c>
      <c r="D342" s="27">
        <v>14.984</v>
      </c>
      <c r="E342" s="27">
        <v>0</v>
      </c>
      <c r="F342" s="36">
        <v>14.984</v>
      </c>
      <c r="G342" s="25">
        <f t="shared" si="18"/>
        <v>1294617.6000000001</v>
      </c>
      <c r="H342" s="25">
        <f t="shared" si="19"/>
        <v>1.2946176</v>
      </c>
      <c r="I342" s="25">
        <v>28293</v>
      </c>
      <c r="J342" s="81">
        <f t="shared" si="20"/>
        <v>2.8292999999999999E-2</v>
      </c>
      <c r="K342" s="25">
        <v>0</v>
      </c>
      <c r="L342" s="25">
        <f>K342/1000000</f>
        <v>0</v>
      </c>
      <c r="M342" s="18">
        <f t="shared" si="21"/>
        <v>2.8292999999999999E-2</v>
      </c>
      <c r="N342" s="25">
        <v>0.3024</v>
      </c>
      <c r="O342" s="2">
        <f t="shared" si="23"/>
        <v>0.96392460000000013</v>
      </c>
    </row>
    <row r="343" spans="1:15" x14ac:dyDescent="0.7">
      <c r="A343" s="37"/>
      <c r="B343" s="26"/>
      <c r="C343" s="26">
        <v>7</v>
      </c>
      <c r="D343" s="27">
        <v>14.984</v>
      </c>
      <c r="E343" s="27">
        <v>0</v>
      </c>
      <c r="F343" s="36">
        <v>16.834</v>
      </c>
      <c r="G343" s="25">
        <f t="shared" si="18"/>
        <v>1454457.5999999999</v>
      </c>
      <c r="H343" s="25">
        <f t="shared" si="19"/>
        <v>1.4544575999999998</v>
      </c>
      <c r="I343" s="25">
        <v>28090</v>
      </c>
      <c r="J343" s="81">
        <f t="shared" si="20"/>
        <v>2.809E-2</v>
      </c>
      <c r="K343" s="25">
        <v>0</v>
      </c>
      <c r="L343" s="25">
        <f t="shared" si="22"/>
        <v>0</v>
      </c>
      <c r="M343" s="18">
        <f t="shared" si="21"/>
        <v>2.809E-2</v>
      </c>
      <c r="N343" s="25">
        <v>0.3075408</v>
      </c>
      <c r="O343" s="2">
        <f t="shared" si="23"/>
        <v>1.1188267999999999</v>
      </c>
    </row>
    <row r="344" spans="1:15" x14ac:dyDescent="0.7">
      <c r="A344" s="37"/>
      <c r="B344" s="26"/>
      <c r="C344" s="26">
        <v>8</v>
      </c>
      <c r="D344" s="27">
        <v>18.684000000000001</v>
      </c>
      <c r="E344" s="27">
        <v>0.5</v>
      </c>
      <c r="F344" s="36">
        <v>19.079999999999998</v>
      </c>
      <c r="G344" s="25">
        <f t="shared" si="18"/>
        <v>1648511.9999999998</v>
      </c>
      <c r="H344" s="25">
        <f t="shared" si="19"/>
        <v>1.6485119999999998</v>
      </c>
      <c r="I344" s="25">
        <v>27025</v>
      </c>
      <c r="J344" s="81">
        <f t="shared" si="20"/>
        <v>2.7025E-2</v>
      </c>
      <c r="K344" s="25">
        <v>0</v>
      </c>
      <c r="L344" s="25">
        <f t="shared" si="22"/>
        <v>0</v>
      </c>
      <c r="M344" s="18">
        <f t="shared" si="21"/>
        <v>2.7025E-2</v>
      </c>
      <c r="N344" s="25">
        <v>0.2816208</v>
      </c>
      <c r="O344" s="2">
        <f t="shared" si="23"/>
        <v>1.3398661999999997</v>
      </c>
    </row>
    <row r="345" spans="1:15" x14ac:dyDescent="0.7">
      <c r="A345" s="37"/>
      <c r="B345" s="26"/>
      <c r="C345" s="26">
        <v>9</v>
      </c>
      <c r="D345" s="27">
        <v>18.881</v>
      </c>
      <c r="E345" s="27">
        <v>0</v>
      </c>
      <c r="F345" s="36">
        <v>16.882999999999999</v>
      </c>
      <c r="G345" s="25">
        <f t="shared" si="18"/>
        <v>1458691.2</v>
      </c>
      <c r="H345" s="25">
        <f t="shared" si="19"/>
        <v>1.4586911999999999</v>
      </c>
      <c r="I345" s="25">
        <v>29269</v>
      </c>
      <c r="J345" s="81">
        <f t="shared" si="20"/>
        <v>2.9269E-2</v>
      </c>
      <c r="K345" s="25">
        <v>0</v>
      </c>
      <c r="L345" s="25">
        <f t="shared" si="22"/>
        <v>0</v>
      </c>
      <c r="M345" s="18">
        <f t="shared" si="21"/>
        <v>2.9269E-2</v>
      </c>
      <c r="N345" s="25">
        <v>0.2816208</v>
      </c>
      <c r="O345" s="2">
        <f t="shared" si="23"/>
        <v>1.1478013999999999</v>
      </c>
    </row>
    <row r="346" spans="1:15" x14ac:dyDescent="0.7">
      <c r="A346" s="37"/>
      <c r="B346" s="26"/>
      <c r="C346" s="26">
        <v>10</v>
      </c>
      <c r="D346" s="27">
        <v>17.808</v>
      </c>
      <c r="E346" s="27">
        <v>0</v>
      </c>
      <c r="F346" s="36">
        <v>15.081</v>
      </c>
      <c r="G346" s="25">
        <f t="shared" ref="G346:G367" si="24">F346*86400</f>
        <v>1302998.3999999999</v>
      </c>
      <c r="H346" s="25">
        <f t="shared" ref="H346:H367" si="25">G346/1000000</f>
        <v>1.3029983999999999</v>
      </c>
      <c r="I346" s="25">
        <v>27812</v>
      </c>
      <c r="J346" s="81">
        <f t="shared" ref="J346:J367" si="26">I346/1000000</f>
        <v>2.7812E-2</v>
      </c>
      <c r="K346" s="25">
        <v>0</v>
      </c>
      <c r="L346" s="25">
        <f t="shared" si="22"/>
        <v>0</v>
      </c>
      <c r="M346" s="18">
        <f t="shared" ref="M346:M367" si="27">J346+L346</f>
        <v>2.7812E-2</v>
      </c>
      <c r="N346" s="25">
        <v>0.2816208</v>
      </c>
      <c r="O346" s="2">
        <f t="shared" si="23"/>
        <v>0.99356559999999994</v>
      </c>
    </row>
    <row r="347" spans="1:15" x14ac:dyDescent="0.7">
      <c r="A347" s="37"/>
      <c r="B347" s="26"/>
      <c r="C347" s="26">
        <v>11</v>
      </c>
      <c r="D347" s="27">
        <v>16.257000000000001</v>
      </c>
      <c r="E347" s="27">
        <v>0.8</v>
      </c>
      <c r="F347" s="36">
        <v>15.08</v>
      </c>
      <c r="G347" s="25">
        <f t="shared" si="24"/>
        <v>1302912</v>
      </c>
      <c r="H347" s="25">
        <f t="shared" si="25"/>
        <v>1.3029120000000001</v>
      </c>
      <c r="I347" s="25">
        <v>26642</v>
      </c>
      <c r="J347" s="81">
        <f t="shared" si="26"/>
        <v>2.6641999999999999E-2</v>
      </c>
      <c r="K347" s="25">
        <v>0</v>
      </c>
      <c r="L347" s="25">
        <f t="shared" ref="L347:L367" si="28">K347/1000000</f>
        <v>0</v>
      </c>
      <c r="M347" s="18">
        <f t="shared" si="27"/>
        <v>2.6641999999999999E-2</v>
      </c>
      <c r="N347" s="25">
        <v>0.2816208</v>
      </c>
      <c r="O347" s="2">
        <f t="shared" si="23"/>
        <v>0.99464920000000001</v>
      </c>
    </row>
    <row r="348" spans="1:15" x14ac:dyDescent="0.7">
      <c r="A348" s="37"/>
      <c r="B348" s="26"/>
      <c r="C348" s="26">
        <v>12</v>
      </c>
      <c r="D348" s="27">
        <v>15.077999999999999</v>
      </c>
      <c r="E348" s="27">
        <v>0</v>
      </c>
      <c r="F348" s="36">
        <v>15.77</v>
      </c>
      <c r="G348" s="25">
        <f t="shared" si="24"/>
        <v>1362528</v>
      </c>
      <c r="H348" s="25">
        <f t="shared" si="25"/>
        <v>1.362528</v>
      </c>
      <c r="I348" s="25">
        <v>25329</v>
      </c>
      <c r="J348" s="81">
        <f t="shared" si="26"/>
        <v>2.5329000000000001E-2</v>
      </c>
      <c r="K348" s="25">
        <v>0</v>
      </c>
      <c r="L348" s="25">
        <f t="shared" si="28"/>
        <v>0</v>
      </c>
      <c r="M348" s="18">
        <f t="shared" si="27"/>
        <v>2.5329000000000001E-2</v>
      </c>
      <c r="N348" s="25">
        <v>0.2816208</v>
      </c>
      <c r="O348" s="2">
        <f t="shared" si="23"/>
        <v>1.0555782</v>
      </c>
    </row>
    <row r="349" spans="1:15" x14ac:dyDescent="0.7">
      <c r="A349" s="37"/>
      <c r="B349" s="26"/>
      <c r="C349" s="26">
        <v>13</v>
      </c>
      <c r="D349" s="27">
        <v>15.076000000000001</v>
      </c>
      <c r="E349" s="27">
        <v>0</v>
      </c>
      <c r="F349" s="36">
        <v>15.074999999999999</v>
      </c>
      <c r="G349" s="25">
        <f t="shared" si="24"/>
        <v>1302480</v>
      </c>
      <c r="H349" s="25">
        <f t="shared" si="25"/>
        <v>1.3024800000000001</v>
      </c>
      <c r="I349" s="25">
        <v>26420</v>
      </c>
      <c r="J349" s="81">
        <f t="shared" si="26"/>
        <v>2.6419999999999999E-2</v>
      </c>
      <c r="K349" s="25">
        <v>0</v>
      </c>
      <c r="L349" s="25">
        <f t="shared" si="28"/>
        <v>0</v>
      </c>
      <c r="M349" s="18">
        <f t="shared" si="27"/>
        <v>2.6419999999999999E-2</v>
      </c>
      <c r="N349" s="25">
        <v>0.2816208</v>
      </c>
      <c r="O349" s="2">
        <f t="shared" si="23"/>
        <v>0.99443920000000019</v>
      </c>
    </row>
    <row r="350" spans="1:15" x14ac:dyDescent="0.7">
      <c r="A350" s="37"/>
      <c r="B350" s="26"/>
      <c r="C350" s="26">
        <v>14</v>
      </c>
      <c r="D350" s="27">
        <v>15.074</v>
      </c>
      <c r="E350" s="27">
        <v>0</v>
      </c>
      <c r="F350" s="36">
        <v>14.943</v>
      </c>
      <c r="G350" s="25">
        <f t="shared" si="24"/>
        <v>1291075.2</v>
      </c>
      <c r="H350" s="25">
        <f t="shared" si="25"/>
        <v>1.2910751999999999</v>
      </c>
      <c r="I350" s="25">
        <v>27864</v>
      </c>
      <c r="J350" s="81">
        <f t="shared" si="26"/>
        <v>2.7864E-2</v>
      </c>
      <c r="K350" s="25">
        <v>0</v>
      </c>
      <c r="L350" s="25">
        <f t="shared" si="28"/>
        <v>0</v>
      </c>
      <c r="M350" s="18">
        <f t="shared" si="27"/>
        <v>2.7864E-2</v>
      </c>
      <c r="N350" s="25">
        <v>0.45442080000000001</v>
      </c>
      <c r="O350" s="2">
        <f t="shared" si="23"/>
        <v>0.80879039999999969</v>
      </c>
    </row>
    <row r="351" spans="1:15" x14ac:dyDescent="0.7">
      <c r="A351" s="37"/>
      <c r="B351" s="26"/>
      <c r="C351" s="26">
        <v>15</v>
      </c>
      <c r="D351" s="27">
        <v>14.811999999999999</v>
      </c>
      <c r="E351" s="27">
        <v>0</v>
      </c>
      <c r="F351" s="36">
        <v>14.726000000000001</v>
      </c>
      <c r="G351" s="25">
        <f t="shared" si="24"/>
        <v>1272326.4000000001</v>
      </c>
      <c r="H351" s="25">
        <f t="shared" si="25"/>
        <v>1.2723264000000001</v>
      </c>
      <c r="I351" s="25">
        <v>27568</v>
      </c>
      <c r="J351" s="81">
        <f t="shared" si="26"/>
        <v>2.7567999999999999E-2</v>
      </c>
      <c r="K351" s="25">
        <v>0</v>
      </c>
      <c r="L351" s="25">
        <f t="shared" si="28"/>
        <v>0</v>
      </c>
      <c r="M351" s="18">
        <f t="shared" si="27"/>
        <v>2.7567999999999999E-2</v>
      </c>
      <c r="N351" s="25">
        <v>0.4112208</v>
      </c>
      <c r="O351" s="2">
        <f t="shared" si="23"/>
        <v>0.8335376000000001</v>
      </c>
    </row>
    <row r="352" spans="1:15" x14ac:dyDescent="0.7">
      <c r="A352" s="37"/>
      <c r="B352" s="26"/>
      <c r="C352" s="26">
        <v>16</v>
      </c>
      <c r="D352" s="27">
        <v>14.64</v>
      </c>
      <c r="E352" s="27">
        <v>0</v>
      </c>
      <c r="F352" s="36">
        <v>14.64</v>
      </c>
      <c r="G352" s="25">
        <f t="shared" si="24"/>
        <v>1264896</v>
      </c>
      <c r="H352" s="25">
        <f t="shared" si="25"/>
        <v>1.264896</v>
      </c>
      <c r="I352" s="25">
        <v>25082</v>
      </c>
      <c r="J352" s="81">
        <f t="shared" si="26"/>
        <v>2.5082E-2</v>
      </c>
      <c r="K352" s="25">
        <v>0</v>
      </c>
      <c r="L352" s="25">
        <f t="shared" si="28"/>
        <v>0</v>
      </c>
      <c r="M352" s="18">
        <f t="shared" si="27"/>
        <v>2.5082E-2</v>
      </c>
      <c r="N352" s="25">
        <v>0.4112208</v>
      </c>
      <c r="O352" s="2">
        <f t="shared" si="23"/>
        <v>0.82859320000000003</v>
      </c>
    </row>
    <row r="353" spans="1:15" x14ac:dyDescent="0.7">
      <c r="A353" s="37"/>
      <c r="B353" s="26"/>
      <c r="C353" s="26">
        <v>17</v>
      </c>
      <c r="D353" s="27">
        <v>14.64</v>
      </c>
      <c r="E353" s="27">
        <v>0</v>
      </c>
      <c r="F353" s="36">
        <v>14.471</v>
      </c>
      <c r="G353" s="25">
        <f t="shared" si="24"/>
        <v>1250294.3999999999</v>
      </c>
      <c r="H353" s="25">
        <f t="shared" si="25"/>
        <v>1.2502943999999998</v>
      </c>
      <c r="I353" s="25">
        <v>20038</v>
      </c>
      <c r="J353" s="81">
        <f t="shared" si="26"/>
        <v>2.0038E-2</v>
      </c>
      <c r="K353" s="25">
        <v>0</v>
      </c>
      <c r="L353" s="25">
        <f t="shared" si="28"/>
        <v>0</v>
      </c>
      <c r="M353" s="18">
        <f t="shared" si="27"/>
        <v>2.0038E-2</v>
      </c>
      <c r="N353" s="25">
        <v>0.24356160000000002</v>
      </c>
      <c r="O353" s="2">
        <f t="shared" si="23"/>
        <v>0.98669479999999976</v>
      </c>
    </row>
    <row r="354" spans="1:15" x14ac:dyDescent="0.7">
      <c r="A354" s="37"/>
      <c r="B354" s="26"/>
      <c r="C354" s="26">
        <v>18</v>
      </c>
      <c r="D354" s="27">
        <v>14.301</v>
      </c>
      <c r="E354" s="27">
        <v>0</v>
      </c>
      <c r="F354" s="36">
        <v>14.134</v>
      </c>
      <c r="G354" s="25">
        <f t="shared" si="24"/>
        <v>1221177.6000000001</v>
      </c>
      <c r="H354" s="25">
        <f t="shared" si="25"/>
        <v>1.2211776000000001</v>
      </c>
      <c r="I354" s="25">
        <v>28155</v>
      </c>
      <c r="J354" s="81">
        <f t="shared" si="26"/>
        <v>2.8154999999999999E-2</v>
      </c>
      <c r="K354" s="25">
        <v>0</v>
      </c>
      <c r="L354" s="25">
        <f t="shared" si="28"/>
        <v>0</v>
      </c>
      <c r="M354" s="18">
        <f t="shared" si="27"/>
        <v>2.8154999999999999E-2</v>
      </c>
      <c r="N354" s="25">
        <v>0.24356160000000002</v>
      </c>
      <c r="O354" s="2">
        <f t="shared" si="23"/>
        <v>0.94946100000000011</v>
      </c>
    </row>
    <row r="355" spans="1:15" x14ac:dyDescent="0.7">
      <c r="A355" s="37"/>
      <c r="B355" s="26"/>
      <c r="C355" s="26">
        <v>19</v>
      </c>
      <c r="D355" s="27">
        <v>13.965999999999999</v>
      </c>
      <c r="E355" s="27">
        <v>0</v>
      </c>
      <c r="F355" s="36">
        <v>13.882999999999999</v>
      </c>
      <c r="G355" s="25">
        <f t="shared" si="24"/>
        <v>1199491.2</v>
      </c>
      <c r="H355" s="25">
        <f t="shared" si="25"/>
        <v>1.1994912</v>
      </c>
      <c r="I355" s="25">
        <v>27791</v>
      </c>
      <c r="J355" s="81">
        <f t="shared" si="26"/>
        <v>2.7791E-2</v>
      </c>
      <c r="K355" s="25">
        <v>0</v>
      </c>
      <c r="L355" s="25">
        <f t="shared" si="28"/>
        <v>0</v>
      </c>
      <c r="M355" s="18">
        <f t="shared" si="27"/>
        <v>2.7791E-2</v>
      </c>
      <c r="N355" s="25">
        <v>0.1952208</v>
      </c>
      <c r="O355" s="2">
        <f t="shared" si="23"/>
        <v>0.97647940000000011</v>
      </c>
    </row>
    <row r="356" spans="1:15" x14ac:dyDescent="0.7">
      <c r="A356" s="37"/>
      <c r="B356" s="26"/>
      <c r="C356" s="26">
        <v>20</v>
      </c>
      <c r="D356" s="27">
        <v>13.8</v>
      </c>
      <c r="E356" s="27">
        <v>0</v>
      </c>
      <c r="F356" s="36">
        <v>13.635999999999999</v>
      </c>
      <c r="G356" s="25">
        <f t="shared" si="24"/>
        <v>1178150.3999999999</v>
      </c>
      <c r="H356" s="25">
        <f t="shared" si="25"/>
        <v>1.1781503999999998</v>
      </c>
      <c r="I356" s="25">
        <v>28653</v>
      </c>
      <c r="J356" s="81">
        <f t="shared" si="26"/>
        <v>2.8653000000000001E-2</v>
      </c>
      <c r="K356" s="25">
        <v>0</v>
      </c>
      <c r="L356" s="25">
        <f t="shared" si="28"/>
        <v>0</v>
      </c>
      <c r="M356" s="18">
        <f t="shared" si="27"/>
        <v>2.8653000000000001E-2</v>
      </c>
      <c r="N356" s="25">
        <v>0.1952208</v>
      </c>
      <c r="O356" s="2">
        <f t="shared" si="23"/>
        <v>0.95427659999999981</v>
      </c>
    </row>
    <row r="357" spans="1:15" x14ac:dyDescent="0.7">
      <c r="A357" s="37"/>
      <c r="B357" s="26"/>
      <c r="C357" s="26">
        <v>21</v>
      </c>
      <c r="D357" s="27">
        <v>13.472</v>
      </c>
      <c r="E357" s="27">
        <v>0</v>
      </c>
      <c r="F357" s="36">
        <v>13.472</v>
      </c>
      <c r="G357" s="25">
        <f t="shared" si="24"/>
        <v>1163980.8</v>
      </c>
      <c r="H357" s="25">
        <f t="shared" si="25"/>
        <v>1.1639808</v>
      </c>
      <c r="I357" s="25">
        <v>29115</v>
      </c>
      <c r="J357" s="81">
        <f t="shared" si="26"/>
        <v>2.9114999999999999E-2</v>
      </c>
      <c r="K357" s="25">
        <v>0</v>
      </c>
      <c r="L357" s="25">
        <f>K357/1000000</f>
        <v>0</v>
      </c>
      <c r="M357" s="18">
        <f t="shared" si="27"/>
        <v>2.9114999999999999E-2</v>
      </c>
      <c r="N357" s="25">
        <v>0.1952208</v>
      </c>
      <c r="O357" s="2">
        <f t="shared" si="23"/>
        <v>0.93964500000000006</v>
      </c>
    </row>
    <row r="358" spans="1:15" x14ac:dyDescent="0.7">
      <c r="A358" s="37"/>
      <c r="B358" s="26"/>
      <c r="C358" s="26">
        <v>22</v>
      </c>
      <c r="D358" s="27">
        <v>13.31</v>
      </c>
      <c r="E358" s="27">
        <v>0</v>
      </c>
      <c r="F358" s="36">
        <v>13.31</v>
      </c>
      <c r="G358" s="25">
        <f t="shared" si="24"/>
        <v>1149984</v>
      </c>
      <c r="H358" s="25">
        <f t="shared" si="25"/>
        <v>1.1499839999999999</v>
      </c>
      <c r="I358" s="25">
        <v>25717</v>
      </c>
      <c r="J358" s="81">
        <f t="shared" si="26"/>
        <v>2.5717E-2</v>
      </c>
      <c r="K358" s="25">
        <v>0</v>
      </c>
      <c r="L358" s="25">
        <f t="shared" si="28"/>
        <v>0</v>
      </c>
      <c r="M358" s="18">
        <f t="shared" si="27"/>
        <v>2.5717E-2</v>
      </c>
      <c r="N358" s="25">
        <v>6.5620800000000007E-2</v>
      </c>
      <c r="O358" s="2">
        <f t="shared" si="23"/>
        <v>1.0586461999999999</v>
      </c>
    </row>
    <row r="359" spans="1:15" x14ac:dyDescent="0.7">
      <c r="A359" s="37"/>
      <c r="B359" s="26"/>
      <c r="C359" s="26">
        <v>23</v>
      </c>
      <c r="D359" s="27">
        <v>13.148</v>
      </c>
      <c r="E359" s="27">
        <v>0</v>
      </c>
      <c r="F359" s="36">
        <v>13.148</v>
      </c>
      <c r="G359" s="25">
        <f t="shared" si="24"/>
        <v>1135987.2</v>
      </c>
      <c r="H359" s="25">
        <f t="shared" si="25"/>
        <v>1.1359872</v>
      </c>
      <c r="I359" s="25">
        <v>27315</v>
      </c>
      <c r="J359" s="81">
        <f t="shared" si="26"/>
        <v>2.7314999999999999E-2</v>
      </c>
      <c r="K359" s="25">
        <v>0</v>
      </c>
      <c r="L359" s="25">
        <f t="shared" si="28"/>
        <v>0</v>
      </c>
      <c r="M359" s="18">
        <f t="shared" si="27"/>
        <v>2.7314999999999999E-2</v>
      </c>
      <c r="N359" s="25">
        <v>6.5620800000000007E-2</v>
      </c>
      <c r="O359" s="2">
        <f t="shared" si="23"/>
        <v>1.0430514</v>
      </c>
    </row>
    <row r="360" spans="1:15" x14ac:dyDescent="0.7">
      <c r="A360" s="37"/>
      <c r="B360" s="26"/>
      <c r="C360" s="26">
        <v>24</v>
      </c>
      <c r="D360" s="27">
        <v>12.988</v>
      </c>
      <c r="E360" s="27">
        <v>0</v>
      </c>
      <c r="F360" s="36">
        <v>12.988</v>
      </c>
      <c r="G360" s="25">
        <f t="shared" si="24"/>
        <v>1122163.2</v>
      </c>
      <c r="H360" s="25">
        <f t="shared" si="25"/>
        <v>1.1221631999999999</v>
      </c>
      <c r="I360" s="25">
        <v>27499</v>
      </c>
      <c r="J360" s="81">
        <f t="shared" si="26"/>
        <v>2.7498999999999999E-2</v>
      </c>
      <c r="K360" s="25">
        <v>0</v>
      </c>
      <c r="L360" s="25">
        <f t="shared" si="28"/>
        <v>0</v>
      </c>
      <c r="M360" s="18">
        <f t="shared" si="27"/>
        <v>2.7498999999999999E-2</v>
      </c>
      <c r="N360" s="25">
        <v>6.5620800000000007E-2</v>
      </c>
      <c r="O360" s="2">
        <f t="shared" si="23"/>
        <v>1.0290433999999999</v>
      </c>
    </row>
    <row r="361" spans="1:15" x14ac:dyDescent="0.7">
      <c r="A361" s="37"/>
      <c r="B361" s="26"/>
      <c r="C361" s="26">
        <v>25</v>
      </c>
      <c r="D361" s="27">
        <v>12.829000000000001</v>
      </c>
      <c r="E361" s="27">
        <v>0</v>
      </c>
      <c r="F361" s="36">
        <v>12.670999999999999</v>
      </c>
      <c r="G361" s="25">
        <f t="shared" si="24"/>
        <v>1094774.3999999999</v>
      </c>
      <c r="H361" s="25">
        <f t="shared" si="25"/>
        <v>1.0947743999999999</v>
      </c>
      <c r="I361" s="25">
        <v>25207</v>
      </c>
      <c r="J361" s="81">
        <f t="shared" si="26"/>
        <v>2.5207E-2</v>
      </c>
      <c r="K361" s="25">
        <v>0</v>
      </c>
      <c r="L361" s="25">
        <f t="shared" si="28"/>
        <v>0</v>
      </c>
      <c r="M361" s="18">
        <f t="shared" si="27"/>
        <v>2.5207E-2</v>
      </c>
      <c r="N361" s="25">
        <v>6.5620800000000007E-2</v>
      </c>
      <c r="O361" s="2">
        <f t="shared" si="23"/>
        <v>1.0039465999999999</v>
      </c>
    </row>
    <row r="362" spans="1:15" x14ac:dyDescent="0.7">
      <c r="A362" s="37"/>
      <c r="B362" s="26"/>
      <c r="C362" s="26">
        <v>26</v>
      </c>
      <c r="D362" s="27">
        <v>12.515000000000001</v>
      </c>
      <c r="E362" s="27">
        <v>0</v>
      </c>
      <c r="F362" s="36">
        <v>12.36</v>
      </c>
      <c r="G362" s="25">
        <f t="shared" si="24"/>
        <v>1067904</v>
      </c>
      <c r="H362" s="25">
        <f t="shared" si="25"/>
        <v>1.067904</v>
      </c>
      <c r="I362" s="25">
        <v>29122</v>
      </c>
      <c r="J362" s="81">
        <f t="shared" si="26"/>
        <v>2.9121999999999999E-2</v>
      </c>
      <c r="K362" s="25">
        <v>0</v>
      </c>
      <c r="L362" s="25">
        <f t="shared" si="28"/>
        <v>0</v>
      </c>
      <c r="M362" s="18">
        <f t="shared" si="27"/>
        <v>2.9121999999999999E-2</v>
      </c>
      <c r="N362" s="25">
        <v>7.4260800000000002E-2</v>
      </c>
      <c r="O362" s="2">
        <f t="shared" si="23"/>
        <v>0.96452119999999986</v>
      </c>
    </row>
    <row r="363" spans="1:15" x14ac:dyDescent="0.7">
      <c r="A363" s="37"/>
      <c r="B363" s="26"/>
      <c r="C363" s="26">
        <v>27</v>
      </c>
      <c r="D363" s="27">
        <v>12.205</v>
      </c>
      <c r="E363" s="27">
        <v>0</v>
      </c>
      <c r="F363" s="36">
        <v>12.205</v>
      </c>
      <c r="G363" s="25">
        <f t="shared" si="24"/>
        <v>1054512</v>
      </c>
      <c r="H363" s="25">
        <f t="shared" si="25"/>
        <v>1.0545119999999999</v>
      </c>
      <c r="I363" s="25">
        <v>28079</v>
      </c>
      <c r="J363" s="81">
        <f t="shared" si="26"/>
        <v>2.8079E-2</v>
      </c>
      <c r="K363" s="25">
        <v>0</v>
      </c>
      <c r="L363" s="25">
        <f t="shared" si="28"/>
        <v>0</v>
      </c>
      <c r="M363" s="18">
        <f t="shared" si="27"/>
        <v>2.8079E-2</v>
      </c>
      <c r="N363" s="25">
        <v>7.4260800000000002E-2</v>
      </c>
      <c r="O363" s="2">
        <f t="shared" si="23"/>
        <v>0.95217219999999991</v>
      </c>
    </row>
    <row r="364" spans="1:15" x14ac:dyDescent="0.7">
      <c r="A364" s="37"/>
      <c r="B364" s="26"/>
      <c r="C364" s="26">
        <v>28</v>
      </c>
      <c r="D364" s="27">
        <v>12.205</v>
      </c>
      <c r="E364" s="27">
        <v>0</v>
      </c>
      <c r="F364" s="36">
        <v>12.051</v>
      </c>
      <c r="G364" s="25">
        <f t="shared" si="24"/>
        <v>1041206.4</v>
      </c>
      <c r="H364" s="25">
        <f t="shared" si="25"/>
        <v>1.0412064000000001</v>
      </c>
      <c r="I364" s="25">
        <v>28932</v>
      </c>
      <c r="J364" s="81">
        <f t="shared" si="26"/>
        <v>2.8931999999999999E-2</v>
      </c>
      <c r="K364" s="25">
        <v>0</v>
      </c>
      <c r="L364" s="25">
        <f t="shared" si="28"/>
        <v>0</v>
      </c>
      <c r="M364" s="18">
        <f t="shared" si="27"/>
        <v>2.8931999999999999E-2</v>
      </c>
      <c r="N364" s="25">
        <v>7.4260800000000002E-2</v>
      </c>
      <c r="O364" s="2">
        <f t="shared" si="23"/>
        <v>0.93801360000000011</v>
      </c>
    </row>
    <row r="365" spans="1:15" x14ac:dyDescent="0.7">
      <c r="A365" s="37"/>
      <c r="B365" s="26"/>
      <c r="C365" s="26">
        <v>29</v>
      </c>
      <c r="D365" s="27">
        <v>12.051</v>
      </c>
      <c r="E365" s="27">
        <v>0</v>
      </c>
      <c r="F365" s="36">
        <v>12.051</v>
      </c>
      <c r="G365" s="25">
        <f t="shared" si="24"/>
        <v>1041206.4</v>
      </c>
      <c r="H365" s="25">
        <f t="shared" si="25"/>
        <v>1.0412064000000001</v>
      </c>
      <c r="I365" s="25">
        <v>27977</v>
      </c>
      <c r="J365" s="81">
        <f t="shared" si="26"/>
        <v>2.7976999999999998E-2</v>
      </c>
      <c r="K365" s="25">
        <v>0</v>
      </c>
      <c r="L365" s="25">
        <f t="shared" si="28"/>
        <v>0</v>
      </c>
      <c r="M365" s="18">
        <f t="shared" si="27"/>
        <v>2.7976999999999998E-2</v>
      </c>
      <c r="N365" s="25">
        <v>7.4260800000000002E-2</v>
      </c>
      <c r="O365" s="2">
        <f t="shared" si="23"/>
        <v>0.93896860000000015</v>
      </c>
    </row>
    <row r="366" spans="1:15" x14ac:dyDescent="0.7">
      <c r="A366" s="37"/>
      <c r="B366" s="26"/>
      <c r="C366" s="26">
        <v>30</v>
      </c>
      <c r="D366" s="27">
        <v>12.051</v>
      </c>
      <c r="E366" s="27">
        <v>0</v>
      </c>
      <c r="F366" s="36">
        <v>11.975</v>
      </c>
      <c r="G366" s="25">
        <f t="shared" si="24"/>
        <v>1034640</v>
      </c>
      <c r="H366" s="25">
        <f t="shared" si="25"/>
        <v>1.03464</v>
      </c>
      <c r="I366" s="25">
        <v>27088</v>
      </c>
      <c r="J366" s="81">
        <f t="shared" si="26"/>
        <v>2.7088000000000001E-2</v>
      </c>
      <c r="K366" s="25">
        <v>0</v>
      </c>
      <c r="L366" s="25">
        <f t="shared" si="28"/>
        <v>0</v>
      </c>
      <c r="M366" s="18">
        <f t="shared" si="27"/>
        <v>2.7088000000000001E-2</v>
      </c>
      <c r="N366" s="25">
        <v>7.4260800000000002E-2</v>
      </c>
      <c r="O366" s="2">
        <f t="shared" si="23"/>
        <v>0.93329119999999999</v>
      </c>
    </row>
    <row r="367" spans="1:15" s="3" customFormat="1" ht="25.2" thickBot="1" x14ac:dyDescent="0.75">
      <c r="A367" s="38"/>
      <c r="B367" s="29" t="s">
        <v>26</v>
      </c>
      <c r="C367" s="29">
        <v>31</v>
      </c>
      <c r="D367" s="30">
        <v>11.898999999999999</v>
      </c>
      <c r="E367" s="30">
        <v>0</v>
      </c>
      <c r="F367" s="56">
        <v>11.898999999999999</v>
      </c>
      <c r="G367" s="45">
        <f t="shared" si="24"/>
        <v>1028073.6</v>
      </c>
      <c r="H367" s="45">
        <f t="shared" si="25"/>
        <v>1.0280735999999999</v>
      </c>
      <c r="I367" s="45">
        <v>27084</v>
      </c>
      <c r="J367" s="82">
        <f t="shared" si="26"/>
        <v>2.7084E-2</v>
      </c>
      <c r="K367" s="45">
        <v>0</v>
      </c>
      <c r="L367" s="45">
        <f t="shared" si="28"/>
        <v>0</v>
      </c>
      <c r="M367" s="19">
        <f t="shared" si="27"/>
        <v>2.7084E-2</v>
      </c>
      <c r="N367" s="45">
        <v>7.4260800000000002E-2</v>
      </c>
      <c r="O367" s="46">
        <f t="shared" si="23"/>
        <v>0.9267287999999998</v>
      </c>
    </row>
    <row r="368" spans="1:15" x14ac:dyDescent="0.7">
      <c r="F368" s="5"/>
      <c r="G368" s="6"/>
      <c r="H368" s="14"/>
      <c r="I368" s="6"/>
      <c r="J368" s="84"/>
      <c r="K368" s="6"/>
      <c r="L368" s="6"/>
      <c r="M368" s="7"/>
      <c r="N368" s="6"/>
      <c r="O368" s="8"/>
    </row>
    <row r="369" spans="6:15" x14ac:dyDescent="0.7">
      <c r="F369" s="5"/>
      <c r="G369" s="6"/>
      <c r="H369" s="14"/>
      <c r="I369" s="6"/>
      <c r="J369" s="84"/>
      <c r="K369" s="6"/>
      <c r="L369" s="6"/>
      <c r="M369" s="7"/>
      <c r="N369" s="6"/>
      <c r="O369" s="8"/>
    </row>
    <row r="370" spans="6:15" x14ac:dyDescent="0.7">
      <c r="F370" s="5"/>
      <c r="G370" s="6"/>
      <c r="H370" s="14"/>
      <c r="I370" s="6"/>
      <c r="J370" s="84"/>
      <c r="K370" s="9"/>
      <c r="L370" s="6"/>
      <c r="M370" s="7"/>
      <c r="N370" s="6"/>
      <c r="O370" s="8"/>
    </row>
    <row r="371" spans="6:15" x14ac:dyDescent="0.7">
      <c r="F371" s="5"/>
      <c r="G371" s="6"/>
      <c r="H371" s="14"/>
      <c r="I371" s="6"/>
      <c r="J371" s="84"/>
      <c r="K371" s="9"/>
      <c r="L371" s="6"/>
      <c r="M371" s="7"/>
      <c r="N371" s="6"/>
      <c r="O371" s="8"/>
    </row>
    <row r="372" spans="6:15" x14ac:dyDescent="0.7">
      <c r="F372" s="5"/>
      <c r="G372" s="6"/>
      <c r="H372" s="14"/>
      <c r="I372" s="6"/>
      <c r="J372" s="84"/>
      <c r="K372" s="9"/>
      <c r="L372" s="6"/>
      <c r="M372" s="7"/>
      <c r="N372" s="6"/>
      <c r="O372" s="8"/>
    </row>
    <row r="373" spans="6:15" x14ac:dyDescent="0.7">
      <c r="F373" s="5"/>
      <c r="G373" s="6"/>
      <c r="H373" s="14"/>
      <c r="I373" s="6"/>
      <c r="J373" s="84"/>
      <c r="K373" s="9"/>
      <c r="L373" s="6"/>
      <c r="M373" s="7"/>
      <c r="N373" s="6"/>
      <c r="O373" s="8"/>
    </row>
    <row r="374" spans="6:15" x14ac:dyDescent="0.7">
      <c r="F374" s="5"/>
      <c r="G374" s="6"/>
      <c r="H374" s="14"/>
      <c r="I374" s="6"/>
      <c r="J374" s="84"/>
      <c r="K374" s="9"/>
      <c r="L374" s="6"/>
      <c r="M374" s="7"/>
      <c r="N374" s="6"/>
      <c r="O374" s="8"/>
    </row>
    <row r="375" spans="6:15" x14ac:dyDescent="0.7">
      <c r="F375" s="5"/>
      <c r="G375" s="6"/>
      <c r="H375" s="14"/>
      <c r="I375" s="6"/>
      <c r="J375" s="84"/>
      <c r="K375" s="9"/>
      <c r="L375" s="6"/>
      <c r="M375" s="7"/>
      <c r="N375" s="6"/>
      <c r="O375" s="8"/>
    </row>
    <row r="376" spans="6:15" x14ac:dyDescent="0.7">
      <c r="F376" s="5"/>
      <c r="G376" s="6"/>
      <c r="H376" s="14"/>
      <c r="I376" s="6"/>
      <c r="J376" s="84"/>
      <c r="K376" s="9"/>
      <c r="L376" s="6"/>
      <c r="M376" s="7"/>
      <c r="N376" s="6"/>
      <c r="O376" s="8"/>
    </row>
    <row r="377" spans="6:15" x14ac:dyDescent="0.7">
      <c r="F377" s="5"/>
      <c r="G377" s="6"/>
      <c r="H377" s="14"/>
      <c r="I377" s="6"/>
      <c r="J377" s="84"/>
      <c r="K377" s="9"/>
      <c r="L377" s="6"/>
      <c r="M377" s="7"/>
      <c r="N377" s="6"/>
      <c r="O377" s="8"/>
    </row>
    <row r="378" spans="6:15" x14ac:dyDescent="0.7">
      <c r="F378" s="5"/>
      <c r="G378" s="6"/>
      <c r="H378" s="14"/>
      <c r="I378" s="6"/>
      <c r="J378" s="84"/>
      <c r="K378" s="9"/>
      <c r="L378" s="6"/>
      <c r="M378" s="7"/>
      <c r="N378" s="6"/>
      <c r="O378" s="8"/>
    </row>
    <row r="379" spans="6:15" x14ac:dyDescent="0.7">
      <c r="F379" s="5"/>
      <c r="G379" s="6"/>
      <c r="H379" s="14"/>
      <c r="I379" s="6"/>
      <c r="J379" s="84"/>
      <c r="K379" s="9"/>
      <c r="L379" s="6"/>
      <c r="M379" s="7"/>
      <c r="N379" s="6"/>
      <c r="O379" s="8"/>
    </row>
    <row r="380" spans="6:15" x14ac:dyDescent="0.7">
      <c r="F380" s="5"/>
      <c r="G380" s="6"/>
      <c r="H380" s="14"/>
      <c r="I380" s="6"/>
      <c r="J380" s="84"/>
      <c r="K380" s="9"/>
      <c r="L380" s="6"/>
      <c r="M380" s="7"/>
      <c r="N380" s="6"/>
      <c r="O380" s="8"/>
    </row>
    <row r="381" spans="6:15" x14ac:dyDescent="0.7">
      <c r="F381" s="5"/>
      <c r="G381" s="6"/>
      <c r="H381" s="14"/>
      <c r="I381" s="6"/>
      <c r="J381" s="84"/>
      <c r="K381" s="9"/>
      <c r="L381" s="6"/>
      <c r="M381" s="7"/>
      <c r="N381" s="6"/>
      <c r="O381" s="8"/>
    </row>
    <row r="382" spans="6:15" x14ac:dyDescent="0.7">
      <c r="F382" s="5"/>
      <c r="G382" s="6"/>
      <c r="H382" s="14"/>
      <c r="I382" s="6"/>
      <c r="J382" s="84"/>
      <c r="K382" s="9"/>
      <c r="L382" s="6"/>
      <c r="M382" s="7"/>
      <c r="N382" s="6"/>
      <c r="O382" s="8"/>
    </row>
    <row r="383" spans="6:15" x14ac:dyDescent="0.7">
      <c r="F383" s="5"/>
      <c r="G383" s="6"/>
      <c r="H383" s="14"/>
      <c r="I383" s="6"/>
      <c r="J383" s="84"/>
      <c r="K383" s="9"/>
      <c r="L383" s="6"/>
      <c r="M383" s="7"/>
      <c r="N383" s="6"/>
      <c r="O383" s="8"/>
    </row>
    <row r="384" spans="6:15" x14ac:dyDescent="0.7">
      <c r="F384" s="5"/>
      <c r="G384" s="6"/>
      <c r="H384" s="14"/>
      <c r="I384" s="6"/>
      <c r="J384" s="84"/>
      <c r="K384" s="9"/>
      <c r="L384" s="6"/>
      <c r="M384" s="7"/>
      <c r="N384" s="6"/>
      <c r="O384" s="8"/>
    </row>
    <row r="385" spans="6:15" x14ac:dyDescent="0.7">
      <c r="F385" s="5"/>
      <c r="G385" s="6"/>
      <c r="H385" s="14"/>
      <c r="I385" s="10"/>
      <c r="J385" s="84"/>
      <c r="K385" s="9"/>
      <c r="L385" s="6"/>
      <c r="M385" s="7"/>
      <c r="N385" s="6"/>
      <c r="O385" s="8"/>
    </row>
    <row r="386" spans="6:15" x14ac:dyDescent="0.7">
      <c r="F386" s="5"/>
      <c r="G386" s="6"/>
      <c r="H386" s="14"/>
      <c r="I386" s="6"/>
      <c r="J386" s="84"/>
      <c r="K386" s="9"/>
      <c r="L386" s="6"/>
      <c r="M386" s="7"/>
      <c r="N386" s="6"/>
      <c r="O386" s="8"/>
    </row>
    <row r="387" spans="6:15" x14ac:dyDescent="0.7">
      <c r="F387" s="5"/>
      <c r="G387" s="6"/>
      <c r="H387" s="14"/>
      <c r="I387" s="6"/>
      <c r="J387" s="84"/>
      <c r="K387" s="9"/>
      <c r="L387" s="6"/>
      <c r="M387" s="7"/>
      <c r="N387" s="6"/>
      <c r="O387" s="8"/>
    </row>
    <row r="388" spans="6:15" x14ac:dyDescent="0.7">
      <c r="F388" s="5"/>
      <c r="G388" s="6"/>
      <c r="H388" s="14"/>
      <c r="I388" s="6"/>
      <c r="J388" s="84"/>
      <c r="K388" s="9"/>
      <c r="L388" s="6"/>
      <c r="M388" s="7"/>
      <c r="N388" s="6"/>
      <c r="O388" s="8"/>
    </row>
    <row r="389" spans="6:15" x14ac:dyDescent="0.7">
      <c r="F389" s="5"/>
      <c r="G389" s="6"/>
      <c r="H389" s="14"/>
      <c r="I389" s="6"/>
      <c r="J389" s="84"/>
      <c r="K389" s="9"/>
      <c r="L389" s="6"/>
      <c r="M389" s="7"/>
      <c r="N389" s="6"/>
      <c r="O389" s="8"/>
    </row>
    <row r="390" spans="6:15" x14ac:dyDescent="0.7">
      <c r="F390" s="5"/>
      <c r="G390" s="6"/>
      <c r="H390" s="14"/>
      <c r="I390" s="6"/>
      <c r="J390" s="84"/>
      <c r="K390" s="9"/>
      <c r="L390" s="6"/>
      <c r="M390" s="7"/>
      <c r="N390" s="6"/>
      <c r="O390" s="8"/>
    </row>
    <row r="391" spans="6:15" x14ac:dyDescent="0.7">
      <c r="F391" s="5"/>
      <c r="G391" s="6"/>
      <c r="H391" s="14"/>
      <c r="I391" s="6"/>
      <c r="J391" s="84"/>
      <c r="K391" s="9"/>
      <c r="L391" s="6"/>
      <c r="M391" s="7"/>
      <c r="N391" s="6"/>
      <c r="O391" s="8"/>
    </row>
    <row r="392" spans="6:15" x14ac:dyDescent="0.7">
      <c r="F392" s="5"/>
      <c r="G392" s="6"/>
      <c r="H392" s="14"/>
      <c r="I392" s="6"/>
      <c r="J392" s="84"/>
      <c r="K392" s="9"/>
      <c r="L392" s="6"/>
      <c r="M392" s="7"/>
      <c r="N392" s="6"/>
      <c r="O392" s="8"/>
    </row>
    <row r="393" spans="6:15" x14ac:dyDescent="0.7">
      <c r="F393" s="5"/>
      <c r="G393" s="6"/>
      <c r="H393" s="14"/>
      <c r="I393" s="6"/>
      <c r="J393" s="84"/>
      <c r="K393" s="9"/>
      <c r="L393" s="6"/>
      <c r="M393" s="7"/>
      <c r="N393" s="6"/>
      <c r="O393" s="8"/>
    </row>
    <row r="394" spans="6:15" x14ac:dyDescent="0.7">
      <c r="F394" s="5"/>
      <c r="G394" s="6"/>
      <c r="H394" s="14"/>
      <c r="I394" s="6"/>
      <c r="J394" s="84"/>
      <c r="K394" s="9"/>
      <c r="L394" s="6"/>
      <c r="M394" s="7"/>
      <c r="N394" s="6"/>
      <c r="O394" s="8"/>
    </row>
    <row r="395" spans="6:15" x14ac:dyDescent="0.7">
      <c r="F395" s="5"/>
      <c r="G395" s="6"/>
      <c r="H395" s="14"/>
      <c r="I395" s="6"/>
      <c r="J395" s="84"/>
      <c r="K395" s="9"/>
      <c r="L395" s="6"/>
      <c r="M395" s="7"/>
      <c r="N395" s="6"/>
      <c r="O395" s="8"/>
    </row>
    <row r="396" spans="6:15" x14ac:dyDescent="0.7">
      <c r="F396" s="5"/>
      <c r="G396" s="6"/>
      <c r="H396" s="14"/>
      <c r="I396" s="6"/>
      <c r="J396" s="84"/>
      <c r="K396" s="9"/>
      <c r="L396" s="6"/>
      <c r="M396" s="7"/>
      <c r="N396" s="6"/>
      <c r="O396" s="8"/>
    </row>
    <row r="397" spans="6:15" x14ac:dyDescent="0.7">
      <c r="F397" s="5"/>
      <c r="G397" s="6"/>
      <c r="H397" s="14"/>
      <c r="I397" s="6"/>
      <c r="J397" s="84"/>
      <c r="K397" s="9"/>
      <c r="L397" s="6"/>
      <c r="M397" s="7"/>
      <c r="N397" s="6"/>
      <c r="O397" s="8"/>
    </row>
    <row r="398" spans="6:15" x14ac:dyDescent="0.7">
      <c r="F398" s="5"/>
      <c r="G398" s="6"/>
      <c r="H398" s="14"/>
      <c r="I398" s="6"/>
      <c r="J398" s="84"/>
      <c r="K398" s="9"/>
      <c r="L398" s="6"/>
      <c r="M398" s="7"/>
      <c r="N398" s="6"/>
      <c r="O398" s="8"/>
    </row>
    <row r="399" spans="6:15" x14ac:dyDescent="0.7">
      <c r="F399" s="5"/>
      <c r="G399" s="6"/>
      <c r="H399" s="14"/>
      <c r="I399" s="6"/>
      <c r="J399" s="84"/>
      <c r="K399" s="9"/>
      <c r="L399" s="6"/>
      <c r="M399" s="7"/>
      <c r="N399" s="6"/>
      <c r="O399" s="8"/>
    </row>
    <row r="400" spans="6:15" x14ac:dyDescent="0.7">
      <c r="F400" s="5"/>
      <c r="G400" s="6"/>
      <c r="H400" s="14"/>
      <c r="I400" s="6"/>
      <c r="J400" s="84"/>
      <c r="K400" s="6"/>
      <c r="L400" s="6"/>
      <c r="M400" s="7"/>
      <c r="N400" s="6"/>
      <c r="O400" s="8"/>
    </row>
    <row r="401" spans="6:15" x14ac:dyDescent="0.7">
      <c r="F401" s="5"/>
      <c r="G401" s="6"/>
      <c r="H401" s="14"/>
      <c r="I401" s="6"/>
      <c r="J401" s="84"/>
      <c r="K401" s="6"/>
      <c r="L401" s="6"/>
      <c r="M401" s="7"/>
      <c r="N401" s="6"/>
      <c r="O401" s="8"/>
    </row>
    <row r="402" spans="6:15" x14ac:dyDescent="0.7">
      <c r="F402" s="5"/>
      <c r="G402" s="6"/>
      <c r="H402" s="14"/>
      <c r="I402" s="6"/>
      <c r="J402" s="84"/>
      <c r="K402" s="6"/>
      <c r="L402" s="6"/>
      <c r="M402" s="7"/>
      <c r="N402" s="6"/>
      <c r="O402" s="8"/>
    </row>
    <row r="403" spans="6:15" x14ac:dyDescent="0.7">
      <c r="F403" s="5"/>
      <c r="G403" s="6"/>
      <c r="H403" s="14"/>
      <c r="I403" s="6"/>
      <c r="J403" s="84"/>
      <c r="K403" s="6"/>
      <c r="L403" s="6"/>
      <c r="M403" s="7"/>
      <c r="N403" s="6"/>
      <c r="O403" s="8"/>
    </row>
    <row r="404" spans="6:15" x14ac:dyDescent="0.7">
      <c r="F404" s="5"/>
      <c r="G404" s="6"/>
      <c r="H404" s="14"/>
      <c r="I404" s="6"/>
      <c r="J404" s="84"/>
      <c r="K404" s="6"/>
      <c r="L404" s="6"/>
      <c r="M404" s="7"/>
      <c r="N404" s="6"/>
      <c r="O404" s="8"/>
    </row>
    <row r="405" spans="6:15" x14ac:dyDescent="0.7">
      <c r="F405" s="5"/>
      <c r="G405" s="6"/>
      <c r="H405" s="14"/>
      <c r="I405" s="6"/>
      <c r="J405" s="84"/>
      <c r="K405" s="6"/>
      <c r="L405" s="6"/>
      <c r="M405" s="7"/>
      <c r="N405" s="6"/>
      <c r="O405" s="8"/>
    </row>
    <row r="406" spans="6:15" x14ac:dyDescent="0.7">
      <c r="F406" s="5"/>
      <c r="G406" s="6"/>
      <c r="H406" s="14"/>
      <c r="I406" s="6"/>
      <c r="J406" s="84"/>
      <c r="K406" s="6"/>
      <c r="L406" s="6"/>
      <c r="M406" s="7"/>
      <c r="N406" s="6"/>
      <c r="O406" s="8"/>
    </row>
    <row r="407" spans="6:15" x14ac:dyDescent="0.7">
      <c r="F407" s="5"/>
      <c r="G407" s="6"/>
      <c r="H407" s="14"/>
      <c r="I407" s="6"/>
      <c r="J407" s="84"/>
      <c r="K407" s="6"/>
      <c r="L407" s="6"/>
      <c r="M407" s="7"/>
      <c r="N407" s="6"/>
      <c r="O407" s="8"/>
    </row>
    <row r="408" spans="6:15" x14ac:dyDescent="0.7">
      <c r="F408" s="5"/>
      <c r="G408" s="6"/>
      <c r="H408" s="14"/>
      <c r="I408" s="6"/>
      <c r="J408" s="84"/>
      <c r="K408" s="6"/>
      <c r="L408" s="6"/>
      <c r="M408" s="7"/>
      <c r="N408" s="6"/>
      <c r="O408" s="8"/>
    </row>
    <row r="409" spans="6:15" x14ac:dyDescent="0.7">
      <c r="F409" s="5"/>
      <c r="G409" s="6"/>
      <c r="H409" s="14"/>
      <c r="I409" s="6"/>
      <c r="J409" s="84"/>
      <c r="K409" s="6"/>
      <c r="L409" s="6"/>
      <c r="M409" s="7"/>
      <c r="N409" s="6"/>
      <c r="O409" s="8"/>
    </row>
    <row r="410" spans="6:15" x14ac:dyDescent="0.7">
      <c r="F410" s="5"/>
      <c r="G410" s="6"/>
      <c r="H410" s="14"/>
      <c r="I410" s="6"/>
      <c r="J410" s="84"/>
      <c r="K410" s="6"/>
      <c r="L410" s="6"/>
      <c r="M410" s="7"/>
      <c r="N410" s="6"/>
      <c r="O410" s="8"/>
    </row>
    <row r="411" spans="6:15" x14ac:dyDescent="0.7">
      <c r="F411" s="5"/>
      <c r="G411" s="6"/>
      <c r="H411" s="14"/>
      <c r="I411" s="6"/>
      <c r="J411" s="84"/>
      <c r="K411" s="6"/>
      <c r="L411" s="6"/>
      <c r="M411" s="7"/>
      <c r="N411" s="6"/>
      <c r="O411" s="8"/>
    </row>
    <row r="412" spans="6:15" x14ac:dyDescent="0.7">
      <c r="F412" s="5"/>
      <c r="G412" s="6"/>
      <c r="H412" s="14"/>
      <c r="I412" s="6"/>
      <c r="J412" s="84"/>
      <c r="K412" s="6"/>
      <c r="L412" s="6"/>
      <c r="M412" s="7"/>
      <c r="N412" s="6"/>
      <c r="O412" s="8"/>
    </row>
    <row r="413" spans="6:15" x14ac:dyDescent="0.7">
      <c r="F413" s="5"/>
      <c r="G413" s="6"/>
      <c r="H413" s="14"/>
      <c r="I413" s="6"/>
      <c r="J413" s="84"/>
      <c r="K413" s="6"/>
      <c r="L413" s="6"/>
      <c r="M413" s="7"/>
      <c r="N413" s="6"/>
      <c r="O413" s="8"/>
    </row>
    <row r="414" spans="6:15" x14ac:dyDescent="0.7">
      <c r="F414" s="5"/>
      <c r="G414" s="6"/>
      <c r="H414" s="14"/>
      <c r="I414" s="6"/>
      <c r="J414" s="84"/>
      <c r="K414" s="6"/>
      <c r="L414" s="6"/>
      <c r="M414" s="7"/>
      <c r="N414" s="6"/>
      <c r="O414" s="8"/>
    </row>
    <row r="415" spans="6:15" x14ac:dyDescent="0.7">
      <c r="F415" s="5"/>
      <c r="G415" s="6"/>
      <c r="H415" s="14"/>
      <c r="I415" s="6"/>
      <c r="J415" s="84"/>
      <c r="K415" s="6"/>
      <c r="L415" s="6"/>
      <c r="M415" s="7"/>
      <c r="N415" s="6"/>
      <c r="O415" s="8"/>
    </row>
    <row r="416" spans="6:15" x14ac:dyDescent="0.7">
      <c r="F416" s="5"/>
      <c r="G416" s="6"/>
      <c r="H416" s="14"/>
      <c r="I416" s="6"/>
      <c r="J416" s="84"/>
      <c r="K416" s="6"/>
      <c r="L416" s="6"/>
      <c r="M416" s="7"/>
      <c r="N416" s="6"/>
      <c r="O416" s="8"/>
    </row>
    <row r="417" spans="6:15" x14ac:dyDescent="0.7">
      <c r="F417" s="5"/>
      <c r="G417" s="6"/>
      <c r="H417" s="14"/>
      <c r="I417" s="6"/>
      <c r="J417" s="84"/>
      <c r="K417" s="6"/>
      <c r="L417" s="6"/>
      <c r="M417" s="7"/>
      <c r="N417" s="6"/>
      <c r="O417" s="8"/>
    </row>
    <row r="418" spans="6:15" x14ac:dyDescent="0.7">
      <c r="F418" s="5"/>
      <c r="G418" s="6"/>
      <c r="H418" s="14"/>
      <c r="I418" s="6"/>
      <c r="J418" s="84"/>
      <c r="K418" s="6"/>
      <c r="L418" s="6"/>
      <c r="M418" s="7"/>
      <c r="N418" s="6"/>
      <c r="O418" s="8"/>
    </row>
    <row r="419" spans="6:15" x14ac:dyDescent="0.7">
      <c r="F419" s="5"/>
      <c r="G419" s="6"/>
      <c r="H419" s="14"/>
      <c r="I419" s="6"/>
      <c r="J419" s="84"/>
      <c r="K419" s="6"/>
      <c r="L419" s="6"/>
      <c r="M419" s="7"/>
      <c r="N419" s="6"/>
      <c r="O419" s="8"/>
    </row>
    <row r="420" spans="6:15" x14ac:dyDescent="0.7">
      <c r="F420" s="5"/>
      <c r="G420" s="6"/>
      <c r="H420" s="14"/>
      <c r="I420" s="6"/>
      <c r="J420" s="84"/>
      <c r="K420" s="6"/>
      <c r="L420" s="6"/>
      <c r="M420" s="7"/>
      <c r="N420" s="6"/>
      <c r="O420" s="8"/>
    </row>
    <row r="421" spans="6:15" x14ac:dyDescent="0.7">
      <c r="F421" s="5"/>
      <c r="G421" s="6"/>
      <c r="H421" s="14"/>
      <c r="I421" s="6"/>
      <c r="J421" s="84"/>
      <c r="K421" s="6"/>
      <c r="L421" s="6"/>
      <c r="M421" s="7"/>
      <c r="N421" s="6"/>
      <c r="O421" s="8"/>
    </row>
    <row r="422" spans="6:15" x14ac:dyDescent="0.7">
      <c r="F422" s="5"/>
      <c r="G422" s="6"/>
      <c r="H422" s="14"/>
      <c r="I422" s="6"/>
      <c r="J422" s="84"/>
      <c r="K422" s="6"/>
      <c r="L422" s="6"/>
      <c r="M422" s="7"/>
      <c r="N422" s="6"/>
      <c r="O422" s="8"/>
    </row>
    <row r="423" spans="6:15" x14ac:dyDescent="0.7">
      <c r="F423" s="5"/>
      <c r="G423" s="6"/>
      <c r="H423" s="14"/>
      <c r="I423" s="6"/>
      <c r="J423" s="84"/>
      <c r="K423" s="6"/>
      <c r="L423" s="6"/>
      <c r="M423" s="7"/>
      <c r="N423" s="6"/>
      <c r="O423" s="8"/>
    </row>
    <row r="424" spans="6:15" x14ac:dyDescent="0.7">
      <c r="F424" s="5"/>
      <c r="G424" s="6"/>
      <c r="H424" s="14"/>
      <c r="I424" s="6"/>
      <c r="J424" s="84"/>
      <c r="K424" s="6"/>
      <c r="L424" s="6"/>
      <c r="M424" s="7"/>
      <c r="N424" s="6"/>
      <c r="O424" s="8"/>
    </row>
    <row r="425" spans="6:15" x14ac:dyDescent="0.7">
      <c r="F425" s="5"/>
      <c r="G425" s="6"/>
      <c r="H425" s="14"/>
      <c r="I425" s="6"/>
      <c r="J425" s="84"/>
      <c r="K425" s="6"/>
      <c r="L425" s="6"/>
      <c r="M425" s="7"/>
      <c r="N425" s="6"/>
      <c r="O425" s="8"/>
    </row>
    <row r="426" spans="6:15" x14ac:dyDescent="0.7">
      <c r="F426" s="5"/>
      <c r="G426" s="6"/>
      <c r="H426" s="14"/>
      <c r="I426" s="6"/>
      <c r="J426" s="84"/>
      <c r="K426" s="6"/>
      <c r="L426" s="6"/>
      <c r="M426" s="7"/>
      <c r="N426" s="6"/>
      <c r="O426" s="8"/>
    </row>
    <row r="427" spans="6:15" x14ac:dyDescent="0.7">
      <c r="F427" s="5"/>
      <c r="G427" s="6"/>
      <c r="H427" s="14"/>
      <c r="I427" s="6"/>
      <c r="J427" s="84"/>
      <c r="K427" s="6"/>
      <c r="L427" s="6"/>
      <c r="M427" s="7"/>
      <c r="N427" s="6"/>
      <c r="O427" s="8"/>
    </row>
    <row r="428" spans="6:15" x14ac:dyDescent="0.7">
      <c r="F428" s="5"/>
      <c r="G428" s="6"/>
      <c r="H428" s="14"/>
      <c r="I428" s="6"/>
      <c r="J428" s="84"/>
      <c r="K428" s="6"/>
      <c r="L428" s="6"/>
      <c r="M428" s="7"/>
      <c r="N428" s="6"/>
      <c r="O428" s="8"/>
    </row>
    <row r="429" spans="6:15" x14ac:dyDescent="0.7">
      <c r="F429" s="5"/>
      <c r="G429" s="6"/>
      <c r="H429" s="14"/>
      <c r="I429" s="6"/>
      <c r="J429" s="84"/>
      <c r="K429" s="6"/>
      <c r="L429" s="6"/>
      <c r="M429" s="7"/>
      <c r="N429" s="6"/>
      <c r="O429" s="8"/>
    </row>
    <row r="430" spans="6:15" x14ac:dyDescent="0.7">
      <c r="F430" s="5"/>
      <c r="G430" s="6"/>
      <c r="H430" s="14"/>
      <c r="I430" s="6"/>
      <c r="J430" s="84"/>
      <c r="K430" s="6"/>
      <c r="L430" s="6"/>
      <c r="M430" s="7"/>
      <c r="N430" s="6"/>
      <c r="O430" s="8"/>
    </row>
    <row r="431" spans="6:15" x14ac:dyDescent="0.7">
      <c r="F431" s="5"/>
      <c r="G431" s="6"/>
      <c r="H431" s="14"/>
      <c r="I431" s="6"/>
      <c r="J431" s="84"/>
      <c r="K431" s="6"/>
      <c r="L431" s="6"/>
      <c r="M431" s="7"/>
      <c r="N431" s="6"/>
      <c r="O431" s="8"/>
    </row>
    <row r="432" spans="6:15" x14ac:dyDescent="0.7">
      <c r="F432" s="5"/>
      <c r="G432" s="6"/>
      <c r="H432" s="14"/>
      <c r="I432" s="6"/>
      <c r="J432" s="84"/>
      <c r="K432" s="6"/>
      <c r="L432" s="6"/>
      <c r="M432" s="7"/>
      <c r="N432" s="6"/>
      <c r="O432" s="8"/>
    </row>
    <row r="433" spans="6:15" x14ac:dyDescent="0.7">
      <c r="F433" s="5"/>
      <c r="G433" s="6"/>
      <c r="H433" s="14"/>
      <c r="I433" s="6"/>
      <c r="J433" s="84"/>
      <c r="K433" s="6"/>
      <c r="L433" s="6"/>
      <c r="M433" s="7"/>
      <c r="N433" s="6"/>
      <c r="O433" s="8"/>
    </row>
    <row r="434" spans="6:15" x14ac:dyDescent="0.7">
      <c r="F434" s="5"/>
      <c r="G434" s="6"/>
      <c r="H434" s="14"/>
      <c r="I434" s="6"/>
      <c r="J434" s="84"/>
      <c r="K434" s="6"/>
      <c r="L434" s="6"/>
      <c r="M434" s="7"/>
      <c r="N434" s="6"/>
      <c r="O434" s="8"/>
    </row>
    <row r="435" spans="6:15" x14ac:dyDescent="0.7">
      <c r="F435" s="5"/>
      <c r="G435" s="6"/>
      <c r="H435" s="14"/>
      <c r="I435" s="6"/>
      <c r="J435" s="84"/>
      <c r="K435" s="6"/>
      <c r="L435" s="6"/>
      <c r="M435" s="7"/>
      <c r="N435" s="6"/>
      <c r="O435" s="8"/>
    </row>
    <row r="436" spans="6:15" x14ac:dyDescent="0.7">
      <c r="F436" s="5"/>
      <c r="G436" s="6"/>
      <c r="H436" s="14"/>
      <c r="I436" s="6"/>
      <c r="J436" s="84"/>
      <c r="K436" s="6"/>
      <c r="L436" s="6"/>
      <c r="M436" s="7"/>
      <c r="N436" s="6"/>
      <c r="O436" s="8"/>
    </row>
    <row r="437" spans="6:15" x14ac:dyDescent="0.7">
      <c r="F437" s="5"/>
      <c r="G437" s="6"/>
      <c r="H437" s="14"/>
      <c r="I437" s="10"/>
      <c r="J437" s="84"/>
      <c r="K437" s="6"/>
      <c r="L437" s="6"/>
      <c r="M437" s="7"/>
      <c r="N437" s="6"/>
      <c r="O437" s="8"/>
    </row>
    <row r="438" spans="6:15" x14ac:dyDescent="0.7">
      <c r="F438" s="5"/>
      <c r="G438" s="6"/>
      <c r="H438" s="14"/>
      <c r="I438" s="6"/>
      <c r="J438" s="84"/>
      <c r="K438" s="6"/>
      <c r="L438" s="6"/>
      <c r="M438" s="7"/>
      <c r="N438" s="6"/>
      <c r="O438" s="8"/>
    </row>
    <row r="439" spans="6:15" x14ac:dyDescent="0.7">
      <c r="F439" s="5"/>
      <c r="G439" s="6"/>
      <c r="H439" s="14"/>
      <c r="I439" s="6"/>
      <c r="J439" s="84"/>
      <c r="K439" s="6"/>
      <c r="L439" s="6"/>
      <c r="M439" s="7"/>
      <c r="N439" s="6"/>
      <c r="O439" s="8"/>
    </row>
    <row r="440" spans="6:15" x14ac:dyDescent="0.7">
      <c r="F440" s="5"/>
      <c r="G440" s="6"/>
      <c r="H440" s="14"/>
      <c r="I440" s="6"/>
      <c r="J440" s="84"/>
      <c r="K440" s="6"/>
      <c r="L440" s="6"/>
      <c r="M440" s="7"/>
      <c r="N440" s="6"/>
      <c r="O440" s="8"/>
    </row>
    <row r="441" spans="6:15" x14ac:dyDescent="0.7">
      <c r="F441" s="5"/>
      <c r="G441" s="6"/>
      <c r="H441" s="14"/>
      <c r="I441" s="6"/>
      <c r="J441" s="84"/>
      <c r="K441" s="6"/>
      <c r="L441" s="6"/>
      <c r="M441" s="7"/>
      <c r="N441" s="6"/>
      <c r="O441" s="8"/>
    </row>
    <row r="442" spans="6:15" x14ac:dyDescent="0.7">
      <c r="F442" s="5"/>
      <c r="G442" s="6"/>
      <c r="H442" s="14"/>
      <c r="I442" s="6"/>
      <c r="J442" s="84"/>
      <c r="K442" s="6"/>
      <c r="L442" s="6"/>
      <c r="M442" s="7"/>
      <c r="N442" s="6"/>
      <c r="O442" s="8"/>
    </row>
    <row r="443" spans="6:15" x14ac:dyDescent="0.7">
      <c r="F443" s="5"/>
      <c r="G443" s="6"/>
      <c r="H443" s="14"/>
      <c r="I443" s="6"/>
      <c r="J443" s="84"/>
      <c r="K443" s="6"/>
      <c r="L443" s="6"/>
      <c r="M443" s="7"/>
      <c r="N443" s="6"/>
      <c r="O443" s="8"/>
    </row>
    <row r="444" spans="6:15" x14ac:dyDescent="0.7">
      <c r="F444" s="5"/>
      <c r="G444" s="6"/>
      <c r="H444" s="14"/>
      <c r="I444" s="6"/>
      <c r="J444" s="84"/>
      <c r="K444" s="6"/>
      <c r="L444" s="6"/>
      <c r="M444" s="7"/>
      <c r="N444" s="6"/>
      <c r="O444" s="8"/>
    </row>
    <row r="445" spans="6:15" x14ac:dyDescent="0.7">
      <c r="F445" s="5"/>
      <c r="G445" s="6"/>
      <c r="H445" s="14"/>
      <c r="I445" s="6"/>
      <c r="J445" s="84"/>
      <c r="K445" s="6"/>
      <c r="L445" s="6"/>
      <c r="M445" s="7"/>
      <c r="N445" s="6"/>
      <c r="O445" s="8"/>
    </row>
    <row r="446" spans="6:15" x14ac:dyDescent="0.7">
      <c r="F446" s="5"/>
      <c r="G446" s="6"/>
      <c r="H446" s="14"/>
      <c r="I446" s="6"/>
      <c r="J446" s="84"/>
      <c r="K446" s="6"/>
      <c r="L446" s="6"/>
      <c r="M446" s="7"/>
      <c r="N446" s="6"/>
      <c r="O446" s="8"/>
    </row>
    <row r="447" spans="6:15" x14ac:dyDescent="0.7">
      <c r="F447" s="5"/>
      <c r="G447" s="6"/>
      <c r="H447" s="14"/>
      <c r="I447" s="6"/>
      <c r="J447" s="84"/>
      <c r="K447" s="6"/>
      <c r="L447" s="6"/>
      <c r="M447" s="7"/>
      <c r="N447" s="6"/>
      <c r="O447" s="8"/>
    </row>
    <row r="448" spans="6:15" x14ac:dyDescent="0.7">
      <c r="F448" s="5"/>
      <c r="G448" s="6"/>
      <c r="H448" s="14"/>
      <c r="I448" s="6"/>
      <c r="J448" s="84"/>
      <c r="K448" s="6"/>
      <c r="L448" s="6"/>
      <c r="M448" s="7"/>
      <c r="N448" s="6"/>
      <c r="O448" s="8"/>
    </row>
    <row r="449" spans="6:15" x14ac:dyDescent="0.7">
      <c r="F449" s="5"/>
      <c r="G449" s="6"/>
      <c r="H449" s="14"/>
      <c r="I449" s="6"/>
      <c r="J449" s="84"/>
      <c r="K449" s="6"/>
      <c r="L449" s="6"/>
      <c r="M449" s="7"/>
      <c r="N449" s="6"/>
      <c r="O449" s="8"/>
    </row>
    <row r="450" spans="6:15" x14ac:dyDescent="0.7">
      <c r="F450" s="5"/>
      <c r="G450" s="6"/>
      <c r="H450" s="14"/>
      <c r="I450" s="6"/>
      <c r="J450" s="84"/>
      <c r="K450" s="6"/>
      <c r="L450" s="6"/>
      <c r="M450" s="7"/>
      <c r="N450" s="6"/>
      <c r="O450" s="8"/>
    </row>
    <row r="451" spans="6:15" x14ac:dyDescent="0.7">
      <c r="F451" s="5"/>
      <c r="G451" s="6"/>
      <c r="H451" s="14"/>
      <c r="I451" s="6"/>
      <c r="J451" s="84"/>
      <c r="K451" s="6"/>
      <c r="L451" s="6"/>
      <c r="M451" s="7"/>
      <c r="N451" s="6"/>
      <c r="O451" s="8"/>
    </row>
    <row r="452" spans="6:15" x14ac:dyDescent="0.7">
      <c r="F452" s="5"/>
      <c r="G452" s="6"/>
      <c r="H452" s="14"/>
      <c r="I452" s="6"/>
      <c r="J452" s="84"/>
      <c r="K452" s="6"/>
      <c r="L452" s="6"/>
      <c r="M452" s="7"/>
      <c r="N452" s="6"/>
      <c r="O452" s="8"/>
    </row>
    <row r="453" spans="6:15" x14ac:dyDescent="0.7">
      <c r="F453" s="5"/>
      <c r="G453" s="6"/>
      <c r="H453" s="14"/>
      <c r="I453" s="6"/>
      <c r="J453" s="84"/>
      <c r="K453" s="6"/>
      <c r="L453" s="6"/>
      <c r="M453" s="7"/>
      <c r="N453" s="6"/>
      <c r="O453" s="8"/>
    </row>
    <row r="454" spans="6:15" x14ac:dyDescent="0.7">
      <c r="F454" s="5"/>
      <c r="G454" s="6"/>
      <c r="H454" s="14"/>
      <c r="I454" s="6"/>
      <c r="J454" s="84"/>
      <c r="K454" s="6"/>
      <c r="L454" s="6"/>
      <c r="M454" s="7"/>
      <c r="N454" s="6"/>
      <c r="O454" s="8"/>
    </row>
    <row r="455" spans="6:15" x14ac:dyDescent="0.7">
      <c r="F455" s="5"/>
      <c r="G455" s="6"/>
      <c r="H455" s="14"/>
      <c r="I455" s="6"/>
      <c r="J455" s="84"/>
      <c r="K455" s="6"/>
      <c r="L455" s="6"/>
      <c r="M455" s="7"/>
      <c r="N455" s="6"/>
      <c r="O455" s="8"/>
    </row>
    <row r="456" spans="6:15" x14ac:dyDescent="0.7">
      <c r="F456" s="5"/>
      <c r="G456" s="6"/>
      <c r="H456" s="14"/>
      <c r="I456" s="6"/>
      <c r="J456" s="84"/>
      <c r="K456" s="6"/>
      <c r="L456" s="6"/>
      <c r="M456" s="7"/>
      <c r="N456" s="6"/>
      <c r="O456" s="8"/>
    </row>
    <row r="457" spans="6:15" x14ac:dyDescent="0.7">
      <c r="F457" s="5"/>
      <c r="G457" s="6"/>
      <c r="H457" s="14"/>
      <c r="I457" s="6"/>
      <c r="J457" s="84"/>
      <c r="K457" s="6"/>
      <c r="L457" s="6"/>
      <c r="M457" s="7"/>
      <c r="N457" s="6"/>
      <c r="O457" s="8"/>
    </row>
    <row r="458" spans="6:15" x14ac:dyDescent="0.7">
      <c r="F458" s="5"/>
      <c r="G458" s="6"/>
      <c r="H458" s="14"/>
      <c r="I458" s="6"/>
      <c r="J458" s="84"/>
      <c r="K458" s="6"/>
      <c r="L458" s="6"/>
      <c r="M458" s="7"/>
      <c r="N458" s="6"/>
      <c r="O458" s="8"/>
    </row>
    <row r="459" spans="6:15" x14ac:dyDescent="0.7">
      <c r="F459" s="5"/>
      <c r="G459" s="6"/>
      <c r="H459" s="14"/>
      <c r="I459" s="9"/>
      <c r="J459" s="84"/>
      <c r="K459" s="6"/>
      <c r="L459" s="6"/>
      <c r="M459" s="7"/>
      <c r="N459" s="6"/>
      <c r="O459" s="8"/>
    </row>
    <row r="460" spans="6:15" x14ac:dyDescent="0.7">
      <c r="F460" s="5"/>
      <c r="G460" s="6"/>
      <c r="H460" s="14"/>
      <c r="I460" s="9"/>
      <c r="J460" s="84"/>
      <c r="K460" s="6"/>
      <c r="L460" s="6"/>
      <c r="M460" s="7"/>
      <c r="N460" s="6"/>
      <c r="O460" s="8"/>
    </row>
    <row r="461" spans="6:15" x14ac:dyDescent="0.7">
      <c r="F461" s="11"/>
      <c r="G461" s="6"/>
      <c r="H461" s="14"/>
      <c r="I461" s="9"/>
      <c r="J461" s="84"/>
      <c r="K461" s="6"/>
      <c r="L461" s="6"/>
      <c r="M461" s="7"/>
      <c r="N461" s="6"/>
      <c r="O461" s="8"/>
    </row>
    <row r="462" spans="6:15" x14ac:dyDescent="0.7">
      <c r="F462" s="11"/>
      <c r="G462" s="6"/>
      <c r="H462" s="14"/>
      <c r="I462" s="9"/>
      <c r="J462" s="84"/>
      <c r="K462" s="6"/>
      <c r="L462" s="6"/>
      <c r="M462" s="7"/>
      <c r="N462" s="6"/>
      <c r="O462" s="8"/>
    </row>
    <row r="463" spans="6:15" x14ac:dyDescent="0.7">
      <c r="F463" s="11"/>
      <c r="G463" s="6"/>
      <c r="H463" s="14"/>
      <c r="I463" s="9"/>
      <c r="J463" s="84"/>
      <c r="K463" s="6"/>
      <c r="L463" s="6"/>
      <c r="M463" s="7"/>
      <c r="N463" s="6"/>
      <c r="O463" s="8"/>
    </row>
    <row r="464" spans="6:15" x14ac:dyDescent="0.7">
      <c r="F464" s="11"/>
      <c r="G464" s="6"/>
      <c r="H464" s="14"/>
      <c r="I464" s="9"/>
      <c r="J464" s="84"/>
      <c r="K464" s="6"/>
      <c r="L464" s="6"/>
      <c r="M464" s="7"/>
      <c r="N464" s="6"/>
      <c r="O464" s="8"/>
    </row>
    <row r="465" spans="6:15" x14ac:dyDescent="0.7">
      <c r="F465" s="11"/>
      <c r="G465" s="6"/>
      <c r="H465" s="14"/>
      <c r="I465" s="9"/>
      <c r="J465" s="84"/>
      <c r="K465" s="6"/>
      <c r="L465" s="6"/>
      <c r="M465" s="7"/>
      <c r="N465" s="6"/>
      <c r="O465" s="8"/>
    </row>
    <row r="466" spans="6:15" x14ac:dyDescent="0.7">
      <c r="F466" s="11"/>
      <c r="G466" s="6"/>
      <c r="H466" s="14"/>
      <c r="I466" s="9"/>
      <c r="J466" s="84"/>
      <c r="K466" s="6"/>
      <c r="L466" s="6"/>
      <c r="M466" s="7"/>
      <c r="N466" s="6"/>
      <c r="O466" s="8"/>
    </row>
    <row r="467" spans="6:15" x14ac:dyDescent="0.7">
      <c r="F467" s="5"/>
      <c r="G467" s="6"/>
      <c r="H467" s="14"/>
      <c r="I467" s="9"/>
      <c r="J467" s="84"/>
      <c r="K467" s="6"/>
      <c r="L467" s="6"/>
      <c r="M467" s="7"/>
      <c r="N467" s="6"/>
      <c r="O467" s="8"/>
    </row>
    <row r="468" spans="6:15" x14ac:dyDescent="0.7">
      <c r="F468" s="5"/>
      <c r="G468" s="6"/>
      <c r="H468" s="14"/>
      <c r="I468" s="9"/>
      <c r="J468" s="84"/>
      <c r="K468" s="6"/>
      <c r="L468" s="6"/>
      <c r="M468" s="7"/>
      <c r="N468" s="6"/>
      <c r="O468" s="8"/>
    </row>
    <row r="469" spans="6:15" x14ac:dyDescent="0.7">
      <c r="F469" s="5"/>
      <c r="G469" s="6"/>
      <c r="H469" s="14"/>
      <c r="I469" s="9"/>
      <c r="J469" s="84"/>
      <c r="K469" s="6"/>
      <c r="L469" s="6"/>
      <c r="M469" s="7"/>
      <c r="N469" s="6"/>
      <c r="O469" s="8"/>
    </row>
    <row r="470" spans="6:15" x14ac:dyDescent="0.7">
      <c r="F470" s="5"/>
      <c r="G470" s="6"/>
      <c r="H470" s="14"/>
      <c r="I470" s="9"/>
      <c r="J470" s="84"/>
      <c r="K470" s="6"/>
      <c r="L470" s="6"/>
      <c r="M470" s="7"/>
      <c r="N470" s="6"/>
      <c r="O470" s="8"/>
    </row>
    <row r="471" spans="6:15" x14ac:dyDescent="0.7">
      <c r="F471" s="5"/>
      <c r="G471" s="6"/>
      <c r="H471" s="14"/>
      <c r="I471" s="9"/>
      <c r="J471" s="84"/>
      <c r="K471" s="6"/>
      <c r="L471" s="6"/>
      <c r="M471" s="7"/>
      <c r="N471" s="6"/>
      <c r="O471" s="8"/>
    </row>
    <row r="472" spans="6:15" x14ac:dyDescent="0.7">
      <c r="F472" s="5"/>
      <c r="G472" s="6"/>
      <c r="H472" s="14"/>
      <c r="I472" s="9"/>
      <c r="J472" s="84"/>
      <c r="K472" s="6"/>
      <c r="L472" s="6"/>
      <c r="M472" s="7"/>
      <c r="N472" s="6"/>
      <c r="O472" s="8"/>
    </row>
    <row r="473" spans="6:15" x14ac:dyDescent="0.7">
      <c r="F473" s="5"/>
      <c r="G473" s="6"/>
      <c r="H473" s="14"/>
      <c r="I473" s="9"/>
      <c r="J473" s="84"/>
      <c r="K473" s="6"/>
      <c r="L473" s="6"/>
      <c r="M473" s="7"/>
      <c r="N473" s="6"/>
      <c r="O473" s="8"/>
    </row>
    <row r="474" spans="6:15" x14ac:dyDescent="0.7">
      <c r="F474" s="5"/>
      <c r="G474" s="6"/>
      <c r="H474" s="14"/>
      <c r="I474" s="9"/>
      <c r="J474" s="84"/>
      <c r="K474" s="6"/>
      <c r="L474" s="6"/>
      <c r="M474" s="7"/>
      <c r="N474" s="6"/>
      <c r="O474" s="8"/>
    </row>
    <row r="475" spans="6:15" x14ac:dyDescent="0.7">
      <c r="F475" s="5"/>
      <c r="G475" s="6"/>
      <c r="H475" s="14"/>
      <c r="I475" s="9"/>
      <c r="J475" s="84"/>
      <c r="K475" s="6"/>
      <c r="L475" s="6"/>
      <c r="M475" s="7"/>
      <c r="N475" s="6"/>
      <c r="O475" s="8"/>
    </row>
    <row r="476" spans="6:15" x14ac:dyDescent="0.7">
      <c r="F476" s="5"/>
      <c r="G476" s="6"/>
      <c r="H476" s="14"/>
      <c r="I476" s="9"/>
      <c r="J476" s="84"/>
      <c r="K476" s="6"/>
      <c r="L476" s="6"/>
      <c r="M476" s="7"/>
      <c r="N476" s="6"/>
      <c r="O476" s="8"/>
    </row>
    <row r="477" spans="6:15" x14ac:dyDescent="0.7">
      <c r="F477" s="5"/>
      <c r="G477" s="6"/>
      <c r="H477" s="14"/>
      <c r="I477" s="9"/>
      <c r="J477" s="84"/>
      <c r="K477" s="6"/>
      <c r="L477" s="6"/>
      <c r="M477" s="7"/>
      <c r="N477" s="6"/>
      <c r="O477" s="8"/>
    </row>
    <row r="478" spans="6:15" x14ac:dyDescent="0.7">
      <c r="F478" s="5"/>
      <c r="G478" s="6"/>
      <c r="H478" s="14"/>
      <c r="I478" s="9"/>
      <c r="J478" s="84"/>
      <c r="K478" s="6"/>
      <c r="L478" s="6"/>
      <c r="M478" s="7"/>
      <c r="N478" s="6"/>
      <c r="O478" s="8"/>
    </row>
    <row r="479" spans="6:15" x14ac:dyDescent="0.7">
      <c r="F479" s="5"/>
      <c r="G479" s="6"/>
      <c r="H479" s="14"/>
      <c r="I479" s="9"/>
      <c r="J479" s="84"/>
      <c r="K479" s="6"/>
      <c r="L479" s="6"/>
      <c r="M479" s="7"/>
      <c r="N479" s="6"/>
      <c r="O479" s="8"/>
    </row>
    <row r="480" spans="6:15" x14ac:dyDescent="0.7">
      <c r="F480" s="5"/>
      <c r="G480" s="6"/>
      <c r="H480" s="14"/>
      <c r="I480" s="9"/>
      <c r="J480" s="84"/>
      <c r="K480" s="6"/>
      <c r="L480" s="6"/>
      <c r="M480" s="7"/>
      <c r="N480" s="6"/>
      <c r="O480" s="8"/>
    </row>
    <row r="481" spans="6:15" x14ac:dyDescent="0.7">
      <c r="F481" s="5"/>
      <c r="G481" s="6"/>
      <c r="H481" s="14"/>
      <c r="I481" s="9"/>
      <c r="J481" s="84"/>
      <c r="K481" s="6"/>
      <c r="L481" s="6"/>
      <c r="M481" s="7"/>
      <c r="N481" s="6"/>
      <c r="O481" s="8"/>
    </row>
    <row r="482" spans="6:15" x14ac:dyDescent="0.7">
      <c r="F482" s="5"/>
      <c r="G482" s="6"/>
      <c r="H482" s="14"/>
      <c r="I482" s="9"/>
      <c r="J482" s="84"/>
      <c r="K482" s="6"/>
      <c r="L482" s="6"/>
      <c r="M482" s="7"/>
      <c r="N482" s="6"/>
      <c r="O482" s="8"/>
    </row>
    <row r="483" spans="6:15" x14ac:dyDescent="0.7">
      <c r="F483" s="5"/>
      <c r="G483" s="6"/>
      <c r="H483" s="14"/>
      <c r="I483" s="9"/>
      <c r="J483" s="84"/>
      <c r="K483" s="6"/>
      <c r="L483" s="6"/>
      <c r="M483" s="7"/>
      <c r="N483" s="6"/>
      <c r="O483" s="8"/>
    </row>
    <row r="484" spans="6:15" x14ac:dyDescent="0.7">
      <c r="F484" s="5"/>
      <c r="G484" s="6"/>
      <c r="H484" s="14"/>
      <c r="I484" s="9"/>
      <c r="J484" s="84"/>
      <c r="K484" s="6"/>
      <c r="L484" s="6"/>
      <c r="M484" s="7"/>
      <c r="N484" s="6"/>
      <c r="O484" s="8"/>
    </row>
    <row r="485" spans="6:15" x14ac:dyDescent="0.7">
      <c r="F485" s="5"/>
      <c r="G485" s="6"/>
      <c r="H485" s="14"/>
      <c r="I485" s="9"/>
      <c r="J485" s="84"/>
      <c r="K485" s="6"/>
      <c r="L485" s="6"/>
      <c r="M485" s="7"/>
      <c r="N485" s="6"/>
      <c r="O485" s="8"/>
    </row>
    <row r="486" spans="6:15" x14ac:dyDescent="0.7">
      <c r="F486" s="5"/>
      <c r="G486" s="6"/>
      <c r="H486" s="14"/>
      <c r="I486" s="9"/>
      <c r="J486" s="84"/>
      <c r="K486" s="6"/>
      <c r="L486" s="6"/>
      <c r="M486" s="7"/>
      <c r="N486" s="6"/>
      <c r="O486" s="8"/>
    </row>
    <row r="487" spans="6:15" x14ac:dyDescent="0.7">
      <c r="F487" s="5"/>
      <c r="G487" s="6"/>
      <c r="H487" s="14"/>
      <c r="I487" s="9"/>
      <c r="J487" s="84"/>
      <c r="K487" s="6"/>
      <c r="L487" s="6"/>
      <c r="M487" s="7"/>
      <c r="N487" s="6"/>
      <c r="O487" s="8"/>
    </row>
    <row r="488" spans="6:15" x14ac:dyDescent="0.7">
      <c r="F488" s="5"/>
      <c r="G488" s="6"/>
      <c r="H488" s="14"/>
      <c r="I488" s="9"/>
      <c r="J488" s="84"/>
      <c r="K488" s="6"/>
      <c r="L488" s="6"/>
      <c r="M488" s="7"/>
      <c r="N488" s="6"/>
      <c r="O488" s="8"/>
    </row>
    <row r="489" spans="6:15" x14ac:dyDescent="0.7">
      <c r="F489" s="5"/>
      <c r="G489" s="6"/>
      <c r="H489" s="14"/>
      <c r="I489" s="6"/>
      <c r="J489" s="84"/>
      <c r="K489" s="6"/>
      <c r="L489" s="6"/>
      <c r="M489" s="7"/>
      <c r="N489" s="6"/>
      <c r="O489" s="8"/>
    </row>
    <row r="490" spans="6:15" x14ac:dyDescent="0.7">
      <c r="F490" s="5"/>
      <c r="G490" s="6"/>
      <c r="H490" s="14"/>
      <c r="I490" s="6"/>
      <c r="J490" s="84"/>
      <c r="K490" s="6"/>
      <c r="L490" s="6"/>
      <c r="M490" s="7"/>
      <c r="N490" s="6"/>
      <c r="O490" s="8"/>
    </row>
    <row r="491" spans="6:15" x14ac:dyDescent="0.7">
      <c r="F491" s="5"/>
      <c r="G491" s="6"/>
      <c r="H491" s="14"/>
      <c r="I491" s="6"/>
      <c r="J491" s="84"/>
      <c r="K491" s="6"/>
      <c r="L491" s="6"/>
      <c r="M491" s="7"/>
      <c r="N491" s="6"/>
      <c r="O491" s="8"/>
    </row>
    <row r="492" spans="6:15" x14ac:dyDescent="0.7">
      <c r="F492" s="5"/>
      <c r="G492" s="6"/>
      <c r="H492" s="14"/>
      <c r="I492" s="6"/>
      <c r="J492" s="84"/>
      <c r="K492" s="6"/>
      <c r="L492" s="6"/>
      <c r="M492" s="7"/>
      <c r="N492" s="6"/>
      <c r="O492" s="8"/>
    </row>
    <row r="493" spans="6:15" x14ac:dyDescent="0.7">
      <c r="F493" s="5"/>
      <c r="G493" s="6"/>
      <c r="H493" s="14"/>
      <c r="I493" s="6"/>
      <c r="J493" s="84"/>
      <c r="K493" s="6"/>
      <c r="L493" s="6"/>
      <c r="M493" s="7"/>
      <c r="N493" s="6"/>
      <c r="O493" s="8"/>
    </row>
    <row r="494" spans="6:15" x14ac:dyDescent="0.7">
      <c r="F494" s="5"/>
      <c r="G494" s="6"/>
      <c r="H494" s="14"/>
      <c r="I494" s="6"/>
      <c r="J494" s="84"/>
      <c r="K494" s="6"/>
      <c r="L494" s="6"/>
      <c r="M494" s="7"/>
      <c r="N494" s="6"/>
      <c r="O494" s="8"/>
    </row>
    <row r="495" spans="6:15" x14ac:dyDescent="0.7">
      <c r="F495" s="5"/>
      <c r="G495" s="6"/>
      <c r="H495" s="14"/>
      <c r="I495" s="6"/>
      <c r="J495" s="84"/>
      <c r="K495" s="6"/>
      <c r="L495" s="6"/>
      <c r="M495" s="7"/>
      <c r="N495" s="6"/>
      <c r="O495" s="8"/>
    </row>
    <row r="496" spans="6:15" x14ac:dyDescent="0.7">
      <c r="F496" s="5"/>
      <c r="G496" s="6"/>
      <c r="H496" s="14"/>
      <c r="I496" s="6"/>
      <c r="J496" s="84"/>
      <c r="K496" s="6"/>
      <c r="L496" s="6"/>
      <c r="M496" s="7"/>
      <c r="N496" s="10"/>
      <c r="O496" s="8"/>
    </row>
    <row r="497" spans="6:15" x14ac:dyDescent="0.7">
      <c r="F497" s="5"/>
      <c r="G497" s="6"/>
      <c r="H497" s="14"/>
      <c r="I497" s="6"/>
      <c r="J497" s="84"/>
      <c r="K497" s="6"/>
      <c r="L497" s="6"/>
      <c r="M497" s="7"/>
      <c r="N497" s="6"/>
      <c r="O497" s="8"/>
    </row>
    <row r="498" spans="6:15" x14ac:dyDescent="0.7">
      <c r="F498" s="5"/>
      <c r="G498" s="6"/>
      <c r="H498" s="14"/>
      <c r="I498" s="6"/>
      <c r="J498" s="84"/>
      <c r="K498" s="6"/>
      <c r="L498" s="6"/>
      <c r="M498" s="7"/>
      <c r="N498" s="6"/>
      <c r="O498" s="8"/>
    </row>
    <row r="499" spans="6:15" x14ac:dyDescent="0.7">
      <c r="F499" s="5"/>
      <c r="G499" s="6"/>
      <c r="H499" s="14"/>
      <c r="I499" s="6"/>
      <c r="J499" s="84"/>
      <c r="K499" s="6"/>
      <c r="L499" s="6"/>
      <c r="M499" s="7"/>
      <c r="N499" s="6"/>
      <c r="O499" s="8"/>
    </row>
    <row r="500" spans="6:15" x14ac:dyDescent="0.7">
      <c r="F500" s="5"/>
      <c r="G500" s="6"/>
      <c r="H500" s="14"/>
      <c r="I500" s="6"/>
      <c r="J500" s="84"/>
      <c r="K500" s="6"/>
      <c r="L500" s="6"/>
      <c r="M500" s="7"/>
      <c r="N500" s="6"/>
      <c r="O500" s="8"/>
    </row>
    <row r="501" spans="6:15" x14ac:dyDescent="0.7">
      <c r="F501" s="5"/>
      <c r="G501" s="6"/>
      <c r="H501" s="14"/>
      <c r="I501" s="6"/>
      <c r="J501" s="84"/>
      <c r="K501" s="6"/>
      <c r="L501" s="6"/>
      <c r="M501" s="7"/>
      <c r="N501" s="6"/>
      <c r="O501" s="8"/>
    </row>
    <row r="502" spans="6:15" x14ac:dyDescent="0.7">
      <c r="F502" s="5"/>
      <c r="G502" s="6"/>
      <c r="H502" s="14"/>
      <c r="I502" s="6"/>
      <c r="J502" s="84"/>
      <c r="K502" s="6"/>
      <c r="L502" s="6"/>
      <c r="M502" s="7"/>
      <c r="N502" s="6"/>
      <c r="O502" s="8"/>
    </row>
    <row r="503" spans="6:15" x14ac:dyDescent="0.7">
      <c r="F503" s="12"/>
      <c r="G503" s="6"/>
      <c r="H503" s="14"/>
      <c r="I503" s="6"/>
      <c r="J503" s="84"/>
      <c r="K503" s="6"/>
      <c r="L503" s="6"/>
      <c r="M503" s="7"/>
      <c r="N503" s="6"/>
      <c r="O503" s="8"/>
    </row>
    <row r="504" spans="6:15" x14ac:dyDescent="0.7">
      <c r="F504" s="12"/>
      <c r="G504" s="6"/>
      <c r="H504" s="14"/>
      <c r="I504" s="6"/>
      <c r="J504" s="84"/>
      <c r="K504" s="6"/>
      <c r="L504" s="6"/>
      <c r="M504" s="7"/>
      <c r="N504" s="6"/>
      <c r="O504" s="8"/>
    </row>
    <row r="505" spans="6:15" x14ac:dyDescent="0.7">
      <c r="F505" s="12"/>
      <c r="G505" s="6"/>
      <c r="H505" s="14"/>
      <c r="I505" s="6"/>
      <c r="J505" s="84"/>
      <c r="K505" s="6"/>
      <c r="L505" s="6"/>
      <c r="M505" s="7"/>
      <c r="N505" s="6"/>
      <c r="O505" s="8"/>
    </row>
    <row r="506" spans="6:15" x14ac:dyDescent="0.7">
      <c r="F506" s="12"/>
      <c r="G506" s="6"/>
      <c r="H506" s="14"/>
      <c r="I506" s="6"/>
      <c r="J506" s="84"/>
      <c r="K506" s="6"/>
      <c r="L506" s="6"/>
      <c r="M506" s="7"/>
      <c r="N506" s="6"/>
      <c r="O506" s="8"/>
    </row>
    <row r="507" spans="6:15" x14ac:dyDescent="0.7">
      <c r="F507" s="12"/>
      <c r="G507" s="6"/>
      <c r="H507" s="14"/>
      <c r="I507" s="6"/>
      <c r="J507" s="84"/>
      <c r="K507" s="6"/>
      <c r="L507" s="6"/>
      <c r="M507" s="7"/>
      <c r="N507" s="6"/>
      <c r="O507" s="8"/>
    </row>
    <row r="508" spans="6:15" x14ac:dyDescent="0.7">
      <c r="F508" s="12"/>
      <c r="G508" s="6"/>
      <c r="H508" s="14"/>
      <c r="I508" s="6"/>
      <c r="J508" s="84"/>
      <c r="K508" s="6"/>
      <c r="L508" s="6"/>
      <c r="M508" s="7"/>
      <c r="N508" s="6"/>
      <c r="O508" s="8"/>
    </row>
    <row r="509" spans="6:15" x14ac:dyDescent="0.7">
      <c r="F509" s="12"/>
      <c r="G509" s="6"/>
      <c r="H509" s="14"/>
      <c r="I509" s="6"/>
      <c r="J509" s="84"/>
      <c r="K509" s="6"/>
      <c r="L509" s="6"/>
      <c r="M509" s="7"/>
      <c r="N509" s="6"/>
      <c r="O509" s="8"/>
    </row>
    <row r="510" spans="6:15" x14ac:dyDescent="0.7">
      <c r="F510" s="5"/>
      <c r="G510" s="6"/>
      <c r="H510" s="14"/>
      <c r="I510" s="6"/>
      <c r="J510" s="84"/>
      <c r="K510" s="6"/>
      <c r="L510" s="6"/>
      <c r="M510" s="7"/>
      <c r="N510" s="6"/>
      <c r="O510" s="8"/>
    </row>
    <row r="511" spans="6:15" x14ac:dyDescent="0.7">
      <c r="F511" s="5"/>
      <c r="G511" s="6"/>
      <c r="H511" s="14"/>
      <c r="I511" s="6"/>
      <c r="J511" s="84"/>
      <c r="K511" s="6"/>
      <c r="L511" s="6"/>
      <c r="M511" s="7"/>
      <c r="N511" s="6"/>
      <c r="O511" s="8"/>
    </row>
    <row r="512" spans="6:15" x14ac:dyDescent="0.7">
      <c r="F512" s="5"/>
      <c r="G512" s="6"/>
      <c r="H512" s="14"/>
      <c r="I512" s="6"/>
      <c r="J512" s="84"/>
      <c r="K512" s="6"/>
      <c r="L512" s="6"/>
      <c r="M512" s="7"/>
      <c r="N512" s="6"/>
      <c r="O512" s="8"/>
    </row>
    <row r="513" spans="6:15" x14ac:dyDescent="0.7">
      <c r="F513" s="5"/>
      <c r="G513" s="6"/>
      <c r="H513" s="14"/>
      <c r="I513" s="6"/>
      <c r="J513" s="84"/>
      <c r="K513" s="6"/>
      <c r="L513" s="6"/>
      <c r="M513" s="7"/>
      <c r="N513" s="6"/>
      <c r="O513" s="8"/>
    </row>
    <row r="514" spans="6:15" x14ac:dyDescent="0.7">
      <c r="F514" s="5"/>
      <c r="G514" s="6"/>
      <c r="H514" s="14"/>
      <c r="I514" s="6"/>
      <c r="J514" s="84"/>
      <c r="K514" s="6"/>
      <c r="L514" s="6"/>
      <c r="M514" s="7"/>
      <c r="N514" s="6"/>
      <c r="O514" s="8"/>
    </row>
    <row r="515" spans="6:15" x14ac:dyDescent="0.7">
      <c r="F515" s="5"/>
      <c r="G515" s="6"/>
      <c r="H515" s="14"/>
      <c r="I515" s="6"/>
      <c r="J515" s="84"/>
      <c r="K515" s="6"/>
      <c r="L515" s="6"/>
      <c r="M515" s="7"/>
      <c r="N515" s="6"/>
      <c r="O515" s="8"/>
    </row>
    <row r="516" spans="6:15" x14ac:dyDescent="0.7">
      <c r="F516" s="5"/>
      <c r="G516" s="6"/>
      <c r="H516" s="14"/>
      <c r="I516" s="6"/>
      <c r="J516" s="84"/>
      <c r="K516" s="6"/>
      <c r="L516" s="6"/>
      <c r="M516" s="7"/>
      <c r="N516" s="6"/>
      <c r="O516" s="8"/>
    </row>
    <row r="517" spans="6:15" x14ac:dyDescent="0.7">
      <c r="F517" s="5"/>
      <c r="G517" s="6"/>
      <c r="H517" s="14"/>
      <c r="I517" s="6"/>
      <c r="J517" s="84"/>
      <c r="K517" s="6"/>
      <c r="L517" s="6"/>
      <c r="M517" s="7"/>
      <c r="N517" s="6"/>
      <c r="O517" s="8"/>
    </row>
    <row r="518" spans="6:15" x14ac:dyDescent="0.7">
      <c r="F518" s="5"/>
      <c r="G518" s="6"/>
      <c r="H518" s="14"/>
      <c r="I518" s="6"/>
      <c r="J518" s="84"/>
      <c r="K518" s="6"/>
      <c r="L518" s="6"/>
      <c r="M518" s="7"/>
      <c r="N518" s="6"/>
      <c r="O518" s="8"/>
    </row>
    <row r="519" spans="6:15" x14ac:dyDescent="0.7">
      <c r="F519" s="5"/>
      <c r="G519" s="6"/>
      <c r="H519" s="14"/>
      <c r="I519" s="6"/>
      <c r="J519" s="84"/>
      <c r="K519" s="6"/>
      <c r="L519" s="6"/>
      <c r="M519" s="7"/>
      <c r="N519" s="6"/>
      <c r="O519" s="8"/>
    </row>
    <row r="520" spans="6:15" x14ac:dyDescent="0.7">
      <c r="F520" s="5"/>
      <c r="G520" s="6"/>
      <c r="H520" s="14"/>
      <c r="I520" s="6"/>
      <c r="J520" s="84"/>
      <c r="K520" s="6"/>
      <c r="L520" s="6"/>
      <c r="M520" s="7"/>
      <c r="N520" s="6"/>
      <c r="O520" s="8"/>
    </row>
    <row r="521" spans="6:15" x14ac:dyDescent="0.7">
      <c r="F521" s="5"/>
      <c r="G521" s="6"/>
      <c r="H521" s="14"/>
      <c r="I521" s="6"/>
      <c r="J521" s="84"/>
      <c r="K521" s="6"/>
      <c r="L521" s="6"/>
      <c r="M521" s="7"/>
      <c r="N521" s="6"/>
      <c r="O521" s="8"/>
    </row>
    <row r="522" spans="6:15" x14ac:dyDescent="0.7">
      <c r="F522" s="5"/>
      <c r="G522" s="6"/>
      <c r="H522" s="14"/>
      <c r="I522" s="6"/>
      <c r="J522" s="84"/>
      <c r="K522" s="6"/>
      <c r="L522" s="6"/>
      <c r="M522" s="7"/>
      <c r="N522" s="6"/>
      <c r="O522" s="8"/>
    </row>
    <row r="523" spans="6:15" x14ac:dyDescent="0.7">
      <c r="F523" s="5"/>
      <c r="G523" s="6"/>
      <c r="H523" s="14"/>
      <c r="I523" s="6"/>
      <c r="J523" s="84"/>
      <c r="K523" s="6"/>
      <c r="L523" s="6"/>
      <c r="M523" s="7"/>
      <c r="N523" s="6"/>
      <c r="O523" s="8"/>
    </row>
    <row r="524" spans="6:15" x14ac:dyDescent="0.7">
      <c r="F524" s="13"/>
      <c r="G524" s="13"/>
      <c r="H524" s="15"/>
      <c r="I524" s="13"/>
      <c r="J524" s="85"/>
      <c r="K524" s="13"/>
      <c r="L524" s="13"/>
      <c r="M524" s="13"/>
      <c r="N524" s="13"/>
      <c r="O524" s="13"/>
    </row>
    <row r="525" spans="6:15" x14ac:dyDescent="0.7">
      <c r="F525" s="13"/>
      <c r="G525" s="13"/>
      <c r="H525" s="15"/>
      <c r="I525" s="13"/>
      <c r="J525" s="85"/>
      <c r="K525" s="13"/>
      <c r="L525" s="13"/>
      <c r="M525" s="13"/>
      <c r="N525" s="13"/>
      <c r="O525" s="13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2026-02-22T12:27:29Z</dcterms:modified>
</cp:coreProperties>
</file>