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8_{ECA8C147-491F-4A9E-86E2-C44C0481292B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1" i="1" l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/>
  <c r="G313" i="1"/>
  <c r="H313" i="1" s="1"/>
  <c r="G314" i="1"/>
  <c r="H314" i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I256" i="1" l="1"/>
  <c r="N256" i="1"/>
  <c r="N346" i="1"/>
  <c r="I346" i="1"/>
  <c r="I316" i="1"/>
  <c r="N316" i="1"/>
  <c r="I169" i="1"/>
  <c r="N169" i="1"/>
  <c r="I153" i="1"/>
  <c r="N153" i="1"/>
  <c r="N130" i="1"/>
  <c r="I130" i="1"/>
  <c r="N122" i="1"/>
  <c r="I122" i="1"/>
  <c r="N98" i="1"/>
  <c r="I98" i="1"/>
  <c r="N90" i="1"/>
  <c r="I90" i="1"/>
  <c r="N82" i="1"/>
  <c r="I82" i="1"/>
  <c r="N74" i="1"/>
  <c r="I74" i="1"/>
  <c r="N66" i="1"/>
  <c r="I66" i="1"/>
  <c r="I271" i="1"/>
  <c r="N271" i="1"/>
  <c r="N361" i="1"/>
  <c r="I361" i="1"/>
  <c r="N339" i="1"/>
  <c r="I339" i="1"/>
  <c r="I310" i="1"/>
  <c r="N310" i="1"/>
  <c r="I213" i="1"/>
  <c r="N213" i="1"/>
  <c r="I160" i="1"/>
  <c r="N160" i="1"/>
  <c r="N138" i="1"/>
  <c r="I138" i="1"/>
  <c r="N114" i="1"/>
  <c r="I114" i="1"/>
  <c r="I189" i="1"/>
  <c r="N189" i="1"/>
  <c r="I181" i="1"/>
  <c r="N181" i="1"/>
  <c r="I174" i="1"/>
  <c r="N174" i="1"/>
  <c r="I264" i="1"/>
  <c r="N264" i="1"/>
  <c r="N353" i="1"/>
  <c r="I353" i="1"/>
  <c r="N331" i="1"/>
  <c r="I331" i="1"/>
  <c r="I302" i="1"/>
  <c r="N302" i="1"/>
  <c r="I168" i="1"/>
  <c r="N168" i="1"/>
  <c r="I145" i="1"/>
  <c r="N145" i="1"/>
  <c r="N106" i="1"/>
  <c r="I106" i="1"/>
  <c r="N203" i="1"/>
  <c r="I203" i="1"/>
  <c r="I196" i="1"/>
  <c r="N196" i="1"/>
  <c r="I295" i="1"/>
  <c r="N295" i="1"/>
  <c r="I296" i="1"/>
  <c r="N296" i="1"/>
  <c r="N210" i="1"/>
  <c r="I210" i="1"/>
  <c r="I279" i="1"/>
  <c r="N279" i="1"/>
  <c r="I248" i="1"/>
  <c r="N248" i="1"/>
  <c r="N241" i="1"/>
  <c r="I241" i="1"/>
  <c r="I233" i="1"/>
  <c r="N233" i="1"/>
  <c r="N225" i="1"/>
  <c r="I225" i="1"/>
  <c r="I217" i="1"/>
  <c r="N217" i="1"/>
  <c r="I287" i="1"/>
  <c r="N287" i="1"/>
  <c r="I324" i="1"/>
  <c r="N324" i="1"/>
  <c r="I193" i="1"/>
  <c r="N193" i="1"/>
  <c r="I360" i="1"/>
  <c r="N360" i="1"/>
  <c r="I301" i="1"/>
  <c r="N301" i="1"/>
  <c r="I240" i="1"/>
  <c r="N240" i="1"/>
  <c r="I173" i="1"/>
  <c r="N173" i="1"/>
  <c r="I105" i="1"/>
  <c r="N105" i="1"/>
  <c r="I158" i="1"/>
  <c r="N158" i="1"/>
  <c r="I352" i="1"/>
  <c r="N352" i="1"/>
  <c r="N315" i="1"/>
  <c r="I315" i="1"/>
  <c r="I286" i="1"/>
  <c r="N286" i="1"/>
  <c r="I224" i="1"/>
  <c r="N224" i="1"/>
  <c r="I180" i="1"/>
  <c r="N180" i="1"/>
  <c r="I129" i="1"/>
  <c r="N129" i="1"/>
  <c r="I81" i="1"/>
  <c r="N81" i="1"/>
  <c r="I359" i="1"/>
  <c r="N359" i="1"/>
  <c r="I344" i="1"/>
  <c r="N344" i="1"/>
  <c r="N314" i="1"/>
  <c r="I314" i="1"/>
  <c r="I285" i="1"/>
  <c r="N285" i="1"/>
  <c r="I262" i="1"/>
  <c r="N262" i="1"/>
  <c r="I239" i="1"/>
  <c r="N239" i="1"/>
  <c r="N194" i="1"/>
  <c r="I194" i="1"/>
  <c r="N179" i="1"/>
  <c r="I179" i="1"/>
  <c r="I144" i="1"/>
  <c r="N144" i="1"/>
  <c r="I128" i="1"/>
  <c r="N128" i="1"/>
  <c r="I104" i="1"/>
  <c r="N104" i="1"/>
  <c r="I88" i="1"/>
  <c r="N88" i="1"/>
  <c r="I366" i="1"/>
  <c r="N366" i="1"/>
  <c r="I358" i="1"/>
  <c r="N358" i="1"/>
  <c r="I350" i="1"/>
  <c r="N350" i="1"/>
  <c r="I336" i="1"/>
  <c r="N336" i="1"/>
  <c r="N329" i="1"/>
  <c r="I329" i="1"/>
  <c r="I321" i="1"/>
  <c r="N321" i="1"/>
  <c r="N307" i="1"/>
  <c r="I307" i="1"/>
  <c r="N299" i="1"/>
  <c r="I299" i="1"/>
  <c r="I292" i="1"/>
  <c r="N292" i="1"/>
  <c r="I284" i="1"/>
  <c r="N284" i="1"/>
  <c r="I276" i="1"/>
  <c r="N276" i="1"/>
  <c r="I268" i="1"/>
  <c r="N268" i="1"/>
  <c r="I261" i="1"/>
  <c r="N261" i="1"/>
  <c r="I253" i="1"/>
  <c r="N253" i="1"/>
  <c r="I246" i="1"/>
  <c r="N246" i="1"/>
  <c r="I238" i="1"/>
  <c r="N238" i="1"/>
  <c r="I230" i="1"/>
  <c r="N230" i="1"/>
  <c r="I222" i="1"/>
  <c r="N222" i="1"/>
  <c r="I214" i="1"/>
  <c r="N214" i="1"/>
  <c r="I207" i="1"/>
  <c r="N207" i="1"/>
  <c r="N186" i="1"/>
  <c r="I186" i="1"/>
  <c r="N171" i="1"/>
  <c r="I171" i="1"/>
  <c r="I165" i="1"/>
  <c r="N165" i="1"/>
  <c r="I157" i="1"/>
  <c r="N157" i="1"/>
  <c r="I150" i="1"/>
  <c r="N150" i="1"/>
  <c r="I143" i="1"/>
  <c r="N143" i="1"/>
  <c r="I135" i="1"/>
  <c r="N135" i="1"/>
  <c r="I127" i="1"/>
  <c r="N127" i="1"/>
  <c r="I119" i="1"/>
  <c r="N119" i="1"/>
  <c r="I111" i="1"/>
  <c r="N111" i="1"/>
  <c r="I103" i="1"/>
  <c r="N103" i="1"/>
  <c r="I95" i="1"/>
  <c r="N95" i="1"/>
  <c r="I87" i="1"/>
  <c r="N87" i="1"/>
  <c r="I79" i="1"/>
  <c r="N79" i="1"/>
  <c r="I71" i="1"/>
  <c r="N71" i="1"/>
  <c r="I63" i="1"/>
  <c r="N63" i="1"/>
  <c r="I345" i="1"/>
  <c r="N345" i="1"/>
  <c r="I309" i="1"/>
  <c r="N309" i="1"/>
  <c r="I278" i="1"/>
  <c r="N278" i="1"/>
  <c r="I188" i="1"/>
  <c r="N188" i="1"/>
  <c r="N137" i="1"/>
  <c r="I137" i="1"/>
  <c r="I89" i="1"/>
  <c r="N89" i="1"/>
  <c r="I367" i="1"/>
  <c r="N367" i="1"/>
  <c r="I337" i="1"/>
  <c r="N337" i="1"/>
  <c r="I300" i="1"/>
  <c r="N300" i="1"/>
  <c r="I277" i="1"/>
  <c r="N277" i="1"/>
  <c r="I254" i="1"/>
  <c r="N254" i="1"/>
  <c r="I223" i="1"/>
  <c r="N223" i="1"/>
  <c r="N201" i="1"/>
  <c r="I201" i="1"/>
  <c r="I172" i="1"/>
  <c r="N172" i="1"/>
  <c r="I151" i="1"/>
  <c r="N151" i="1"/>
  <c r="I120" i="1"/>
  <c r="N120" i="1"/>
  <c r="I96" i="1"/>
  <c r="N96" i="1"/>
  <c r="I365" i="1"/>
  <c r="N365" i="1"/>
  <c r="I357" i="1"/>
  <c r="N357" i="1"/>
  <c r="I349" i="1"/>
  <c r="N349" i="1"/>
  <c r="I343" i="1"/>
  <c r="N343" i="1"/>
  <c r="I335" i="1"/>
  <c r="N335" i="1"/>
  <c r="I328" i="1"/>
  <c r="N328" i="1"/>
  <c r="I320" i="1"/>
  <c r="N320" i="1"/>
  <c r="N313" i="1"/>
  <c r="I313" i="1"/>
  <c r="N306" i="1"/>
  <c r="I306" i="1"/>
  <c r="N298" i="1"/>
  <c r="I298" i="1"/>
  <c r="N291" i="1"/>
  <c r="I291" i="1"/>
  <c r="N283" i="1"/>
  <c r="I283" i="1"/>
  <c r="N275" i="1"/>
  <c r="I275" i="1"/>
  <c r="N267" i="1"/>
  <c r="I267" i="1"/>
  <c r="I260" i="1"/>
  <c r="N260" i="1"/>
  <c r="I252" i="1"/>
  <c r="N252" i="1"/>
  <c r="I245" i="1"/>
  <c r="N245" i="1"/>
  <c r="I237" i="1"/>
  <c r="N237" i="1"/>
  <c r="I229" i="1"/>
  <c r="N229" i="1"/>
  <c r="I221" i="1"/>
  <c r="N221" i="1"/>
  <c r="I206" i="1"/>
  <c r="N206" i="1"/>
  <c r="I200" i="1"/>
  <c r="N200" i="1"/>
  <c r="N185" i="1"/>
  <c r="I185" i="1"/>
  <c r="N178" i="1"/>
  <c r="I178" i="1"/>
  <c r="I164" i="1"/>
  <c r="N164" i="1"/>
  <c r="I156" i="1"/>
  <c r="N156" i="1"/>
  <c r="I149" i="1"/>
  <c r="N149" i="1"/>
  <c r="I142" i="1"/>
  <c r="N142" i="1"/>
  <c r="I134" i="1"/>
  <c r="N134" i="1"/>
  <c r="I126" i="1"/>
  <c r="N126" i="1"/>
  <c r="I118" i="1"/>
  <c r="N118" i="1"/>
  <c r="I110" i="1"/>
  <c r="N110" i="1"/>
  <c r="I102" i="1"/>
  <c r="N102" i="1"/>
  <c r="I94" i="1"/>
  <c r="N94" i="1"/>
  <c r="I86" i="1"/>
  <c r="N86" i="1"/>
  <c r="I78" i="1"/>
  <c r="N78" i="1"/>
  <c r="I70" i="1"/>
  <c r="N70" i="1"/>
  <c r="I62" i="1"/>
  <c r="N62" i="1"/>
  <c r="N338" i="1"/>
  <c r="I338" i="1"/>
  <c r="I270" i="1"/>
  <c r="N270" i="1"/>
  <c r="I232" i="1"/>
  <c r="N232" i="1"/>
  <c r="N202" i="1"/>
  <c r="I202" i="1"/>
  <c r="I159" i="1"/>
  <c r="N159" i="1"/>
  <c r="N121" i="1"/>
  <c r="I121" i="1"/>
  <c r="N73" i="1"/>
  <c r="I73" i="1"/>
  <c r="I215" i="1"/>
  <c r="N215" i="1"/>
  <c r="I80" i="1"/>
  <c r="N80" i="1"/>
  <c r="I348" i="1"/>
  <c r="N348" i="1"/>
  <c r="I312" i="1"/>
  <c r="N312" i="1"/>
  <c r="N282" i="1"/>
  <c r="I282" i="1"/>
  <c r="N259" i="1"/>
  <c r="I259" i="1"/>
  <c r="I244" i="1"/>
  <c r="N244" i="1"/>
  <c r="I228" i="1"/>
  <c r="N228" i="1"/>
  <c r="I205" i="1"/>
  <c r="N205" i="1"/>
  <c r="I199" i="1"/>
  <c r="N199" i="1"/>
  <c r="I192" i="1"/>
  <c r="N192" i="1"/>
  <c r="I184" i="1"/>
  <c r="N184" i="1"/>
  <c r="N177" i="1"/>
  <c r="I177" i="1"/>
  <c r="N170" i="1"/>
  <c r="I170" i="1"/>
  <c r="N163" i="1"/>
  <c r="I163" i="1"/>
  <c r="N155" i="1"/>
  <c r="I155" i="1"/>
  <c r="I148" i="1"/>
  <c r="N148" i="1"/>
  <c r="I141" i="1"/>
  <c r="N141" i="1"/>
  <c r="I133" i="1"/>
  <c r="N133" i="1"/>
  <c r="I125" i="1"/>
  <c r="N125" i="1"/>
  <c r="I117" i="1"/>
  <c r="N117" i="1"/>
  <c r="I109" i="1"/>
  <c r="N109" i="1"/>
  <c r="I101" i="1"/>
  <c r="N101" i="1"/>
  <c r="I93" i="1"/>
  <c r="N93" i="1"/>
  <c r="I85" i="1"/>
  <c r="N85" i="1"/>
  <c r="I77" i="1"/>
  <c r="N77" i="1"/>
  <c r="I69" i="1"/>
  <c r="N69" i="1"/>
  <c r="N323" i="1"/>
  <c r="I323" i="1"/>
  <c r="I294" i="1"/>
  <c r="N294" i="1"/>
  <c r="I263" i="1"/>
  <c r="N263" i="1"/>
  <c r="I216" i="1"/>
  <c r="N216" i="1"/>
  <c r="N195" i="1"/>
  <c r="I195" i="1"/>
  <c r="I152" i="1"/>
  <c r="N152" i="1"/>
  <c r="N97" i="1"/>
  <c r="I97" i="1"/>
  <c r="I351" i="1"/>
  <c r="N351" i="1"/>
  <c r="N322" i="1"/>
  <c r="I322" i="1"/>
  <c r="I293" i="1"/>
  <c r="N293" i="1"/>
  <c r="I269" i="1"/>
  <c r="N269" i="1"/>
  <c r="I247" i="1"/>
  <c r="N247" i="1"/>
  <c r="I231" i="1"/>
  <c r="N231" i="1"/>
  <c r="N187" i="1"/>
  <c r="I187" i="1"/>
  <c r="I166" i="1"/>
  <c r="N166" i="1"/>
  <c r="I136" i="1"/>
  <c r="N136" i="1"/>
  <c r="I112" i="1"/>
  <c r="N112" i="1"/>
  <c r="I64" i="1"/>
  <c r="N64" i="1"/>
  <c r="I364" i="1"/>
  <c r="N364" i="1"/>
  <c r="I356" i="1"/>
  <c r="N356" i="1"/>
  <c r="I342" i="1"/>
  <c r="N342" i="1"/>
  <c r="I334" i="1"/>
  <c r="N334" i="1"/>
  <c r="I327" i="1"/>
  <c r="N327" i="1"/>
  <c r="I319" i="1"/>
  <c r="N319" i="1"/>
  <c r="N305" i="1"/>
  <c r="I305" i="1"/>
  <c r="I297" i="1"/>
  <c r="N297" i="1"/>
  <c r="N290" i="1"/>
  <c r="I290" i="1"/>
  <c r="N274" i="1"/>
  <c r="I274" i="1"/>
  <c r="N266" i="1"/>
  <c r="I266" i="1"/>
  <c r="N251" i="1"/>
  <c r="I251" i="1"/>
  <c r="I236" i="1"/>
  <c r="N236" i="1"/>
  <c r="I220" i="1"/>
  <c r="N220" i="1"/>
  <c r="N363" i="1"/>
  <c r="I363" i="1"/>
  <c r="N355" i="1"/>
  <c r="I355" i="1"/>
  <c r="I341" i="1"/>
  <c r="N341" i="1"/>
  <c r="I333" i="1"/>
  <c r="N333" i="1"/>
  <c r="I326" i="1"/>
  <c r="N326" i="1"/>
  <c r="I318" i="1"/>
  <c r="N318" i="1"/>
  <c r="I304" i="1"/>
  <c r="N304" i="1"/>
  <c r="N289" i="1"/>
  <c r="I289" i="1"/>
  <c r="I281" i="1"/>
  <c r="N281" i="1"/>
  <c r="I273" i="1"/>
  <c r="N273" i="1"/>
  <c r="N258" i="1"/>
  <c r="I258" i="1"/>
  <c r="N250" i="1"/>
  <c r="I250" i="1"/>
  <c r="N243" i="1"/>
  <c r="I243" i="1"/>
  <c r="N235" i="1"/>
  <c r="I235" i="1"/>
  <c r="N227" i="1"/>
  <c r="I227" i="1"/>
  <c r="N219" i="1"/>
  <c r="I219" i="1"/>
  <c r="I212" i="1"/>
  <c r="N212" i="1"/>
  <c r="I204" i="1"/>
  <c r="N204" i="1"/>
  <c r="I198" i="1"/>
  <c r="N198" i="1"/>
  <c r="I191" i="1"/>
  <c r="N191" i="1"/>
  <c r="I183" i="1"/>
  <c r="N183" i="1"/>
  <c r="I176" i="1"/>
  <c r="N176" i="1"/>
  <c r="N162" i="1"/>
  <c r="I162" i="1"/>
  <c r="N147" i="1"/>
  <c r="I147" i="1"/>
  <c r="I140" i="1"/>
  <c r="N140" i="1"/>
  <c r="I132" i="1"/>
  <c r="N132" i="1"/>
  <c r="I124" i="1"/>
  <c r="N124" i="1"/>
  <c r="I116" i="1"/>
  <c r="N116" i="1"/>
  <c r="I108" i="1"/>
  <c r="N108" i="1"/>
  <c r="I100" i="1"/>
  <c r="N100" i="1"/>
  <c r="I92" i="1"/>
  <c r="N92" i="1"/>
  <c r="I84" i="1"/>
  <c r="N84" i="1"/>
  <c r="I76" i="1"/>
  <c r="N76" i="1"/>
  <c r="I68" i="1"/>
  <c r="N68" i="1"/>
  <c r="N330" i="1"/>
  <c r="I330" i="1"/>
  <c r="I255" i="1"/>
  <c r="N255" i="1"/>
  <c r="I209" i="1"/>
  <c r="N209" i="1"/>
  <c r="I167" i="1"/>
  <c r="N167" i="1"/>
  <c r="N113" i="1"/>
  <c r="I113" i="1"/>
  <c r="I65" i="1"/>
  <c r="N65" i="1"/>
  <c r="I308" i="1"/>
  <c r="N308" i="1"/>
  <c r="I208" i="1"/>
  <c r="N208" i="1"/>
  <c r="I72" i="1"/>
  <c r="N72" i="1"/>
  <c r="N362" i="1"/>
  <c r="I362" i="1"/>
  <c r="N354" i="1"/>
  <c r="I354" i="1"/>
  <c r="N347" i="1"/>
  <c r="I347" i="1"/>
  <c r="I340" i="1"/>
  <c r="N340" i="1"/>
  <c r="I332" i="1"/>
  <c r="N332" i="1"/>
  <c r="I325" i="1"/>
  <c r="N325" i="1"/>
  <c r="I317" i="1"/>
  <c r="N317" i="1"/>
  <c r="I311" i="1"/>
  <c r="N311" i="1"/>
  <c r="I303" i="1"/>
  <c r="N303" i="1"/>
  <c r="I288" i="1"/>
  <c r="N288" i="1"/>
  <c r="I280" i="1"/>
  <c r="N280" i="1"/>
  <c r="I272" i="1"/>
  <c r="N272" i="1"/>
  <c r="N265" i="1"/>
  <c r="I265" i="1"/>
  <c r="I257" i="1"/>
  <c r="N257" i="1"/>
  <c r="N249" i="1"/>
  <c r="I249" i="1"/>
  <c r="N242" i="1"/>
  <c r="I242" i="1"/>
  <c r="N234" i="1"/>
  <c r="I234" i="1"/>
  <c r="N226" i="1"/>
  <c r="I226" i="1"/>
  <c r="N218" i="1"/>
  <c r="I218" i="1"/>
  <c r="N211" i="1"/>
  <c r="I211" i="1"/>
  <c r="I197" i="1"/>
  <c r="N197" i="1"/>
  <c r="I190" i="1"/>
  <c r="N190" i="1"/>
  <c r="I182" i="1"/>
  <c r="N182" i="1"/>
  <c r="I175" i="1"/>
  <c r="N175" i="1"/>
  <c r="N161" i="1"/>
  <c r="I161" i="1"/>
  <c r="N154" i="1"/>
  <c r="I154" i="1"/>
  <c r="N146" i="1"/>
  <c r="I146" i="1"/>
  <c r="N139" i="1"/>
  <c r="I139" i="1"/>
  <c r="N131" i="1"/>
  <c r="I131" i="1"/>
  <c r="N123" i="1"/>
  <c r="I123" i="1"/>
  <c r="N115" i="1"/>
  <c r="I115" i="1"/>
  <c r="N107" i="1"/>
  <c r="I107" i="1"/>
  <c r="N99" i="1"/>
  <c r="I99" i="1"/>
  <c r="N91" i="1"/>
  <c r="I91" i="1"/>
  <c r="N83" i="1"/>
  <c r="I83" i="1"/>
  <c r="N75" i="1"/>
  <c r="I75" i="1"/>
  <c r="N67" i="1"/>
  <c r="I67" i="1"/>
  <c r="I61" i="1"/>
  <c r="N61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3" i="1"/>
  <c r="H3" i="1" s="1"/>
  <c r="K146" i="1" l="1"/>
  <c r="L146" i="1" s="1"/>
  <c r="J146" i="1"/>
  <c r="K249" i="1"/>
  <c r="L249" i="1" s="1"/>
  <c r="J249" i="1"/>
  <c r="M249" i="1" s="1"/>
  <c r="O249" i="1" s="1"/>
  <c r="K347" i="1"/>
  <c r="L347" i="1" s="1"/>
  <c r="J347" i="1"/>
  <c r="M347" i="1" s="1"/>
  <c r="O347" i="1" s="1"/>
  <c r="K187" i="1"/>
  <c r="L187" i="1" s="1"/>
  <c r="J187" i="1"/>
  <c r="M187" i="1" s="1"/>
  <c r="O187" i="1" s="1"/>
  <c r="K282" i="1"/>
  <c r="L282" i="1" s="1"/>
  <c r="J282" i="1"/>
  <c r="K267" i="1"/>
  <c r="L267" i="1" s="1"/>
  <c r="J267" i="1"/>
  <c r="M267" i="1" s="1"/>
  <c r="O267" i="1" s="1"/>
  <c r="K307" i="1"/>
  <c r="L307" i="1" s="1"/>
  <c r="J307" i="1"/>
  <c r="M307" i="1" s="1"/>
  <c r="O307" i="1" s="1"/>
  <c r="K194" i="1"/>
  <c r="L194" i="1" s="1"/>
  <c r="J194" i="1"/>
  <c r="M194" i="1" s="1"/>
  <c r="O194" i="1" s="1"/>
  <c r="K315" i="1"/>
  <c r="L315" i="1" s="1"/>
  <c r="J315" i="1"/>
  <c r="M315" i="1" s="1"/>
  <c r="O315" i="1" s="1"/>
  <c r="K225" i="1"/>
  <c r="L225" i="1" s="1"/>
  <c r="J225" i="1"/>
  <c r="M225" i="1" s="1"/>
  <c r="O225" i="1" s="1"/>
  <c r="K114" i="1"/>
  <c r="L114" i="1" s="1"/>
  <c r="J114" i="1"/>
  <c r="M114" i="1" s="1"/>
  <c r="O114" i="1" s="1"/>
  <c r="K98" i="1"/>
  <c r="L98" i="1" s="1"/>
  <c r="J98" i="1"/>
  <c r="M98" i="1" s="1"/>
  <c r="O98" i="1" s="1"/>
  <c r="K182" i="1"/>
  <c r="L182" i="1" s="1"/>
  <c r="J182" i="1"/>
  <c r="M182" i="1" s="1"/>
  <c r="O182" i="1" s="1"/>
  <c r="K280" i="1"/>
  <c r="L280" i="1" s="1"/>
  <c r="J280" i="1"/>
  <c r="M280" i="1" s="1"/>
  <c r="O280" i="1" s="1"/>
  <c r="K208" i="1"/>
  <c r="L208" i="1" s="1"/>
  <c r="J208" i="1"/>
  <c r="M208" i="1" s="1"/>
  <c r="O208" i="1" s="1"/>
  <c r="K100" i="1"/>
  <c r="L100" i="1" s="1"/>
  <c r="J100" i="1"/>
  <c r="K334" i="1"/>
  <c r="L334" i="1" s="1"/>
  <c r="J334" i="1"/>
  <c r="M334" i="1" s="1"/>
  <c r="O334" i="1" s="1"/>
  <c r="K293" i="1"/>
  <c r="L293" i="1" s="1"/>
  <c r="J293" i="1"/>
  <c r="M293" i="1" s="1"/>
  <c r="O293" i="1" s="1"/>
  <c r="K85" i="1"/>
  <c r="L85" i="1" s="1"/>
  <c r="J85" i="1"/>
  <c r="M85" i="1" s="1"/>
  <c r="O85" i="1" s="1"/>
  <c r="K215" i="1"/>
  <c r="L215" i="1" s="1"/>
  <c r="J215" i="1"/>
  <c r="M215" i="1" s="1"/>
  <c r="O215" i="1" s="1"/>
  <c r="K94" i="1"/>
  <c r="L94" i="1" s="1"/>
  <c r="J94" i="1"/>
  <c r="M94" i="1" s="1"/>
  <c r="O94" i="1" s="1"/>
  <c r="K200" i="1"/>
  <c r="L200" i="1" s="1"/>
  <c r="J200" i="1"/>
  <c r="M200" i="1" s="1"/>
  <c r="O200" i="1" s="1"/>
  <c r="K151" i="1"/>
  <c r="L151" i="1" s="1"/>
  <c r="J151" i="1"/>
  <c r="M151" i="1" s="1"/>
  <c r="O151" i="1" s="1"/>
  <c r="K278" i="1"/>
  <c r="L278" i="1" s="1"/>
  <c r="J278" i="1"/>
  <c r="M278" i="1" s="1"/>
  <c r="O278" i="1" s="1"/>
  <c r="K135" i="1"/>
  <c r="L135" i="1" s="1"/>
  <c r="J135" i="1"/>
  <c r="M135" i="1" s="1"/>
  <c r="O135" i="1" s="1"/>
  <c r="K246" i="1"/>
  <c r="L246" i="1" s="1"/>
  <c r="J246" i="1"/>
  <c r="M246" i="1" s="1"/>
  <c r="O246" i="1" s="1"/>
  <c r="K350" i="1"/>
  <c r="L350" i="1" s="1"/>
  <c r="J350" i="1"/>
  <c r="M350" i="1" s="1"/>
  <c r="O350" i="1" s="1"/>
  <c r="K173" i="1"/>
  <c r="L173" i="1" s="1"/>
  <c r="J173" i="1"/>
  <c r="M173" i="1" s="1"/>
  <c r="O173" i="1" s="1"/>
  <c r="K279" i="1"/>
  <c r="L279" i="1" s="1"/>
  <c r="J279" i="1"/>
  <c r="M279" i="1" s="1"/>
  <c r="O279" i="1" s="1"/>
  <c r="K264" i="1"/>
  <c r="L264" i="1" s="1"/>
  <c r="J264" i="1"/>
  <c r="M264" i="1" s="1"/>
  <c r="O264" i="1" s="1"/>
  <c r="K310" i="1"/>
  <c r="L310" i="1" s="1"/>
  <c r="J310" i="1"/>
  <c r="M310" i="1" s="1"/>
  <c r="O310" i="1" s="1"/>
  <c r="K154" i="1"/>
  <c r="L154" i="1" s="1"/>
  <c r="J154" i="1"/>
  <c r="M154" i="1" s="1"/>
  <c r="O154" i="1" s="1"/>
  <c r="K354" i="1"/>
  <c r="L354" i="1" s="1"/>
  <c r="J354" i="1"/>
  <c r="M354" i="1" s="1"/>
  <c r="O354" i="1" s="1"/>
  <c r="K266" i="1"/>
  <c r="L266" i="1" s="1"/>
  <c r="J266" i="1"/>
  <c r="M266" i="1" s="1"/>
  <c r="O266" i="1" s="1"/>
  <c r="K195" i="1"/>
  <c r="L195" i="1" s="1"/>
  <c r="J195" i="1"/>
  <c r="M195" i="1" s="1"/>
  <c r="O195" i="1" s="1"/>
  <c r="K203" i="1"/>
  <c r="L203" i="1" s="1"/>
  <c r="J203" i="1"/>
  <c r="M203" i="1" s="1"/>
  <c r="O203" i="1" s="1"/>
  <c r="K190" i="1"/>
  <c r="L190" i="1" s="1"/>
  <c r="J190" i="1"/>
  <c r="M190" i="1" s="1"/>
  <c r="O190" i="1" s="1"/>
  <c r="K257" i="1"/>
  <c r="L257" i="1" s="1"/>
  <c r="J257" i="1"/>
  <c r="M257" i="1" s="1"/>
  <c r="O257" i="1" s="1"/>
  <c r="K288" i="1"/>
  <c r="L288" i="1" s="1"/>
  <c r="J288" i="1"/>
  <c r="M288" i="1" s="1"/>
  <c r="O288" i="1" s="1"/>
  <c r="K325" i="1"/>
  <c r="L325" i="1" s="1"/>
  <c r="J325" i="1"/>
  <c r="M325" i="1" s="1"/>
  <c r="O325" i="1" s="1"/>
  <c r="K308" i="1"/>
  <c r="L308" i="1" s="1"/>
  <c r="J308" i="1"/>
  <c r="M308" i="1" s="1"/>
  <c r="O308" i="1" s="1"/>
  <c r="K209" i="1"/>
  <c r="L209" i="1" s="1"/>
  <c r="J209" i="1"/>
  <c r="M209" i="1" s="1"/>
  <c r="O209" i="1" s="1"/>
  <c r="K76" i="1"/>
  <c r="L76" i="1" s="1"/>
  <c r="J76" i="1"/>
  <c r="M76" i="1" s="1"/>
  <c r="O76" i="1" s="1"/>
  <c r="K108" i="1"/>
  <c r="L108" i="1" s="1"/>
  <c r="J108" i="1"/>
  <c r="M108" i="1" s="1"/>
  <c r="O108" i="1" s="1"/>
  <c r="K140" i="1"/>
  <c r="L140" i="1" s="1"/>
  <c r="J140" i="1"/>
  <c r="M140" i="1" s="1"/>
  <c r="O140" i="1" s="1"/>
  <c r="K183" i="1"/>
  <c r="L183" i="1" s="1"/>
  <c r="J183" i="1"/>
  <c r="M183" i="1" s="1"/>
  <c r="O183" i="1" s="1"/>
  <c r="K212" i="1"/>
  <c r="L212" i="1" s="1"/>
  <c r="J212" i="1"/>
  <c r="M212" i="1" s="1"/>
  <c r="O212" i="1" s="1"/>
  <c r="K281" i="1"/>
  <c r="L281" i="1" s="1"/>
  <c r="J281" i="1"/>
  <c r="M281" i="1" s="1"/>
  <c r="O281" i="1" s="1"/>
  <c r="K326" i="1"/>
  <c r="L326" i="1" s="1"/>
  <c r="J326" i="1"/>
  <c r="M326" i="1" s="1"/>
  <c r="O326" i="1" s="1"/>
  <c r="K342" i="1"/>
  <c r="L342" i="1" s="1"/>
  <c r="J342" i="1"/>
  <c r="M342" i="1" s="1"/>
  <c r="O342" i="1" s="1"/>
  <c r="K112" i="1"/>
  <c r="L112" i="1" s="1"/>
  <c r="J112" i="1"/>
  <c r="M112" i="1" s="1"/>
  <c r="O112" i="1" s="1"/>
  <c r="K231" i="1"/>
  <c r="L231" i="1" s="1"/>
  <c r="J231" i="1"/>
  <c r="M231" i="1" s="1"/>
  <c r="O231" i="1" s="1"/>
  <c r="K93" i="1"/>
  <c r="L93" i="1" s="1"/>
  <c r="J93" i="1"/>
  <c r="M93" i="1" s="1"/>
  <c r="O93" i="1" s="1"/>
  <c r="K125" i="1"/>
  <c r="L125" i="1" s="1"/>
  <c r="J125" i="1"/>
  <c r="M125" i="1" s="1"/>
  <c r="O125" i="1" s="1"/>
  <c r="K184" i="1"/>
  <c r="L184" i="1" s="1"/>
  <c r="J184" i="1"/>
  <c r="M184" i="1" s="1"/>
  <c r="O184" i="1" s="1"/>
  <c r="K228" i="1"/>
  <c r="L228" i="1" s="1"/>
  <c r="J228" i="1"/>
  <c r="M228" i="1" s="1"/>
  <c r="O228" i="1" s="1"/>
  <c r="K312" i="1"/>
  <c r="L312" i="1" s="1"/>
  <c r="J312" i="1"/>
  <c r="M312" i="1" s="1"/>
  <c r="O312" i="1" s="1"/>
  <c r="K232" i="1"/>
  <c r="L232" i="1" s="1"/>
  <c r="J232" i="1"/>
  <c r="M232" i="1" s="1"/>
  <c r="O232" i="1" s="1"/>
  <c r="K70" i="1"/>
  <c r="L70" i="1" s="1"/>
  <c r="J70" i="1"/>
  <c r="M70" i="1" s="1"/>
  <c r="O70" i="1" s="1"/>
  <c r="K102" i="1"/>
  <c r="L102" i="1" s="1"/>
  <c r="J102" i="1"/>
  <c r="M102" i="1" s="1"/>
  <c r="O102" i="1" s="1"/>
  <c r="K134" i="1"/>
  <c r="L134" i="1" s="1"/>
  <c r="J134" i="1"/>
  <c r="M134" i="1" s="1"/>
  <c r="O134" i="1" s="1"/>
  <c r="K164" i="1"/>
  <c r="L164" i="1" s="1"/>
  <c r="J164" i="1"/>
  <c r="M164" i="1" s="1"/>
  <c r="O164" i="1" s="1"/>
  <c r="K206" i="1"/>
  <c r="L206" i="1" s="1"/>
  <c r="J206" i="1"/>
  <c r="M206" i="1" s="1"/>
  <c r="O206" i="1" s="1"/>
  <c r="K245" i="1"/>
  <c r="L245" i="1" s="1"/>
  <c r="J245" i="1"/>
  <c r="M245" i="1" s="1"/>
  <c r="O245" i="1" s="1"/>
  <c r="K335" i="1"/>
  <c r="L335" i="1" s="1"/>
  <c r="J335" i="1"/>
  <c r="M335" i="1" s="1"/>
  <c r="O335" i="1" s="1"/>
  <c r="K365" i="1"/>
  <c r="L365" i="1" s="1"/>
  <c r="J365" i="1"/>
  <c r="M365" i="1" s="1"/>
  <c r="O365" i="1" s="1"/>
  <c r="K172" i="1"/>
  <c r="L172" i="1" s="1"/>
  <c r="J172" i="1"/>
  <c r="M172" i="1" s="1"/>
  <c r="O172" i="1" s="1"/>
  <c r="K277" i="1"/>
  <c r="L277" i="1" s="1"/>
  <c r="J277" i="1"/>
  <c r="M277" i="1" s="1"/>
  <c r="O277" i="1" s="1"/>
  <c r="K89" i="1"/>
  <c r="L89" i="1" s="1"/>
  <c r="J89" i="1"/>
  <c r="M89" i="1" s="1"/>
  <c r="O89" i="1" s="1"/>
  <c r="K309" i="1"/>
  <c r="L309" i="1" s="1"/>
  <c r="J309" i="1"/>
  <c r="M309" i="1" s="1"/>
  <c r="O309" i="1" s="1"/>
  <c r="K79" i="1"/>
  <c r="L79" i="1" s="1"/>
  <c r="J79" i="1"/>
  <c r="M79" i="1" s="1"/>
  <c r="O79" i="1" s="1"/>
  <c r="K111" i="1"/>
  <c r="L111" i="1" s="1"/>
  <c r="J111" i="1"/>
  <c r="M111" i="1" s="1"/>
  <c r="O111" i="1" s="1"/>
  <c r="K143" i="1"/>
  <c r="L143" i="1" s="1"/>
  <c r="J143" i="1"/>
  <c r="M143" i="1" s="1"/>
  <c r="O143" i="1" s="1"/>
  <c r="K222" i="1"/>
  <c r="L222" i="1" s="1"/>
  <c r="J222" i="1"/>
  <c r="M222" i="1" s="1"/>
  <c r="O222" i="1" s="1"/>
  <c r="K253" i="1"/>
  <c r="L253" i="1" s="1"/>
  <c r="J253" i="1"/>
  <c r="M253" i="1" s="1"/>
  <c r="O253" i="1" s="1"/>
  <c r="K284" i="1"/>
  <c r="L284" i="1" s="1"/>
  <c r="J284" i="1"/>
  <c r="M284" i="1" s="1"/>
  <c r="O284" i="1" s="1"/>
  <c r="K321" i="1"/>
  <c r="L321" i="1" s="1"/>
  <c r="J321" i="1"/>
  <c r="M321" i="1" s="1"/>
  <c r="O321" i="1" s="1"/>
  <c r="K358" i="1"/>
  <c r="L358" i="1" s="1"/>
  <c r="J358" i="1"/>
  <c r="M358" i="1" s="1"/>
  <c r="O358" i="1" s="1"/>
  <c r="K128" i="1"/>
  <c r="L128" i="1" s="1"/>
  <c r="J128" i="1"/>
  <c r="M128" i="1" s="1"/>
  <c r="O128" i="1" s="1"/>
  <c r="K239" i="1"/>
  <c r="L239" i="1" s="1"/>
  <c r="J239" i="1"/>
  <c r="M239" i="1" s="1"/>
  <c r="O239" i="1" s="1"/>
  <c r="K344" i="1"/>
  <c r="L344" i="1" s="1"/>
  <c r="J344" i="1"/>
  <c r="M344" i="1" s="1"/>
  <c r="O344" i="1" s="1"/>
  <c r="K180" i="1"/>
  <c r="L180" i="1" s="1"/>
  <c r="J180" i="1"/>
  <c r="M180" i="1" s="1"/>
  <c r="O180" i="1" s="1"/>
  <c r="K352" i="1"/>
  <c r="L352" i="1" s="1"/>
  <c r="J352" i="1"/>
  <c r="M352" i="1" s="1"/>
  <c r="O352" i="1" s="1"/>
  <c r="K240" i="1"/>
  <c r="L240" i="1" s="1"/>
  <c r="J240" i="1"/>
  <c r="M240" i="1" s="1"/>
  <c r="O240" i="1" s="1"/>
  <c r="K324" i="1"/>
  <c r="L324" i="1" s="1"/>
  <c r="J324" i="1"/>
  <c r="M324" i="1" s="1"/>
  <c r="O324" i="1" s="1"/>
  <c r="K233" i="1"/>
  <c r="L233" i="1" s="1"/>
  <c r="J233" i="1"/>
  <c r="M233" i="1" s="1"/>
  <c r="O233" i="1" s="1"/>
  <c r="K302" i="1"/>
  <c r="L302" i="1" s="1"/>
  <c r="J302" i="1"/>
  <c r="M302" i="1" s="1"/>
  <c r="O302" i="1" s="1"/>
  <c r="K174" i="1"/>
  <c r="L174" i="1" s="1"/>
  <c r="J174" i="1"/>
  <c r="M174" i="1" s="1"/>
  <c r="O174" i="1" s="1"/>
  <c r="K316" i="1"/>
  <c r="L316" i="1" s="1"/>
  <c r="J316" i="1"/>
  <c r="M316" i="1" s="1"/>
  <c r="O316" i="1" s="1"/>
  <c r="K83" i="1"/>
  <c r="L83" i="1" s="1"/>
  <c r="J83" i="1"/>
  <c r="M83" i="1" s="1"/>
  <c r="O83" i="1" s="1"/>
  <c r="K251" i="1"/>
  <c r="L251" i="1" s="1"/>
  <c r="J251" i="1"/>
  <c r="M251" i="1" s="1"/>
  <c r="O251" i="1" s="1"/>
  <c r="K202" i="1"/>
  <c r="L202" i="1" s="1"/>
  <c r="J202" i="1"/>
  <c r="M202" i="1" s="1"/>
  <c r="O202" i="1" s="1"/>
  <c r="K317" i="1"/>
  <c r="L317" i="1" s="1"/>
  <c r="J317" i="1"/>
  <c r="M317" i="1" s="1"/>
  <c r="O317" i="1" s="1"/>
  <c r="K167" i="1"/>
  <c r="L167" i="1" s="1"/>
  <c r="J167" i="1"/>
  <c r="M167" i="1" s="1"/>
  <c r="O167" i="1" s="1"/>
  <c r="K132" i="1"/>
  <c r="L132" i="1" s="1"/>
  <c r="J132" i="1"/>
  <c r="M132" i="1" s="1"/>
  <c r="O132" i="1" s="1"/>
  <c r="K204" i="1"/>
  <c r="L204" i="1" s="1"/>
  <c r="J204" i="1"/>
  <c r="M204" i="1" s="1"/>
  <c r="O204" i="1" s="1"/>
  <c r="K318" i="1"/>
  <c r="L318" i="1" s="1"/>
  <c r="J318" i="1"/>
  <c r="M318" i="1" s="1"/>
  <c r="O318" i="1" s="1"/>
  <c r="K297" i="1"/>
  <c r="L297" i="1" s="1"/>
  <c r="J297" i="1"/>
  <c r="M297" i="1" s="1"/>
  <c r="O297" i="1" s="1"/>
  <c r="K294" i="1"/>
  <c r="L294" i="1" s="1"/>
  <c r="J294" i="1"/>
  <c r="M294" i="1" s="1"/>
  <c r="O294" i="1" s="1"/>
  <c r="K148" i="1"/>
  <c r="L148" i="1" s="1"/>
  <c r="J148" i="1"/>
  <c r="M148" i="1" s="1"/>
  <c r="O148" i="1" s="1"/>
  <c r="K62" i="1"/>
  <c r="L62" i="1" s="1"/>
  <c r="J62" i="1"/>
  <c r="M62" i="1" s="1"/>
  <c r="O62" i="1" s="1"/>
  <c r="K156" i="1"/>
  <c r="L156" i="1" s="1"/>
  <c r="J156" i="1"/>
  <c r="M156" i="1" s="1"/>
  <c r="O156" i="1" s="1"/>
  <c r="K357" i="1"/>
  <c r="L357" i="1" s="1"/>
  <c r="J357" i="1"/>
  <c r="M357" i="1" s="1"/>
  <c r="O357" i="1" s="1"/>
  <c r="K367" i="1"/>
  <c r="L367" i="1" s="1"/>
  <c r="J367" i="1"/>
  <c r="M367" i="1" s="1"/>
  <c r="O367" i="1" s="1"/>
  <c r="K103" i="1"/>
  <c r="L103" i="1" s="1"/>
  <c r="J103" i="1"/>
  <c r="M103" i="1" s="1"/>
  <c r="O103" i="1" s="1"/>
  <c r="K214" i="1"/>
  <c r="L214" i="1" s="1"/>
  <c r="J214" i="1"/>
  <c r="M214" i="1" s="1"/>
  <c r="O214" i="1" s="1"/>
  <c r="K196" i="1"/>
  <c r="L196" i="1" s="1"/>
  <c r="J196" i="1"/>
  <c r="M196" i="1" s="1"/>
  <c r="O196" i="1" s="1"/>
  <c r="K91" i="1"/>
  <c r="L91" i="1" s="1"/>
  <c r="J91" i="1"/>
  <c r="M91" i="1" s="1"/>
  <c r="O91" i="1" s="1"/>
  <c r="K363" i="1"/>
  <c r="L363" i="1" s="1"/>
  <c r="J363" i="1"/>
  <c r="M363" i="1" s="1"/>
  <c r="O363" i="1" s="1"/>
  <c r="K322" i="1"/>
  <c r="L322" i="1" s="1"/>
  <c r="J322" i="1"/>
  <c r="M322" i="1" s="1"/>
  <c r="O322" i="1" s="1"/>
  <c r="K73" i="1"/>
  <c r="L73" i="1" s="1"/>
  <c r="J73" i="1"/>
  <c r="M73" i="1" s="1"/>
  <c r="O73" i="1" s="1"/>
  <c r="K306" i="1"/>
  <c r="L306" i="1" s="1"/>
  <c r="J306" i="1"/>
  <c r="M306" i="1" s="1"/>
  <c r="O306" i="1" s="1"/>
  <c r="K171" i="1"/>
  <c r="L171" i="1" s="1"/>
  <c r="J171" i="1"/>
  <c r="M171" i="1" s="1"/>
  <c r="O171" i="1" s="1"/>
  <c r="K210" i="1"/>
  <c r="L210" i="1" s="1"/>
  <c r="J210" i="1"/>
  <c r="M210" i="1" s="1"/>
  <c r="O210" i="1" s="1"/>
  <c r="K138" i="1"/>
  <c r="L138" i="1" s="1"/>
  <c r="J138" i="1"/>
  <c r="M138" i="1" s="1"/>
  <c r="O138" i="1" s="1"/>
  <c r="K339" i="1"/>
  <c r="L339" i="1" s="1"/>
  <c r="J339" i="1"/>
  <c r="M339" i="1" s="1"/>
  <c r="O339" i="1" s="1"/>
  <c r="K74" i="1"/>
  <c r="L74" i="1" s="1"/>
  <c r="J74" i="1"/>
  <c r="M74" i="1" s="1"/>
  <c r="O74" i="1" s="1"/>
  <c r="K67" i="1"/>
  <c r="L67" i="1" s="1"/>
  <c r="J67" i="1"/>
  <c r="M67" i="1" s="1"/>
  <c r="O67" i="1" s="1"/>
  <c r="K99" i="1"/>
  <c r="L99" i="1" s="1"/>
  <c r="J99" i="1"/>
  <c r="M99" i="1" s="1"/>
  <c r="O99" i="1" s="1"/>
  <c r="K131" i="1"/>
  <c r="L131" i="1" s="1"/>
  <c r="J131" i="1"/>
  <c r="M131" i="1" s="1"/>
  <c r="O131" i="1" s="1"/>
  <c r="K161" i="1"/>
  <c r="L161" i="1" s="1"/>
  <c r="J161" i="1"/>
  <c r="M161" i="1" s="1"/>
  <c r="O161" i="1" s="1"/>
  <c r="K234" i="1"/>
  <c r="L234" i="1" s="1"/>
  <c r="J234" i="1"/>
  <c r="M234" i="1" s="1"/>
  <c r="O234" i="1" s="1"/>
  <c r="K265" i="1"/>
  <c r="L265" i="1" s="1"/>
  <c r="J265" i="1"/>
  <c r="M265" i="1" s="1"/>
  <c r="O265" i="1" s="1"/>
  <c r="K362" i="1"/>
  <c r="L362" i="1" s="1"/>
  <c r="J362" i="1"/>
  <c r="M362" i="1" s="1"/>
  <c r="O362" i="1" s="1"/>
  <c r="K147" i="1"/>
  <c r="L147" i="1" s="1"/>
  <c r="J147" i="1"/>
  <c r="M147" i="1" s="1"/>
  <c r="O147" i="1" s="1"/>
  <c r="K219" i="1"/>
  <c r="L219" i="1" s="1"/>
  <c r="J219" i="1"/>
  <c r="M219" i="1" s="1"/>
  <c r="O219" i="1" s="1"/>
  <c r="K250" i="1"/>
  <c r="L250" i="1" s="1"/>
  <c r="J250" i="1"/>
  <c r="M250" i="1" s="1"/>
  <c r="O250" i="1" s="1"/>
  <c r="K289" i="1"/>
  <c r="L289" i="1" s="1"/>
  <c r="J289" i="1"/>
  <c r="M289" i="1" s="1"/>
  <c r="O289" i="1" s="1"/>
  <c r="K274" i="1"/>
  <c r="L274" i="1" s="1"/>
  <c r="J274" i="1"/>
  <c r="M274" i="1" s="1"/>
  <c r="O274" i="1" s="1"/>
  <c r="K163" i="1"/>
  <c r="L163" i="1" s="1"/>
  <c r="J163" i="1"/>
  <c r="M163" i="1" s="1"/>
  <c r="O163" i="1" s="1"/>
  <c r="K121" i="1"/>
  <c r="L121" i="1" s="1"/>
  <c r="J121" i="1"/>
  <c r="M121" i="1" s="1"/>
  <c r="O121" i="1" s="1"/>
  <c r="K178" i="1"/>
  <c r="L178" i="1" s="1"/>
  <c r="J178" i="1"/>
  <c r="M178" i="1" s="1"/>
  <c r="O178" i="1" s="1"/>
  <c r="K283" i="1"/>
  <c r="L283" i="1" s="1"/>
  <c r="J283" i="1"/>
  <c r="M283" i="1" s="1"/>
  <c r="O283" i="1" s="1"/>
  <c r="K313" i="1"/>
  <c r="L313" i="1" s="1"/>
  <c r="J313" i="1"/>
  <c r="M313" i="1" s="1"/>
  <c r="O313" i="1" s="1"/>
  <c r="K201" i="1"/>
  <c r="L201" i="1" s="1"/>
  <c r="J201" i="1"/>
  <c r="M201" i="1" s="1"/>
  <c r="O201" i="1" s="1"/>
  <c r="K137" i="1"/>
  <c r="L137" i="1" s="1"/>
  <c r="J137" i="1"/>
  <c r="M137" i="1" s="1"/>
  <c r="O137" i="1" s="1"/>
  <c r="K186" i="1"/>
  <c r="L186" i="1" s="1"/>
  <c r="J186" i="1"/>
  <c r="M186" i="1" s="1"/>
  <c r="O186" i="1" s="1"/>
  <c r="K329" i="1"/>
  <c r="L329" i="1" s="1"/>
  <c r="J329" i="1"/>
  <c r="M329" i="1" s="1"/>
  <c r="O329" i="1" s="1"/>
  <c r="K241" i="1"/>
  <c r="L241" i="1" s="1"/>
  <c r="J241" i="1"/>
  <c r="M241" i="1" s="1"/>
  <c r="O241" i="1" s="1"/>
  <c r="K106" i="1"/>
  <c r="L106" i="1" s="1"/>
  <c r="J106" i="1"/>
  <c r="M106" i="1" s="1"/>
  <c r="O106" i="1" s="1"/>
  <c r="K331" i="1"/>
  <c r="L331" i="1" s="1"/>
  <c r="J331" i="1"/>
  <c r="M331" i="1" s="1"/>
  <c r="O331" i="1" s="1"/>
  <c r="K361" i="1"/>
  <c r="L361" i="1" s="1"/>
  <c r="J361" i="1"/>
  <c r="M361" i="1" s="1"/>
  <c r="O361" i="1" s="1"/>
  <c r="K82" i="1"/>
  <c r="L82" i="1" s="1"/>
  <c r="J82" i="1"/>
  <c r="M82" i="1" s="1"/>
  <c r="O82" i="1" s="1"/>
  <c r="K130" i="1"/>
  <c r="L130" i="1" s="1"/>
  <c r="J130" i="1"/>
  <c r="M130" i="1" s="1"/>
  <c r="O130" i="1" s="1"/>
  <c r="K346" i="1"/>
  <c r="L346" i="1" s="1"/>
  <c r="J346" i="1"/>
  <c r="M346" i="1" s="1"/>
  <c r="O346" i="1" s="1"/>
  <c r="K115" i="1"/>
  <c r="L115" i="1" s="1"/>
  <c r="J115" i="1"/>
  <c r="M115" i="1" s="1"/>
  <c r="O115" i="1" s="1"/>
  <c r="K218" i="1"/>
  <c r="L218" i="1" s="1"/>
  <c r="J218" i="1"/>
  <c r="M218" i="1" s="1"/>
  <c r="O218" i="1" s="1"/>
  <c r="K235" i="1"/>
  <c r="L235" i="1" s="1"/>
  <c r="J235" i="1"/>
  <c r="M235" i="1" s="1"/>
  <c r="O235" i="1" s="1"/>
  <c r="K355" i="1"/>
  <c r="L355" i="1" s="1"/>
  <c r="J355" i="1"/>
  <c r="M355" i="1" s="1"/>
  <c r="O355" i="1" s="1"/>
  <c r="K177" i="1"/>
  <c r="L177" i="1" s="1"/>
  <c r="J177" i="1"/>
  <c r="M177" i="1" s="1"/>
  <c r="O177" i="1" s="1"/>
  <c r="K298" i="1"/>
  <c r="L298" i="1" s="1"/>
  <c r="J298" i="1"/>
  <c r="M298" i="1" s="1"/>
  <c r="O298" i="1" s="1"/>
  <c r="K314" i="1"/>
  <c r="L314" i="1" s="1"/>
  <c r="J314" i="1"/>
  <c r="M314" i="1" s="1"/>
  <c r="O314" i="1" s="1"/>
  <c r="K66" i="1"/>
  <c r="L66" i="1" s="1"/>
  <c r="J66" i="1"/>
  <c r="M66" i="1" s="1"/>
  <c r="O66" i="1" s="1"/>
  <c r="K68" i="1"/>
  <c r="L68" i="1" s="1"/>
  <c r="J68" i="1"/>
  <c r="M68" i="1" s="1"/>
  <c r="O68" i="1" s="1"/>
  <c r="K176" i="1"/>
  <c r="L176" i="1" s="1"/>
  <c r="J176" i="1"/>
  <c r="M176" i="1" s="1"/>
  <c r="O176" i="1" s="1"/>
  <c r="K273" i="1"/>
  <c r="L273" i="1" s="1"/>
  <c r="J273" i="1"/>
  <c r="M273" i="1" s="1"/>
  <c r="O273" i="1" s="1"/>
  <c r="K64" i="1"/>
  <c r="L64" i="1" s="1"/>
  <c r="J64" i="1"/>
  <c r="M64" i="1" s="1"/>
  <c r="O64" i="1" s="1"/>
  <c r="K152" i="1"/>
  <c r="L152" i="1" s="1"/>
  <c r="J152" i="1"/>
  <c r="M152" i="1" s="1"/>
  <c r="O152" i="1" s="1"/>
  <c r="K117" i="1"/>
  <c r="L117" i="1" s="1"/>
  <c r="J117" i="1"/>
  <c r="M117" i="1" s="1"/>
  <c r="O117" i="1" s="1"/>
  <c r="K205" i="1"/>
  <c r="L205" i="1" s="1"/>
  <c r="J205" i="1"/>
  <c r="M205" i="1" s="1"/>
  <c r="O205" i="1" s="1"/>
  <c r="K126" i="1"/>
  <c r="L126" i="1" s="1"/>
  <c r="J126" i="1"/>
  <c r="M126" i="1" s="1"/>
  <c r="O126" i="1" s="1"/>
  <c r="K237" i="1"/>
  <c r="L237" i="1" s="1"/>
  <c r="J237" i="1"/>
  <c r="M237" i="1" s="1"/>
  <c r="O237" i="1" s="1"/>
  <c r="K328" i="1"/>
  <c r="L328" i="1" s="1"/>
  <c r="J328" i="1"/>
  <c r="M328" i="1" s="1"/>
  <c r="O328" i="1" s="1"/>
  <c r="K254" i="1"/>
  <c r="L254" i="1" s="1"/>
  <c r="J254" i="1"/>
  <c r="M254" i="1" s="1"/>
  <c r="O254" i="1" s="1"/>
  <c r="K71" i="1"/>
  <c r="L71" i="1" s="1"/>
  <c r="J71" i="1"/>
  <c r="M71" i="1" s="1"/>
  <c r="O71" i="1" s="1"/>
  <c r="K165" i="1"/>
  <c r="L165" i="1" s="1"/>
  <c r="J165" i="1"/>
  <c r="M165" i="1" s="1"/>
  <c r="O165" i="1" s="1"/>
  <c r="K276" i="1"/>
  <c r="L276" i="1" s="1"/>
  <c r="J276" i="1"/>
  <c r="M276" i="1" s="1"/>
  <c r="O276" i="1" s="1"/>
  <c r="K104" i="1"/>
  <c r="L104" i="1" s="1"/>
  <c r="J104" i="1"/>
  <c r="M104" i="1" s="1"/>
  <c r="O104" i="1" s="1"/>
  <c r="K129" i="1"/>
  <c r="L129" i="1" s="1"/>
  <c r="J129" i="1"/>
  <c r="M129" i="1" s="1"/>
  <c r="O129" i="1" s="1"/>
  <c r="K193" i="1"/>
  <c r="L193" i="1" s="1"/>
  <c r="J193" i="1"/>
  <c r="M193" i="1" s="1"/>
  <c r="O193" i="1" s="1"/>
  <c r="K168" i="1"/>
  <c r="L168" i="1" s="1"/>
  <c r="J168" i="1"/>
  <c r="M168" i="1" s="1"/>
  <c r="O168" i="1" s="1"/>
  <c r="K169" i="1"/>
  <c r="L169" i="1" s="1"/>
  <c r="J169" i="1"/>
  <c r="M169" i="1" s="1"/>
  <c r="O169" i="1" s="1"/>
  <c r="K123" i="1"/>
  <c r="L123" i="1" s="1"/>
  <c r="J123" i="1"/>
  <c r="M123" i="1" s="1"/>
  <c r="O123" i="1" s="1"/>
  <c r="K226" i="1"/>
  <c r="L226" i="1" s="1"/>
  <c r="J226" i="1"/>
  <c r="M226" i="1" s="1"/>
  <c r="O226" i="1" s="1"/>
  <c r="K243" i="1"/>
  <c r="L243" i="1" s="1"/>
  <c r="J243" i="1"/>
  <c r="M243" i="1" s="1"/>
  <c r="O243" i="1" s="1"/>
  <c r="K305" i="1"/>
  <c r="L305" i="1" s="1"/>
  <c r="J305" i="1"/>
  <c r="M305" i="1" s="1"/>
  <c r="O305" i="1" s="1"/>
  <c r="K323" i="1"/>
  <c r="L323" i="1" s="1"/>
  <c r="J323" i="1"/>
  <c r="M323" i="1" s="1"/>
  <c r="O323" i="1" s="1"/>
  <c r="K155" i="1"/>
  <c r="L155" i="1" s="1"/>
  <c r="J155" i="1"/>
  <c r="M155" i="1" s="1"/>
  <c r="O155" i="1" s="1"/>
  <c r="K275" i="1"/>
  <c r="L275" i="1" s="1"/>
  <c r="J275" i="1"/>
  <c r="M275" i="1" s="1"/>
  <c r="O275" i="1" s="1"/>
  <c r="K122" i="1"/>
  <c r="L122" i="1" s="1"/>
  <c r="J122" i="1"/>
  <c r="M122" i="1" s="1"/>
  <c r="O122" i="1" s="1"/>
  <c r="K197" i="1"/>
  <c r="L197" i="1" s="1"/>
  <c r="J197" i="1"/>
  <c r="M197" i="1" s="1"/>
  <c r="O197" i="1" s="1"/>
  <c r="K303" i="1"/>
  <c r="L303" i="1" s="1"/>
  <c r="J303" i="1"/>
  <c r="M303" i="1" s="1"/>
  <c r="O303" i="1" s="1"/>
  <c r="K332" i="1"/>
  <c r="L332" i="1" s="1"/>
  <c r="J332" i="1"/>
  <c r="M332" i="1" s="1"/>
  <c r="O332" i="1" s="1"/>
  <c r="K65" i="1"/>
  <c r="L65" i="1" s="1"/>
  <c r="J65" i="1"/>
  <c r="M65" i="1" s="1"/>
  <c r="O65" i="1" s="1"/>
  <c r="K255" i="1"/>
  <c r="L255" i="1" s="1"/>
  <c r="J255" i="1"/>
  <c r="M255" i="1" s="1"/>
  <c r="O255" i="1" s="1"/>
  <c r="K84" i="1"/>
  <c r="L84" i="1" s="1"/>
  <c r="J84" i="1"/>
  <c r="M84" i="1" s="1"/>
  <c r="O84" i="1" s="1"/>
  <c r="K116" i="1"/>
  <c r="L116" i="1" s="1"/>
  <c r="J116" i="1"/>
  <c r="M116" i="1" s="1"/>
  <c r="O116" i="1" s="1"/>
  <c r="K191" i="1"/>
  <c r="L191" i="1" s="1"/>
  <c r="J191" i="1"/>
  <c r="M191" i="1" s="1"/>
  <c r="O191" i="1" s="1"/>
  <c r="K333" i="1"/>
  <c r="L333" i="1" s="1"/>
  <c r="J333" i="1"/>
  <c r="M333" i="1" s="1"/>
  <c r="O333" i="1" s="1"/>
  <c r="K220" i="1"/>
  <c r="L220" i="1" s="1"/>
  <c r="J220" i="1"/>
  <c r="M220" i="1" s="1"/>
  <c r="O220" i="1" s="1"/>
  <c r="K319" i="1"/>
  <c r="L319" i="1" s="1"/>
  <c r="J319" i="1"/>
  <c r="M319" i="1" s="1"/>
  <c r="O319" i="1" s="1"/>
  <c r="K356" i="1"/>
  <c r="L356" i="1" s="1"/>
  <c r="J356" i="1"/>
  <c r="M356" i="1" s="1"/>
  <c r="O356" i="1" s="1"/>
  <c r="K136" i="1"/>
  <c r="L136" i="1" s="1"/>
  <c r="J136" i="1"/>
  <c r="M136" i="1" s="1"/>
  <c r="O136" i="1" s="1"/>
  <c r="K247" i="1"/>
  <c r="L247" i="1" s="1"/>
  <c r="J247" i="1"/>
  <c r="M247" i="1" s="1"/>
  <c r="O247" i="1" s="1"/>
  <c r="K351" i="1"/>
  <c r="L351" i="1" s="1"/>
  <c r="J351" i="1"/>
  <c r="M351" i="1" s="1"/>
  <c r="O351" i="1" s="1"/>
  <c r="K216" i="1"/>
  <c r="L216" i="1" s="1"/>
  <c r="J216" i="1"/>
  <c r="M216" i="1" s="1"/>
  <c r="O216" i="1" s="1"/>
  <c r="K69" i="1"/>
  <c r="L69" i="1" s="1"/>
  <c r="J69" i="1"/>
  <c r="M69" i="1" s="1"/>
  <c r="O69" i="1" s="1"/>
  <c r="K101" i="1"/>
  <c r="L101" i="1" s="1"/>
  <c r="J101" i="1"/>
  <c r="M101" i="1" s="1"/>
  <c r="O101" i="1" s="1"/>
  <c r="K133" i="1"/>
  <c r="L133" i="1" s="1"/>
  <c r="J133" i="1"/>
  <c r="M133" i="1" s="1"/>
  <c r="O133" i="1" s="1"/>
  <c r="K192" i="1"/>
  <c r="L192" i="1" s="1"/>
  <c r="J192" i="1"/>
  <c r="M192" i="1" s="1"/>
  <c r="O192" i="1" s="1"/>
  <c r="K244" i="1"/>
  <c r="L244" i="1" s="1"/>
  <c r="J244" i="1"/>
  <c r="M244" i="1" s="1"/>
  <c r="O244" i="1" s="1"/>
  <c r="K348" i="1"/>
  <c r="L348" i="1" s="1"/>
  <c r="J348" i="1"/>
  <c r="M348" i="1" s="1"/>
  <c r="O348" i="1" s="1"/>
  <c r="K270" i="1"/>
  <c r="L270" i="1" s="1"/>
  <c r="J270" i="1"/>
  <c r="M270" i="1" s="1"/>
  <c r="O270" i="1" s="1"/>
  <c r="K78" i="1"/>
  <c r="L78" i="1" s="1"/>
  <c r="J78" i="1"/>
  <c r="M78" i="1" s="1"/>
  <c r="O78" i="1" s="1"/>
  <c r="K110" i="1"/>
  <c r="L110" i="1" s="1"/>
  <c r="J110" i="1"/>
  <c r="M110" i="1" s="1"/>
  <c r="O110" i="1" s="1"/>
  <c r="K142" i="1"/>
  <c r="L142" i="1" s="1"/>
  <c r="J142" i="1"/>
  <c r="M142" i="1" s="1"/>
  <c r="O142" i="1" s="1"/>
  <c r="K221" i="1"/>
  <c r="L221" i="1" s="1"/>
  <c r="J221" i="1"/>
  <c r="M221" i="1" s="1"/>
  <c r="O221" i="1" s="1"/>
  <c r="K252" i="1"/>
  <c r="L252" i="1" s="1"/>
  <c r="J252" i="1"/>
  <c r="M252" i="1" s="1"/>
  <c r="O252" i="1" s="1"/>
  <c r="K343" i="1"/>
  <c r="L343" i="1" s="1"/>
  <c r="J343" i="1"/>
  <c r="M343" i="1" s="1"/>
  <c r="O343" i="1" s="1"/>
  <c r="K96" i="1"/>
  <c r="L96" i="1" s="1"/>
  <c r="J96" i="1"/>
  <c r="M96" i="1" s="1"/>
  <c r="O96" i="1" s="1"/>
  <c r="K300" i="1"/>
  <c r="L300" i="1" s="1"/>
  <c r="J300" i="1"/>
  <c r="M300" i="1" s="1"/>
  <c r="O300" i="1" s="1"/>
  <c r="K345" i="1"/>
  <c r="L345" i="1" s="1"/>
  <c r="J345" i="1"/>
  <c r="M345" i="1" s="1"/>
  <c r="O345" i="1" s="1"/>
  <c r="K87" i="1"/>
  <c r="L87" i="1" s="1"/>
  <c r="J87" i="1"/>
  <c r="M87" i="1" s="1"/>
  <c r="O87" i="1" s="1"/>
  <c r="K119" i="1"/>
  <c r="L119" i="1" s="1"/>
  <c r="J119" i="1"/>
  <c r="M119" i="1" s="1"/>
  <c r="O119" i="1" s="1"/>
  <c r="K150" i="1"/>
  <c r="L150" i="1" s="1"/>
  <c r="J150" i="1"/>
  <c r="M150" i="1" s="1"/>
  <c r="O150" i="1" s="1"/>
  <c r="K230" i="1"/>
  <c r="L230" i="1" s="1"/>
  <c r="J230" i="1"/>
  <c r="M230" i="1" s="1"/>
  <c r="O230" i="1" s="1"/>
  <c r="K261" i="1"/>
  <c r="L261" i="1" s="1"/>
  <c r="J261" i="1"/>
  <c r="M261" i="1" s="1"/>
  <c r="O261" i="1" s="1"/>
  <c r="K292" i="1"/>
  <c r="L292" i="1" s="1"/>
  <c r="J292" i="1"/>
  <c r="M292" i="1" s="1"/>
  <c r="O292" i="1" s="1"/>
  <c r="K366" i="1"/>
  <c r="L366" i="1" s="1"/>
  <c r="J366" i="1"/>
  <c r="M366" i="1" s="1"/>
  <c r="O366" i="1" s="1"/>
  <c r="K144" i="1"/>
  <c r="L144" i="1" s="1"/>
  <c r="J144" i="1"/>
  <c r="M144" i="1" s="1"/>
  <c r="O144" i="1" s="1"/>
  <c r="K262" i="1"/>
  <c r="L262" i="1" s="1"/>
  <c r="J262" i="1"/>
  <c r="M262" i="1" s="1"/>
  <c r="O262" i="1" s="1"/>
  <c r="K359" i="1"/>
  <c r="L359" i="1" s="1"/>
  <c r="J359" i="1"/>
  <c r="M359" i="1" s="1"/>
  <c r="O359" i="1" s="1"/>
  <c r="K224" i="1"/>
  <c r="L224" i="1" s="1"/>
  <c r="J224" i="1"/>
  <c r="M224" i="1" s="1"/>
  <c r="O224" i="1" s="1"/>
  <c r="K158" i="1"/>
  <c r="L158" i="1" s="1"/>
  <c r="J158" i="1"/>
  <c r="M158" i="1" s="1"/>
  <c r="O158" i="1" s="1"/>
  <c r="K301" i="1"/>
  <c r="L301" i="1" s="1"/>
  <c r="J301" i="1"/>
  <c r="M301" i="1" s="1"/>
  <c r="O301" i="1" s="1"/>
  <c r="K287" i="1"/>
  <c r="L287" i="1" s="1"/>
  <c r="J287" i="1"/>
  <c r="M287" i="1" s="1"/>
  <c r="O287" i="1" s="1"/>
  <c r="K296" i="1"/>
  <c r="L296" i="1" s="1"/>
  <c r="J296" i="1"/>
  <c r="M296" i="1" s="1"/>
  <c r="O296" i="1" s="1"/>
  <c r="K181" i="1"/>
  <c r="L181" i="1" s="1"/>
  <c r="J181" i="1"/>
  <c r="M181" i="1" s="1"/>
  <c r="O181" i="1" s="1"/>
  <c r="K160" i="1"/>
  <c r="L160" i="1" s="1"/>
  <c r="J160" i="1"/>
  <c r="M160" i="1" s="1"/>
  <c r="O160" i="1" s="1"/>
  <c r="K75" i="1"/>
  <c r="L75" i="1" s="1"/>
  <c r="J75" i="1"/>
  <c r="M75" i="1" s="1"/>
  <c r="O75" i="1" s="1"/>
  <c r="K107" i="1"/>
  <c r="L107" i="1" s="1"/>
  <c r="J107" i="1"/>
  <c r="M107" i="1" s="1"/>
  <c r="O107" i="1" s="1"/>
  <c r="K139" i="1"/>
  <c r="L139" i="1" s="1"/>
  <c r="J139" i="1"/>
  <c r="M139" i="1" s="1"/>
  <c r="O139" i="1" s="1"/>
  <c r="K211" i="1"/>
  <c r="L211" i="1" s="1"/>
  <c r="J211" i="1"/>
  <c r="M211" i="1" s="1"/>
  <c r="O211" i="1" s="1"/>
  <c r="K242" i="1"/>
  <c r="L242" i="1" s="1"/>
  <c r="J242" i="1"/>
  <c r="M242" i="1" s="1"/>
  <c r="O242" i="1" s="1"/>
  <c r="K113" i="1"/>
  <c r="L113" i="1" s="1"/>
  <c r="J113" i="1"/>
  <c r="M113" i="1" s="1"/>
  <c r="O113" i="1" s="1"/>
  <c r="K330" i="1"/>
  <c r="L330" i="1" s="1"/>
  <c r="J330" i="1"/>
  <c r="M330" i="1" s="1"/>
  <c r="O330" i="1" s="1"/>
  <c r="K162" i="1"/>
  <c r="L162" i="1" s="1"/>
  <c r="J162" i="1"/>
  <c r="M162" i="1" s="1"/>
  <c r="O162" i="1" s="1"/>
  <c r="K227" i="1"/>
  <c r="L227" i="1" s="1"/>
  <c r="J227" i="1"/>
  <c r="M227" i="1" s="1"/>
  <c r="O227" i="1" s="1"/>
  <c r="K258" i="1"/>
  <c r="L258" i="1" s="1"/>
  <c r="J258" i="1"/>
  <c r="M258" i="1" s="1"/>
  <c r="O258" i="1" s="1"/>
  <c r="K290" i="1"/>
  <c r="L290" i="1" s="1"/>
  <c r="J290" i="1"/>
  <c r="M290" i="1" s="1"/>
  <c r="O290" i="1" s="1"/>
  <c r="K97" i="1"/>
  <c r="L97" i="1" s="1"/>
  <c r="J97" i="1"/>
  <c r="M97" i="1" s="1"/>
  <c r="O97" i="1" s="1"/>
  <c r="K170" i="1"/>
  <c r="L170" i="1" s="1"/>
  <c r="J170" i="1"/>
  <c r="M170" i="1" s="1"/>
  <c r="O170" i="1" s="1"/>
  <c r="K259" i="1"/>
  <c r="L259" i="1" s="1"/>
  <c r="J259" i="1"/>
  <c r="M259" i="1" s="1"/>
  <c r="O259" i="1" s="1"/>
  <c r="K338" i="1"/>
  <c r="L338" i="1" s="1"/>
  <c r="J338" i="1"/>
  <c r="M338" i="1" s="1"/>
  <c r="O338" i="1" s="1"/>
  <c r="K185" i="1"/>
  <c r="L185" i="1" s="1"/>
  <c r="J185" i="1"/>
  <c r="M185" i="1" s="1"/>
  <c r="O185" i="1" s="1"/>
  <c r="K291" i="1"/>
  <c r="L291" i="1" s="1"/>
  <c r="J291" i="1"/>
  <c r="M291" i="1" s="1"/>
  <c r="O291" i="1" s="1"/>
  <c r="K299" i="1"/>
  <c r="L299" i="1" s="1"/>
  <c r="J299" i="1"/>
  <c r="M299" i="1" s="1"/>
  <c r="O299" i="1" s="1"/>
  <c r="K179" i="1"/>
  <c r="L179" i="1" s="1"/>
  <c r="J179" i="1"/>
  <c r="M179" i="1" s="1"/>
  <c r="O179" i="1" s="1"/>
  <c r="K353" i="1"/>
  <c r="L353" i="1" s="1"/>
  <c r="J353" i="1"/>
  <c r="M353" i="1" s="1"/>
  <c r="O353" i="1" s="1"/>
  <c r="K90" i="1"/>
  <c r="L90" i="1" s="1"/>
  <c r="J90" i="1"/>
  <c r="M90" i="1" s="1"/>
  <c r="O90" i="1" s="1"/>
  <c r="K175" i="1"/>
  <c r="L175" i="1" s="1"/>
  <c r="J175" i="1"/>
  <c r="M175" i="1" s="1"/>
  <c r="O175" i="1" s="1"/>
  <c r="K272" i="1"/>
  <c r="L272" i="1" s="1"/>
  <c r="J272" i="1"/>
  <c r="M272" i="1" s="1"/>
  <c r="O272" i="1" s="1"/>
  <c r="K311" i="1"/>
  <c r="L311" i="1" s="1"/>
  <c r="J311" i="1"/>
  <c r="M311" i="1" s="1"/>
  <c r="O311" i="1" s="1"/>
  <c r="K340" i="1"/>
  <c r="L340" i="1" s="1"/>
  <c r="J340" i="1"/>
  <c r="M340" i="1" s="1"/>
  <c r="O340" i="1" s="1"/>
  <c r="K72" i="1"/>
  <c r="L72" i="1" s="1"/>
  <c r="J72" i="1"/>
  <c r="M72" i="1" s="1"/>
  <c r="O72" i="1" s="1"/>
  <c r="K92" i="1"/>
  <c r="L92" i="1" s="1"/>
  <c r="J92" i="1"/>
  <c r="M92" i="1" s="1"/>
  <c r="O92" i="1" s="1"/>
  <c r="K124" i="1"/>
  <c r="L124" i="1" s="1"/>
  <c r="J124" i="1"/>
  <c r="M124" i="1" s="1"/>
  <c r="O124" i="1" s="1"/>
  <c r="K198" i="1"/>
  <c r="L198" i="1" s="1"/>
  <c r="J198" i="1"/>
  <c r="M198" i="1" s="1"/>
  <c r="O198" i="1" s="1"/>
  <c r="K304" i="1"/>
  <c r="L304" i="1" s="1"/>
  <c r="J304" i="1"/>
  <c r="M304" i="1" s="1"/>
  <c r="O304" i="1" s="1"/>
  <c r="K341" i="1"/>
  <c r="L341" i="1" s="1"/>
  <c r="J341" i="1"/>
  <c r="M341" i="1" s="1"/>
  <c r="O341" i="1" s="1"/>
  <c r="K236" i="1"/>
  <c r="L236" i="1" s="1"/>
  <c r="J236" i="1"/>
  <c r="M236" i="1" s="1"/>
  <c r="O236" i="1" s="1"/>
  <c r="K327" i="1"/>
  <c r="L327" i="1" s="1"/>
  <c r="J327" i="1"/>
  <c r="M327" i="1" s="1"/>
  <c r="O327" i="1" s="1"/>
  <c r="K364" i="1"/>
  <c r="L364" i="1" s="1"/>
  <c r="J364" i="1"/>
  <c r="M364" i="1" s="1"/>
  <c r="O364" i="1" s="1"/>
  <c r="K166" i="1"/>
  <c r="L166" i="1" s="1"/>
  <c r="J166" i="1"/>
  <c r="M166" i="1" s="1"/>
  <c r="O166" i="1" s="1"/>
  <c r="K269" i="1"/>
  <c r="L269" i="1" s="1"/>
  <c r="J269" i="1"/>
  <c r="M269" i="1" s="1"/>
  <c r="O269" i="1" s="1"/>
  <c r="K263" i="1"/>
  <c r="L263" i="1" s="1"/>
  <c r="J263" i="1"/>
  <c r="M263" i="1" s="1"/>
  <c r="O263" i="1" s="1"/>
  <c r="K77" i="1"/>
  <c r="L77" i="1" s="1"/>
  <c r="J77" i="1"/>
  <c r="M77" i="1" s="1"/>
  <c r="O77" i="1" s="1"/>
  <c r="K109" i="1"/>
  <c r="L109" i="1" s="1"/>
  <c r="J109" i="1"/>
  <c r="M109" i="1" s="1"/>
  <c r="O109" i="1" s="1"/>
  <c r="K141" i="1"/>
  <c r="L141" i="1" s="1"/>
  <c r="J141" i="1"/>
  <c r="M141" i="1" s="1"/>
  <c r="O141" i="1" s="1"/>
  <c r="K199" i="1"/>
  <c r="L199" i="1" s="1"/>
  <c r="J199" i="1"/>
  <c r="M199" i="1" s="1"/>
  <c r="O199" i="1" s="1"/>
  <c r="K80" i="1"/>
  <c r="L80" i="1" s="1"/>
  <c r="J80" i="1"/>
  <c r="M80" i="1" s="1"/>
  <c r="O80" i="1" s="1"/>
  <c r="K159" i="1"/>
  <c r="L159" i="1" s="1"/>
  <c r="J159" i="1"/>
  <c r="M159" i="1" s="1"/>
  <c r="O159" i="1" s="1"/>
  <c r="K86" i="1"/>
  <c r="L86" i="1" s="1"/>
  <c r="J86" i="1"/>
  <c r="M86" i="1" s="1"/>
  <c r="O86" i="1" s="1"/>
  <c r="K118" i="1"/>
  <c r="L118" i="1" s="1"/>
  <c r="J118" i="1"/>
  <c r="M118" i="1" s="1"/>
  <c r="O118" i="1" s="1"/>
  <c r="K149" i="1"/>
  <c r="L149" i="1" s="1"/>
  <c r="J149" i="1"/>
  <c r="M149" i="1" s="1"/>
  <c r="O149" i="1" s="1"/>
  <c r="K229" i="1"/>
  <c r="L229" i="1" s="1"/>
  <c r="J229" i="1"/>
  <c r="M229" i="1" s="1"/>
  <c r="O229" i="1" s="1"/>
  <c r="K260" i="1"/>
  <c r="L260" i="1" s="1"/>
  <c r="J260" i="1"/>
  <c r="M260" i="1" s="1"/>
  <c r="O260" i="1" s="1"/>
  <c r="K320" i="1"/>
  <c r="L320" i="1" s="1"/>
  <c r="J320" i="1"/>
  <c r="M320" i="1" s="1"/>
  <c r="O320" i="1" s="1"/>
  <c r="K349" i="1"/>
  <c r="L349" i="1" s="1"/>
  <c r="J349" i="1"/>
  <c r="M349" i="1" s="1"/>
  <c r="O349" i="1" s="1"/>
  <c r="K120" i="1"/>
  <c r="L120" i="1" s="1"/>
  <c r="J120" i="1"/>
  <c r="M120" i="1" s="1"/>
  <c r="O120" i="1" s="1"/>
  <c r="K223" i="1"/>
  <c r="L223" i="1" s="1"/>
  <c r="J223" i="1"/>
  <c r="M223" i="1" s="1"/>
  <c r="O223" i="1" s="1"/>
  <c r="K337" i="1"/>
  <c r="L337" i="1" s="1"/>
  <c r="J337" i="1"/>
  <c r="M337" i="1" s="1"/>
  <c r="O337" i="1" s="1"/>
  <c r="K188" i="1"/>
  <c r="L188" i="1" s="1"/>
  <c r="J188" i="1"/>
  <c r="M188" i="1" s="1"/>
  <c r="O188" i="1" s="1"/>
  <c r="K63" i="1"/>
  <c r="L63" i="1" s="1"/>
  <c r="J63" i="1"/>
  <c r="M63" i="1" s="1"/>
  <c r="O63" i="1" s="1"/>
  <c r="K95" i="1"/>
  <c r="L95" i="1" s="1"/>
  <c r="J95" i="1"/>
  <c r="M95" i="1" s="1"/>
  <c r="O95" i="1" s="1"/>
  <c r="K127" i="1"/>
  <c r="L127" i="1" s="1"/>
  <c r="J127" i="1"/>
  <c r="M127" i="1" s="1"/>
  <c r="O127" i="1" s="1"/>
  <c r="K157" i="1"/>
  <c r="L157" i="1" s="1"/>
  <c r="J157" i="1"/>
  <c r="M157" i="1" s="1"/>
  <c r="O157" i="1" s="1"/>
  <c r="K207" i="1"/>
  <c r="L207" i="1" s="1"/>
  <c r="J207" i="1"/>
  <c r="M207" i="1" s="1"/>
  <c r="O207" i="1" s="1"/>
  <c r="K238" i="1"/>
  <c r="L238" i="1" s="1"/>
  <c r="J238" i="1"/>
  <c r="M238" i="1" s="1"/>
  <c r="O238" i="1" s="1"/>
  <c r="K268" i="1"/>
  <c r="L268" i="1" s="1"/>
  <c r="J268" i="1"/>
  <c r="M268" i="1" s="1"/>
  <c r="O268" i="1" s="1"/>
  <c r="K336" i="1"/>
  <c r="L336" i="1" s="1"/>
  <c r="J336" i="1"/>
  <c r="M336" i="1" s="1"/>
  <c r="O336" i="1" s="1"/>
  <c r="K88" i="1"/>
  <c r="L88" i="1" s="1"/>
  <c r="J88" i="1"/>
  <c r="M88" i="1" s="1"/>
  <c r="O88" i="1" s="1"/>
  <c r="K285" i="1"/>
  <c r="L285" i="1" s="1"/>
  <c r="J285" i="1"/>
  <c r="M285" i="1" s="1"/>
  <c r="O285" i="1" s="1"/>
  <c r="K81" i="1"/>
  <c r="L81" i="1" s="1"/>
  <c r="J81" i="1"/>
  <c r="M81" i="1" s="1"/>
  <c r="O81" i="1" s="1"/>
  <c r="K286" i="1"/>
  <c r="L286" i="1" s="1"/>
  <c r="J286" i="1"/>
  <c r="M286" i="1" s="1"/>
  <c r="O286" i="1" s="1"/>
  <c r="K105" i="1"/>
  <c r="L105" i="1" s="1"/>
  <c r="J105" i="1"/>
  <c r="M105" i="1" s="1"/>
  <c r="O105" i="1" s="1"/>
  <c r="K360" i="1"/>
  <c r="L360" i="1" s="1"/>
  <c r="J360" i="1"/>
  <c r="M360" i="1" s="1"/>
  <c r="O360" i="1" s="1"/>
  <c r="K217" i="1"/>
  <c r="L217" i="1" s="1"/>
  <c r="J217" i="1"/>
  <c r="M217" i="1" s="1"/>
  <c r="O217" i="1" s="1"/>
  <c r="K248" i="1"/>
  <c r="L248" i="1" s="1"/>
  <c r="J248" i="1"/>
  <c r="M248" i="1" s="1"/>
  <c r="O248" i="1" s="1"/>
  <c r="K295" i="1"/>
  <c r="L295" i="1" s="1"/>
  <c r="J295" i="1"/>
  <c r="M295" i="1" s="1"/>
  <c r="O295" i="1" s="1"/>
  <c r="K145" i="1"/>
  <c r="L145" i="1" s="1"/>
  <c r="J145" i="1"/>
  <c r="M145" i="1" s="1"/>
  <c r="O145" i="1" s="1"/>
  <c r="K189" i="1"/>
  <c r="L189" i="1" s="1"/>
  <c r="J189" i="1"/>
  <c r="M189" i="1" s="1"/>
  <c r="O189" i="1" s="1"/>
  <c r="K213" i="1"/>
  <c r="L213" i="1" s="1"/>
  <c r="J213" i="1"/>
  <c r="M213" i="1" s="1"/>
  <c r="O213" i="1" s="1"/>
  <c r="K271" i="1"/>
  <c r="L271" i="1" s="1"/>
  <c r="J271" i="1"/>
  <c r="M271" i="1" s="1"/>
  <c r="O271" i="1" s="1"/>
  <c r="K153" i="1"/>
  <c r="L153" i="1" s="1"/>
  <c r="J153" i="1"/>
  <c r="M153" i="1" s="1"/>
  <c r="O153" i="1" s="1"/>
  <c r="K256" i="1"/>
  <c r="L256" i="1" s="1"/>
  <c r="J256" i="1"/>
  <c r="M256" i="1" s="1"/>
  <c r="O256" i="1" s="1"/>
  <c r="I56" i="1"/>
  <c r="N56" i="1"/>
  <c r="N24" i="1"/>
  <c r="I24" i="1"/>
  <c r="N15" i="1"/>
  <c r="I15" i="1"/>
  <c r="N6" i="1"/>
  <c r="I6" i="1"/>
  <c r="N3" i="1"/>
  <c r="I3" i="1"/>
  <c r="N53" i="1"/>
  <c r="I53" i="1"/>
  <c r="I45" i="1"/>
  <c r="N45" i="1"/>
  <c r="N37" i="1"/>
  <c r="I37" i="1"/>
  <c r="I29" i="1"/>
  <c r="N29" i="1"/>
  <c r="N21" i="1"/>
  <c r="I21" i="1"/>
  <c r="I13" i="1"/>
  <c r="N13" i="1"/>
  <c r="N5" i="1"/>
  <c r="I5" i="1"/>
  <c r="N48" i="1"/>
  <c r="I48" i="1"/>
  <c r="N32" i="1"/>
  <c r="I32" i="1"/>
  <c r="N7" i="1"/>
  <c r="I7" i="1"/>
  <c r="N46" i="1"/>
  <c r="I46" i="1"/>
  <c r="N14" i="1"/>
  <c r="I14" i="1"/>
  <c r="I60" i="1"/>
  <c r="N60" i="1"/>
  <c r="I52" i="1"/>
  <c r="N52" i="1"/>
  <c r="I44" i="1"/>
  <c r="N44" i="1"/>
  <c r="N36" i="1"/>
  <c r="I36" i="1"/>
  <c r="I28" i="1"/>
  <c r="N28" i="1"/>
  <c r="I20" i="1"/>
  <c r="N20" i="1"/>
  <c r="I12" i="1"/>
  <c r="N12" i="1"/>
  <c r="N4" i="1"/>
  <c r="I4" i="1"/>
  <c r="N16" i="1"/>
  <c r="I16" i="1"/>
  <c r="N47" i="1"/>
  <c r="I47" i="1"/>
  <c r="N31" i="1"/>
  <c r="I31" i="1"/>
  <c r="N30" i="1"/>
  <c r="I30" i="1"/>
  <c r="I59" i="1"/>
  <c r="N59" i="1"/>
  <c r="I51" i="1"/>
  <c r="N51" i="1"/>
  <c r="I43" i="1"/>
  <c r="N43" i="1"/>
  <c r="I35" i="1"/>
  <c r="N35" i="1"/>
  <c r="I27" i="1"/>
  <c r="N27" i="1"/>
  <c r="I19" i="1"/>
  <c r="N19" i="1"/>
  <c r="I11" i="1"/>
  <c r="N11" i="1"/>
  <c r="I8" i="1"/>
  <c r="N8" i="1"/>
  <c r="N55" i="1"/>
  <c r="I55" i="1"/>
  <c r="N23" i="1"/>
  <c r="I23" i="1"/>
  <c r="N54" i="1"/>
  <c r="I54" i="1"/>
  <c r="N22" i="1"/>
  <c r="I22" i="1"/>
  <c r="I58" i="1"/>
  <c r="N58" i="1"/>
  <c r="I50" i="1"/>
  <c r="N50" i="1"/>
  <c r="I42" i="1"/>
  <c r="N42" i="1"/>
  <c r="I34" i="1"/>
  <c r="N34" i="1"/>
  <c r="I26" i="1"/>
  <c r="N26" i="1"/>
  <c r="I18" i="1"/>
  <c r="N18" i="1"/>
  <c r="I10" i="1"/>
  <c r="N10" i="1"/>
  <c r="N40" i="1"/>
  <c r="I40" i="1"/>
  <c r="N39" i="1"/>
  <c r="I39" i="1"/>
  <c r="N38" i="1"/>
  <c r="I38" i="1"/>
  <c r="N57" i="1"/>
  <c r="I57" i="1"/>
  <c r="I49" i="1"/>
  <c r="N49" i="1"/>
  <c r="N41" i="1"/>
  <c r="I41" i="1"/>
  <c r="I33" i="1"/>
  <c r="N33" i="1"/>
  <c r="N25" i="1"/>
  <c r="I25" i="1"/>
  <c r="I17" i="1"/>
  <c r="N17" i="1"/>
  <c r="N9" i="1"/>
  <c r="I9" i="1"/>
  <c r="K61" i="1"/>
  <c r="L61" i="1" s="1"/>
  <c r="J61" i="1"/>
  <c r="M61" i="1" s="1"/>
  <c r="O61" i="1" s="1"/>
  <c r="M100" i="1" l="1"/>
  <c r="O100" i="1" s="1"/>
  <c r="M282" i="1"/>
  <c r="O282" i="1" s="1"/>
  <c r="M146" i="1"/>
  <c r="O146" i="1" s="1"/>
  <c r="K47" i="1"/>
  <c r="L47" i="1" s="1"/>
  <c r="J47" i="1"/>
  <c r="M47" i="1" s="1"/>
  <c r="O47" i="1" s="1"/>
  <c r="K9" i="1"/>
  <c r="L9" i="1" s="1"/>
  <c r="J9" i="1"/>
  <c r="M9" i="1" s="1"/>
  <c r="O9" i="1" s="1"/>
  <c r="K55" i="1"/>
  <c r="L55" i="1" s="1"/>
  <c r="J55" i="1"/>
  <c r="M55" i="1" s="1"/>
  <c r="O55" i="1" s="1"/>
  <c r="K16" i="1"/>
  <c r="L16" i="1" s="1"/>
  <c r="J16" i="1"/>
  <c r="M16" i="1" s="1"/>
  <c r="O16" i="1" s="1"/>
  <c r="K32" i="1"/>
  <c r="L32" i="1" s="1"/>
  <c r="J32" i="1"/>
  <c r="M32" i="1" s="1"/>
  <c r="O32" i="1" s="1"/>
  <c r="K21" i="1"/>
  <c r="L21" i="1" s="1"/>
  <c r="J21" i="1"/>
  <c r="M21" i="1" s="1"/>
  <c r="O21" i="1" s="1"/>
  <c r="K53" i="1"/>
  <c r="L53" i="1" s="1"/>
  <c r="J53" i="1"/>
  <c r="M53" i="1" s="1"/>
  <c r="O53" i="1" s="1"/>
  <c r="K11" i="1"/>
  <c r="L11" i="1" s="1"/>
  <c r="J11" i="1"/>
  <c r="K44" i="1"/>
  <c r="L44" i="1" s="1"/>
  <c r="J44" i="1"/>
  <c r="M44" i="1" s="1"/>
  <c r="O44" i="1" s="1"/>
  <c r="K6" i="1"/>
  <c r="L6" i="1" s="1"/>
  <c r="J6" i="1"/>
  <c r="M6" i="1" s="1"/>
  <c r="O6" i="1" s="1"/>
  <c r="K38" i="1"/>
  <c r="L38" i="1" s="1"/>
  <c r="J38" i="1"/>
  <c r="M38" i="1" s="1"/>
  <c r="O38" i="1" s="1"/>
  <c r="K18" i="1"/>
  <c r="L18" i="1" s="1"/>
  <c r="J18" i="1"/>
  <c r="M18" i="1" s="1"/>
  <c r="O18" i="1" s="1"/>
  <c r="K51" i="1"/>
  <c r="L51" i="1" s="1"/>
  <c r="J51" i="1"/>
  <c r="M51" i="1" s="1"/>
  <c r="O51" i="1" s="1"/>
  <c r="K13" i="1"/>
  <c r="L13" i="1" s="1"/>
  <c r="J13" i="1"/>
  <c r="M13" i="1" s="1"/>
  <c r="O13" i="1" s="1"/>
  <c r="K26" i="1"/>
  <c r="L26" i="1" s="1"/>
  <c r="J26" i="1"/>
  <c r="M26" i="1" s="1"/>
  <c r="O26" i="1" s="1"/>
  <c r="K58" i="1"/>
  <c r="L58" i="1" s="1"/>
  <c r="J58" i="1"/>
  <c r="M58" i="1" s="1"/>
  <c r="O58" i="1" s="1"/>
  <c r="K27" i="1"/>
  <c r="L27" i="1" s="1"/>
  <c r="J27" i="1"/>
  <c r="M27" i="1" s="1"/>
  <c r="O27" i="1" s="1"/>
  <c r="K59" i="1"/>
  <c r="L59" i="1" s="1"/>
  <c r="J59" i="1"/>
  <c r="M59" i="1" s="1"/>
  <c r="O59" i="1" s="1"/>
  <c r="K28" i="1"/>
  <c r="L28" i="1" s="1"/>
  <c r="J28" i="1"/>
  <c r="M28" i="1" s="1"/>
  <c r="O28" i="1" s="1"/>
  <c r="K60" i="1"/>
  <c r="L60" i="1" s="1"/>
  <c r="J60" i="1"/>
  <c r="M60" i="1" s="1"/>
  <c r="O60" i="1" s="1"/>
  <c r="K24" i="1"/>
  <c r="L24" i="1" s="1"/>
  <c r="J24" i="1"/>
  <c r="M24" i="1" s="1"/>
  <c r="O24" i="1" s="1"/>
  <c r="K42" i="1"/>
  <c r="L42" i="1" s="1"/>
  <c r="J42" i="1"/>
  <c r="M42" i="1" s="1"/>
  <c r="O42" i="1" s="1"/>
  <c r="K12" i="1"/>
  <c r="L12" i="1" s="1"/>
  <c r="J12" i="1"/>
  <c r="M12" i="1" s="1"/>
  <c r="O12" i="1" s="1"/>
  <c r="K23" i="1"/>
  <c r="L23" i="1" s="1"/>
  <c r="J23" i="1"/>
  <c r="M23" i="1" s="1"/>
  <c r="O23" i="1" s="1"/>
  <c r="K33" i="1"/>
  <c r="L33" i="1" s="1"/>
  <c r="J33" i="1"/>
  <c r="M33" i="1" s="1"/>
  <c r="O33" i="1" s="1"/>
  <c r="K19" i="1"/>
  <c r="L19" i="1" s="1"/>
  <c r="J19" i="1"/>
  <c r="M19" i="1" s="1"/>
  <c r="O19" i="1" s="1"/>
  <c r="K52" i="1"/>
  <c r="L52" i="1" s="1"/>
  <c r="J52" i="1"/>
  <c r="M52" i="1" s="1"/>
  <c r="O52" i="1" s="1"/>
  <c r="K15" i="1"/>
  <c r="L15" i="1" s="1"/>
  <c r="J15" i="1"/>
  <c r="M15" i="1" s="1"/>
  <c r="O15" i="1" s="1"/>
  <c r="K41" i="1"/>
  <c r="L41" i="1" s="1"/>
  <c r="J41" i="1"/>
  <c r="M41" i="1" s="1"/>
  <c r="O41" i="1" s="1"/>
  <c r="K39" i="1"/>
  <c r="L39" i="1" s="1"/>
  <c r="J39" i="1"/>
  <c r="M39" i="1" s="1"/>
  <c r="O39" i="1" s="1"/>
  <c r="K40" i="1"/>
  <c r="L40" i="1" s="1"/>
  <c r="J40" i="1"/>
  <c r="M40" i="1" s="1"/>
  <c r="O40" i="1" s="1"/>
  <c r="K22" i="1"/>
  <c r="L22" i="1" s="1"/>
  <c r="J22" i="1"/>
  <c r="M22" i="1" s="1"/>
  <c r="O22" i="1" s="1"/>
  <c r="K30" i="1"/>
  <c r="L30" i="1" s="1"/>
  <c r="J30" i="1"/>
  <c r="M30" i="1" s="1"/>
  <c r="O30" i="1" s="1"/>
  <c r="K4" i="1"/>
  <c r="L4" i="1" s="1"/>
  <c r="J4" i="1"/>
  <c r="M4" i="1" s="1"/>
  <c r="O4" i="1" s="1"/>
  <c r="K36" i="1"/>
  <c r="L36" i="1" s="1"/>
  <c r="J36" i="1"/>
  <c r="M36" i="1" s="1"/>
  <c r="O36" i="1" s="1"/>
  <c r="K14" i="1"/>
  <c r="L14" i="1" s="1"/>
  <c r="J14" i="1"/>
  <c r="M14" i="1" s="1"/>
  <c r="O14" i="1" s="1"/>
  <c r="K48" i="1"/>
  <c r="L48" i="1" s="1"/>
  <c r="J48" i="1"/>
  <c r="M48" i="1" s="1"/>
  <c r="O48" i="1" s="1"/>
  <c r="J3" i="1"/>
  <c r="K3" i="1"/>
  <c r="L3" i="1" s="1"/>
  <c r="K10" i="1"/>
  <c r="L10" i="1" s="1"/>
  <c r="J10" i="1"/>
  <c r="M10" i="1" s="1"/>
  <c r="O10" i="1" s="1"/>
  <c r="K43" i="1"/>
  <c r="L43" i="1" s="1"/>
  <c r="J43" i="1"/>
  <c r="M43" i="1" s="1"/>
  <c r="O43" i="1" s="1"/>
  <c r="K7" i="1"/>
  <c r="L7" i="1" s="1"/>
  <c r="J7" i="1"/>
  <c r="M7" i="1" s="1"/>
  <c r="O7" i="1" s="1"/>
  <c r="K50" i="1"/>
  <c r="L50" i="1" s="1"/>
  <c r="J50" i="1"/>
  <c r="M50" i="1" s="1"/>
  <c r="O50" i="1" s="1"/>
  <c r="K20" i="1"/>
  <c r="L20" i="1" s="1"/>
  <c r="J20" i="1"/>
  <c r="M20" i="1" s="1"/>
  <c r="O20" i="1" s="1"/>
  <c r="K45" i="1"/>
  <c r="L45" i="1" s="1"/>
  <c r="J45" i="1"/>
  <c r="M45" i="1" s="1"/>
  <c r="O45" i="1" s="1"/>
  <c r="K17" i="1"/>
  <c r="L17" i="1" s="1"/>
  <c r="J17" i="1"/>
  <c r="M17" i="1" s="1"/>
  <c r="O17" i="1" s="1"/>
  <c r="K49" i="1"/>
  <c r="L49" i="1" s="1"/>
  <c r="J49" i="1"/>
  <c r="M49" i="1" s="1"/>
  <c r="O49" i="1" s="1"/>
  <c r="K34" i="1"/>
  <c r="L34" i="1" s="1"/>
  <c r="J34" i="1"/>
  <c r="M34" i="1" s="1"/>
  <c r="O34" i="1" s="1"/>
  <c r="K8" i="1"/>
  <c r="L8" i="1" s="1"/>
  <c r="J8" i="1"/>
  <c r="M8" i="1" s="1"/>
  <c r="O8" i="1" s="1"/>
  <c r="K35" i="1"/>
  <c r="L35" i="1" s="1"/>
  <c r="J35" i="1"/>
  <c r="M35" i="1" s="1"/>
  <c r="O35" i="1" s="1"/>
  <c r="K29" i="1"/>
  <c r="L29" i="1" s="1"/>
  <c r="J29" i="1"/>
  <c r="M29" i="1" s="1"/>
  <c r="O29" i="1" s="1"/>
  <c r="K25" i="1"/>
  <c r="L25" i="1" s="1"/>
  <c r="J25" i="1"/>
  <c r="M25" i="1" s="1"/>
  <c r="O25" i="1" s="1"/>
  <c r="K57" i="1"/>
  <c r="L57" i="1" s="1"/>
  <c r="J57" i="1"/>
  <c r="M57" i="1" s="1"/>
  <c r="O57" i="1" s="1"/>
  <c r="K54" i="1"/>
  <c r="L54" i="1" s="1"/>
  <c r="J54" i="1"/>
  <c r="M54" i="1" s="1"/>
  <c r="O54" i="1" s="1"/>
  <c r="K31" i="1"/>
  <c r="L31" i="1" s="1"/>
  <c r="J31" i="1"/>
  <c r="M31" i="1" s="1"/>
  <c r="O31" i="1" s="1"/>
  <c r="K46" i="1"/>
  <c r="L46" i="1" s="1"/>
  <c r="J46" i="1"/>
  <c r="M46" i="1" s="1"/>
  <c r="O46" i="1" s="1"/>
  <c r="K5" i="1"/>
  <c r="L5" i="1" s="1"/>
  <c r="J5" i="1"/>
  <c r="M5" i="1" s="1"/>
  <c r="O5" i="1" s="1"/>
  <c r="K37" i="1"/>
  <c r="L37" i="1" s="1"/>
  <c r="J37" i="1"/>
  <c r="M37" i="1" s="1"/>
  <c r="O37" i="1" s="1"/>
  <c r="K56" i="1"/>
  <c r="L56" i="1" s="1"/>
  <c r="J56" i="1"/>
  <c r="M56" i="1" s="1"/>
  <c r="O56" i="1" s="1"/>
  <c r="M11" i="1" l="1"/>
  <c r="O11" i="1" s="1"/>
  <c r="M3" i="1"/>
  <c r="O3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<sst xmlns="http://schemas.openxmlformats.org/spreadsheetml/2006/main" count="39" uniqueCount="27">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</sst>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2" fillId="0" borderId="6" xfId="0" applyFont="1" applyBorder="1" applyAlignment="1">
      <alignment horizontal="center"/>
    </xf>
    <xf numFmtId="187" fontId="2" fillId="0" borderId="6" xfId="0" applyNumberFormat="1" applyFont="1" applyBorder="1"/>
    <xf numFmtId="0" fontId="2" fillId="0" borderId="6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87" fontId="2" fillId="0" borderId="6" xfId="1" applyNumberFormat="1" applyFont="1" applyBorder="1"/>
    <xf numFmtId="187" fontId="4" fillId="0" borderId="1" xfId="1" applyNumberFormat="1" applyFont="1" applyBorder="1"/>
    <xf numFmtId="187" fontId="4" fillId="0" borderId="6" xfId="1" applyNumberFormat="1" applyFont="1" applyBorder="1"/>
    <xf numFmtId="187" fontId="4" fillId="0" borderId="4" xfId="1" applyNumberFormat="1" applyFont="1" applyBorder="1"/>
    <xf numFmtId="187" fontId="2" fillId="0" borderId="3" xfId="0" applyNumberFormat="1" applyFont="1" applyBorder="1"/>
    <xf numFmtId="187" fontId="2" fillId="0" borderId="7" xfId="1" applyNumberFormat="1" applyFont="1" applyBorder="1"/>
    <xf numFmtId="187" fontId="4" fillId="0" borderId="7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3" xfId="0" applyFont="1" applyBorder="1"/>
    <xf numFmtId="187" fontId="4" fillId="0" borderId="6" xfId="1" applyNumberFormat="1" applyFont="1" applyBorder="1" applyAlignment="1">
      <alignment horizontal="right"/>
    </xf>
    <xf numFmtId="187" fontId="4" fillId="0" borderId="9" xfId="1" applyNumberFormat="1" applyFont="1" applyBorder="1"/>
    <xf numFmtId="187" fontId="4" fillId="0" borderId="2" xfId="1" applyNumberFormat="1" applyFont="1" applyBorder="1"/>
    <xf numFmtId="187" fontId="4" fillId="0" borderId="1" xfId="0" applyNumberFormat="1" applyFont="1" applyBorder="1"/>
    <xf numFmtId="187" fontId="4" fillId="0" borderId="12" xfId="1" applyNumberFormat="1" applyFont="1" applyBorder="1"/>
    <xf numFmtId="187" fontId="4" fillId="0" borderId="6" xfId="0" applyNumberFormat="1" applyFont="1" applyBorder="1"/>
    <xf numFmtId="187" fontId="4" fillId="0" borderId="13" xfId="1" applyNumberFormat="1" applyFont="1" applyBorder="1"/>
    <xf numFmtId="187" fontId="4" fillId="0" borderId="10" xfId="1" applyNumberFormat="1" applyFont="1" applyBorder="1"/>
    <xf numFmtId="187" fontId="4" fillId="0" borderId="4" xfId="0" applyNumberFormat="1" applyFont="1" applyBorder="1"/>
    <xf numFmtId="187" fontId="4" fillId="0" borderId="5" xfId="1" applyNumberFormat="1" applyFont="1" applyBorder="1"/>
    <xf numFmtId="0" fontId="2" fillId="0" borderId="8" xfId="0" applyFont="1" applyBorder="1"/>
    <xf numFmtId="187" fontId="4" fillId="0" borderId="3" xfId="1" applyNumberFormat="1" applyFont="1" applyBorder="1"/>
    <xf numFmtId="187" fontId="4" fillId="0" borderId="3" xfId="1" applyNumberFormat="1" applyFont="1" applyBorder="1" applyAlignment="1">
      <alignment horizontal="right"/>
    </xf>
    <xf numFmtId="187" fontId="4" fillId="0" borderId="14" xfId="1" applyNumberFormat="1" applyFont="1" applyBorder="1"/>
    <xf numFmtId="187" fontId="4" fillId="0" borderId="3" xfId="0" applyNumberFormat="1" applyFont="1" applyBorder="1"/>
    <xf numFmtId="187" fontId="4" fillId="0" borderId="11" xfId="1" applyNumberFormat="1" applyFont="1" applyBorder="1"/>
    <xf numFmtId="187" fontId="2" fillId="0" borderId="3" xfId="1" applyNumberFormat="1" applyFont="1" applyBorder="1"/>
    <xf numFmtId="0" fontId="2" fillId="0" borderId="4" xfId="0" applyFont="1" applyBorder="1"/>
    <xf numFmtId="0" fontId="2" fillId="7" borderId="9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7" borderId="14" xfId="0" applyFont="1" applyFill="1" applyBorder="1" applyAlignment="1">
      <alignment horizontal="center" wrapText="1"/>
    </xf>
    <xf numFmtId="0" fontId="2" fillId="9" borderId="15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87" fontId="2" fillId="0" borderId="1" xfId="1" applyNumberFormat="1" applyFont="1" applyBorder="1"/>
    <xf numFmtId="0" fontId="2" fillId="0" borderId="16" xfId="0" applyFont="1" applyBorder="1"/>
    <xf numFmtId="0" fontId="2" fillId="10" borderId="0" xfId="0" applyFont="1" applyFill="1" applyBorder="1"/>
    <xf numFmtId="0" fontId="2" fillId="10" borderId="4" xfId="0" applyFont="1" applyFill="1" applyBorder="1" applyAlignment="1">
      <alignment horizontal="center"/>
    </xf>
    <xf numFmtId="187" fontId="2" fillId="10" borderId="4" xfId="0" applyNumberFormat="1" applyFont="1" applyFill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64" zoomScaleNormal="115" workbookViewId="0">
      <selection activeCell="K371" sqref="K371"/>
    </sheetView>
  </sheetViews>
  <sheetFormatPr defaultColWidth="8.8984375" defaultRowHeight="24.6" x14ac:dyDescent="0.7"/>
  <cols>
    <col min="1" max="1" width="11.59765625" style="1" customWidth="1"/>
    <col min="2" max="2" width="17.59765625" style="11" customWidth="1"/>
    <col min="3" max="3" width="8.8984375" style="11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23" customWidth="1"/>
    <col min="11" max="11" width="21.3984375" style="1" customWidth="1"/>
    <col min="12" max="12" width="19.8984375" style="1" customWidth="1"/>
    <col min="13" max="13" width="19.796875" style="1" customWidth="1"/>
    <col min="14" max="14" width="20.59765625" style="20" customWidth="1"/>
    <col min="15" max="15" width="21.69921875" style="1" customWidth="1"/>
    <col min="16" max="16384" width="8.8984375" style="1"/>
  </cols>
  <sheetData>
    <row r="1" spans="1:15" x14ac:dyDescent="0.7">
      <c r="A1" s="51" t="s">
        <v>0</v>
      </c>
      <c r="B1" s="51" t="s">
        <v>1</v>
      </c>
      <c r="C1" s="51" t="s">
        <v>2</v>
      </c>
      <c r="D1" s="52" t="s">
        <v>3</v>
      </c>
      <c r="E1" s="53" t="s">
        <v>4</v>
      </c>
      <c r="F1" s="50" t="s">
        <v>5</v>
      </c>
      <c r="G1" s="47" t="s">
        <v>6</v>
      </c>
      <c r="H1" s="47" t="s">
        <v>7</v>
      </c>
      <c r="I1" s="48" t="s">
        <v>8</v>
      </c>
      <c r="J1" s="49" t="s">
        <v>9</v>
      </c>
      <c r="K1" s="49" t="s">
        <v>10</v>
      </c>
      <c r="L1" s="49" t="s">
        <v>11</v>
      </c>
      <c r="M1" s="44" t="s">
        <v>12</v>
      </c>
      <c r="N1" s="45" t="s">
        <v>13</v>
      </c>
      <c r="O1" s="46" t="s">
        <v>14</v>
      </c>
    </row>
    <row r="2" spans="1:15" s="20" customFormat="1" ht="34.799999999999997" customHeight="1" x14ac:dyDescent="0.7">
      <c r="A2" s="54"/>
      <c r="B2" s="54"/>
      <c r="C2" s="54"/>
      <c r="D2" s="55"/>
      <c r="E2" s="56"/>
      <c r="F2" s="57"/>
      <c r="G2" s="58"/>
      <c r="H2" s="58"/>
      <c r="I2" s="59"/>
      <c r="J2" s="60"/>
      <c r="K2" s="60"/>
      <c r="L2" s="60"/>
      <c r="M2" s="61"/>
      <c r="N2" s="45"/>
      <c r="O2" s="62"/>
    </row>
    <row r="3" spans="1:15" s="20" customFormat="1" x14ac:dyDescent="0.7">
      <c r="A3" s="63">
        <v>2557</v>
      </c>
      <c r="B3" s="5" t="s">
        <v>15</v>
      </c>
      <c r="C3" s="5">
        <v>1</v>
      </c>
      <c r="D3" s="6">
        <v>10.022</v>
      </c>
      <c r="E3" s="6">
        <v>0</v>
      </c>
      <c r="F3" s="6">
        <v>10.022</v>
      </c>
      <c r="G3" s="64">
        <f>F3*86400</f>
        <v>865900.8</v>
      </c>
      <c r="H3" s="13">
        <f>G3/1000000</f>
        <v>0.86590080000000003</v>
      </c>
      <c r="I3" s="13">
        <f>H3*1000000*0.045</f>
        <v>38965.536</v>
      </c>
      <c r="J3" s="21">
        <f>I3/1000000</f>
        <v>3.8965536000000002E-2</v>
      </c>
      <c r="K3" s="13">
        <f>I3*0.12</f>
        <v>4675.8643199999997</v>
      </c>
      <c r="L3" s="13">
        <f>K3/1000000</f>
        <v>4.6758643199999997E-3</v>
      </c>
      <c r="M3" s="27">
        <f>J3+L3</f>
        <v>4.3641400320000003E-2</v>
      </c>
      <c r="N3" s="29">
        <f>H3*0.1</f>
        <v>8.6590080000000014E-2</v>
      </c>
      <c r="O3" s="28">
        <f>H3-M3-N3</f>
        <v>0.73566931968000004</v>
      </c>
    </row>
    <row r="4" spans="1:15" x14ac:dyDescent="0.7">
      <c r="A4" s="2"/>
      <c r="B4" s="2"/>
      <c r="C4" s="2">
        <v>2</v>
      </c>
      <c r="D4" s="3">
        <v>10.022</v>
      </c>
      <c r="E4" s="6">
        <v>0</v>
      </c>
      <c r="F4" s="3">
        <v>10.022</v>
      </c>
      <c r="G4" s="12">
        <f t="shared" ref="G4:G61" si="0">F4*86400</f>
        <v>865900.8</v>
      </c>
      <c r="H4" s="14">
        <f t="shared" ref="H4:H61" si="1">G4/1000000</f>
        <v>0.86590080000000003</v>
      </c>
      <c r="I4" s="14">
        <f t="shared" ref="I4:I67" si="2">H4*1000000*0.045</f>
        <v>38965.536</v>
      </c>
      <c r="J4" s="26">
        <f t="shared" ref="J4:J67" si="3">I4/1000000</f>
        <v>3.8965536000000002E-2</v>
      </c>
      <c r="K4" s="14">
        <f t="shared" ref="K4:K67" si="4">I4*0.12</f>
        <v>4675.8643199999997</v>
      </c>
      <c r="L4" s="14">
        <f t="shared" ref="L4:L67" si="5">K4/1000000</f>
        <v>4.6758643199999997E-3</v>
      </c>
      <c r="M4" s="30">
        <f t="shared" ref="M4:M67" si="6">J4+L4</f>
        <v>4.3641400320000003E-2</v>
      </c>
      <c r="N4" s="29">
        <f t="shared" ref="N4:N67" si="7">H4*0.1</f>
        <v>8.6590080000000014E-2</v>
      </c>
      <c r="O4" s="32">
        <f t="shared" ref="O4:O67" si="8">H4-M4-N4</f>
        <v>0.73566931968000004</v>
      </c>
    </row>
    <row r="5" spans="1:15" x14ac:dyDescent="0.7">
      <c r="A5" s="5"/>
      <c r="B5" s="5"/>
      <c r="C5" s="5">
        <v>3</v>
      </c>
      <c r="D5" s="6">
        <v>9.8309999999999995</v>
      </c>
      <c r="E5" s="6">
        <v>0</v>
      </c>
      <c r="F5" s="6">
        <v>9.8309999999999995</v>
      </c>
      <c r="G5" s="12">
        <f t="shared" si="0"/>
        <v>849398.39999999991</v>
      </c>
      <c r="H5" s="14">
        <f t="shared" si="1"/>
        <v>0.84939839999999989</v>
      </c>
      <c r="I5" s="13">
        <f t="shared" si="2"/>
        <v>38222.927999999993</v>
      </c>
      <c r="J5" s="21">
        <f t="shared" si="3"/>
        <v>3.8222927999999989E-2</v>
      </c>
      <c r="K5" s="13">
        <f t="shared" si="4"/>
        <v>4586.7513599999993</v>
      </c>
      <c r="L5" s="13">
        <f t="shared" si="5"/>
        <v>4.5867513599999995E-3</v>
      </c>
      <c r="M5" s="27">
        <f t="shared" si="6"/>
        <v>4.2809679359999991E-2</v>
      </c>
      <c r="N5" s="29">
        <f t="shared" si="7"/>
        <v>8.4939839999999989E-2</v>
      </c>
      <c r="O5" s="28">
        <f t="shared" si="8"/>
        <v>0.72164888063999988</v>
      </c>
    </row>
    <row r="6" spans="1:15" x14ac:dyDescent="0.7">
      <c r="A6" s="5"/>
      <c r="B6" s="5"/>
      <c r="C6" s="5">
        <v>4</v>
      </c>
      <c r="D6" s="6">
        <v>9.2579999999999991</v>
      </c>
      <c r="E6" s="6">
        <v>0</v>
      </c>
      <c r="F6" s="6">
        <v>9.2579999999999991</v>
      </c>
      <c r="G6" s="12">
        <f t="shared" si="0"/>
        <v>799891.2</v>
      </c>
      <c r="H6" s="14">
        <f t="shared" si="1"/>
        <v>0.79989119999999991</v>
      </c>
      <c r="I6" s="13">
        <f t="shared" si="2"/>
        <v>35995.103999999999</v>
      </c>
      <c r="J6" s="21">
        <f t="shared" si="3"/>
        <v>3.5995104E-2</v>
      </c>
      <c r="K6" s="13">
        <f t="shared" si="4"/>
        <v>4319.41248</v>
      </c>
      <c r="L6" s="13">
        <f t="shared" si="5"/>
        <v>4.3194124799999997E-3</v>
      </c>
      <c r="M6" s="27">
        <f t="shared" si="6"/>
        <v>4.031451648E-2</v>
      </c>
      <c r="N6" s="29">
        <f t="shared" si="7"/>
        <v>7.9989119999999997E-2</v>
      </c>
      <c r="O6" s="28">
        <f t="shared" si="8"/>
        <v>0.67958756351999994</v>
      </c>
    </row>
    <row r="7" spans="1:15" x14ac:dyDescent="0.7">
      <c r="A7" s="5"/>
      <c r="B7" s="5"/>
      <c r="C7" s="5">
        <v>5</v>
      </c>
      <c r="D7" s="6">
        <v>8.9610000000000003</v>
      </c>
      <c r="E7" s="6">
        <v>0</v>
      </c>
      <c r="F7" s="6">
        <v>8.9610000000000003</v>
      </c>
      <c r="G7" s="12">
        <f t="shared" si="0"/>
        <v>774230.4</v>
      </c>
      <c r="H7" s="14">
        <f t="shared" si="1"/>
        <v>0.77423039999999999</v>
      </c>
      <c r="I7" s="13">
        <f t="shared" si="2"/>
        <v>34840.368000000002</v>
      </c>
      <c r="J7" s="21">
        <f t="shared" si="3"/>
        <v>3.4840368000000004E-2</v>
      </c>
      <c r="K7" s="13">
        <f t="shared" si="4"/>
        <v>4180.8441600000006</v>
      </c>
      <c r="L7" s="13">
        <f t="shared" si="5"/>
        <v>4.1808441600000006E-3</v>
      </c>
      <c r="M7" s="27">
        <f t="shared" si="6"/>
        <v>3.9021212160000006E-2</v>
      </c>
      <c r="N7" s="29">
        <f t="shared" si="7"/>
        <v>7.7423039999999999E-2</v>
      </c>
      <c r="O7" s="28">
        <f t="shared" si="8"/>
        <v>0.65778614784</v>
      </c>
    </row>
    <row r="8" spans="1:15" x14ac:dyDescent="0.7">
      <c r="A8" s="5"/>
      <c r="B8" s="5"/>
      <c r="C8" s="5">
        <v>6</v>
      </c>
      <c r="D8" s="6">
        <v>8.6760000000000002</v>
      </c>
      <c r="E8" s="6">
        <v>0</v>
      </c>
      <c r="F8" s="6">
        <v>8.6760000000000002</v>
      </c>
      <c r="G8" s="12">
        <f t="shared" si="0"/>
        <v>749606.40000000002</v>
      </c>
      <c r="H8" s="14">
        <f t="shared" si="1"/>
        <v>0.74960640000000001</v>
      </c>
      <c r="I8" s="13">
        <f t="shared" si="2"/>
        <v>33732.288</v>
      </c>
      <c r="J8" s="21">
        <f t="shared" si="3"/>
        <v>3.3732287999999999E-2</v>
      </c>
      <c r="K8" s="13">
        <f t="shared" si="4"/>
        <v>4047.8745599999997</v>
      </c>
      <c r="L8" s="13">
        <f t="shared" si="5"/>
        <v>4.0478745599999994E-3</v>
      </c>
      <c r="M8" s="27">
        <f t="shared" si="6"/>
        <v>3.7780162559999997E-2</v>
      </c>
      <c r="N8" s="29">
        <f t="shared" si="7"/>
        <v>7.4960640000000009E-2</v>
      </c>
      <c r="O8" s="28">
        <f t="shared" si="8"/>
        <v>0.63686559743999993</v>
      </c>
    </row>
    <row r="9" spans="1:15" x14ac:dyDescent="0.7">
      <c r="A9" s="5"/>
      <c r="B9" s="5"/>
      <c r="C9" s="5">
        <v>7</v>
      </c>
      <c r="D9" s="6">
        <v>8.6760000000000002</v>
      </c>
      <c r="E9" s="6">
        <v>0</v>
      </c>
      <c r="F9" s="6">
        <v>8.6760000000000002</v>
      </c>
      <c r="G9" s="12">
        <f t="shared" si="0"/>
        <v>749606.40000000002</v>
      </c>
      <c r="H9" s="14">
        <f t="shared" si="1"/>
        <v>0.74960640000000001</v>
      </c>
      <c r="I9" s="13">
        <f t="shared" si="2"/>
        <v>33732.288</v>
      </c>
      <c r="J9" s="21">
        <f>I9/1000000</f>
        <v>3.3732287999999999E-2</v>
      </c>
      <c r="K9" s="13">
        <f t="shared" si="4"/>
        <v>4047.8745599999997</v>
      </c>
      <c r="L9" s="13">
        <f t="shared" si="5"/>
        <v>4.0478745599999994E-3</v>
      </c>
      <c r="M9" s="27">
        <f t="shared" si="6"/>
        <v>3.7780162559999997E-2</v>
      </c>
      <c r="N9" s="29">
        <f t="shared" si="7"/>
        <v>7.4960640000000009E-2</v>
      </c>
      <c r="O9" s="28">
        <f t="shared" si="8"/>
        <v>0.63686559743999993</v>
      </c>
    </row>
    <row r="10" spans="1:15" x14ac:dyDescent="0.7">
      <c r="A10" s="5"/>
      <c r="B10" s="5"/>
      <c r="C10" s="5">
        <v>8</v>
      </c>
      <c r="D10" s="6">
        <v>8.6760000000000002</v>
      </c>
      <c r="E10" s="6">
        <v>0</v>
      </c>
      <c r="F10" s="6">
        <v>8.6760000000000002</v>
      </c>
      <c r="G10" s="12">
        <f t="shared" si="0"/>
        <v>749606.40000000002</v>
      </c>
      <c r="H10" s="14">
        <f t="shared" si="1"/>
        <v>0.74960640000000001</v>
      </c>
      <c r="I10" s="13">
        <f t="shared" si="2"/>
        <v>33732.288</v>
      </c>
      <c r="J10" s="21">
        <f t="shared" si="3"/>
        <v>3.3732287999999999E-2</v>
      </c>
      <c r="K10" s="13">
        <f t="shared" si="4"/>
        <v>4047.8745599999997</v>
      </c>
      <c r="L10" s="13">
        <f t="shared" si="5"/>
        <v>4.0478745599999994E-3</v>
      </c>
      <c r="M10" s="27">
        <f t="shared" si="6"/>
        <v>3.7780162559999997E-2</v>
      </c>
      <c r="N10" s="29">
        <f t="shared" si="7"/>
        <v>7.4960640000000009E-2</v>
      </c>
      <c r="O10" s="28">
        <f t="shared" si="8"/>
        <v>0.63686559743999993</v>
      </c>
    </row>
    <row r="11" spans="1:15" x14ac:dyDescent="0.7">
      <c r="A11" s="5"/>
      <c r="B11" s="5"/>
      <c r="C11" s="5">
        <v>9</v>
      </c>
      <c r="D11" s="6">
        <v>8.6199999999999992</v>
      </c>
      <c r="E11" s="6">
        <v>0</v>
      </c>
      <c r="F11" s="6">
        <v>8.6199999999999992</v>
      </c>
      <c r="G11" s="12">
        <f t="shared" si="0"/>
        <v>744767.99999999988</v>
      </c>
      <c r="H11" s="14">
        <f t="shared" si="1"/>
        <v>0.74476799999999987</v>
      </c>
      <c r="I11" s="13">
        <f t="shared" si="2"/>
        <v>33514.55999999999</v>
      </c>
      <c r="J11" s="21">
        <f t="shared" si="3"/>
        <v>3.3514559999999992E-2</v>
      </c>
      <c r="K11" s="13">
        <f t="shared" si="4"/>
        <v>4021.7471999999989</v>
      </c>
      <c r="L11" s="13">
        <f t="shared" si="5"/>
        <v>4.0217471999999992E-3</v>
      </c>
      <c r="M11" s="27">
        <f t="shared" si="6"/>
        <v>3.7536307199999994E-2</v>
      </c>
      <c r="N11" s="29">
        <f t="shared" si="7"/>
        <v>7.4476799999999996E-2</v>
      </c>
      <c r="O11" s="28">
        <f t="shared" si="8"/>
        <v>0.63275489279999986</v>
      </c>
    </row>
    <row r="12" spans="1:15" x14ac:dyDescent="0.7">
      <c r="A12" s="5"/>
      <c r="B12" s="5"/>
      <c r="C12" s="5">
        <v>10</v>
      </c>
      <c r="D12" s="6">
        <v>8.5579999999999998</v>
      </c>
      <c r="E12" s="6">
        <v>0</v>
      </c>
      <c r="F12" s="6">
        <v>8.5579999999999998</v>
      </c>
      <c r="G12" s="12">
        <f t="shared" si="0"/>
        <v>739411.2</v>
      </c>
      <c r="H12" s="14">
        <f t="shared" si="1"/>
        <v>0.73941119999999994</v>
      </c>
      <c r="I12" s="13">
        <f t="shared" si="2"/>
        <v>33273.503999999994</v>
      </c>
      <c r="J12" s="21">
        <f t="shared" si="3"/>
        <v>3.3273503999999995E-2</v>
      </c>
      <c r="K12" s="13">
        <f t="shared" si="4"/>
        <v>3992.820479999999</v>
      </c>
      <c r="L12" s="13">
        <f t="shared" si="5"/>
        <v>3.9928204799999992E-3</v>
      </c>
      <c r="M12" s="27">
        <f t="shared" si="6"/>
        <v>3.7266324479999995E-2</v>
      </c>
      <c r="N12" s="29">
        <f t="shared" si="7"/>
        <v>7.3941119999999999E-2</v>
      </c>
      <c r="O12" s="28">
        <f t="shared" si="8"/>
        <v>0.62820375551999996</v>
      </c>
    </row>
    <row r="13" spans="1:15" x14ac:dyDescent="0.7">
      <c r="A13" s="5"/>
      <c r="B13" s="5"/>
      <c r="C13" s="5">
        <v>11</v>
      </c>
      <c r="D13" s="6">
        <v>8.2089999999999996</v>
      </c>
      <c r="E13" s="6">
        <v>0</v>
      </c>
      <c r="F13" s="6">
        <v>8.2089999999999996</v>
      </c>
      <c r="G13" s="12">
        <f t="shared" si="0"/>
        <v>709257.6</v>
      </c>
      <c r="H13" s="14">
        <f t="shared" si="1"/>
        <v>0.70925759999999993</v>
      </c>
      <c r="I13" s="13">
        <f t="shared" si="2"/>
        <v>31916.591999999997</v>
      </c>
      <c r="J13" s="21">
        <f t="shared" si="3"/>
        <v>3.1916591999999994E-2</v>
      </c>
      <c r="K13" s="13">
        <f t="shared" si="4"/>
        <v>3829.9910399999994</v>
      </c>
      <c r="L13" s="13">
        <f t="shared" si="5"/>
        <v>3.8299910399999994E-3</v>
      </c>
      <c r="M13" s="27">
        <f t="shared" si="6"/>
        <v>3.5746583039999995E-2</v>
      </c>
      <c r="N13" s="29">
        <f t="shared" si="7"/>
        <v>7.092575999999999E-2</v>
      </c>
      <c r="O13" s="28">
        <f t="shared" si="8"/>
        <v>0.60258525695999998</v>
      </c>
    </row>
    <row r="14" spans="1:15" x14ac:dyDescent="0.7">
      <c r="A14" s="5"/>
      <c r="B14" s="5"/>
      <c r="C14" s="5">
        <v>12</v>
      </c>
      <c r="D14" s="6">
        <v>7.7930000000000001</v>
      </c>
      <c r="E14" s="6">
        <v>0</v>
      </c>
      <c r="F14" s="6">
        <v>7.7930000000000001</v>
      </c>
      <c r="G14" s="12">
        <f t="shared" si="0"/>
        <v>673315.20000000007</v>
      </c>
      <c r="H14" s="14">
        <f t="shared" si="1"/>
        <v>0.67331520000000011</v>
      </c>
      <c r="I14" s="13">
        <f t="shared" si="2"/>
        <v>30299.184000000001</v>
      </c>
      <c r="J14" s="21">
        <f t="shared" si="3"/>
        <v>3.0299184E-2</v>
      </c>
      <c r="K14" s="13">
        <f t="shared" si="4"/>
        <v>3635.9020799999998</v>
      </c>
      <c r="L14" s="13">
        <f t="shared" si="5"/>
        <v>3.63590208E-3</v>
      </c>
      <c r="M14" s="27">
        <f t="shared" si="6"/>
        <v>3.3935086080000003E-2</v>
      </c>
      <c r="N14" s="29">
        <f t="shared" si="7"/>
        <v>6.733152000000002E-2</v>
      </c>
      <c r="O14" s="28">
        <f t="shared" si="8"/>
        <v>0.57204859392000018</v>
      </c>
    </row>
    <row r="15" spans="1:15" x14ac:dyDescent="0.7">
      <c r="A15" s="5"/>
      <c r="B15" s="5"/>
      <c r="C15" s="5">
        <v>13</v>
      </c>
      <c r="D15" s="6">
        <v>7.7930000000000001</v>
      </c>
      <c r="E15" s="6">
        <v>0</v>
      </c>
      <c r="F15" s="6">
        <v>7.7930000000000001</v>
      </c>
      <c r="G15" s="12">
        <f t="shared" si="0"/>
        <v>673315.20000000007</v>
      </c>
      <c r="H15" s="14">
        <f t="shared" si="1"/>
        <v>0.67331520000000011</v>
      </c>
      <c r="I15" s="13">
        <f t="shared" si="2"/>
        <v>30299.184000000001</v>
      </c>
      <c r="J15" s="21">
        <f t="shared" si="3"/>
        <v>3.0299184E-2</v>
      </c>
      <c r="K15" s="13">
        <f t="shared" si="4"/>
        <v>3635.9020799999998</v>
      </c>
      <c r="L15" s="13">
        <f t="shared" si="5"/>
        <v>3.63590208E-3</v>
      </c>
      <c r="M15" s="27">
        <f t="shared" si="6"/>
        <v>3.3935086080000003E-2</v>
      </c>
      <c r="N15" s="29">
        <f t="shared" si="7"/>
        <v>6.733152000000002E-2</v>
      </c>
      <c r="O15" s="28">
        <f t="shared" si="8"/>
        <v>0.57204859392000018</v>
      </c>
    </row>
    <row r="16" spans="1:15" x14ac:dyDescent="0.7">
      <c r="A16" s="5"/>
      <c r="B16" s="5"/>
      <c r="C16" s="5">
        <v>14</v>
      </c>
      <c r="D16" s="6">
        <v>7.7930000000000001</v>
      </c>
      <c r="E16" s="6">
        <v>0</v>
      </c>
      <c r="F16" s="6">
        <v>7.7930000000000001</v>
      </c>
      <c r="G16" s="12">
        <f t="shared" si="0"/>
        <v>673315.20000000007</v>
      </c>
      <c r="H16" s="14">
        <f t="shared" si="1"/>
        <v>0.67331520000000011</v>
      </c>
      <c r="I16" s="13">
        <f t="shared" si="2"/>
        <v>30299.184000000001</v>
      </c>
      <c r="J16" s="21">
        <f t="shared" si="3"/>
        <v>3.0299184E-2</v>
      </c>
      <c r="K16" s="13">
        <f t="shared" si="4"/>
        <v>3635.9020799999998</v>
      </c>
      <c r="L16" s="13">
        <f t="shared" si="5"/>
        <v>3.63590208E-3</v>
      </c>
      <c r="M16" s="27">
        <f t="shared" si="6"/>
        <v>3.3935086080000003E-2</v>
      </c>
      <c r="N16" s="29">
        <f t="shared" si="7"/>
        <v>6.733152000000002E-2</v>
      </c>
      <c r="O16" s="28">
        <f t="shared" si="8"/>
        <v>0.57204859392000018</v>
      </c>
    </row>
    <row r="17" spans="1:15" x14ac:dyDescent="0.7">
      <c r="A17" s="5"/>
      <c r="B17" s="5"/>
      <c r="C17" s="5">
        <v>15</v>
      </c>
      <c r="D17" s="6">
        <v>7.7409999999999997</v>
      </c>
      <c r="E17" s="6">
        <v>0</v>
      </c>
      <c r="F17" s="6">
        <v>7.7409999999999997</v>
      </c>
      <c r="G17" s="12">
        <f t="shared" si="0"/>
        <v>668822.4</v>
      </c>
      <c r="H17" s="14">
        <f t="shared" si="1"/>
        <v>0.66882240000000004</v>
      </c>
      <c r="I17" s="13">
        <f t="shared" si="2"/>
        <v>30097.008000000002</v>
      </c>
      <c r="J17" s="21">
        <f t="shared" si="3"/>
        <v>3.0097008000000001E-2</v>
      </c>
      <c r="K17" s="13">
        <f t="shared" si="4"/>
        <v>3611.6409600000002</v>
      </c>
      <c r="L17" s="13">
        <f t="shared" si="5"/>
        <v>3.6116409600000002E-3</v>
      </c>
      <c r="M17" s="27">
        <f t="shared" si="6"/>
        <v>3.3708648960000004E-2</v>
      </c>
      <c r="N17" s="29">
        <f t="shared" si="7"/>
        <v>6.6882240000000009E-2</v>
      </c>
      <c r="O17" s="28">
        <f t="shared" si="8"/>
        <v>0.56823151104000003</v>
      </c>
    </row>
    <row r="18" spans="1:15" x14ac:dyDescent="0.7">
      <c r="A18" s="5"/>
      <c r="B18" s="5"/>
      <c r="C18" s="5">
        <v>16</v>
      </c>
      <c r="D18" s="6">
        <v>7.7409999999999997</v>
      </c>
      <c r="E18" s="6">
        <v>0</v>
      </c>
      <c r="F18" s="6">
        <v>7.7409999999999997</v>
      </c>
      <c r="G18" s="12">
        <f t="shared" si="0"/>
        <v>668822.4</v>
      </c>
      <c r="H18" s="14">
        <f t="shared" si="1"/>
        <v>0.66882240000000004</v>
      </c>
      <c r="I18" s="13">
        <f t="shared" si="2"/>
        <v>30097.008000000002</v>
      </c>
      <c r="J18" s="21">
        <f t="shared" si="3"/>
        <v>3.0097008000000001E-2</v>
      </c>
      <c r="K18" s="13">
        <f t="shared" si="4"/>
        <v>3611.6409600000002</v>
      </c>
      <c r="L18" s="13">
        <f t="shared" si="5"/>
        <v>3.6116409600000002E-3</v>
      </c>
      <c r="M18" s="27">
        <f t="shared" si="6"/>
        <v>3.3708648960000004E-2</v>
      </c>
      <c r="N18" s="29">
        <f t="shared" si="7"/>
        <v>6.6882240000000009E-2</v>
      </c>
      <c r="O18" s="28">
        <f t="shared" si="8"/>
        <v>0.56823151104000003</v>
      </c>
    </row>
    <row r="19" spans="1:15" x14ac:dyDescent="0.7">
      <c r="A19" s="5"/>
      <c r="B19" s="5"/>
      <c r="C19" s="5">
        <v>17</v>
      </c>
      <c r="D19" s="6">
        <v>7.7409999999999997</v>
      </c>
      <c r="E19" s="6">
        <v>0</v>
      </c>
      <c r="F19" s="6">
        <v>7.7409999999999997</v>
      </c>
      <c r="G19" s="12">
        <f t="shared" si="0"/>
        <v>668822.4</v>
      </c>
      <c r="H19" s="14">
        <f t="shared" si="1"/>
        <v>0.66882240000000004</v>
      </c>
      <c r="I19" s="13">
        <f t="shared" si="2"/>
        <v>30097.008000000002</v>
      </c>
      <c r="J19" s="21">
        <f t="shared" si="3"/>
        <v>3.0097008000000001E-2</v>
      </c>
      <c r="K19" s="13">
        <f t="shared" si="4"/>
        <v>3611.6409600000002</v>
      </c>
      <c r="L19" s="13">
        <f t="shared" si="5"/>
        <v>3.6116409600000002E-3</v>
      </c>
      <c r="M19" s="27">
        <f t="shared" si="6"/>
        <v>3.3708648960000004E-2</v>
      </c>
      <c r="N19" s="29">
        <f t="shared" si="7"/>
        <v>6.6882240000000009E-2</v>
      </c>
      <c r="O19" s="28">
        <f t="shared" si="8"/>
        <v>0.56823151104000003</v>
      </c>
    </row>
    <row r="20" spans="1:15" x14ac:dyDescent="0.7">
      <c r="A20" s="5"/>
      <c r="B20" s="5"/>
      <c r="C20" s="5">
        <v>18</v>
      </c>
      <c r="D20" s="6">
        <v>7.6840000000000002</v>
      </c>
      <c r="E20" s="6">
        <v>0</v>
      </c>
      <c r="F20" s="6">
        <v>7.6840000000000002</v>
      </c>
      <c r="G20" s="12">
        <f t="shared" si="0"/>
        <v>663897.59999999998</v>
      </c>
      <c r="H20" s="14">
        <f t="shared" si="1"/>
        <v>0.66389759999999998</v>
      </c>
      <c r="I20" s="13">
        <f t="shared" si="2"/>
        <v>29875.391999999996</v>
      </c>
      <c r="J20" s="21">
        <f t="shared" si="3"/>
        <v>2.9875391999999997E-2</v>
      </c>
      <c r="K20" s="13">
        <f t="shared" si="4"/>
        <v>3585.0470399999995</v>
      </c>
      <c r="L20" s="13">
        <f t="shared" si="5"/>
        <v>3.5850470399999995E-3</v>
      </c>
      <c r="M20" s="27">
        <f t="shared" si="6"/>
        <v>3.3460439039999998E-2</v>
      </c>
      <c r="N20" s="29">
        <f t="shared" si="7"/>
        <v>6.6389760000000006E-2</v>
      </c>
      <c r="O20" s="28">
        <f t="shared" si="8"/>
        <v>0.56404740096000006</v>
      </c>
    </row>
    <row r="21" spans="1:15" x14ac:dyDescent="0.7">
      <c r="A21" s="5"/>
      <c r="B21" s="5"/>
      <c r="C21" s="5">
        <v>19</v>
      </c>
      <c r="D21" s="6">
        <v>7.6840000000000002</v>
      </c>
      <c r="E21" s="6">
        <v>0</v>
      </c>
      <c r="F21" s="6">
        <v>7.6840000000000002</v>
      </c>
      <c r="G21" s="12">
        <f t="shared" si="0"/>
        <v>663897.59999999998</v>
      </c>
      <c r="H21" s="14">
        <f t="shared" si="1"/>
        <v>0.66389759999999998</v>
      </c>
      <c r="I21" s="13">
        <f t="shared" si="2"/>
        <v>29875.391999999996</v>
      </c>
      <c r="J21" s="21">
        <f t="shared" si="3"/>
        <v>2.9875391999999997E-2</v>
      </c>
      <c r="K21" s="13">
        <f t="shared" si="4"/>
        <v>3585.0470399999995</v>
      </c>
      <c r="L21" s="13">
        <f t="shared" si="5"/>
        <v>3.5850470399999995E-3</v>
      </c>
      <c r="M21" s="27">
        <f t="shared" si="6"/>
        <v>3.3460439039999998E-2</v>
      </c>
      <c r="N21" s="29">
        <f t="shared" si="7"/>
        <v>6.6389760000000006E-2</v>
      </c>
      <c r="O21" s="28">
        <f t="shared" si="8"/>
        <v>0.56404740096000006</v>
      </c>
    </row>
    <row r="22" spans="1:15" x14ac:dyDescent="0.7">
      <c r="A22" s="5"/>
      <c r="B22" s="5"/>
      <c r="C22" s="5">
        <v>20</v>
      </c>
      <c r="D22" s="6">
        <v>7.6840000000000002</v>
      </c>
      <c r="E22" s="6">
        <v>0</v>
      </c>
      <c r="F22" s="6">
        <v>7.6840000000000002</v>
      </c>
      <c r="G22" s="12">
        <f t="shared" si="0"/>
        <v>663897.59999999998</v>
      </c>
      <c r="H22" s="14">
        <f t="shared" si="1"/>
        <v>0.66389759999999998</v>
      </c>
      <c r="I22" s="13">
        <f t="shared" si="2"/>
        <v>29875.391999999996</v>
      </c>
      <c r="J22" s="21">
        <f t="shared" si="3"/>
        <v>2.9875391999999997E-2</v>
      </c>
      <c r="K22" s="13">
        <f t="shared" si="4"/>
        <v>3585.0470399999995</v>
      </c>
      <c r="L22" s="13">
        <f t="shared" si="5"/>
        <v>3.5850470399999995E-3</v>
      </c>
      <c r="M22" s="27">
        <f t="shared" si="6"/>
        <v>3.3460439039999998E-2</v>
      </c>
      <c r="N22" s="29">
        <f t="shared" si="7"/>
        <v>6.6389760000000006E-2</v>
      </c>
      <c r="O22" s="28">
        <f t="shared" si="8"/>
        <v>0.56404740096000006</v>
      </c>
    </row>
    <row r="23" spans="1:15" x14ac:dyDescent="0.7">
      <c r="A23" s="5"/>
      <c r="B23" s="5"/>
      <c r="C23" s="5">
        <v>21</v>
      </c>
      <c r="D23" s="6">
        <v>7.6319999999999997</v>
      </c>
      <c r="E23" s="6">
        <v>0</v>
      </c>
      <c r="F23" s="6">
        <v>7.6319999999999997</v>
      </c>
      <c r="G23" s="12">
        <f t="shared" si="0"/>
        <v>659404.79999999993</v>
      </c>
      <c r="H23" s="14">
        <f t="shared" si="1"/>
        <v>0.6594047999999999</v>
      </c>
      <c r="I23" s="13">
        <f t="shared" si="2"/>
        <v>29673.215999999997</v>
      </c>
      <c r="J23" s="21">
        <f t="shared" si="3"/>
        <v>2.9673215999999995E-2</v>
      </c>
      <c r="K23" s="13">
        <f t="shared" si="4"/>
        <v>3560.7859199999994</v>
      </c>
      <c r="L23" s="13">
        <f t="shared" si="5"/>
        <v>3.5607859199999993E-3</v>
      </c>
      <c r="M23" s="27">
        <f t="shared" si="6"/>
        <v>3.3234001919999992E-2</v>
      </c>
      <c r="N23" s="29">
        <f t="shared" si="7"/>
        <v>6.5940479999999996E-2</v>
      </c>
      <c r="O23" s="28">
        <f t="shared" si="8"/>
        <v>0.5602303180799999</v>
      </c>
    </row>
    <row r="24" spans="1:15" x14ac:dyDescent="0.7">
      <c r="A24" s="5"/>
      <c r="B24" s="5"/>
      <c r="C24" s="5">
        <v>22</v>
      </c>
      <c r="D24" s="6">
        <v>7.42</v>
      </c>
      <c r="E24" s="6">
        <v>0</v>
      </c>
      <c r="F24" s="6">
        <v>7.42</v>
      </c>
      <c r="G24" s="12">
        <f t="shared" si="0"/>
        <v>641088</v>
      </c>
      <c r="H24" s="14">
        <f t="shared" si="1"/>
        <v>0.64108799999999999</v>
      </c>
      <c r="I24" s="13">
        <f t="shared" si="2"/>
        <v>28848.959999999999</v>
      </c>
      <c r="J24" s="21">
        <f t="shared" si="3"/>
        <v>2.884896E-2</v>
      </c>
      <c r="K24" s="13">
        <f t="shared" si="4"/>
        <v>3461.8751999999999</v>
      </c>
      <c r="L24" s="13">
        <f t="shared" si="5"/>
        <v>3.4618751999999997E-3</v>
      </c>
      <c r="M24" s="27">
        <f t="shared" si="6"/>
        <v>3.2310835199999999E-2</v>
      </c>
      <c r="N24" s="29">
        <f t="shared" si="7"/>
        <v>6.4108800000000007E-2</v>
      </c>
      <c r="O24" s="28">
        <f t="shared" si="8"/>
        <v>0.54466836480000003</v>
      </c>
    </row>
    <row r="25" spans="1:15" x14ac:dyDescent="0.7">
      <c r="A25" s="5"/>
      <c r="B25" s="5"/>
      <c r="C25" s="5">
        <v>23</v>
      </c>
      <c r="D25" s="6">
        <v>7.2640000000000002</v>
      </c>
      <c r="E25" s="6">
        <v>0</v>
      </c>
      <c r="F25" s="6">
        <v>7.2640000000000002</v>
      </c>
      <c r="G25" s="12">
        <f t="shared" si="0"/>
        <v>627609.59999999998</v>
      </c>
      <c r="H25" s="14">
        <f t="shared" si="1"/>
        <v>0.62760959999999999</v>
      </c>
      <c r="I25" s="13">
        <f t="shared" si="2"/>
        <v>28242.431999999997</v>
      </c>
      <c r="J25" s="21">
        <f t="shared" si="3"/>
        <v>2.8242431999999998E-2</v>
      </c>
      <c r="K25" s="13">
        <f t="shared" si="4"/>
        <v>3389.0918399999996</v>
      </c>
      <c r="L25" s="13">
        <f t="shared" si="5"/>
        <v>3.3890918399999996E-3</v>
      </c>
      <c r="M25" s="27">
        <f t="shared" si="6"/>
        <v>3.1631523839999995E-2</v>
      </c>
      <c r="N25" s="29">
        <f t="shared" si="7"/>
        <v>6.2760960000000005E-2</v>
      </c>
      <c r="O25" s="28">
        <f t="shared" si="8"/>
        <v>0.53321711616</v>
      </c>
    </row>
    <row r="26" spans="1:15" x14ac:dyDescent="0.7">
      <c r="A26" s="5"/>
      <c r="B26" s="5"/>
      <c r="C26" s="5">
        <v>24</v>
      </c>
      <c r="D26" s="6">
        <v>7.2640000000000002</v>
      </c>
      <c r="E26" s="6">
        <v>0</v>
      </c>
      <c r="F26" s="6">
        <v>7.2640000000000002</v>
      </c>
      <c r="G26" s="12">
        <f t="shared" si="0"/>
        <v>627609.59999999998</v>
      </c>
      <c r="H26" s="14">
        <f t="shared" si="1"/>
        <v>0.62760959999999999</v>
      </c>
      <c r="I26" s="13">
        <f t="shared" si="2"/>
        <v>28242.431999999997</v>
      </c>
      <c r="J26" s="21">
        <f t="shared" si="3"/>
        <v>2.8242431999999998E-2</v>
      </c>
      <c r="K26" s="13">
        <f t="shared" si="4"/>
        <v>3389.0918399999996</v>
      </c>
      <c r="L26" s="13">
        <f t="shared" si="5"/>
        <v>3.3890918399999996E-3</v>
      </c>
      <c r="M26" s="27">
        <f t="shared" si="6"/>
        <v>3.1631523839999995E-2</v>
      </c>
      <c r="N26" s="29">
        <f t="shared" si="7"/>
        <v>6.2760960000000005E-2</v>
      </c>
      <c r="O26" s="28">
        <f t="shared" si="8"/>
        <v>0.53321711616</v>
      </c>
    </row>
    <row r="27" spans="1:15" x14ac:dyDescent="0.7">
      <c r="A27" s="5"/>
      <c r="B27" s="5"/>
      <c r="C27" s="5">
        <v>25</v>
      </c>
      <c r="D27" s="6">
        <v>7.2640000000000002</v>
      </c>
      <c r="E27" s="6">
        <v>0</v>
      </c>
      <c r="F27" s="6">
        <v>7.2640000000000002</v>
      </c>
      <c r="G27" s="12">
        <f t="shared" si="0"/>
        <v>627609.59999999998</v>
      </c>
      <c r="H27" s="14">
        <f t="shared" si="1"/>
        <v>0.62760959999999999</v>
      </c>
      <c r="I27" s="13">
        <f t="shared" si="2"/>
        <v>28242.431999999997</v>
      </c>
      <c r="J27" s="21">
        <f t="shared" si="3"/>
        <v>2.8242431999999998E-2</v>
      </c>
      <c r="K27" s="13">
        <f t="shared" si="4"/>
        <v>3389.0918399999996</v>
      </c>
      <c r="L27" s="13">
        <f t="shared" si="5"/>
        <v>3.3890918399999996E-3</v>
      </c>
      <c r="M27" s="27">
        <f t="shared" si="6"/>
        <v>3.1631523839999995E-2</v>
      </c>
      <c r="N27" s="29">
        <f t="shared" si="7"/>
        <v>6.2760960000000005E-2</v>
      </c>
      <c r="O27" s="28">
        <f t="shared" si="8"/>
        <v>0.53321711616</v>
      </c>
    </row>
    <row r="28" spans="1:15" x14ac:dyDescent="0.7">
      <c r="A28" s="5"/>
      <c r="B28" s="5"/>
      <c r="C28" s="5">
        <v>26</v>
      </c>
      <c r="D28" s="6">
        <v>7.2640000000000002</v>
      </c>
      <c r="E28" s="6">
        <v>0</v>
      </c>
      <c r="F28" s="6">
        <v>7.2640000000000002</v>
      </c>
      <c r="G28" s="12">
        <f t="shared" si="0"/>
        <v>627609.59999999998</v>
      </c>
      <c r="H28" s="14">
        <f t="shared" si="1"/>
        <v>0.62760959999999999</v>
      </c>
      <c r="I28" s="13">
        <f t="shared" si="2"/>
        <v>28242.431999999997</v>
      </c>
      <c r="J28" s="21">
        <f t="shared" si="3"/>
        <v>2.8242431999999998E-2</v>
      </c>
      <c r="K28" s="13">
        <f t="shared" si="4"/>
        <v>3389.0918399999996</v>
      </c>
      <c r="L28" s="13">
        <f t="shared" si="5"/>
        <v>3.3890918399999996E-3</v>
      </c>
      <c r="M28" s="27">
        <f t="shared" si="6"/>
        <v>3.1631523839999995E-2</v>
      </c>
      <c r="N28" s="29">
        <f t="shared" si="7"/>
        <v>6.2760960000000005E-2</v>
      </c>
      <c r="O28" s="28">
        <f t="shared" si="8"/>
        <v>0.53321711616</v>
      </c>
    </row>
    <row r="29" spans="1:15" x14ac:dyDescent="0.7">
      <c r="A29" s="5"/>
      <c r="B29" s="5"/>
      <c r="C29" s="5">
        <v>27</v>
      </c>
      <c r="D29" s="6">
        <v>7.2069999999999999</v>
      </c>
      <c r="E29" s="6">
        <v>0</v>
      </c>
      <c r="F29" s="6">
        <v>7.2069999999999999</v>
      </c>
      <c r="G29" s="12">
        <f t="shared" si="0"/>
        <v>622684.79999999993</v>
      </c>
      <c r="H29" s="14">
        <f t="shared" si="1"/>
        <v>0.62268479999999993</v>
      </c>
      <c r="I29" s="13">
        <f t="shared" si="2"/>
        <v>28020.815999999995</v>
      </c>
      <c r="J29" s="21">
        <f t="shared" si="3"/>
        <v>2.8020815999999994E-2</v>
      </c>
      <c r="K29" s="13">
        <f t="shared" si="4"/>
        <v>3362.4979199999993</v>
      </c>
      <c r="L29" s="13">
        <f t="shared" si="5"/>
        <v>3.3624979199999992E-3</v>
      </c>
      <c r="M29" s="27">
        <f t="shared" si="6"/>
        <v>3.1383313919999996E-2</v>
      </c>
      <c r="N29" s="29">
        <f t="shared" si="7"/>
        <v>6.2268479999999994E-2</v>
      </c>
      <c r="O29" s="28">
        <f t="shared" si="8"/>
        <v>0.52903300607999992</v>
      </c>
    </row>
    <row r="30" spans="1:15" x14ac:dyDescent="0.7">
      <c r="A30" s="5"/>
      <c r="B30" s="5"/>
      <c r="C30" s="5">
        <v>28</v>
      </c>
      <c r="D30" s="6">
        <v>7.2069999999999999</v>
      </c>
      <c r="E30" s="6">
        <v>0</v>
      </c>
      <c r="F30" s="6">
        <v>7.2069999999999999</v>
      </c>
      <c r="G30" s="12">
        <f t="shared" si="0"/>
        <v>622684.79999999993</v>
      </c>
      <c r="H30" s="14">
        <f t="shared" si="1"/>
        <v>0.62268479999999993</v>
      </c>
      <c r="I30" s="13">
        <f t="shared" si="2"/>
        <v>28020.815999999995</v>
      </c>
      <c r="J30" s="21">
        <f t="shared" si="3"/>
        <v>2.8020815999999994E-2</v>
      </c>
      <c r="K30" s="13">
        <f t="shared" si="4"/>
        <v>3362.4979199999993</v>
      </c>
      <c r="L30" s="13">
        <f t="shared" si="5"/>
        <v>3.3624979199999992E-3</v>
      </c>
      <c r="M30" s="27">
        <f t="shared" si="6"/>
        <v>3.1383313919999996E-2</v>
      </c>
      <c r="N30" s="29">
        <f t="shared" si="7"/>
        <v>6.2268479999999994E-2</v>
      </c>
      <c r="O30" s="28">
        <f t="shared" si="8"/>
        <v>0.52903300607999992</v>
      </c>
    </row>
    <row r="31" spans="1:15" x14ac:dyDescent="0.7">
      <c r="A31" s="5"/>
      <c r="B31" s="5"/>
      <c r="C31" s="5">
        <v>29</v>
      </c>
      <c r="D31" s="6">
        <v>7.1559999999999997</v>
      </c>
      <c r="E31" s="6">
        <v>0</v>
      </c>
      <c r="F31" s="6">
        <v>7.1559999999999997</v>
      </c>
      <c r="G31" s="12">
        <f t="shared" si="0"/>
        <v>618278.40000000002</v>
      </c>
      <c r="H31" s="14">
        <f t="shared" si="1"/>
        <v>0.61827840000000001</v>
      </c>
      <c r="I31" s="13">
        <f t="shared" si="2"/>
        <v>27822.527999999998</v>
      </c>
      <c r="J31" s="21">
        <f t="shared" si="3"/>
        <v>2.7822527999999999E-2</v>
      </c>
      <c r="K31" s="13">
        <f t="shared" si="4"/>
        <v>3338.7033599999995</v>
      </c>
      <c r="L31" s="13">
        <f t="shared" si="5"/>
        <v>3.3387033599999996E-3</v>
      </c>
      <c r="M31" s="27">
        <f t="shared" si="6"/>
        <v>3.116123136E-2</v>
      </c>
      <c r="N31" s="29">
        <f t="shared" si="7"/>
        <v>6.1827840000000002E-2</v>
      </c>
      <c r="O31" s="28">
        <f t="shared" si="8"/>
        <v>0.52528932864</v>
      </c>
    </row>
    <row r="32" spans="1:15" x14ac:dyDescent="0.7">
      <c r="A32" s="10"/>
      <c r="B32" s="10"/>
      <c r="C32" s="10">
        <v>30</v>
      </c>
      <c r="D32" s="16">
        <v>7.1040000000000001</v>
      </c>
      <c r="E32" s="6">
        <v>0</v>
      </c>
      <c r="F32" s="16">
        <v>7.1040000000000001</v>
      </c>
      <c r="G32" s="17">
        <f t="shared" si="0"/>
        <v>613785.59999999998</v>
      </c>
      <c r="H32" s="18">
        <f t="shared" si="1"/>
        <v>0.61378559999999993</v>
      </c>
      <c r="I32" s="37">
        <f t="shared" si="2"/>
        <v>27620.351999999999</v>
      </c>
      <c r="J32" s="38">
        <f t="shared" si="3"/>
        <v>2.7620351999999997E-2</v>
      </c>
      <c r="K32" s="37">
        <f t="shared" si="4"/>
        <v>3314.4422399999999</v>
      </c>
      <c r="L32" s="37">
        <f t="shared" si="5"/>
        <v>3.3144422399999998E-3</v>
      </c>
      <c r="M32" s="39">
        <f t="shared" si="6"/>
        <v>3.0934794239999997E-2</v>
      </c>
      <c r="N32" s="40">
        <f t="shared" si="7"/>
        <v>6.1378559999999999E-2</v>
      </c>
      <c r="O32" s="41">
        <f t="shared" si="8"/>
        <v>0.52147224575999995</v>
      </c>
    </row>
    <row r="33" spans="1:15" s="65" customFormat="1" ht="25.2" thickBot="1" x14ac:dyDescent="0.75">
      <c r="A33" s="8"/>
      <c r="B33" s="8" t="s">
        <v>15</v>
      </c>
      <c r="C33" s="8">
        <v>31</v>
      </c>
      <c r="D33" s="9">
        <v>7.0519999999999996</v>
      </c>
      <c r="E33" s="9">
        <v>0</v>
      </c>
      <c r="F33" s="9">
        <v>7.0519999999999996</v>
      </c>
      <c r="G33" s="19">
        <f t="shared" si="0"/>
        <v>609292.79999999993</v>
      </c>
      <c r="H33" s="15">
        <f t="shared" si="1"/>
        <v>0.60929279999999997</v>
      </c>
      <c r="I33" s="15">
        <f t="shared" si="2"/>
        <v>27418.175999999996</v>
      </c>
      <c r="J33" s="22">
        <f t="shared" si="3"/>
        <v>2.7418175999999995E-2</v>
      </c>
      <c r="K33" s="15">
        <f t="shared" si="4"/>
        <v>3290.1811199999993</v>
      </c>
      <c r="L33" s="15">
        <f t="shared" si="5"/>
        <v>3.2901811199999992E-3</v>
      </c>
      <c r="M33" s="15">
        <f t="shared" si="6"/>
        <v>3.0708357119999995E-2</v>
      </c>
      <c r="N33" s="34">
        <f t="shared" si="7"/>
        <v>6.0929280000000002E-2</v>
      </c>
      <c r="O33" s="15">
        <f t="shared" si="8"/>
        <v>0.51765516288000002</v>
      </c>
    </row>
    <row r="34" spans="1:15" x14ac:dyDescent="0.7">
      <c r="A34" s="2"/>
      <c r="B34" s="2" t="s">
        <v>16</v>
      </c>
      <c r="C34" s="2">
        <v>1</v>
      </c>
      <c r="D34" s="3">
        <v>6.944</v>
      </c>
      <c r="E34" s="3">
        <v>0</v>
      </c>
      <c r="F34" s="3">
        <v>6.944</v>
      </c>
      <c r="G34" s="12">
        <f t="shared" si="0"/>
        <v>599961.59999999998</v>
      </c>
      <c r="H34" s="14">
        <f t="shared" si="1"/>
        <v>0.59996159999999998</v>
      </c>
      <c r="I34" s="14">
        <f t="shared" si="2"/>
        <v>26998.271999999997</v>
      </c>
      <c r="J34" s="26">
        <f t="shared" si="3"/>
        <v>2.6998271999999997E-2</v>
      </c>
      <c r="K34" s="14">
        <f t="shared" si="4"/>
        <v>3239.7926399999997</v>
      </c>
      <c r="L34" s="14">
        <f t="shared" si="5"/>
        <v>3.2397926399999996E-3</v>
      </c>
      <c r="M34" s="30">
        <f t="shared" si="6"/>
        <v>3.0238064639999996E-2</v>
      </c>
      <c r="N34" s="31">
        <f t="shared" si="7"/>
        <v>5.999616E-2</v>
      </c>
      <c r="O34" s="32">
        <f t="shared" si="8"/>
        <v>0.50972737536000001</v>
      </c>
    </row>
    <row r="35" spans="1:15" x14ac:dyDescent="0.7">
      <c r="A35" s="5"/>
      <c r="B35" s="5"/>
      <c r="C35" s="5">
        <v>2</v>
      </c>
      <c r="D35" s="6">
        <v>6.84</v>
      </c>
      <c r="E35" s="6">
        <v>0</v>
      </c>
      <c r="F35" s="6">
        <v>6.84</v>
      </c>
      <c r="G35" s="12">
        <f t="shared" si="0"/>
        <v>590976</v>
      </c>
      <c r="H35" s="14">
        <f t="shared" si="1"/>
        <v>0.59097599999999995</v>
      </c>
      <c r="I35" s="13">
        <f t="shared" si="2"/>
        <v>26593.919999999998</v>
      </c>
      <c r="J35" s="21">
        <f t="shared" si="3"/>
        <v>2.6593919999999997E-2</v>
      </c>
      <c r="K35" s="13">
        <f t="shared" si="4"/>
        <v>3191.2703999999999</v>
      </c>
      <c r="L35" s="13">
        <f t="shared" si="5"/>
        <v>3.1912704000000001E-3</v>
      </c>
      <c r="M35" s="27">
        <f t="shared" si="6"/>
        <v>2.9785190399999998E-2</v>
      </c>
      <c r="N35" s="29">
        <f t="shared" si="7"/>
        <v>5.90976E-2</v>
      </c>
      <c r="O35" s="28">
        <f t="shared" si="8"/>
        <v>0.50209320959999992</v>
      </c>
    </row>
    <row r="36" spans="1:15" x14ac:dyDescent="0.7">
      <c r="A36" s="5"/>
      <c r="B36" s="5"/>
      <c r="C36" s="5">
        <v>3</v>
      </c>
      <c r="D36" s="6">
        <v>6.7320000000000002</v>
      </c>
      <c r="E36" s="6">
        <v>0</v>
      </c>
      <c r="F36" s="6">
        <v>6.7320000000000002</v>
      </c>
      <c r="G36" s="12">
        <f t="shared" si="0"/>
        <v>581644.80000000005</v>
      </c>
      <c r="H36" s="14">
        <f t="shared" si="1"/>
        <v>0.58164480000000007</v>
      </c>
      <c r="I36" s="13">
        <f t="shared" si="2"/>
        <v>26174.016</v>
      </c>
      <c r="J36" s="21">
        <f t="shared" si="3"/>
        <v>2.6174016000000001E-2</v>
      </c>
      <c r="K36" s="13">
        <f t="shared" si="4"/>
        <v>3140.8819199999998</v>
      </c>
      <c r="L36" s="13">
        <f t="shared" si="5"/>
        <v>3.1408819199999997E-3</v>
      </c>
      <c r="M36" s="27">
        <f t="shared" si="6"/>
        <v>2.9314897919999999E-2</v>
      </c>
      <c r="N36" s="29">
        <f t="shared" si="7"/>
        <v>5.8164480000000011E-2</v>
      </c>
      <c r="O36" s="28">
        <f t="shared" si="8"/>
        <v>0.49416542208000008</v>
      </c>
    </row>
    <row r="37" spans="1:15" x14ac:dyDescent="0.7">
      <c r="A37" s="5"/>
      <c r="B37" s="5"/>
      <c r="C37" s="5">
        <v>4</v>
      </c>
      <c r="D37" s="6">
        <v>6.6239999999999997</v>
      </c>
      <c r="E37" s="6">
        <v>0</v>
      </c>
      <c r="F37" s="6">
        <v>6.6239999999999997</v>
      </c>
      <c r="G37" s="12">
        <f t="shared" si="0"/>
        <v>572313.59999999998</v>
      </c>
      <c r="H37" s="14">
        <f t="shared" si="1"/>
        <v>0.57231359999999998</v>
      </c>
      <c r="I37" s="13">
        <f t="shared" si="2"/>
        <v>25754.111999999997</v>
      </c>
      <c r="J37" s="21">
        <f t="shared" si="3"/>
        <v>2.5754111999999996E-2</v>
      </c>
      <c r="K37" s="13">
        <f t="shared" si="4"/>
        <v>3090.4934399999997</v>
      </c>
      <c r="L37" s="13">
        <f t="shared" si="5"/>
        <v>3.0904934399999997E-3</v>
      </c>
      <c r="M37" s="27">
        <f t="shared" si="6"/>
        <v>2.8844605439999997E-2</v>
      </c>
      <c r="N37" s="29">
        <f t="shared" si="7"/>
        <v>5.7231360000000002E-2</v>
      </c>
      <c r="O37" s="28">
        <f t="shared" si="8"/>
        <v>0.48623763455999996</v>
      </c>
    </row>
    <row r="38" spans="1:15" x14ac:dyDescent="0.7">
      <c r="A38" s="5"/>
      <c r="B38" s="5"/>
      <c r="C38" s="5">
        <v>5</v>
      </c>
      <c r="D38" s="6">
        <v>6.6239999999999997</v>
      </c>
      <c r="E38" s="6">
        <v>0</v>
      </c>
      <c r="F38" s="6">
        <v>6.6239999999999997</v>
      </c>
      <c r="G38" s="12">
        <f t="shared" si="0"/>
        <v>572313.59999999998</v>
      </c>
      <c r="H38" s="14">
        <f t="shared" si="1"/>
        <v>0.57231359999999998</v>
      </c>
      <c r="I38" s="13">
        <f t="shared" si="2"/>
        <v>25754.111999999997</v>
      </c>
      <c r="J38" s="21">
        <f t="shared" si="3"/>
        <v>2.5754111999999996E-2</v>
      </c>
      <c r="K38" s="13">
        <f t="shared" si="4"/>
        <v>3090.4934399999997</v>
      </c>
      <c r="L38" s="13">
        <f t="shared" si="5"/>
        <v>3.0904934399999997E-3</v>
      </c>
      <c r="M38" s="27">
        <f t="shared" si="6"/>
        <v>2.8844605439999997E-2</v>
      </c>
      <c r="N38" s="29">
        <f t="shared" si="7"/>
        <v>5.7231360000000002E-2</v>
      </c>
      <c r="O38" s="28">
        <f t="shared" si="8"/>
        <v>0.48623763455999996</v>
      </c>
    </row>
    <row r="39" spans="1:15" x14ac:dyDescent="0.7">
      <c r="A39" s="5"/>
      <c r="B39" s="5"/>
      <c r="C39" s="5">
        <v>6</v>
      </c>
      <c r="D39" s="6">
        <v>6.4690000000000003</v>
      </c>
      <c r="E39" s="6">
        <v>0</v>
      </c>
      <c r="F39" s="6">
        <v>6.4690000000000003</v>
      </c>
      <c r="G39" s="12">
        <f t="shared" si="0"/>
        <v>558921.6</v>
      </c>
      <c r="H39" s="14">
        <f t="shared" si="1"/>
        <v>0.55892160000000002</v>
      </c>
      <c r="I39" s="13">
        <f t="shared" si="2"/>
        <v>25151.471999999998</v>
      </c>
      <c r="J39" s="21">
        <f t="shared" si="3"/>
        <v>2.5151471999999998E-2</v>
      </c>
      <c r="K39" s="13">
        <f t="shared" si="4"/>
        <v>3018.1766399999997</v>
      </c>
      <c r="L39" s="13">
        <f t="shared" si="5"/>
        <v>3.0181766399999996E-3</v>
      </c>
      <c r="M39" s="27">
        <f t="shared" si="6"/>
        <v>2.8169648639999996E-2</v>
      </c>
      <c r="N39" s="29">
        <f t="shared" si="7"/>
        <v>5.5892160000000003E-2</v>
      </c>
      <c r="O39" s="28">
        <f t="shared" si="8"/>
        <v>0.47485979135999995</v>
      </c>
    </row>
    <row r="40" spans="1:15" x14ac:dyDescent="0.7">
      <c r="A40" s="5"/>
      <c r="B40" s="5"/>
      <c r="C40" s="5">
        <v>7</v>
      </c>
      <c r="D40" s="6">
        <v>6.4130000000000003</v>
      </c>
      <c r="E40" s="6">
        <v>0</v>
      </c>
      <c r="F40" s="6">
        <v>6.4130000000000003</v>
      </c>
      <c r="G40" s="12">
        <f t="shared" si="0"/>
        <v>554083.20000000007</v>
      </c>
      <c r="H40" s="14">
        <f t="shared" si="1"/>
        <v>0.55408320000000011</v>
      </c>
      <c r="I40" s="13">
        <f t="shared" si="2"/>
        <v>24933.744000000002</v>
      </c>
      <c r="J40" s="21">
        <f t="shared" si="3"/>
        <v>2.4933744000000001E-2</v>
      </c>
      <c r="K40" s="13">
        <f t="shared" si="4"/>
        <v>2992.0492800000002</v>
      </c>
      <c r="L40" s="13">
        <f t="shared" si="5"/>
        <v>2.9920492800000003E-3</v>
      </c>
      <c r="M40" s="27">
        <f t="shared" si="6"/>
        <v>2.792579328E-2</v>
      </c>
      <c r="N40" s="29">
        <f t="shared" si="7"/>
        <v>5.5408320000000011E-2</v>
      </c>
      <c r="O40" s="28">
        <f t="shared" si="8"/>
        <v>0.4707490867200001</v>
      </c>
    </row>
    <row r="41" spans="1:15" x14ac:dyDescent="0.7">
      <c r="A41" s="5"/>
      <c r="B41" s="5"/>
      <c r="C41" s="5">
        <v>8</v>
      </c>
      <c r="D41" s="6">
        <v>6.33</v>
      </c>
      <c r="E41" s="6">
        <v>0</v>
      </c>
      <c r="F41" s="6">
        <v>6.33</v>
      </c>
      <c r="G41" s="12">
        <f t="shared" si="0"/>
        <v>546912</v>
      </c>
      <c r="H41" s="14">
        <f t="shared" si="1"/>
        <v>0.54691199999999995</v>
      </c>
      <c r="I41" s="13">
        <f t="shared" si="2"/>
        <v>24611.040000000001</v>
      </c>
      <c r="J41" s="21">
        <f t="shared" si="3"/>
        <v>2.4611040000000001E-2</v>
      </c>
      <c r="K41" s="13">
        <f t="shared" si="4"/>
        <v>2953.3247999999999</v>
      </c>
      <c r="L41" s="13">
        <f t="shared" si="5"/>
        <v>2.9533248000000001E-3</v>
      </c>
      <c r="M41" s="27">
        <f t="shared" si="6"/>
        <v>2.7564364800000001E-2</v>
      </c>
      <c r="N41" s="29">
        <f t="shared" si="7"/>
        <v>5.4691199999999995E-2</v>
      </c>
      <c r="O41" s="28">
        <f t="shared" si="8"/>
        <v>0.46465643519999994</v>
      </c>
    </row>
    <row r="42" spans="1:15" x14ac:dyDescent="0.7">
      <c r="A42" s="5"/>
      <c r="B42" s="5"/>
      <c r="C42" s="5">
        <v>9</v>
      </c>
      <c r="D42" s="6">
        <v>6.2089999999999996</v>
      </c>
      <c r="E42" s="6">
        <v>0</v>
      </c>
      <c r="F42" s="6">
        <v>6.2089999999999996</v>
      </c>
      <c r="G42" s="12">
        <f t="shared" si="0"/>
        <v>536457.6</v>
      </c>
      <c r="H42" s="14">
        <f t="shared" si="1"/>
        <v>0.53645759999999998</v>
      </c>
      <c r="I42" s="13">
        <f t="shared" si="2"/>
        <v>24140.591999999997</v>
      </c>
      <c r="J42" s="21">
        <f t="shared" si="3"/>
        <v>2.4140591999999995E-2</v>
      </c>
      <c r="K42" s="13">
        <f t="shared" si="4"/>
        <v>2896.8710399999995</v>
      </c>
      <c r="L42" s="13">
        <f t="shared" si="5"/>
        <v>2.8968710399999995E-3</v>
      </c>
      <c r="M42" s="27">
        <f t="shared" si="6"/>
        <v>2.7037463039999994E-2</v>
      </c>
      <c r="N42" s="29">
        <f t="shared" si="7"/>
        <v>5.3645760000000001E-2</v>
      </c>
      <c r="O42" s="28">
        <f t="shared" si="8"/>
        <v>0.45577437696</v>
      </c>
    </row>
    <row r="43" spans="1:15" x14ac:dyDescent="0.7">
      <c r="A43" s="5"/>
      <c r="B43" s="5"/>
      <c r="C43" s="5">
        <v>10</v>
      </c>
      <c r="D43" s="6">
        <v>6.1689999999999996</v>
      </c>
      <c r="E43" s="6">
        <v>0</v>
      </c>
      <c r="F43" s="6">
        <v>6.1689999999999996</v>
      </c>
      <c r="G43" s="12">
        <f t="shared" si="0"/>
        <v>533001.6</v>
      </c>
      <c r="H43" s="14">
        <f t="shared" si="1"/>
        <v>0.53300159999999996</v>
      </c>
      <c r="I43" s="13">
        <f t="shared" si="2"/>
        <v>23985.071999999996</v>
      </c>
      <c r="J43" s="21">
        <f t="shared" si="3"/>
        <v>2.3985071999999996E-2</v>
      </c>
      <c r="K43" s="13">
        <f t="shared" si="4"/>
        <v>2878.2086399999994</v>
      </c>
      <c r="L43" s="13">
        <f t="shared" si="5"/>
        <v>2.8782086399999993E-3</v>
      </c>
      <c r="M43" s="27">
        <f t="shared" si="6"/>
        <v>2.6863280639999994E-2</v>
      </c>
      <c r="N43" s="29">
        <f t="shared" si="7"/>
        <v>5.3300159999999999E-2</v>
      </c>
      <c r="O43" s="28">
        <f t="shared" si="8"/>
        <v>0.45283815935999999</v>
      </c>
    </row>
    <row r="44" spans="1:15" x14ac:dyDescent="0.7">
      <c r="A44" s="5"/>
      <c r="B44" s="5"/>
      <c r="C44" s="5">
        <v>11</v>
      </c>
      <c r="D44" s="6">
        <v>6.1689999999999996</v>
      </c>
      <c r="E44" s="6">
        <v>0</v>
      </c>
      <c r="F44" s="6">
        <v>6.1689999999999996</v>
      </c>
      <c r="G44" s="12">
        <f t="shared" si="0"/>
        <v>533001.6</v>
      </c>
      <c r="H44" s="14">
        <f t="shared" si="1"/>
        <v>0.53300159999999996</v>
      </c>
      <c r="I44" s="13">
        <f t="shared" si="2"/>
        <v>23985.071999999996</v>
      </c>
      <c r="J44" s="21">
        <f t="shared" si="3"/>
        <v>2.3985071999999996E-2</v>
      </c>
      <c r="K44" s="13">
        <f t="shared" si="4"/>
        <v>2878.2086399999994</v>
      </c>
      <c r="L44" s="13">
        <f t="shared" si="5"/>
        <v>2.8782086399999993E-3</v>
      </c>
      <c r="M44" s="27">
        <f t="shared" si="6"/>
        <v>2.6863280639999994E-2</v>
      </c>
      <c r="N44" s="29">
        <f t="shared" si="7"/>
        <v>5.3300159999999999E-2</v>
      </c>
      <c r="O44" s="28">
        <f t="shared" si="8"/>
        <v>0.45283815935999999</v>
      </c>
    </row>
    <row r="45" spans="1:15" x14ac:dyDescent="0.7">
      <c r="A45" s="5"/>
      <c r="B45" s="5"/>
      <c r="C45" s="5">
        <v>12</v>
      </c>
      <c r="D45" s="6">
        <v>6.1689999999999996</v>
      </c>
      <c r="E45" s="6">
        <v>0</v>
      </c>
      <c r="F45" s="6">
        <v>6.1689999999999996</v>
      </c>
      <c r="G45" s="12">
        <f t="shared" si="0"/>
        <v>533001.6</v>
      </c>
      <c r="H45" s="14">
        <f t="shared" si="1"/>
        <v>0.53300159999999996</v>
      </c>
      <c r="I45" s="13">
        <f t="shared" si="2"/>
        <v>23985.071999999996</v>
      </c>
      <c r="J45" s="21">
        <f t="shared" si="3"/>
        <v>2.3985071999999996E-2</v>
      </c>
      <c r="K45" s="13">
        <f t="shared" si="4"/>
        <v>2878.2086399999994</v>
      </c>
      <c r="L45" s="13">
        <f t="shared" si="5"/>
        <v>2.8782086399999993E-3</v>
      </c>
      <c r="M45" s="27">
        <f t="shared" si="6"/>
        <v>2.6863280639999994E-2</v>
      </c>
      <c r="N45" s="29">
        <f t="shared" si="7"/>
        <v>5.3300159999999999E-2</v>
      </c>
      <c r="O45" s="28">
        <f t="shared" si="8"/>
        <v>0.45283815935999999</v>
      </c>
    </row>
    <row r="46" spans="1:15" x14ac:dyDescent="0.7">
      <c r="A46" s="5"/>
      <c r="B46" s="5"/>
      <c r="C46" s="5">
        <v>13</v>
      </c>
      <c r="D46" s="6">
        <v>6.1689999999999996</v>
      </c>
      <c r="E46" s="6">
        <v>0</v>
      </c>
      <c r="F46" s="6">
        <v>6.1689999999999996</v>
      </c>
      <c r="G46" s="12">
        <f t="shared" si="0"/>
        <v>533001.6</v>
      </c>
      <c r="H46" s="14">
        <f t="shared" si="1"/>
        <v>0.53300159999999996</v>
      </c>
      <c r="I46" s="13">
        <f t="shared" si="2"/>
        <v>23985.071999999996</v>
      </c>
      <c r="J46" s="21">
        <f t="shared" si="3"/>
        <v>2.3985071999999996E-2</v>
      </c>
      <c r="K46" s="13">
        <f t="shared" si="4"/>
        <v>2878.2086399999994</v>
      </c>
      <c r="L46" s="13">
        <f t="shared" si="5"/>
        <v>2.8782086399999993E-3</v>
      </c>
      <c r="M46" s="27">
        <f t="shared" si="6"/>
        <v>2.6863280639999994E-2</v>
      </c>
      <c r="N46" s="29">
        <f t="shared" si="7"/>
        <v>5.3300159999999999E-2</v>
      </c>
      <c r="O46" s="28">
        <f t="shared" si="8"/>
        <v>0.45283815935999999</v>
      </c>
    </row>
    <row r="47" spans="1:15" x14ac:dyDescent="0.7">
      <c r="A47" s="5"/>
      <c r="B47" s="5"/>
      <c r="C47" s="5">
        <v>14</v>
      </c>
      <c r="D47" s="6">
        <v>6.0739999999999998</v>
      </c>
      <c r="E47" s="6">
        <v>0</v>
      </c>
      <c r="F47" s="6">
        <v>6.0739999999999998</v>
      </c>
      <c r="G47" s="12">
        <f t="shared" si="0"/>
        <v>524793.59999999998</v>
      </c>
      <c r="H47" s="14">
        <f t="shared" si="1"/>
        <v>0.52479359999999997</v>
      </c>
      <c r="I47" s="13">
        <f t="shared" si="2"/>
        <v>23615.712</v>
      </c>
      <c r="J47" s="21">
        <f t="shared" si="3"/>
        <v>2.3615712000000001E-2</v>
      </c>
      <c r="K47" s="13">
        <f t="shared" si="4"/>
        <v>2833.88544</v>
      </c>
      <c r="L47" s="13">
        <f t="shared" si="5"/>
        <v>2.8338854399999999E-3</v>
      </c>
      <c r="M47" s="27">
        <f t="shared" si="6"/>
        <v>2.644959744E-2</v>
      </c>
      <c r="N47" s="29">
        <f t="shared" si="7"/>
        <v>5.2479360000000003E-2</v>
      </c>
      <c r="O47" s="28">
        <f t="shared" si="8"/>
        <v>0.44586464256000002</v>
      </c>
    </row>
    <row r="48" spans="1:15" x14ac:dyDescent="0.7">
      <c r="A48" s="5"/>
      <c r="B48" s="5"/>
      <c r="C48" s="5">
        <v>15</v>
      </c>
      <c r="D48" s="6">
        <v>6.0229999999999997</v>
      </c>
      <c r="E48" s="6">
        <v>0</v>
      </c>
      <c r="F48" s="6">
        <v>6.0229999999999997</v>
      </c>
      <c r="G48" s="12">
        <f t="shared" si="0"/>
        <v>520387.19999999995</v>
      </c>
      <c r="H48" s="14">
        <f t="shared" si="1"/>
        <v>0.52038719999999994</v>
      </c>
      <c r="I48" s="13">
        <f t="shared" si="2"/>
        <v>23417.423999999995</v>
      </c>
      <c r="J48" s="21">
        <f t="shared" si="3"/>
        <v>2.3417423999999996E-2</v>
      </c>
      <c r="K48" s="13">
        <f t="shared" si="4"/>
        <v>2810.0908799999993</v>
      </c>
      <c r="L48" s="13">
        <f t="shared" si="5"/>
        <v>2.8100908799999994E-3</v>
      </c>
      <c r="M48" s="27">
        <f t="shared" si="6"/>
        <v>2.6227514879999997E-2</v>
      </c>
      <c r="N48" s="29">
        <f t="shared" si="7"/>
        <v>5.2038719999999997E-2</v>
      </c>
      <c r="O48" s="28">
        <f t="shared" si="8"/>
        <v>0.44212096511999999</v>
      </c>
    </row>
    <row r="49" spans="1:15" x14ac:dyDescent="0.7">
      <c r="A49" s="5"/>
      <c r="B49" s="5"/>
      <c r="C49" s="5">
        <v>16</v>
      </c>
      <c r="D49" s="6">
        <v>5.8289999999999997</v>
      </c>
      <c r="E49" s="6">
        <v>0</v>
      </c>
      <c r="F49" s="6">
        <v>5.8289999999999997</v>
      </c>
      <c r="G49" s="12">
        <f t="shared" si="0"/>
        <v>503625.6</v>
      </c>
      <c r="H49" s="14">
        <f t="shared" si="1"/>
        <v>0.50362560000000001</v>
      </c>
      <c r="I49" s="13">
        <f t="shared" si="2"/>
        <v>22663.152000000002</v>
      </c>
      <c r="J49" s="21">
        <f t="shared" si="3"/>
        <v>2.2663152000000002E-2</v>
      </c>
      <c r="K49" s="13">
        <f t="shared" si="4"/>
        <v>2719.5782400000003</v>
      </c>
      <c r="L49" s="13">
        <f t="shared" si="5"/>
        <v>2.7195782400000002E-3</v>
      </c>
      <c r="M49" s="27">
        <f t="shared" si="6"/>
        <v>2.5382730240000002E-2</v>
      </c>
      <c r="N49" s="29">
        <f t="shared" si="7"/>
        <v>5.0362560000000001E-2</v>
      </c>
      <c r="O49" s="28">
        <f t="shared" si="8"/>
        <v>0.42788030976000002</v>
      </c>
    </row>
    <row r="50" spans="1:15" x14ac:dyDescent="0.7">
      <c r="A50" s="5"/>
      <c r="B50" s="5"/>
      <c r="C50" s="5">
        <v>17</v>
      </c>
      <c r="D50" s="6">
        <v>5.6870000000000003</v>
      </c>
      <c r="E50" s="6">
        <v>0</v>
      </c>
      <c r="F50" s="6">
        <v>5.6870000000000003</v>
      </c>
      <c r="G50" s="12">
        <f t="shared" si="0"/>
        <v>491356.80000000005</v>
      </c>
      <c r="H50" s="14">
        <f t="shared" si="1"/>
        <v>0.49135680000000004</v>
      </c>
      <c r="I50" s="13">
        <f t="shared" si="2"/>
        <v>22111.056</v>
      </c>
      <c r="J50" s="21">
        <f t="shared" si="3"/>
        <v>2.2111056E-2</v>
      </c>
      <c r="K50" s="13">
        <f t="shared" si="4"/>
        <v>2653.32672</v>
      </c>
      <c r="L50" s="13">
        <f t="shared" si="5"/>
        <v>2.6533267199999998E-3</v>
      </c>
      <c r="M50" s="27">
        <f t="shared" si="6"/>
        <v>2.4764382719999999E-2</v>
      </c>
      <c r="N50" s="29">
        <f t="shared" si="7"/>
        <v>4.9135680000000008E-2</v>
      </c>
      <c r="O50" s="28">
        <f t="shared" si="8"/>
        <v>0.41745673728000005</v>
      </c>
    </row>
    <row r="51" spans="1:15" x14ac:dyDescent="0.7">
      <c r="A51" s="5"/>
      <c r="B51" s="5"/>
      <c r="C51" s="5">
        <v>18</v>
      </c>
      <c r="D51" s="6">
        <v>5.6870000000000003</v>
      </c>
      <c r="E51" s="6">
        <v>0</v>
      </c>
      <c r="F51" s="6">
        <v>5.6870000000000003</v>
      </c>
      <c r="G51" s="12">
        <f t="shared" si="0"/>
        <v>491356.80000000005</v>
      </c>
      <c r="H51" s="14">
        <f t="shared" si="1"/>
        <v>0.49135680000000004</v>
      </c>
      <c r="I51" s="13">
        <f t="shared" si="2"/>
        <v>22111.056</v>
      </c>
      <c r="J51" s="21">
        <f t="shared" si="3"/>
        <v>2.2111056E-2</v>
      </c>
      <c r="K51" s="13">
        <f t="shared" si="4"/>
        <v>2653.32672</v>
      </c>
      <c r="L51" s="13">
        <f t="shared" si="5"/>
        <v>2.6533267199999998E-3</v>
      </c>
      <c r="M51" s="27">
        <f t="shared" si="6"/>
        <v>2.4764382719999999E-2</v>
      </c>
      <c r="N51" s="29">
        <f t="shared" si="7"/>
        <v>4.9135680000000008E-2</v>
      </c>
      <c r="O51" s="28">
        <f t="shared" si="8"/>
        <v>0.41745673728000005</v>
      </c>
    </row>
    <row r="52" spans="1:15" x14ac:dyDescent="0.7">
      <c r="A52" s="5"/>
      <c r="B52" s="5"/>
      <c r="C52" s="5">
        <v>19</v>
      </c>
      <c r="D52" s="6">
        <v>5.6870000000000003</v>
      </c>
      <c r="E52" s="6">
        <v>0</v>
      </c>
      <c r="F52" s="6">
        <v>5.6870000000000003</v>
      </c>
      <c r="G52" s="12">
        <f t="shared" si="0"/>
        <v>491356.80000000005</v>
      </c>
      <c r="H52" s="14">
        <f t="shared" si="1"/>
        <v>0.49135680000000004</v>
      </c>
      <c r="I52" s="13">
        <f t="shared" si="2"/>
        <v>22111.056</v>
      </c>
      <c r="J52" s="21">
        <f t="shared" si="3"/>
        <v>2.2111056E-2</v>
      </c>
      <c r="K52" s="13">
        <f t="shared" si="4"/>
        <v>2653.32672</v>
      </c>
      <c r="L52" s="13">
        <f t="shared" si="5"/>
        <v>2.6533267199999998E-3</v>
      </c>
      <c r="M52" s="27">
        <f t="shared" si="6"/>
        <v>2.4764382719999999E-2</v>
      </c>
      <c r="N52" s="29">
        <f t="shared" si="7"/>
        <v>4.9135680000000008E-2</v>
      </c>
      <c r="O52" s="28">
        <f t="shared" si="8"/>
        <v>0.41745673728000005</v>
      </c>
    </row>
    <row r="53" spans="1:15" x14ac:dyDescent="0.7">
      <c r="A53" s="5"/>
      <c r="B53" s="5"/>
      <c r="C53" s="5">
        <v>20</v>
      </c>
      <c r="D53" s="6">
        <v>5.6449999999999996</v>
      </c>
      <c r="E53" s="6">
        <v>0</v>
      </c>
      <c r="F53" s="6">
        <v>5.6449999999999996</v>
      </c>
      <c r="G53" s="12">
        <f t="shared" si="0"/>
        <v>487727.99999999994</v>
      </c>
      <c r="H53" s="14">
        <f t="shared" si="1"/>
        <v>0.48772799999999994</v>
      </c>
      <c r="I53" s="13">
        <f t="shared" si="2"/>
        <v>21947.759999999995</v>
      </c>
      <c r="J53" s="21">
        <f t="shared" si="3"/>
        <v>2.1947759999999993E-2</v>
      </c>
      <c r="K53" s="13">
        <f t="shared" si="4"/>
        <v>2633.7311999999993</v>
      </c>
      <c r="L53" s="13">
        <f t="shared" si="5"/>
        <v>2.6337311999999995E-3</v>
      </c>
      <c r="M53" s="27">
        <f t="shared" si="6"/>
        <v>2.4581491199999993E-2</v>
      </c>
      <c r="N53" s="29">
        <f t="shared" si="7"/>
        <v>4.8772799999999998E-2</v>
      </c>
      <c r="O53" s="28">
        <f t="shared" si="8"/>
        <v>0.41437370879999996</v>
      </c>
    </row>
    <row r="54" spans="1:15" x14ac:dyDescent="0.7">
      <c r="A54" s="5"/>
      <c r="B54" s="5"/>
      <c r="C54" s="5">
        <v>21</v>
      </c>
      <c r="D54" s="6">
        <v>5.5640000000000001</v>
      </c>
      <c r="E54" s="6">
        <v>0</v>
      </c>
      <c r="F54" s="6">
        <v>5.5640000000000001</v>
      </c>
      <c r="G54" s="12">
        <f t="shared" si="0"/>
        <v>480729.59999999998</v>
      </c>
      <c r="H54" s="14">
        <f t="shared" si="1"/>
        <v>0.48072959999999998</v>
      </c>
      <c r="I54" s="13">
        <f t="shared" si="2"/>
        <v>21632.831999999999</v>
      </c>
      <c r="J54" s="21">
        <f t="shared" si="3"/>
        <v>2.1632831999999998E-2</v>
      </c>
      <c r="K54" s="13">
        <f t="shared" si="4"/>
        <v>2595.9398399999995</v>
      </c>
      <c r="L54" s="13">
        <f t="shared" si="5"/>
        <v>2.5959398399999995E-3</v>
      </c>
      <c r="M54" s="27">
        <f t="shared" si="6"/>
        <v>2.4228771839999996E-2</v>
      </c>
      <c r="N54" s="29">
        <f t="shared" si="7"/>
        <v>4.8072959999999998E-2</v>
      </c>
      <c r="O54" s="28">
        <f t="shared" si="8"/>
        <v>0.40842786815999998</v>
      </c>
    </row>
    <row r="55" spans="1:15" x14ac:dyDescent="0.7">
      <c r="A55" s="5"/>
      <c r="B55" s="5"/>
      <c r="C55" s="5">
        <v>22</v>
      </c>
      <c r="D55" s="6">
        <v>5.5640000000000001</v>
      </c>
      <c r="E55" s="6">
        <v>0</v>
      </c>
      <c r="F55" s="6">
        <v>5.5640000000000001</v>
      </c>
      <c r="G55" s="12">
        <f t="shared" si="0"/>
        <v>480729.59999999998</v>
      </c>
      <c r="H55" s="14">
        <f t="shared" si="1"/>
        <v>0.48072959999999998</v>
      </c>
      <c r="I55" s="13">
        <f t="shared" si="2"/>
        <v>21632.831999999999</v>
      </c>
      <c r="J55" s="21">
        <f t="shared" si="3"/>
        <v>2.1632831999999998E-2</v>
      </c>
      <c r="K55" s="13">
        <f t="shared" si="4"/>
        <v>2595.9398399999995</v>
      </c>
      <c r="L55" s="13">
        <f t="shared" si="5"/>
        <v>2.5959398399999995E-3</v>
      </c>
      <c r="M55" s="27">
        <f t="shared" si="6"/>
        <v>2.4228771839999996E-2</v>
      </c>
      <c r="N55" s="29">
        <f t="shared" si="7"/>
        <v>4.8072959999999998E-2</v>
      </c>
      <c r="O55" s="28">
        <f t="shared" si="8"/>
        <v>0.40842786815999998</v>
      </c>
    </row>
    <row r="56" spans="1:15" x14ac:dyDescent="0.7">
      <c r="A56" s="5"/>
      <c r="B56" s="5"/>
      <c r="C56" s="5">
        <v>23</v>
      </c>
      <c r="D56" s="6">
        <v>5.4109999999999996</v>
      </c>
      <c r="E56" s="6">
        <v>0</v>
      </c>
      <c r="F56" s="6">
        <v>5.4109999999999996</v>
      </c>
      <c r="G56" s="12">
        <f t="shared" si="0"/>
        <v>467510.39999999997</v>
      </c>
      <c r="H56" s="14">
        <f t="shared" si="1"/>
        <v>0.46751039999999999</v>
      </c>
      <c r="I56" s="13">
        <f t="shared" si="2"/>
        <v>21037.967999999997</v>
      </c>
      <c r="J56" s="21">
        <f t="shared" si="3"/>
        <v>2.1037967999999997E-2</v>
      </c>
      <c r="K56" s="13">
        <f t="shared" si="4"/>
        <v>2524.5561599999996</v>
      </c>
      <c r="L56" s="13">
        <f t="shared" si="5"/>
        <v>2.5245561599999996E-3</v>
      </c>
      <c r="M56" s="27">
        <f t="shared" si="6"/>
        <v>2.3562524159999997E-2</v>
      </c>
      <c r="N56" s="29">
        <f t="shared" si="7"/>
        <v>4.6751040000000001E-2</v>
      </c>
      <c r="O56" s="28">
        <f t="shared" si="8"/>
        <v>0.39719683583999998</v>
      </c>
    </row>
    <row r="57" spans="1:15" x14ac:dyDescent="0.7">
      <c r="A57" s="5"/>
      <c r="B57" s="5"/>
      <c r="C57" s="5">
        <v>24</v>
      </c>
      <c r="D57" s="6">
        <v>5.4059999999999997</v>
      </c>
      <c r="E57" s="6">
        <v>0</v>
      </c>
      <c r="F57" s="6">
        <v>5.4059999999999997</v>
      </c>
      <c r="G57" s="12">
        <f t="shared" si="0"/>
        <v>467078.39999999997</v>
      </c>
      <c r="H57" s="14">
        <f t="shared" si="1"/>
        <v>0.46707839999999995</v>
      </c>
      <c r="I57" s="13">
        <f t="shared" si="2"/>
        <v>21018.527999999998</v>
      </c>
      <c r="J57" s="21">
        <f t="shared" si="3"/>
        <v>2.1018527999999998E-2</v>
      </c>
      <c r="K57" s="13">
        <f t="shared" si="4"/>
        <v>2522.2233599999995</v>
      </c>
      <c r="L57" s="13">
        <f t="shared" si="5"/>
        <v>2.5222233599999995E-3</v>
      </c>
      <c r="M57" s="27">
        <f t="shared" si="6"/>
        <v>2.3540751359999997E-2</v>
      </c>
      <c r="N57" s="29">
        <f t="shared" si="7"/>
        <v>4.670784E-2</v>
      </c>
      <c r="O57" s="28">
        <f t="shared" si="8"/>
        <v>0.39682980863999995</v>
      </c>
    </row>
    <row r="58" spans="1:15" x14ac:dyDescent="0.7">
      <c r="A58" s="5"/>
      <c r="B58" s="5"/>
      <c r="C58" s="5">
        <v>25</v>
      </c>
      <c r="D58" s="6">
        <v>5.4059999999999997</v>
      </c>
      <c r="E58" s="6">
        <v>0</v>
      </c>
      <c r="F58" s="6">
        <v>5.4059999999999997</v>
      </c>
      <c r="G58" s="12">
        <f t="shared" si="0"/>
        <v>467078.39999999997</v>
      </c>
      <c r="H58" s="14">
        <f t="shared" si="1"/>
        <v>0.46707839999999995</v>
      </c>
      <c r="I58" s="13">
        <f t="shared" si="2"/>
        <v>21018.527999999998</v>
      </c>
      <c r="J58" s="21">
        <f t="shared" si="3"/>
        <v>2.1018527999999998E-2</v>
      </c>
      <c r="K58" s="13">
        <f t="shared" si="4"/>
        <v>2522.2233599999995</v>
      </c>
      <c r="L58" s="13">
        <f t="shared" si="5"/>
        <v>2.5222233599999995E-3</v>
      </c>
      <c r="M58" s="27">
        <f t="shared" si="6"/>
        <v>2.3540751359999997E-2</v>
      </c>
      <c r="N58" s="29">
        <f t="shared" si="7"/>
        <v>4.670784E-2</v>
      </c>
      <c r="O58" s="28">
        <f t="shared" si="8"/>
        <v>0.39682980863999995</v>
      </c>
    </row>
    <row r="59" spans="1:15" x14ac:dyDescent="0.7">
      <c r="A59" s="5"/>
      <c r="B59" s="5"/>
      <c r="C59" s="5">
        <v>26</v>
      </c>
      <c r="D59" s="6">
        <v>5.4429999999999996</v>
      </c>
      <c r="E59" s="6">
        <v>0</v>
      </c>
      <c r="F59" s="6">
        <v>5.4429999999999996</v>
      </c>
      <c r="G59" s="12">
        <f t="shared" si="0"/>
        <v>470275.19999999995</v>
      </c>
      <c r="H59" s="14">
        <f t="shared" si="1"/>
        <v>0.47027519999999995</v>
      </c>
      <c r="I59" s="13">
        <f t="shared" si="2"/>
        <v>21162.383999999998</v>
      </c>
      <c r="J59" s="21">
        <f t="shared" si="3"/>
        <v>2.1162383999999999E-2</v>
      </c>
      <c r="K59" s="13">
        <f t="shared" si="4"/>
        <v>2539.4860799999997</v>
      </c>
      <c r="L59" s="13">
        <f t="shared" si="5"/>
        <v>2.5394860799999998E-3</v>
      </c>
      <c r="M59" s="27">
        <f t="shared" si="6"/>
        <v>2.370187008E-2</v>
      </c>
      <c r="N59" s="29">
        <f t="shared" si="7"/>
        <v>4.7027519999999996E-2</v>
      </c>
      <c r="O59" s="28">
        <f t="shared" si="8"/>
        <v>0.39954580991999994</v>
      </c>
    </row>
    <row r="60" spans="1:15" x14ac:dyDescent="0.7">
      <c r="A60" s="10"/>
      <c r="B60" s="10"/>
      <c r="C60" s="10">
        <v>27</v>
      </c>
      <c r="D60" s="16">
        <v>5.4429999999999996</v>
      </c>
      <c r="E60" s="6">
        <v>0</v>
      </c>
      <c r="F60" s="16">
        <v>5.4429999999999996</v>
      </c>
      <c r="G60" s="17">
        <f t="shared" si="0"/>
        <v>470275.19999999995</v>
      </c>
      <c r="H60" s="18">
        <f t="shared" si="1"/>
        <v>0.47027519999999995</v>
      </c>
      <c r="I60" s="37">
        <f t="shared" si="2"/>
        <v>21162.383999999998</v>
      </c>
      <c r="J60" s="38">
        <f t="shared" si="3"/>
        <v>2.1162383999999999E-2</v>
      </c>
      <c r="K60" s="37">
        <f t="shared" si="4"/>
        <v>2539.4860799999997</v>
      </c>
      <c r="L60" s="37">
        <f t="shared" si="5"/>
        <v>2.5394860799999998E-3</v>
      </c>
      <c r="M60" s="39">
        <f t="shared" si="6"/>
        <v>2.370187008E-2</v>
      </c>
      <c r="N60" s="40">
        <f t="shared" si="7"/>
        <v>4.7027519999999996E-2</v>
      </c>
      <c r="O60" s="41">
        <f t="shared" si="8"/>
        <v>0.39954580991999994</v>
      </c>
    </row>
    <row r="61" spans="1:15" s="65" customFormat="1" ht="25.2" thickBot="1" x14ac:dyDescent="0.75">
      <c r="A61" s="8"/>
      <c r="B61" s="8" t="s">
        <v>16</v>
      </c>
      <c r="C61" s="8">
        <v>28</v>
      </c>
      <c r="D61" s="9">
        <v>5.3959999999999999</v>
      </c>
      <c r="E61" s="9">
        <v>0</v>
      </c>
      <c r="F61" s="9">
        <v>5.3959999999999999</v>
      </c>
      <c r="G61" s="19">
        <f t="shared" si="0"/>
        <v>466214.39999999997</v>
      </c>
      <c r="H61" s="15">
        <f t="shared" si="1"/>
        <v>0.46621439999999997</v>
      </c>
      <c r="I61" s="15">
        <f t="shared" si="2"/>
        <v>20979.647999999997</v>
      </c>
      <c r="J61" s="22">
        <f t="shared" si="3"/>
        <v>2.0979647999999997E-2</v>
      </c>
      <c r="K61" s="15">
        <f t="shared" si="4"/>
        <v>2517.5577599999997</v>
      </c>
      <c r="L61" s="15">
        <f t="shared" si="5"/>
        <v>2.5175577599999997E-3</v>
      </c>
      <c r="M61" s="15">
        <f t="shared" si="6"/>
        <v>2.3497205759999997E-2</v>
      </c>
      <c r="N61" s="34">
        <f t="shared" si="7"/>
        <v>4.662144E-2</v>
      </c>
      <c r="O61" s="15">
        <f t="shared" si="8"/>
        <v>0.39609575423999999</v>
      </c>
    </row>
    <row r="62" spans="1:15" x14ac:dyDescent="0.7">
      <c r="A62" s="2"/>
      <c r="B62" s="2" t="s">
        <v>17</v>
      </c>
      <c r="C62" s="2">
        <v>1</v>
      </c>
      <c r="D62" s="3">
        <v>5.4059999999999997</v>
      </c>
      <c r="E62" s="3">
        <v>0</v>
      </c>
      <c r="F62" s="3">
        <v>5.4059999999999997</v>
      </c>
      <c r="G62" s="12">
        <f t="shared" ref="G62" si="9">F62*86400</f>
        <v>467078.39999999997</v>
      </c>
      <c r="H62" s="14">
        <f t="shared" ref="H62" si="10">G62/1000000</f>
        <v>0.46707839999999995</v>
      </c>
      <c r="I62" s="14">
        <f t="shared" si="2"/>
        <v>21018.527999999998</v>
      </c>
      <c r="J62" s="26">
        <f t="shared" si="3"/>
        <v>2.1018527999999998E-2</v>
      </c>
      <c r="K62" s="14">
        <f t="shared" si="4"/>
        <v>2522.2233599999995</v>
      </c>
      <c r="L62" s="14">
        <f t="shared" si="5"/>
        <v>2.5222233599999995E-3</v>
      </c>
      <c r="M62" s="30">
        <f t="shared" si="6"/>
        <v>2.3540751359999997E-2</v>
      </c>
      <c r="N62" s="31">
        <f t="shared" si="7"/>
        <v>4.670784E-2</v>
      </c>
      <c r="O62" s="32">
        <f t="shared" si="8"/>
        <v>0.39682980863999995</v>
      </c>
    </row>
    <row r="63" spans="1:15" x14ac:dyDescent="0.7">
      <c r="A63" s="5"/>
      <c r="B63" s="5"/>
      <c r="C63" s="5">
        <v>2</v>
      </c>
      <c r="D63" s="6">
        <v>5.3550000000000004</v>
      </c>
      <c r="E63" s="6">
        <v>0</v>
      </c>
      <c r="F63" s="6">
        <v>5.3550000000000004</v>
      </c>
      <c r="G63" s="12">
        <f t="shared" ref="G63" si="11">F63*86400</f>
        <v>462672.00000000006</v>
      </c>
      <c r="H63" s="14">
        <f t="shared" ref="H63" si="12">G63/1000000</f>
        <v>0.46267200000000008</v>
      </c>
      <c r="I63" s="13">
        <f t="shared" si="2"/>
        <v>20820.240000000002</v>
      </c>
      <c r="J63" s="21">
        <f t="shared" si="3"/>
        <v>2.082024E-2</v>
      </c>
      <c r="K63" s="13">
        <f t="shared" si="4"/>
        <v>2498.4288000000001</v>
      </c>
      <c r="L63" s="13">
        <f t="shared" si="5"/>
        <v>2.4984288000000003E-3</v>
      </c>
      <c r="M63" s="27">
        <f t="shared" si="6"/>
        <v>2.3318668800000001E-2</v>
      </c>
      <c r="N63" s="29">
        <f t="shared" si="7"/>
        <v>4.6267200000000008E-2</v>
      </c>
      <c r="O63" s="28">
        <f t="shared" si="8"/>
        <v>0.39308613120000008</v>
      </c>
    </row>
    <row r="64" spans="1:15" x14ac:dyDescent="0.7">
      <c r="A64" s="5"/>
      <c r="B64" s="5"/>
      <c r="C64" s="5">
        <v>3</v>
      </c>
      <c r="D64" s="6">
        <v>5.3550000000000004</v>
      </c>
      <c r="E64" s="6">
        <v>0</v>
      </c>
      <c r="F64" s="6">
        <v>5.3550000000000004</v>
      </c>
      <c r="G64" s="12">
        <f t="shared" ref="G64" si="13">F64*86400</f>
        <v>462672.00000000006</v>
      </c>
      <c r="H64" s="14">
        <f t="shared" ref="H64" si="14">G64/1000000</f>
        <v>0.46267200000000008</v>
      </c>
      <c r="I64" s="13">
        <f t="shared" si="2"/>
        <v>20820.240000000002</v>
      </c>
      <c r="J64" s="21">
        <f t="shared" si="3"/>
        <v>2.082024E-2</v>
      </c>
      <c r="K64" s="13">
        <f t="shared" si="4"/>
        <v>2498.4288000000001</v>
      </c>
      <c r="L64" s="13">
        <f t="shared" si="5"/>
        <v>2.4984288000000003E-3</v>
      </c>
      <c r="M64" s="27">
        <f t="shared" si="6"/>
        <v>2.3318668800000001E-2</v>
      </c>
      <c r="N64" s="29">
        <f t="shared" si="7"/>
        <v>4.6267200000000008E-2</v>
      </c>
      <c r="O64" s="28">
        <f t="shared" si="8"/>
        <v>0.39308613120000008</v>
      </c>
    </row>
    <row r="65" spans="1:15" x14ac:dyDescent="0.7">
      <c r="A65" s="5"/>
      <c r="B65" s="5"/>
      <c r="C65" s="5">
        <v>4</v>
      </c>
      <c r="D65" s="6">
        <v>5.3040000000000003</v>
      </c>
      <c r="E65" s="6">
        <v>0</v>
      </c>
      <c r="F65" s="6">
        <v>5.3040000000000003</v>
      </c>
      <c r="G65" s="12">
        <f t="shared" ref="G65" si="15">F65*86400</f>
        <v>458265.60000000003</v>
      </c>
      <c r="H65" s="14">
        <f t="shared" ref="H65" si="16">G65/1000000</f>
        <v>0.45826560000000005</v>
      </c>
      <c r="I65" s="13">
        <f t="shared" si="2"/>
        <v>20621.952000000001</v>
      </c>
      <c r="J65" s="21">
        <f t="shared" si="3"/>
        <v>2.0621952000000002E-2</v>
      </c>
      <c r="K65" s="13">
        <f t="shared" si="4"/>
        <v>2474.6342399999999</v>
      </c>
      <c r="L65" s="13">
        <f t="shared" si="5"/>
        <v>2.4746342399999998E-3</v>
      </c>
      <c r="M65" s="27">
        <f t="shared" si="6"/>
        <v>2.3096586240000001E-2</v>
      </c>
      <c r="N65" s="29">
        <f t="shared" si="7"/>
        <v>4.5826560000000009E-2</v>
      </c>
      <c r="O65" s="28">
        <f t="shared" si="8"/>
        <v>0.38934245376000004</v>
      </c>
    </row>
    <row r="66" spans="1:15" x14ac:dyDescent="0.7">
      <c r="A66" s="5"/>
      <c r="B66" s="5"/>
      <c r="C66" s="5">
        <v>5</v>
      </c>
      <c r="D66" s="6">
        <v>5.1459999999999999</v>
      </c>
      <c r="E66" s="6">
        <v>0</v>
      </c>
      <c r="F66" s="6">
        <v>5.1459999999999999</v>
      </c>
      <c r="G66" s="12">
        <f t="shared" ref="G66" si="17">F66*86400</f>
        <v>444614.39999999997</v>
      </c>
      <c r="H66" s="14">
        <f t="shared" ref="H66" si="18">G66/1000000</f>
        <v>0.44461439999999997</v>
      </c>
      <c r="I66" s="13">
        <f t="shared" si="2"/>
        <v>20007.647999999997</v>
      </c>
      <c r="J66" s="21">
        <f t="shared" si="3"/>
        <v>2.0007647999999996E-2</v>
      </c>
      <c r="K66" s="13">
        <f t="shared" si="4"/>
        <v>2400.9177599999998</v>
      </c>
      <c r="L66" s="13">
        <f t="shared" si="5"/>
        <v>2.4009177599999998E-3</v>
      </c>
      <c r="M66" s="27">
        <f t="shared" si="6"/>
        <v>2.2408565759999995E-2</v>
      </c>
      <c r="N66" s="29">
        <f t="shared" si="7"/>
        <v>4.4461439999999998E-2</v>
      </c>
      <c r="O66" s="28">
        <f t="shared" si="8"/>
        <v>0.37774439423999995</v>
      </c>
    </row>
    <row r="67" spans="1:15" x14ac:dyDescent="0.7">
      <c r="A67" s="5"/>
      <c r="B67" s="5"/>
      <c r="C67" s="5">
        <v>6</v>
      </c>
      <c r="D67" s="6">
        <v>5.1459999999999999</v>
      </c>
      <c r="E67" s="6">
        <v>0</v>
      </c>
      <c r="F67" s="6">
        <v>5.1459999999999999</v>
      </c>
      <c r="G67" s="12">
        <f t="shared" ref="G67" si="19">F67*86400</f>
        <v>444614.39999999997</v>
      </c>
      <c r="H67" s="14">
        <f t="shared" ref="H67" si="20">G67/1000000</f>
        <v>0.44461439999999997</v>
      </c>
      <c r="I67" s="13">
        <f t="shared" si="2"/>
        <v>20007.647999999997</v>
      </c>
      <c r="J67" s="21">
        <f t="shared" si="3"/>
        <v>2.0007647999999996E-2</v>
      </c>
      <c r="K67" s="13">
        <f t="shared" si="4"/>
        <v>2400.9177599999998</v>
      </c>
      <c r="L67" s="13">
        <f t="shared" si="5"/>
        <v>2.4009177599999998E-3</v>
      </c>
      <c r="M67" s="27">
        <f t="shared" si="6"/>
        <v>2.2408565759999995E-2</v>
      </c>
      <c r="N67" s="29">
        <f t="shared" si="7"/>
        <v>4.4461439999999998E-2</v>
      </c>
      <c r="O67" s="28">
        <f t="shared" si="8"/>
        <v>0.37774439423999995</v>
      </c>
    </row>
    <row r="68" spans="1:15" x14ac:dyDescent="0.7">
      <c r="A68" s="5"/>
      <c r="B68" s="5"/>
      <c r="C68" s="5">
        <v>7</v>
      </c>
      <c r="D68" s="6">
        <v>5.1459999999999999</v>
      </c>
      <c r="E68" s="6">
        <v>0</v>
      </c>
      <c r="F68" s="6">
        <v>5.1459999999999999</v>
      </c>
      <c r="G68" s="12">
        <f t="shared" ref="G68" si="21">F68*86400</f>
        <v>444614.39999999997</v>
      </c>
      <c r="H68" s="14">
        <f t="shared" ref="H68" si="22">G68/1000000</f>
        <v>0.44461439999999997</v>
      </c>
      <c r="I68" s="13">
        <f t="shared" ref="I68:I131" si="23">H68*1000000*0.045</f>
        <v>20007.647999999997</v>
      </c>
      <c r="J68" s="21">
        <f t="shared" ref="J68:J131" si="24">I68/1000000</f>
        <v>2.0007647999999996E-2</v>
      </c>
      <c r="K68" s="13">
        <f t="shared" ref="K68:K131" si="25">I68*0.12</f>
        <v>2400.9177599999998</v>
      </c>
      <c r="L68" s="13">
        <f t="shared" ref="L68:L131" si="26">K68/1000000</f>
        <v>2.4009177599999998E-3</v>
      </c>
      <c r="M68" s="27">
        <f t="shared" ref="M68:M131" si="27">J68+L68</f>
        <v>2.2408565759999995E-2</v>
      </c>
      <c r="N68" s="29">
        <f t="shared" ref="N68:N131" si="28">H68*0.1</f>
        <v>4.4461439999999998E-2</v>
      </c>
      <c r="O68" s="28">
        <f t="shared" ref="O68:O131" si="29">H68-M68-N68</f>
        <v>0.37774439423999995</v>
      </c>
    </row>
    <row r="69" spans="1:15" x14ac:dyDescent="0.7">
      <c r="A69" s="5"/>
      <c r="B69" s="5"/>
      <c r="C69" s="5">
        <v>8</v>
      </c>
      <c r="D69" s="6">
        <v>5.04</v>
      </c>
      <c r="E69" s="6">
        <v>0</v>
      </c>
      <c r="F69" s="6">
        <v>5.04</v>
      </c>
      <c r="G69" s="12">
        <f t="shared" ref="G69" si="30">F69*86400</f>
        <v>435456</v>
      </c>
      <c r="H69" s="14">
        <f t="shared" ref="H69" si="31">G69/1000000</f>
        <v>0.43545600000000001</v>
      </c>
      <c r="I69" s="13">
        <f t="shared" si="23"/>
        <v>19595.52</v>
      </c>
      <c r="J69" s="21">
        <f t="shared" si="24"/>
        <v>1.9595520000000002E-2</v>
      </c>
      <c r="K69" s="13">
        <f t="shared" si="25"/>
        <v>2351.4623999999999</v>
      </c>
      <c r="L69" s="13">
        <f t="shared" si="26"/>
        <v>2.3514624E-3</v>
      </c>
      <c r="M69" s="27">
        <f t="shared" si="27"/>
        <v>2.1946982400000002E-2</v>
      </c>
      <c r="N69" s="29">
        <f t="shared" si="28"/>
        <v>4.3545600000000004E-2</v>
      </c>
      <c r="O69" s="28">
        <f t="shared" si="29"/>
        <v>0.36996341760000001</v>
      </c>
    </row>
    <row r="70" spans="1:15" x14ac:dyDescent="0.7">
      <c r="A70" s="5"/>
      <c r="B70" s="5"/>
      <c r="C70" s="5">
        <v>9</v>
      </c>
      <c r="D70" s="6">
        <v>5.04</v>
      </c>
      <c r="E70" s="6">
        <v>0</v>
      </c>
      <c r="F70" s="6">
        <v>5.04</v>
      </c>
      <c r="G70" s="12">
        <f t="shared" ref="G70" si="32">F70*86400</f>
        <v>435456</v>
      </c>
      <c r="H70" s="14">
        <f t="shared" ref="H70" si="33">G70/1000000</f>
        <v>0.43545600000000001</v>
      </c>
      <c r="I70" s="13">
        <f t="shared" si="23"/>
        <v>19595.52</v>
      </c>
      <c r="J70" s="21">
        <f t="shared" si="24"/>
        <v>1.9595520000000002E-2</v>
      </c>
      <c r="K70" s="13">
        <f t="shared" si="25"/>
        <v>2351.4623999999999</v>
      </c>
      <c r="L70" s="13">
        <f t="shared" si="26"/>
        <v>2.3514624E-3</v>
      </c>
      <c r="M70" s="27">
        <f t="shared" si="27"/>
        <v>2.1946982400000002E-2</v>
      </c>
      <c r="N70" s="29">
        <f t="shared" si="28"/>
        <v>4.3545600000000004E-2</v>
      </c>
      <c r="O70" s="28">
        <f t="shared" si="29"/>
        <v>0.36996341760000001</v>
      </c>
    </row>
    <row r="71" spans="1:15" x14ac:dyDescent="0.7">
      <c r="A71" s="5"/>
      <c r="B71" s="5"/>
      <c r="C71" s="5">
        <v>10</v>
      </c>
      <c r="D71" s="6">
        <v>4.9850000000000003</v>
      </c>
      <c r="E71" s="6">
        <v>0</v>
      </c>
      <c r="F71" s="6">
        <v>4.9850000000000003</v>
      </c>
      <c r="G71" s="12">
        <f t="shared" ref="G71" si="34">F71*86400</f>
        <v>430704</v>
      </c>
      <c r="H71" s="14">
        <f t="shared" ref="H71" si="35">G71/1000000</f>
        <v>0.43070399999999998</v>
      </c>
      <c r="I71" s="13">
        <f t="shared" si="23"/>
        <v>19381.68</v>
      </c>
      <c r="J71" s="21">
        <f t="shared" si="24"/>
        <v>1.9381680000000002E-2</v>
      </c>
      <c r="K71" s="13">
        <f t="shared" si="25"/>
        <v>2325.8015999999998</v>
      </c>
      <c r="L71" s="13">
        <f t="shared" si="26"/>
        <v>2.3258015999999999E-3</v>
      </c>
      <c r="M71" s="27">
        <f t="shared" si="27"/>
        <v>2.1707481600000002E-2</v>
      </c>
      <c r="N71" s="29">
        <f t="shared" si="28"/>
        <v>4.3070400000000002E-2</v>
      </c>
      <c r="O71" s="28">
        <f t="shared" si="29"/>
        <v>0.36592611839999994</v>
      </c>
    </row>
    <row r="72" spans="1:15" x14ac:dyDescent="0.7">
      <c r="A72" s="5"/>
      <c r="B72" s="5"/>
      <c r="C72" s="5">
        <v>11</v>
      </c>
      <c r="D72" s="6">
        <v>4.97</v>
      </c>
      <c r="E72" s="6">
        <v>0</v>
      </c>
      <c r="F72" s="6">
        <v>4.97</v>
      </c>
      <c r="G72" s="12">
        <f t="shared" ref="G72" si="36">F72*86400</f>
        <v>429408</v>
      </c>
      <c r="H72" s="14">
        <f t="shared" ref="H72" si="37">G72/1000000</f>
        <v>0.42940800000000001</v>
      </c>
      <c r="I72" s="13">
        <f t="shared" si="23"/>
        <v>19323.36</v>
      </c>
      <c r="J72" s="21">
        <f t="shared" si="24"/>
        <v>1.9323360000000001E-2</v>
      </c>
      <c r="K72" s="13">
        <f t="shared" si="25"/>
        <v>2318.8031999999998</v>
      </c>
      <c r="L72" s="13">
        <f t="shared" si="26"/>
        <v>2.3188032E-3</v>
      </c>
      <c r="M72" s="27">
        <f t="shared" si="27"/>
        <v>2.1642163200000002E-2</v>
      </c>
      <c r="N72" s="29">
        <f t="shared" si="28"/>
        <v>4.2940800000000001E-2</v>
      </c>
      <c r="O72" s="28">
        <f t="shared" si="29"/>
        <v>0.3648250368</v>
      </c>
    </row>
    <row r="73" spans="1:15" x14ac:dyDescent="0.7">
      <c r="A73" s="5"/>
      <c r="B73" s="5"/>
      <c r="C73" s="5">
        <v>12</v>
      </c>
      <c r="D73" s="6">
        <v>4.7039999999999997</v>
      </c>
      <c r="E73" s="6">
        <v>0</v>
      </c>
      <c r="F73" s="6">
        <v>4.7039999999999997</v>
      </c>
      <c r="G73" s="12">
        <f t="shared" ref="G73" si="38">F73*86400</f>
        <v>406425.59999999998</v>
      </c>
      <c r="H73" s="14">
        <f t="shared" ref="H73" si="39">G73/1000000</f>
        <v>0.4064256</v>
      </c>
      <c r="I73" s="13">
        <f t="shared" si="23"/>
        <v>18289.151999999998</v>
      </c>
      <c r="J73" s="21">
        <f t="shared" si="24"/>
        <v>1.8289151999999999E-2</v>
      </c>
      <c r="K73" s="13">
        <f t="shared" si="25"/>
        <v>2194.6982399999997</v>
      </c>
      <c r="L73" s="13">
        <f t="shared" si="26"/>
        <v>2.1946982399999996E-3</v>
      </c>
      <c r="M73" s="27">
        <f t="shared" si="27"/>
        <v>2.048385024E-2</v>
      </c>
      <c r="N73" s="29">
        <f t="shared" si="28"/>
        <v>4.0642560000000001E-2</v>
      </c>
      <c r="O73" s="28">
        <f t="shared" si="29"/>
        <v>0.34529918976000001</v>
      </c>
    </row>
    <row r="74" spans="1:15" x14ac:dyDescent="0.7">
      <c r="A74" s="5"/>
      <c r="B74" s="5"/>
      <c r="C74" s="5">
        <v>13</v>
      </c>
      <c r="D74" s="6">
        <v>4.7039999999999997</v>
      </c>
      <c r="E74" s="6">
        <v>0</v>
      </c>
      <c r="F74" s="6">
        <v>4.7039999999999997</v>
      </c>
      <c r="G74" s="12">
        <f t="shared" ref="G74" si="40">F74*86400</f>
        <v>406425.59999999998</v>
      </c>
      <c r="H74" s="14">
        <f t="shared" ref="H74" si="41">G74/1000000</f>
        <v>0.4064256</v>
      </c>
      <c r="I74" s="13">
        <f t="shared" si="23"/>
        <v>18289.151999999998</v>
      </c>
      <c r="J74" s="21">
        <f t="shared" si="24"/>
        <v>1.8289151999999999E-2</v>
      </c>
      <c r="K74" s="13">
        <f t="shared" si="25"/>
        <v>2194.6982399999997</v>
      </c>
      <c r="L74" s="13">
        <f t="shared" si="26"/>
        <v>2.1946982399999996E-3</v>
      </c>
      <c r="M74" s="27">
        <f t="shared" si="27"/>
        <v>2.048385024E-2</v>
      </c>
      <c r="N74" s="29">
        <f t="shared" si="28"/>
        <v>4.0642560000000001E-2</v>
      </c>
      <c r="O74" s="28">
        <f t="shared" si="29"/>
        <v>0.34529918976000001</v>
      </c>
    </row>
    <row r="75" spans="1:15" x14ac:dyDescent="0.7">
      <c r="A75" s="5"/>
      <c r="B75" s="5"/>
      <c r="C75" s="5">
        <v>14</v>
      </c>
      <c r="D75" s="6">
        <v>4.7039999999999997</v>
      </c>
      <c r="E75" s="6">
        <v>0</v>
      </c>
      <c r="F75" s="6">
        <v>4.7039999999999997</v>
      </c>
      <c r="G75" s="12">
        <f t="shared" ref="G75" si="42">F75*86400</f>
        <v>406425.59999999998</v>
      </c>
      <c r="H75" s="14">
        <f t="shared" ref="H75" si="43">G75/1000000</f>
        <v>0.4064256</v>
      </c>
      <c r="I75" s="13">
        <f t="shared" si="23"/>
        <v>18289.151999999998</v>
      </c>
      <c r="J75" s="21">
        <f t="shared" si="24"/>
        <v>1.8289151999999999E-2</v>
      </c>
      <c r="K75" s="13">
        <f t="shared" si="25"/>
        <v>2194.6982399999997</v>
      </c>
      <c r="L75" s="13">
        <f t="shared" si="26"/>
        <v>2.1946982399999996E-3</v>
      </c>
      <c r="M75" s="27">
        <f t="shared" si="27"/>
        <v>2.048385024E-2</v>
      </c>
      <c r="N75" s="29">
        <f t="shared" si="28"/>
        <v>4.0642560000000001E-2</v>
      </c>
      <c r="O75" s="28">
        <f t="shared" si="29"/>
        <v>0.34529918976000001</v>
      </c>
    </row>
    <row r="76" spans="1:15" x14ac:dyDescent="0.7">
      <c r="A76" s="5"/>
      <c r="B76" s="5"/>
      <c r="C76" s="5">
        <v>15</v>
      </c>
      <c r="D76" s="6">
        <v>4.6840000000000002</v>
      </c>
      <c r="E76" s="6">
        <v>0</v>
      </c>
      <c r="F76" s="6">
        <v>4.6840000000000002</v>
      </c>
      <c r="G76" s="12">
        <f t="shared" ref="G76" si="44">F76*86400</f>
        <v>404697.60000000003</v>
      </c>
      <c r="H76" s="14">
        <f t="shared" ref="H76" si="45">G76/1000000</f>
        <v>0.40469760000000005</v>
      </c>
      <c r="I76" s="13">
        <f t="shared" si="23"/>
        <v>18211.392</v>
      </c>
      <c r="J76" s="21">
        <f t="shared" si="24"/>
        <v>1.8211392E-2</v>
      </c>
      <c r="K76" s="13">
        <f t="shared" si="25"/>
        <v>2185.3670400000001</v>
      </c>
      <c r="L76" s="13">
        <f t="shared" si="26"/>
        <v>2.18536704E-3</v>
      </c>
      <c r="M76" s="27">
        <f t="shared" si="27"/>
        <v>2.039675904E-2</v>
      </c>
      <c r="N76" s="29">
        <f t="shared" si="28"/>
        <v>4.0469760000000007E-2</v>
      </c>
      <c r="O76" s="28">
        <f t="shared" si="29"/>
        <v>0.34383108096000004</v>
      </c>
    </row>
    <row r="77" spans="1:15" x14ac:dyDescent="0.7">
      <c r="A77" s="5"/>
      <c r="B77" s="5"/>
      <c r="C77" s="5">
        <v>16</v>
      </c>
      <c r="D77" s="6">
        <v>4.6840000000000002</v>
      </c>
      <c r="E77" s="6">
        <v>0</v>
      </c>
      <c r="F77" s="6">
        <v>4.6840000000000002</v>
      </c>
      <c r="G77" s="12">
        <f t="shared" ref="G77" si="46">F77*86400</f>
        <v>404697.60000000003</v>
      </c>
      <c r="H77" s="14">
        <f t="shared" ref="H77" si="47">G77/1000000</f>
        <v>0.40469760000000005</v>
      </c>
      <c r="I77" s="13">
        <f t="shared" si="23"/>
        <v>18211.392</v>
      </c>
      <c r="J77" s="21">
        <f t="shared" si="24"/>
        <v>1.8211392E-2</v>
      </c>
      <c r="K77" s="13">
        <f t="shared" si="25"/>
        <v>2185.3670400000001</v>
      </c>
      <c r="L77" s="13">
        <f t="shared" si="26"/>
        <v>2.18536704E-3</v>
      </c>
      <c r="M77" s="27">
        <f t="shared" si="27"/>
        <v>2.039675904E-2</v>
      </c>
      <c r="N77" s="29">
        <f t="shared" si="28"/>
        <v>4.0469760000000007E-2</v>
      </c>
      <c r="O77" s="28">
        <f t="shared" si="29"/>
        <v>0.34383108096000004</v>
      </c>
    </row>
    <row r="78" spans="1:15" x14ac:dyDescent="0.7">
      <c r="A78" s="5"/>
      <c r="B78" s="5"/>
      <c r="C78" s="5">
        <v>17</v>
      </c>
      <c r="D78" s="6">
        <v>4.6340000000000003</v>
      </c>
      <c r="E78" s="6">
        <v>0</v>
      </c>
      <c r="F78" s="6">
        <v>4.6340000000000003</v>
      </c>
      <c r="G78" s="12">
        <f t="shared" ref="G78" si="48">F78*86400</f>
        <v>400377.60000000003</v>
      </c>
      <c r="H78" s="14">
        <f t="shared" ref="H78" si="49">G78/1000000</f>
        <v>0.40037760000000006</v>
      </c>
      <c r="I78" s="13">
        <f t="shared" si="23"/>
        <v>18016.992000000002</v>
      </c>
      <c r="J78" s="21">
        <f t="shared" si="24"/>
        <v>1.8016992000000003E-2</v>
      </c>
      <c r="K78" s="13">
        <f t="shared" si="25"/>
        <v>2162.0390400000001</v>
      </c>
      <c r="L78" s="13">
        <f t="shared" si="26"/>
        <v>2.16203904E-3</v>
      </c>
      <c r="M78" s="27">
        <f t="shared" si="27"/>
        <v>2.0179031040000003E-2</v>
      </c>
      <c r="N78" s="29">
        <f t="shared" si="28"/>
        <v>4.0037760000000006E-2</v>
      </c>
      <c r="O78" s="28">
        <f t="shared" si="29"/>
        <v>0.34016080896000001</v>
      </c>
    </row>
    <row r="79" spans="1:15" x14ac:dyDescent="0.7">
      <c r="A79" s="5"/>
      <c r="B79" s="5"/>
      <c r="C79" s="5">
        <v>18</v>
      </c>
      <c r="D79" s="6">
        <v>4.431</v>
      </c>
      <c r="E79" s="6">
        <v>0</v>
      </c>
      <c r="F79" s="6">
        <v>4.431</v>
      </c>
      <c r="G79" s="12">
        <f t="shared" ref="G79" si="50">F79*86400</f>
        <v>382838.4</v>
      </c>
      <c r="H79" s="14">
        <f t="shared" ref="H79" si="51">G79/1000000</f>
        <v>0.38283840000000002</v>
      </c>
      <c r="I79" s="13">
        <f t="shared" si="23"/>
        <v>17227.727999999999</v>
      </c>
      <c r="J79" s="21">
        <f t="shared" si="24"/>
        <v>1.7227727999999998E-2</v>
      </c>
      <c r="K79" s="13">
        <f t="shared" si="25"/>
        <v>2067.3273599999998</v>
      </c>
      <c r="L79" s="13">
        <f t="shared" si="26"/>
        <v>2.0673273599999997E-3</v>
      </c>
      <c r="M79" s="27">
        <f t="shared" si="27"/>
        <v>1.9295055359999997E-2</v>
      </c>
      <c r="N79" s="29">
        <f t="shared" si="28"/>
        <v>3.8283840000000006E-2</v>
      </c>
      <c r="O79" s="28">
        <f t="shared" si="29"/>
        <v>0.32525950464000003</v>
      </c>
    </row>
    <row r="80" spans="1:15" x14ac:dyDescent="0.7">
      <c r="A80" s="5"/>
      <c r="B80" s="5"/>
      <c r="C80" s="5">
        <v>19</v>
      </c>
      <c r="D80" s="6">
        <v>4.431</v>
      </c>
      <c r="E80" s="6">
        <v>0</v>
      </c>
      <c r="F80" s="6">
        <v>4.431</v>
      </c>
      <c r="G80" s="12">
        <f t="shared" ref="G80" si="52">F80*86400</f>
        <v>382838.4</v>
      </c>
      <c r="H80" s="14">
        <f t="shared" ref="H80" si="53">G80/1000000</f>
        <v>0.38283840000000002</v>
      </c>
      <c r="I80" s="13">
        <f t="shared" si="23"/>
        <v>17227.727999999999</v>
      </c>
      <c r="J80" s="21">
        <f t="shared" si="24"/>
        <v>1.7227727999999998E-2</v>
      </c>
      <c r="K80" s="13">
        <f t="shared" si="25"/>
        <v>2067.3273599999998</v>
      </c>
      <c r="L80" s="13">
        <f t="shared" si="26"/>
        <v>2.0673273599999997E-3</v>
      </c>
      <c r="M80" s="27">
        <f t="shared" si="27"/>
        <v>1.9295055359999997E-2</v>
      </c>
      <c r="N80" s="29">
        <f t="shared" si="28"/>
        <v>3.8283840000000006E-2</v>
      </c>
      <c r="O80" s="28">
        <f t="shared" si="29"/>
        <v>0.32525950464000003</v>
      </c>
    </row>
    <row r="81" spans="1:15" x14ac:dyDescent="0.7">
      <c r="A81" s="5"/>
      <c r="B81" s="5"/>
      <c r="C81" s="5">
        <v>20</v>
      </c>
      <c r="D81" s="6">
        <v>4.3819999999999997</v>
      </c>
      <c r="E81" s="6">
        <v>0</v>
      </c>
      <c r="F81" s="6">
        <v>4.3819999999999997</v>
      </c>
      <c r="G81" s="12">
        <f t="shared" ref="G81" si="54">F81*86400</f>
        <v>378604.79999999999</v>
      </c>
      <c r="H81" s="14">
        <f t="shared" ref="H81" si="55">G81/1000000</f>
        <v>0.37860479999999996</v>
      </c>
      <c r="I81" s="13">
        <f t="shared" si="23"/>
        <v>17037.216</v>
      </c>
      <c r="J81" s="21">
        <f t="shared" si="24"/>
        <v>1.7037216000000001E-2</v>
      </c>
      <c r="K81" s="13">
        <f t="shared" si="25"/>
        <v>2044.4659199999999</v>
      </c>
      <c r="L81" s="13">
        <f t="shared" si="26"/>
        <v>2.0444659199999999E-3</v>
      </c>
      <c r="M81" s="27">
        <f t="shared" si="27"/>
        <v>1.9081681919999999E-2</v>
      </c>
      <c r="N81" s="29">
        <f t="shared" si="28"/>
        <v>3.7860480000000002E-2</v>
      </c>
      <c r="O81" s="28">
        <f t="shared" si="29"/>
        <v>0.32166263807999995</v>
      </c>
    </row>
    <row r="82" spans="1:15" x14ac:dyDescent="0.7">
      <c r="A82" s="5"/>
      <c r="B82" s="5"/>
      <c r="C82" s="5">
        <v>21</v>
      </c>
      <c r="D82" s="6">
        <v>4.33</v>
      </c>
      <c r="E82" s="6">
        <v>0</v>
      </c>
      <c r="F82" s="6">
        <v>4.33</v>
      </c>
      <c r="G82" s="12">
        <f t="shared" ref="G82" si="56">F82*86400</f>
        <v>374112</v>
      </c>
      <c r="H82" s="14">
        <f t="shared" ref="H82" si="57">G82/1000000</f>
        <v>0.374112</v>
      </c>
      <c r="I82" s="13">
        <f t="shared" si="23"/>
        <v>16835.04</v>
      </c>
      <c r="J82" s="21">
        <f t="shared" si="24"/>
        <v>1.6835040000000003E-2</v>
      </c>
      <c r="K82" s="13">
        <f t="shared" si="25"/>
        <v>2020.2048</v>
      </c>
      <c r="L82" s="13">
        <f t="shared" si="26"/>
        <v>2.0202048000000001E-3</v>
      </c>
      <c r="M82" s="27">
        <f t="shared" si="27"/>
        <v>1.8855244800000004E-2</v>
      </c>
      <c r="N82" s="29">
        <f t="shared" si="28"/>
        <v>3.7411199999999999E-2</v>
      </c>
      <c r="O82" s="28">
        <f t="shared" si="29"/>
        <v>0.31784555520000002</v>
      </c>
    </row>
    <row r="83" spans="1:15" x14ac:dyDescent="0.7">
      <c r="A83" s="5"/>
      <c r="B83" s="5"/>
      <c r="C83" s="5">
        <v>22</v>
      </c>
      <c r="D83" s="6">
        <v>4.33</v>
      </c>
      <c r="E83" s="6">
        <v>0</v>
      </c>
      <c r="F83" s="6">
        <v>4.33</v>
      </c>
      <c r="G83" s="12">
        <f t="shared" ref="G83" si="58">F83*86400</f>
        <v>374112</v>
      </c>
      <c r="H83" s="14">
        <f t="shared" ref="H83" si="59">G83/1000000</f>
        <v>0.374112</v>
      </c>
      <c r="I83" s="13">
        <f t="shared" si="23"/>
        <v>16835.04</v>
      </c>
      <c r="J83" s="21">
        <f t="shared" si="24"/>
        <v>1.6835040000000003E-2</v>
      </c>
      <c r="K83" s="13">
        <f t="shared" si="25"/>
        <v>2020.2048</v>
      </c>
      <c r="L83" s="13">
        <f t="shared" si="26"/>
        <v>2.0202048000000001E-3</v>
      </c>
      <c r="M83" s="27">
        <f t="shared" si="27"/>
        <v>1.8855244800000004E-2</v>
      </c>
      <c r="N83" s="29">
        <f t="shared" si="28"/>
        <v>3.7411199999999999E-2</v>
      </c>
      <c r="O83" s="28">
        <f t="shared" si="29"/>
        <v>0.31784555520000002</v>
      </c>
    </row>
    <row r="84" spans="1:15" x14ac:dyDescent="0.7">
      <c r="A84" s="5"/>
      <c r="B84" s="5"/>
      <c r="C84" s="5">
        <v>23</v>
      </c>
      <c r="D84" s="6">
        <v>4.33</v>
      </c>
      <c r="E84" s="6">
        <v>22.2</v>
      </c>
      <c r="F84" s="6">
        <v>4.33</v>
      </c>
      <c r="G84" s="12">
        <f t="shared" ref="G84" si="60">F84*86400</f>
        <v>374112</v>
      </c>
      <c r="H84" s="14">
        <f t="shared" ref="H84" si="61">G84/1000000</f>
        <v>0.374112</v>
      </c>
      <c r="I84" s="13">
        <f t="shared" si="23"/>
        <v>16835.04</v>
      </c>
      <c r="J84" s="21">
        <f t="shared" si="24"/>
        <v>1.6835040000000003E-2</v>
      </c>
      <c r="K84" s="13">
        <f t="shared" si="25"/>
        <v>2020.2048</v>
      </c>
      <c r="L84" s="13">
        <f t="shared" si="26"/>
        <v>2.0202048000000001E-3</v>
      </c>
      <c r="M84" s="27">
        <f t="shared" si="27"/>
        <v>1.8855244800000004E-2</v>
      </c>
      <c r="N84" s="29">
        <f t="shared" si="28"/>
        <v>3.7411199999999999E-2</v>
      </c>
      <c r="O84" s="28">
        <f t="shared" si="29"/>
        <v>0.31784555520000002</v>
      </c>
    </row>
    <row r="85" spans="1:15" x14ac:dyDescent="0.7">
      <c r="A85" s="5"/>
      <c r="B85" s="5"/>
      <c r="C85" s="5">
        <v>24</v>
      </c>
      <c r="D85" s="6">
        <v>4.6340000000000003</v>
      </c>
      <c r="E85" s="6">
        <v>19</v>
      </c>
      <c r="F85" s="6">
        <v>4.6340000000000003</v>
      </c>
      <c r="G85" s="12">
        <f t="shared" ref="G85" si="62">F85*86400</f>
        <v>400377.60000000003</v>
      </c>
      <c r="H85" s="14">
        <f t="shared" ref="H85" si="63">G85/1000000</f>
        <v>0.40037760000000006</v>
      </c>
      <c r="I85" s="13">
        <f t="shared" si="23"/>
        <v>18016.992000000002</v>
      </c>
      <c r="J85" s="21">
        <f t="shared" si="24"/>
        <v>1.8016992000000003E-2</v>
      </c>
      <c r="K85" s="13">
        <f t="shared" si="25"/>
        <v>2162.0390400000001</v>
      </c>
      <c r="L85" s="13">
        <f t="shared" si="26"/>
        <v>2.16203904E-3</v>
      </c>
      <c r="M85" s="27">
        <f t="shared" si="27"/>
        <v>2.0179031040000003E-2</v>
      </c>
      <c r="N85" s="29">
        <f t="shared" si="28"/>
        <v>4.0037760000000006E-2</v>
      </c>
      <c r="O85" s="28">
        <f t="shared" si="29"/>
        <v>0.34016080896000001</v>
      </c>
    </row>
    <row r="86" spans="1:15" x14ac:dyDescent="0.7">
      <c r="A86" s="5"/>
      <c r="B86" s="5"/>
      <c r="C86" s="5">
        <v>25</v>
      </c>
      <c r="D86" s="6">
        <v>4.63</v>
      </c>
      <c r="E86" s="6">
        <v>10.45</v>
      </c>
      <c r="F86" s="6">
        <v>4.63</v>
      </c>
      <c r="G86" s="12">
        <f t="shared" ref="G86" si="64">F86*86400</f>
        <v>400032</v>
      </c>
      <c r="H86" s="14">
        <f t="shared" ref="H86" si="65">G86/1000000</f>
        <v>0.400032</v>
      </c>
      <c r="I86" s="13">
        <f t="shared" si="23"/>
        <v>18001.439999999999</v>
      </c>
      <c r="J86" s="21">
        <f t="shared" si="24"/>
        <v>1.8001439999999997E-2</v>
      </c>
      <c r="K86" s="13">
        <f t="shared" si="25"/>
        <v>2160.1727999999998</v>
      </c>
      <c r="L86" s="13">
        <f t="shared" si="26"/>
        <v>2.1601728E-3</v>
      </c>
      <c r="M86" s="27">
        <f t="shared" si="27"/>
        <v>2.0161612799999996E-2</v>
      </c>
      <c r="N86" s="29">
        <f t="shared" si="28"/>
        <v>4.0003200000000003E-2</v>
      </c>
      <c r="O86" s="28">
        <f t="shared" si="29"/>
        <v>0.33986718719999998</v>
      </c>
    </row>
    <row r="87" spans="1:15" x14ac:dyDescent="0.7">
      <c r="A87" s="5"/>
      <c r="B87" s="5"/>
      <c r="C87" s="5">
        <v>26</v>
      </c>
      <c r="D87" s="6">
        <v>4.5330000000000004</v>
      </c>
      <c r="E87" s="6">
        <v>0</v>
      </c>
      <c r="F87" s="6">
        <v>4.5330000000000004</v>
      </c>
      <c r="G87" s="12">
        <f t="shared" ref="G87" si="66">F87*86400</f>
        <v>391651.2</v>
      </c>
      <c r="H87" s="14">
        <f t="shared" ref="H87" si="67">G87/1000000</f>
        <v>0.39165120000000003</v>
      </c>
      <c r="I87" s="13">
        <f t="shared" si="23"/>
        <v>17624.304</v>
      </c>
      <c r="J87" s="21">
        <f t="shared" si="24"/>
        <v>1.7624304E-2</v>
      </c>
      <c r="K87" s="13">
        <f t="shared" si="25"/>
        <v>2114.9164799999999</v>
      </c>
      <c r="L87" s="13">
        <f t="shared" si="26"/>
        <v>2.1149164799999999E-3</v>
      </c>
      <c r="M87" s="27">
        <f t="shared" si="27"/>
        <v>1.973922048E-2</v>
      </c>
      <c r="N87" s="29">
        <f t="shared" si="28"/>
        <v>3.9165120000000005E-2</v>
      </c>
      <c r="O87" s="28">
        <f t="shared" si="29"/>
        <v>0.33274685952000005</v>
      </c>
    </row>
    <row r="88" spans="1:15" x14ac:dyDescent="0.7">
      <c r="A88" s="5"/>
      <c r="B88" s="5"/>
      <c r="C88" s="5">
        <v>27</v>
      </c>
      <c r="D88" s="6">
        <v>4.431</v>
      </c>
      <c r="E88" s="6">
        <v>0</v>
      </c>
      <c r="F88" s="6">
        <v>4.431</v>
      </c>
      <c r="G88" s="12">
        <f t="shared" ref="G88" si="68">F88*86400</f>
        <v>382838.4</v>
      </c>
      <c r="H88" s="14">
        <f t="shared" ref="H88" si="69">G88/1000000</f>
        <v>0.38283840000000002</v>
      </c>
      <c r="I88" s="13">
        <f t="shared" si="23"/>
        <v>17227.727999999999</v>
      </c>
      <c r="J88" s="21">
        <f t="shared" si="24"/>
        <v>1.7227727999999998E-2</v>
      </c>
      <c r="K88" s="13">
        <f t="shared" si="25"/>
        <v>2067.3273599999998</v>
      </c>
      <c r="L88" s="13">
        <f t="shared" si="26"/>
        <v>2.0673273599999997E-3</v>
      </c>
      <c r="M88" s="27">
        <f t="shared" si="27"/>
        <v>1.9295055359999997E-2</v>
      </c>
      <c r="N88" s="29">
        <f t="shared" si="28"/>
        <v>3.8283840000000006E-2</v>
      </c>
      <c r="O88" s="28">
        <f t="shared" si="29"/>
        <v>0.32525950464000003</v>
      </c>
    </row>
    <row r="89" spans="1:15" x14ac:dyDescent="0.7">
      <c r="A89" s="5"/>
      <c r="B89" s="5"/>
      <c r="C89" s="5">
        <v>28</v>
      </c>
      <c r="D89" s="6">
        <v>4.431</v>
      </c>
      <c r="E89" s="6">
        <v>0</v>
      </c>
      <c r="F89" s="6">
        <v>4.431</v>
      </c>
      <c r="G89" s="12">
        <f t="shared" ref="G89" si="70">F89*86400</f>
        <v>382838.4</v>
      </c>
      <c r="H89" s="14">
        <f t="shared" ref="H89" si="71">G89/1000000</f>
        <v>0.38283840000000002</v>
      </c>
      <c r="I89" s="13">
        <f t="shared" si="23"/>
        <v>17227.727999999999</v>
      </c>
      <c r="J89" s="21">
        <f t="shared" si="24"/>
        <v>1.7227727999999998E-2</v>
      </c>
      <c r="K89" s="13">
        <f t="shared" si="25"/>
        <v>2067.3273599999998</v>
      </c>
      <c r="L89" s="13">
        <f t="shared" si="26"/>
        <v>2.0673273599999997E-3</v>
      </c>
      <c r="M89" s="27">
        <f t="shared" si="27"/>
        <v>1.9295055359999997E-2</v>
      </c>
      <c r="N89" s="29">
        <f t="shared" si="28"/>
        <v>3.8283840000000006E-2</v>
      </c>
      <c r="O89" s="28">
        <f t="shared" si="29"/>
        <v>0.32525950464000003</v>
      </c>
    </row>
    <row r="90" spans="1:15" x14ac:dyDescent="0.7">
      <c r="A90" s="10"/>
      <c r="B90" s="10"/>
      <c r="C90" s="10">
        <v>29</v>
      </c>
      <c r="D90" s="16">
        <v>4.43</v>
      </c>
      <c r="E90" s="6">
        <v>0</v>
      </c>
      <c r="F90" s="16">
        <v>4.43</v>
      </c>
      <c r="G90" s="17">
        <f t="shared" ref="G90" si="72">F90*86400</f>
        <v>382752</v>
      </c>
      <c r="H90" s="18">
        <f t="shared" ref="H90" si="73">G90/1000000</f>
        <v>0.38275199999999998</v>
      </c>
      <c r="I90" s="13">
        <f t="shared" si="23"/>
        <v>17223.84</v>
      </c>
      <c r="J90" s="21">
        <f t="shared" si="24"/>
        <v>1.7223840000000001E-2</v>
      </c>
      <c r="K90" s="13">
        <f t="shared" si="25"/>
        <v>2066.8607999999999</v>
      </c>
      <c r="L90" s="13">
        <f t="shared" si="26"/>
        <v>2.0668608000000001E-3</v>
      </c>
      <c r="M90" s="27">
        <f t="shared" si="27"/>
        <v>1.9290700800000001E-2</v>
      </c>
      <c r="N90" s="29">
        <f t="shared" si="28"/>
        <v>3.8275200000000002E-2</v>
      </c>
      <c r="O90" s="28">
        <f t="shared" si="29"/>
        <v>0.32518609919999997</v>
      </c>
    </row>
    <row r="91" spans="1:15" s="20" customFormat="1" x14ac:dyDescent="0.7">
      <c r="A91" s="10"/>
      <c r="B91" s="10"/>
      <c r="C91" s="10">
        <v>30</v>
      </c>
      <c r="D91" s="16">
        <v>4.3819999999999997</v>
      </c>
      <c r="E91" s="6">
        <v>12.5</v>
      </c>
      <c r="F91" s="16">
        <v>4.3819999999999997</v>
      </c>
      <c r="G91" s="42">
        <f t="shared" ref="G91" si="74">F91*86400</f>
        <v>378604.79999999999</v>
      </c>
      <c r="H91" s="37">
        <f t="shared" ref="H91" si="75">G91/1000000</f>
        <v>0.37860479999999996</v>
      </c>
      <c r="I91" s="37">
        <f t="shared" si="23"/>
        <v>17037.216</v>
      </c>
      <c r="J91" s="38">
        <f t="shared" si="24"/>
        <v>1.7037216000000001E-2</v>
      </c>
      <c r="K91" s="37">
        <f t="shared" si="25"/>
        <v>2044.4659199999999</v>
      </c>
      <c r="L91" s="37">
        <f t="shared" si="26"/>
        <v>2.0444659199999999E-3</v>
      </c>
      <c r="M91" s="39">
        <f t="shared" si="27"/>
        <v>1.9081681919999999E-2</v>
      </c>
      <c r="N91" s="40">
        <f t="shared" si="28"/>
        <v>3.7860480000000002E-2</v>
      </c>
      <c r="O91" s="41">
        <f t="shared" si="29"/>
        <v>0.32166263807999995</v>
      </c>
    </row>
    <row r="92" spans="1:15" s="65" customFormat="1" ht="25.2" thickBot="1" x14ac:dyDescent="0.75">
      <c r="A92" s="8"/>
      <c r="B92" s="8" t="s">
        <v>17</v>
      </c>
      <c r="C92" s="8">
        <v>31</v>
      </c>
      <c r="D92" s="9">
        <v>4.33</v>
      </c>
      <c r="E92" s="9">
        <v>12.5</v>
      </c>
      <c r="F92" s="9">
        <v>4.33</v>
      </c>
      <c r="G92" s="19">
        <f t="shared" ref="G92" si="76">F92*86400</f>
        <v>374112</v>
      </c>
      <c r="H92" s="15">
        <f t="shared" ref="H92" si="77">G92/1000000</f>
        <v>0.374112</v>
      </c>
      <c r="I92" s="15">
        <f t="shared" si="23"/>
        <v>16835.04</v>
      </c>
      <c r="J92" s="22">
        <f t="shared" si="24"/>
        <v>1.6835040000000003E-2</v>
      </c>
      <c r="K92" s="15">
        <f t="shared" si="25"/>
        <v>2020.2048</v>
      </c>
      <c r="L92" s="15">
        <f t="shared" si="26"/>
        <v>2.0202048000000001E-3</v>
      </c>
      <c r="M92" s="15">
        <f t="shared" si="27"/>
        <v>1.8855244800000004E-2</v>
      </c>
      <c r="N92" s="34">
        <f t="shared" si="28"/>
        <v>3.7411199999999999E-2</v>
      </c>
      <c r="O92" s="15">
        <f t="shared" si="29"/>
        <v>0.31784555520000002</v>
      </c>
    </row>
    <row r="93" spans="1:15" x14ac:dyDescent="0.7">
      <c r="A93" s="2"/>
      <c r="B93" s="2" t="s">
        <v>18</v>
      </c>
      <c r="C93" s="2">
        <v>1</v>
      </c>
      <c r="D93" s="3">
        <v>4.2809999999999997</v>
      </c>
      <c r="E93" s="3">
        <v>0</v>
      </c>
      <c r="F93" s="3">
        <v>4.2809999999999997</v>
      </c>
      <c r="G93" s="12">
        <f t="shared" ref="G93" si="78">F93*86400</f>
        <v>369878.39999999997</v>
      </c>
      <c r="H93" s="14">
        <f t="shared" ref="H93" si="79">G93/1000000</f>
        <v>0.36987839999999994</v>
      </c>
      <c r="I93" s="14">
        <f t="shared" si="23"/>
        <v>16644.527999999998</v>
      </c>
      <c r="J93" s="26">
        <f t="shared" si="24"/>
        <v>1.6644527999999999E-2</v>
      </c>
      <c r="K93" s="14">
        <f t="shared" si="25"/>
        <v>1997.3433599999998</v>
      </c>
      <c r="L93" s="14">
        <f t="shared" si="26"/>
        <v>1.9973433599999998E-3</v>
      </c>
      <c r="M93" s="30">
        <f t="shared" si="27"/>
        <v>1.8641871359999999E-2</v>
      </c>
      <c r="N93" s="31">
        <f t="shared" si="28"/>
        <v>3.6987839999999994E-2</v>
      </c>
      <c r="O93" s="32">
        <f t="shared" si="29"/>
        <v>0.31424868863999994</v>
      </c>
    </row>
    <row r="94" spans="1:15" x14ac:dyDescent="0.7">
      <c r="A94" s="5"/>
      <c r="B94" s="5"/>
      <c r="C94" s="5">
        <v>2</v>
      </c>
      <c r="D94" s="6">
        <v>4.1769999999999996</v>
      </c>
      <c r="E94" s="6">
        <v>0</v>
      </c>
      <c r="F94" s="6">
        <v>4.1769999999999996</v>
      </c>
      <c r="G94" s="12">
        <f t="shared" ref="G94" si="80">F94*86400</f>
        <v>360892.8</v>
      </c>
      <c r="H94" s="14">
        <f t="shared" ref="H94" si="81">G94/1000000</f>
        <v>0.36089280000000001</v>
      </c>
      <c r="I94" s="13">
        <f t="shared" si="23"/>
        <v>16240.175999999999</v>
      </c>
      <c r="J94" s="21">
        <f t="shared" si="24"/>
        <v>1.6240175999999999E-2</v>
      </c>
      <c r="K94" s="13">
        <f t="shared" si="25"/>
        <v>1948.8211199999998</v>
      </c>
      <c r="L94" s="13">
        <f t="shared" si="26"/>
        <v>1.9488211199999998E-3</v>
      </c>
      <c r="M94" s="27">
        <f t="shared" si="27"/>
        <v>1.8188997119999998E-2</v>
      </c>
      <c r="N94" s="29">
        <f t="shared" si="28"/>
        <v>3.6089280000000001E-2</v>
      </c>
      <c r="O94" s="28">
        <f t="shared" si="29"/>
        <v>0.30661452288000002</v>
      </c>
    </row>
    <row r="95" spans="1:15" x14ac:dyDescent="0.7">
      <c r="A95" s="5"/>
      <c r="B95" s="5"/>
      <c r="C95" s="5">
        <v>3</v>
      </c>
      <c r="D95" s="6">
        <v>4.1280000000000001</v>
      </c>
      <c r="E95" s="6">
        <v>0</v>
      </c>
      <c r="F95" s="6">
        <v>4.1280000000000001</v>
      </c>
      <c r="G95" s="12">
        <f t="shared" ref="G95" si="82">F95*86400</f>
        <v>356659.20000000001</v>
      </c>
      <c r="H95" s="14">
        <f t="shared" ref="H95" si="83">G95/1000000</f>
        <v>0.35665920000000001</v>
      </c>
      <c r="I95" s="13">
        <f t="shared" si="23"/>
        <v>16049.664000000001</v>
      </c>
      <c r="J95" s="21">
        <f t="shared" si="24"/>
        <v>1.6049664000000002E-2</v>
      </c>
      <c r="K95" s="13">
        <f t="shared" si="25"/>
        <v>1925.9596799999999</v>
      </c>
      <c r="L95" s="13">
        <f t="shared" si="26"/>
        <v>1.92595968E-3</v>
      </c>
      <c r="M95" s="27">
        <f t="shared" si="27"/>
        <v>1.797562368E-2</v>
      </c>
      <c r="N95" s="29">
        <f t="shared" si="28"/>
        <v>3.5665920000000004E-2</v>
      </c>
      <c r="O95" s="28">
        <f t="shared" si="29"/>
        <v>0.30301765632</v>
      </c>
    </row>
    <row r="96" spans="1:15" x14ac:dyDescent="0.7">
      <c r="A96" s="5"/>
      <c r="B96" s="5"/>
      <c r="C96" s="5">
        <v>4</v>
      </c>
      <c r="D96" s="6">
        <v>4.4000000000000004</v>
      </c>
      <c r="E96" s="6">
        <v>0</v>
      </c>
      <c r="F96" s="6">
        <v>4.4000000000000004</v>
      </c>
      <c r="G96" s="12">
        <f t="shared" ref="G96" si="84">F96*86400</f>
        <v>380160.00000000006</v>
      </c>
      <c r="H96" s="14">
        <f t="shared" ref="H96" si="85">G96/1000000</f>
        <v>0.38016000000000005</v>
      </c>
      <c r="I96" s="13">
        <f t="shared" si="23"/>
        <v>17107.2</v>
      </c>
      <c r="J96" s="21">
        <f t="shared" si="24"/>
        <v>1.7107199999999999E-2</v>
      </c>
      <c r="K96" s="13">
        <f t="shared" si="25"/>
        <v>2052.864</v>
      </c>
      <c r="L96" s="13">
        <f t="shared" si="26"/>
        <v>2.0528640000000002E-3</v>
      </c>
      <c r="M96" s="27">
        <f t="shared" si="27"/>
        <v>1.9160064000000001E-2</v>
      </c>
      <c r="N96" s="29">
        <f t="shared" si="28"/>
        <v>3.8016000000000008E-2</v>
      </c>
      <c r="O96" s="28">
        <f t="shared" si="29"/>
        <v>0.32298393600000008</v>
      </c>
    </row>
    <row r="97" spans="1:15" x14ac:dyDescent="0.7">
      <c r="A97" s="5"/>
      <c r="B97" s="5"/>
      <c r="C97" s="5">
        <v>5</v>
      </c>
      <c r="D97" s="6">
        <v>4.3810000000000002</v>
      </c>
      <c r="E97" s="6">
        <v>0</v>
      </c>
      <c r="F97" s="6">
        <v>4.3810000000000002</v>
      </c>
      <c r="G97" s="12">
        <f t="shared" ref="G97" si="86">F97*86400</f>
        <v>378518.4</v>
      </c>
      <c r="H97" s="14">
        <f t="shared" ref="H97" si="87">G97/1000000</f>
        <v>0.37851840000000003</v>
      </c>
      <c r="I97" s="13">
        <f t="shared" si="23"/>
        <v>17033.328000000001</v>
      </c>
      <c r="J97" s="21">
        <f t="shared" si="24"/>
        <v>1.7033328E-2</v>
      </c>
      <c r="K97" s="13">
        <f t="shared" si="25"/>
        <v>2043.99936</v>
      </c>
      <c r="L97" s="13">
        <f t="shared" si="26"/>
        <v>2.0439993600000002E-3</v>
      </c>
      <c r="M97" s="27">
        <f t="shared" si="27"/>
        <v>1.907732736E-2</v>
      </c>
      <c r="N97" s="29">
        <f t="shared" si="28"/>
        <v>3.7851840000000005E-2</v>
      </c>
      <c r="O97" s="28">
        <f t="shared" si="29"/>
        <v>0.32158923264</v>
      </c>
    </row>
    <row r="98" spans="1:15" x14ac:dyDescent="0.7">
      <c r="A98" s="5"/>
      <c r="B98" s="5"/>
      <c r="C98" s="5">
        <v>6</v>
      </c>
      <c r="D98" s="6">
        <v>5.609</v>
      </c>
      <c r="E98" s="6">
        <v>0</v>
      </c>
      <c r="F98" s="6">
        <v>5.609</v>
      </c>
      <c r="G98" s="12">
        <f t="shared" ref="G98" si="88">F98*86400</f>
        <v>484617.6</v>
      </c>
      <c r="H98" s="14">
        <f t="shared" ref="H98" si="89">G98/1000000</f>
        <v>0.48461759999999998</v>
      </c>
      <c r="I98" s="13">
        <f t="shared" si="23"/>
        <v>21807.791999999998</v>
      </c>
      <c r="J98" s="21">
        <f t="shared" si="24"/>
        <v>2.1807791999999996E-2</v>
      </c>
      <c r="K98" s="13">
        <f t="shared" si="25"/>
        <v>2616.9350399999998</v>
      </c>
      <c r="L98" s="13">
        <f t="shared" si="26"/>
        <v>2.6169350399999998E-3</v>
      </c>
      <c r="M98" s="27">
        <f t="shared" si="27"/>
        <v>2.4424727039999997E-2</v>
      </c>
      <c r="N98" s="29">
        <f t="shared" si="28"/>
        <v>4.846176E-2</v>
      </c>
      <c r="O98" s="28">
        <f t="shared" si="29"/>
        <v>0.41173111295999998</v>
      </c>
    </row>
    <row r="99" spans="1:15" x14ac:dyDescent="0.7">
      <c r="A99" s="5"/>
      <c r="B99" s="5"/>
      <c r="C99" s="5">
        <v>7</v>
      </c>
      <c r="D99" s="6">
        <v>5.9459999999999997</v>
      </c>
      <c r="E99" s="6">
        <v>0</v>
      </c>
      <c r="F99" s="6">
        <v>5.9459999999999997</v>
      </c>
      <c r="G99" s="12">
        <f t="shared" ref="G99" si="90">F99*86400</f>
        <v>513734.39999999997</v>
      </c>
      <c r="H99" s="14">
        <f t="shared" ref="H99" si="91">G99/1000000</f>
        <v>0.51373439999999992</v>
      </c>
      <c r="I99" s="13">
        <f t="shared" si="23"/>
        <v>23118.047999999995</v>
      </c>
      <c r="J99" s="21">
        <f t="shared" si="24"/>
        <v>2.3118047999999995E-2</v>
      </c>
      <c r="K99" s="13">
        <f t="shared" si="25"/>
        <v>2774.1657599999994</v>
      </c>
      <c r="L99" s="13">
        <f t="shared" si="26"/>
        <v>2.7741657599999994E-3</v>
      </c>
      <c r="M99" s="27">
        <f t="shared" si="27"/>
        <v>2.5892213759999994E-2</v>
      </c>
      <c r="N99" s="29">
        <f t="shared" si="28"/>
        <v>5.1373439999999992E-2</v>
      </c>
      <c r="O99" s="28">
        <f t="shared" si="29"/>
        <v>0.43646874623999993</v>
      </c>
    </row>
    <row r="100" spans="1:15" x14ac:dyDescent="0.7">
      <c r="A100" s="5"/>
      <c r="B100" s="5"/>
      <c r="C100" s="5">
        <v>8</v>
      </c>
      <c r="D100" s="6">
        <v>4.2809999999999997</v>
      </c>
      <c r="E100" s="6">
        <v>0</v>
      </c>
      <c r="F100" s="6">
        <v>4.2809999999999997</v>
      </c>
      <c r="G100" s="12">
        <f t="shared" ref="G100" si="92">F100*86400</f>
        <v>369878.39999999997</v>
      </c>
      <c r="H100" s="14">
        <f t="shared" ref="H100" si="93">G100/1000000</f>
        <v>0.36987839999999994</v>
      </c>
      <c r="I100" s="13">
        <f t="shared" si="23"/>
        <v>16644.527999999998</v>
      </c>
      <c r="J100" s="21">
        <f t="shared" si="24"/>
        <v>1.6644527999999999E-2</v>
      </c>
      <c r="K100" s="13">
        <f t="shared" si="25"/>
        <v>1997.3433599999998</v>
      </c>
      <c r="L100" s="13">
        <f t="shared" si="26"/>
        <v>1.9973433599999998E-3</v>
      </c>
      <c r="M100" s="27">
        <f t="shared" si="27"/>
        <v>1.8641871359999999E-2</v>
      </c>
      <c r="N100" s="29">
        <f t="shared" si="28"/>
        <v>3.6987839999999994E-2</v>
      </c>
      <c r="O100" s="28">
        <f t="shared" si="29"/>
        <v>0.31424868863999994</v>
      </c>
    </row>
    <row r="101" spans="1:15" x14ac:dyDescent="0.7">
      <c r="A101" s="5"/>
      <c r="B101" s="5"/>
      <c r="C101" s="5">
        <v>9</v>
      </c>
      <c r="D101" s="6">
        <v>4.2809999999999997</v>
      </c>
      <c r="E101" s="6">
        <v>0</v>
      </c>
      <c r="F101" s="6">
        <v>4.2809999999999997</v>
      </c>
      <c r="G101" s="12">
        <f t="shared" ref="G101" si="94">F101*86400</f>
        <v>369878.39999999997</v>
      </c>
      <c r="H101" s="14">
        <f t="shared" ref="H101" si="95">G101/1000000</f>
        <v>0.36987839999999994</v>
      </c>
      <c r="I101" s="13">
        <f t="shared" si="23"/>
        <v>16644.527999999998</v>
      </c>
      <c r="J101" s="21">
        <f t="shared" si="24"/>
        <v>1.6644527999999999E-2</v>
      </c>
      <c r="K101" s="13">
        <f t="shared" si="25"/>
        <v>1997.3433599999998</v>
      </c>
      <c r="L101" s="13">
        <f t="shared" si="26"/>
        <v>1.9973433599999998E-3</v>
      </c>
      <c r="M101" s="27">
        <f t="shared" si="27"/>
        <v>1.8641871359999999E-2</v>
      </c>
      <c r="N101" s="29">
        <f t="shared" si="28"/>
        <v>3.6987839999999994E-2</v>
      </c>
      <c r="O101" s="28">
        <f t="shared" si="29"/>
        <v>0.31424868863999994</v>
      </c>
    </row>
    <row r="102" spans="1:15" x14ac:dyDescent="0.7">
      <c r="A102" s="5"/>
      <c r="B102" s="5"/>
      <c r="C102" s="5">
        <v>10</v>
      </c>
      <c r="D102" s="6">
        <v>3.992</v>
      </c>
      <c r="E102" s="6">
        <v>0</v>
      </c>
      <c r="F102" s="6">
        <v>3.992</v>
      </c>
      <c r="G102" s="12">
        <f t="shared" ref="G102" si="96">F102*86400</f>
        <v>344908.79999999999</v>
      </c>
      <c r="H102" s="14">
        <f t="shared" ref="H102" si="97">G102/1000000</f>
        <v>0.34490880000000002</v>
      </c>
      <c r="I102" s="13">
        <f t="shared" si="23"/>
        <v>15520.895999999999</v>
      </c>
      <c r="J102" s="21">
        <f t="shared" si="24"/>
        <v>1.5520895999999999E-2</v>
      </c>
      <c r="K102" s="13">
        <f t="shared" si="25"/>
        <v>1862.5075199999999</v>
      </c>
      <c r="L102" s="13">
        <f t="shared" si="26"/>
        <v>1.8625075199999999E-3</v>
      </c>
      <c r="M102" s="27">
        <f t="shared" si="27"/>
        <v>1.738340352E-2</v>
      </c>
      <c r="N102" s="29">
        <f t="shared" si="28"/>
        <v>3.4490880000000002E-2</v>
      </c>
      <c r="O102" s="28">
        <f t="shared" si="29"/>
        <v>0.29303451648000001</v>
      </c>
    </row>
    <row r="103" spans="1:15" x14ac:dyDescent="0.7">
      <c r="A103" s="5"/>
      <c r="B103" s="5"/>
      <c r="C103" s="5">
        <v>11</v>
      </c>
      <c r="D103" s="6">
        <v>4.2809999999999997</v>
      </c>
      <c r="E103" s="6">
        <v>0</v>
      </c>
      <c r="F103" s="6">
        <v>4.2809999999999997</v>
      </c>
      <c r="G103" s="12">
        <f t="shared" ref="G103" si="98">F103*86400</f>
        <v>369878.39999999997</v>
      </c>
      <c r="H103" s="14">
        <f t="shared" ref="H103" si="99">G103/1000000</f>
        <v>0.36987839999999994</v>
      </c>
      <c r="I103" s="13">
        <f t="shared" si="23"/>
        <v>16644.527999999998</v>
      </c>
      <c r="J103" s="21">
        <f t="shared" si="24"/>
        <v>1.6644527999999999E-2</v>
      </c>
      <c r="K103" s="13">
        <f t="shared" si="25"/>
        <v>1997.3433599999998</v>
      </c>
      <c r="L103" s="13">
        <f t="shared" si="26"/>
        <v>1.9973433599999998E-3</v>
      </c>
      <c r="M103" s="27">
        <f t="shared" si="27"/>
        <v>1.8641871359999999E-2</v>
      </c>
      <c r="N103" s="29">
        <f t="shared" si="28"/>
        <v>3.6987839999999994E-2</v>
      </c>
      <c r="O103" s="28">
        <f t="shared" si="29"/>
        <v>0.31424868863999994</v>
      </c>
    </row>
    <row r="104" spans="1:15" x14ac:dyDescent="0.7">
      <c r="A104" s="5"/>
      <c r="B104" s="5"/>
      <c r="C104" s="5">
        <v>12</v>
      </c>
      <c r="D104" s="6">
        <v>4.2809999999999997</v>
      </c>
      <c r="E104" s="6">
        <v>0</v>
      </c>
      <c r="F104" s="6">
        <v>4.2809999999999997</v>
      </c>
      <c r="G104" s="12">
        <f t="shared" ref="G104" si="100">F104*86400</f>
        <v>369878.39999999997</v>
      </c>
      <c r="H104" s="14">
        <f t="shared" ref="H104" si="101">G104/1000000</f>
        <v>0.36987839999999994</v>
      </c>
      <c r="I104" s="13">
        <f t="shared" si="23"/>
        <v>16644.527999999998</v>
      </c>
      <c r="J104" s="21">
        <f t="shared" si="24"/>
        <v>1.6644527999999999E-2</v>
      </c>
      <c r="K104" s="13">
        <f t="shared" si="25"/>
        <v>1997.3433599999998</v>
      </c>
      <c r="L104" s="13">
        <f t="shared" si="26"/>
        <v>1.9973433599999998E-3</v>
      </c>
      <c r="M104" s="27">
        <f t="shared" si="27"/>
        <v>1.8641871359999999E-2</v>
      </c>
      <c r="N104" s="29">
        <f t="shared" si="28"/>
        <v>3.6987839999999994E-2</v>
      </c>
      <c r="O104" s="28">
        <f t="shared" si="29"/>
        <v>0.31424868863999994</v>
      </c>
    </row>
    <row r="105" spans="1:15" x14ac:dyDescent="0.7">
      <c r="A105" s="5"/>
      <c r="B105" s="5"/>
      <c r="C105" s="5">
        <v>13</v>
      </c>
      <c r="D105" s="6">
        <v>4.109</v>
      </c>
      <c r="E105" s="6">
        <v>0</v>
      </c>
      <c r="F105" s="6">
        <v>4.109</v>
      </c>
      <c r="G105" s="12">
        <f t="shared" ref="G105" si="102">F105*86400</f>
        <v>355017.6</v>
      </c>
      <c r="H105" s="14">
        <f t="shared" ref="H105" si="103">G105/1000000</f>
        <v>0.35501759999999999</v>
      </c>
      <c r="I105" s="13">
        <f t="shared" si="23"/>
        <v>15975.791999999998</v>
      </c>
      <c r="J105" s="21">
        <f t="shared" si="24"/>
        <v>1.5975791999999999E-2</v>
      </c>
      <c r="K105" s="13">
        <f t="shared" si="25"/>
        <v>1917.0950399999997</v>
      </c>
      <c r="L105" s="13">
        <f t="shared" si="26"/>
        <v>1.9170950399999998E-3</v>
      </c>
      <c r="M105" s="27">
        <f t="shared" si="27"/>
        <v>1.789288704E-2</v>
      </c>
      <c r="N105" s="29">
        <f t="shared" si="28"/>
        <v>3.550176E-2</v>
      </c>
      <c r="O105" s="28">
        <f t="shared" si="29"/>
        <v>0.30162295296000002</v>
      </c>
    </row>
    <row r="106" spans="1:15" x14ac:dyDescent="0.7">
      <c r="A106" s="5"/>
      <c r="B106" s="5"/>
      <c r="C106" s="5">
        <v>14</v>
      </c>
      <c r="D106" s="6">
        <v>4.109</v>
      </c>
      <c r="E106" s="6">
        <v>0</v>
      </c>
      <c r="F106" s="6">
        <v>4.109</v>
      </c>
      <c r="G106" s="12">
        <f t="shared" ref="G106" si="104">F106*86400</f>
        <v>355017.6</v>
      </c>
      <c r="H106" s="14">
        <f t="shared" ref="H106" si="105">G106/1000000</f>
        <v>0.35501759999999999</v>
      </c>
      <c r="I106" s="13">
        <f t="shared" si="23"/>
        <v>15975.791999999998</v>
      </c>
      <c r="J106" s="21">
        <f t="shared" si="24"/>
        <v>1.5975791999999999E-2</v>
      </c>
      <c r="K106" s="13">
        <f t="shared" si="25"/>
        <v>1917.0950399999997</v>
      </c>
      <c r="L106" s="13">
        <f t="shared" si="26"/>
        <v>1.9170950399999998E-3</v>
      </c>
      <c r="M106" s="27">
        <f t="shared" si="27"/>
        <v>1.789288704E-2</v>
      </c>
      <c r="N106" s="29">
        <f t="shared" si="28"/>
        <v>3.550176E-2</v>
      </c>
      <c r="O106" s="28">
        <f t="shared" si="29"/>
        <v>0.30162295296000002</v>
      </c>
    </row>
    <row r="107" spans="1:15" x14ac:dyDescent="0.7">
      <c r="A107" s="5"/>
      <c r="B107" s="5"/>
      <c r="C107" s="5">
        <v>15</v>
      </c>
      <c r="D107" s="6">
        <v>4.431</v>
      </c>
      <c r="E107" s="6">
        <v>0.4</v>
      </c>
      <c r="F107" s="6">
        <v>4.431</v>
      </c>
      <c r="G107" s="12">
        <f t="shared" ref="G107" si="106">F107*86400</f>
        <v>382838.4</v>
      </c>
      <c r="H107" s="14">
        <f t="shared" ref="H107" si="107">G107/1000000</f>
        <v>0.38283840000000002</v>
      </c>
      <c r="I107" s="13">
        <f t="shared" si="23"/>
        <v>17227.727999999999</v>
      </c>
      <c r="J107" s="21">
        <f t="shared" si="24"/>
        <v>1.7227727999999998E-2</v>
      </c>
      <c r="K107" s="13">
        <f t="shared" si="25"/>
        <v>2067.3273599999998</v>
      </c>
      <c r="L107" s="13">
        <f t="shared" si="26"/>
        <v>2.0673273599999997E-3</v>
      </c>
      <c r="M107" s="27">
        <f t="shared" si="27"/>
        <v>1.9295055359999997E-2</v>
      </c>
      <c r="N107" s="29">
        <f t="shared" si="28"/>
        <v>3.8283840000000006E-2</v>
      </c>
      <c r="O107" s="28">
        <f t="shared" si="29"/>
        <v>0.32525950464000003</v>
      </c>
    </row>
    <row r="108" spans="1:15" x14ac:dyDescent="0.7">
      <c r="A108" s="5"/>
      <c r="B108" s="5"/>
      <c r="C108" s="5">
        <v>16</v>
      </c>
      <c r="D108" s="6">
        <v>4.6340000000000003</v>
      </c>
      <c r="E108" s="6">
        <v>4</v>
      </c>
      <c r="F108" s="6">
        <v>4.6340000000000003</v>
      </c>
      <c r="G108" s="12">
        <f t="shared" ref="G108" si="108">F108*86400</f>
        <v>400377.60000000003</v>
      </c>
      <c r="H108" s="14">
        <f t="shared" ref="H108" si="109">G108/1000000</f>
        <v>0.40037760000000006</v>
      </c>
      <c r="I108" s="13">
        <f t="shared" si="23"/>
        <v>18016.992000000002</v>
      </c>
      <c r="J108" s="21">
        <f t="shared" si="24"/>
        <v>1.8016992000000003E-2</v>
      </c>
      <c r="K108" s="13">
        <f t="shared" si="25"/>
        <v>2162.0390400000001</v>
      </c>
      <c r="L108" s="13">
        <f t="shared" si="26"/>
        <v>2.16203904E-3</v>
      </c>
      <c r="M108" s="27">
        <f t="shared" si="27"/>
        <v>2.0179031040000003E-2</v>
      </c>
      <c r="N108" s="29">
        <f t="shared" si="28"/>
        <v>4.0037760000000006E-2</v>
      </c>
      <c r="O108" s="28">
        <f t="shared" si="29"/>
        <v>0.34016080896000001</v>
      </c>
    </row>
    <row r="109" spans="1:15" x14ac:dyDescent="0.7">
      <c r="A109" s="5"/>
      <c r="B109" s="5"/>
      <c r="C109" s="5">
        <v>17</v>
      </c>
      <c r="D109" s="6">
        <v>5.1459999999999999</v>
      </c>
      <c r="E109" s="6">
        <v>17.5</v>
      </c>
      <c r="F109" s="6">
        <v>5.1459999999999999</v>
      </c>
      <c r="G109" s="12">
        <f t="shared" ref="G109" si="110">F109*86400</f>
        <v>444614.39999999997</v>
      </c>
      <c r="H109" s="14">
        <f t="shared" ref="H109" si="111">G109/1000000</f>
        <v>0.44461439999999997</v>
      </c>
      <c r="I109" s="13">
        <f t="shared" si="23"/>
        <v>20007.647999999997</v>
      </c>
      <c r="J109" s="21">
        <f t="shared" si="24"/>
        <v>2.0007647999999996E-2</v>
      </c>
      <c r="K109" s="13">
        <f t="shared" si="25"/>
        <v>2400.9177599999998</v>
      </c>
      <c r="L109" s="13">
        <f t="shared" si="26"/>
        <v>2.4009177599999998E-3</v>
      </c>
      <c r="M109" s="27">
        <f t="shared" si="27"/>
        <v>2.2408565759999995E-2</v>
      </c>
      <c r="N109" s="29">
        <f t="shared" si="28"/>
        <v>4.4461439999999998E-2</v>
      </c>
      <c r="O109" s="28">
        <f t="shared" si="29"/>
        <v>0.37774439423999995</v>
      </c>
    </row>
    <row r="110" spans="1:15" x14ac:dyDescent="0.7">
      <c r="A110" s="5"/>
      <c r="B110" s="5"/>
      <c r="C110" s="5">
        <v>18</v>
      </c>
      <c r="D110" s="6">
        <v>4.6840000000000002</v>
      </c>
      <c r="E110" s="6">
        <v>0</v>
      </c>
      <c r="F110" s="6">
        <v>4.6840000000000002</v>
      </c>
      <c r="G110" s="12">
        <f t="shared" ref="G110" si="112">F110*86400</f>
        <v>404697.60000000003</v>
      </c>
      <c r="H110" s="14">
        <f t="shared" ref="H110" si="113">G110/1000000</f>
        <v>0.40469760000000005</v>
      </c>
      <c r="I110" s="13">
        <f t="shared" si="23"/>
        <v>18211.392</v>
      </c>
      <c r="J110" s="21">
        <f t="shared" si="24"/>
        <v>1.8211392E-2</v>
      </c>
      <c r="K110" s="13">
        <f t="shared" si="25"/>
        <v>2185.3670400000001</v>
      </c>
      <c r="L110" s="13">
        <f t="shared" si="26"/>
        <v>2.18536704E-3</v>
      </c>
      <c r="M110" s="27">
        <f t="shared" si="27"/>
        <v>2.039675904E-2</v>
      </c>
      <c r="N110" s="29">
        <f t="shared" si="28"/>
        <v>4.0469760000000007E-2</v>
      </c>
      <c r="O110" s="28">
        <f t="shared" si="29"/>
        <v>0.34383108096000004</v>
      </c>
    </row>
    <row r="111" spans="1:15" x14ac:dyDescent="0.7">
      <c r="A111" s="5"/>
      <c r="B111" s="5"/>
      <c r="C111" s="5">
        <v>19</v>
      </c>
      <c r="D111" s="6">
        <v>4.6840000000000002</v>
      </c>
      <c r="E111" s="6">
        <v>0</v>
      </c>
      <c r="F111" s="6">
        <v>4.6840000000000002</v>
      </c>
      <c r="G111" s="12">
        <f t="shared" ref="G111" si="114">F111*86400</f>
        <v>404697.60000000003</v>
      </c>
      <c r="H111" s="14">
        <f t="shared" ref="H111" si="115">G111/1000000</f>
        <v>0.40469760000000005</v>
      </c>
      <c r="I111" s="13">
        <f t="shared" si="23"/>
        <v>18211.392</v>
      </c>
      <c r="J111" s="21">
        <f t="shared" si="24"/>
        <v>1.8211392E-2</v>
      </c>
      <c r="K111" s="13">
        <f t="shared" si="25"/>
        <v>2185.3670400000001</v>
      </c>
      <c r="L111" s="13">
        <f t="shared" si="26"/>
        <v>2.18536704E-3</v>
      </c>
      <c r="M111" s="27">
        <f t="shared" si="27"/>
        <v>2.039675904E-2</v>
      </c>
      <c r="N111" s="29">
        <f t="shared" si="28"/>
        <v>4.0469760000000007E-2</v>
      </c>
      <c r="O111" s="28">
        <f t="shared" si="29"/>
        <v>0.34383108096000004</v>
      </c>
    </row>
    <row r="112" spans="1:15" x14ac:dyDescent="0.7">
      <c r="A112" s="5"/>
      <c r="B112" s="5"/>
      <c r="C112" s="5">
        <v>20</v>
      </c>
      <c r="D112" s="6">
        <v>4.5330000000000004</v>
      </c>
      <c r="E112" s="6">
        <v>0</v>
      </c>
      <c r="F112" s="6">
        <v>4.5330000000000004</v>
      </c>
      <c r="G112" s="12">
        <f t="shared" ref="G112" si="116">F112*86400</f>
        <v>391651.2</v>
      </c>
      <c r="H112" s="14">
        <f t="shared" ref="H112" si="117">G112/1000000</f>
        <v>0.39165120000000003</v>
      </c>
      <c r="I112" s="13">
        <f t="shared" si="23"/>
        <v>17624.304</v>
      </c>
      <c r="J112" s="21">
        <f t="shared" si="24"/>
        <v>1.7624304E-2</v>
      </c>
      <c r="K112" s="13">
        <f t="shared" si="25"/>
        <v>2114.9164799999999</v>
      </c>
      <c r="L112" s="13">
        <f t="shared" si="26"/>
        <v>2.1149164799999999E-3</v>
      </c>
      <c r="M112" s="27">
        <f t="shared" si="27"/>
        <v>1.973922048E-2</v>
      </c>
      <c r="N112" s="29">
        <f t="shared" si="28"/>
        <v>3.9165120000000005E-2</v>
      </c>
      <c r="O112" s="28">
        <f t="shared" si="29"/>
        <v>0.33274685952000005</v>
      </c>
    </row>
    <row r="113" spans="1:15" x14ac:dyDescent="0.7">
      <c r="A113" s="5"/>
      <c r="B113" s="5"/>
      <c r="C113" s="5">
        <v>21</v>
      </c>
      <c r="D113" s="6">
        <v>4.4809999999999999</v>
      </c>
      <c r="E113" s="6">
        <v>0</v>
      </c>
      <c r="F113" s="6">
        <v>4.4809999999999999</v>
      </c>
      <c r="G113" s="12">
        <f t="shared" ref="G113" si="118">F113*86400</f>
        <v>387158.39999999997</v>
      </c>
      <c r="H113" s="14">
        <f t="shared" ref="H113" si="119">G113/1000000</f>
        <v>0.38715839999999996</v>
      </c>
      <c r="I113" s="13">
        <f t="shared" si="23"/>
        <v>17422.127999999997</v>
      </c>
      <c r="J113" s="21">
        <f t="shared" si="24"/>
        <v>1.7422127999999999E-2</v>
      </c>
      <c r="K113" s="13">
        <f t="shared" si="25"/>
        <v>2090.6553599999997</v>
      </c>
      <c r="L113" s="13">
        <f t="shared" si="26"/>
        <v>2.0906553599999997E-3</v>
      </c>
      <c r="M113" s="27">
        <f t="shared" si="27"/>
        <v>1.9512783359999997E-2</v>
      </c>
      <c r="N113" s="29">
        <f t="shared" si="28"/>
        <v>3.8715840000000001E-2</v>
      </c>
      <c r="O113" s="28">
        <f t="shared" si="29"/>
        <v>0.32892977663999995</v>
      </c>
    </row>
    <row r="114" spans="1:15" x14ac:dyDescent="0.7">
      <c r="A114" s="5"/>
      <c r="B114" s="5"/>
      <c r="C114" s="5">
        <v>22</v>
      </c>
      <c r="D114" s="6">
        <v>4.4809999999999999</v>
      </c>
      <c r="E114" s="6">
        <v>0</v>
      </c>
      <c r="F114" s="6">
        <v>4.4809999999999999</v>
      </c>
      <c r="G114" s="12">
        <f t="shared" ref="G114" si="120">F114*86400</f>
        <v>387158.39999999997</v>
      </c>
      <c r="H114" s="14">
        <f t="shared" ref="H114" si="121">G114/1000000</f>
        <v>0.38715839999999996</v>
      </c>
      <c r="I114" s="13">
        <f t="shared" si="23"/>
        <v>17422.127999999997</v>
      </c>
      <c r="J114" s="21">
        <f t="shared" si="24"/>
        <v>1.7422127999999999E-2</v>
      </c>
      <c r="K114" s="13">
        <f t="shared" si="25"/>
        <v>2090.6553599999997</v>
      </c>
      <c r="L114" s="13">
        <f t="shared" si="26"/>
        <v>2.0906553599999997E-3</v>
      </c>
      <c r="M114" s="27">
        <f t="shared" si="27"/>
        <v>1.9512783359999997E-2</v>
      </c>
      <c r="N114" s="29">
        <f t="shared" si="28"/>
        <v>3.8715840000000001E-2</v>
      </c>
      <c r="O114" s="28">
        <f t="shared" si="29"/>
        <v>0.32892977663999995</v>
      </c>
    </row>
    <row r="115" spans="1:15" x14ac:dyDescent="0.7">
      <c r="A115" s="5"/>
      <c r="B115" s="5"/>
      <c r="C115" s="5">
        <v>23</v>
      </c>
      <c r="D115" s="6">
        <v>4.6840000000000002</v>
      </c>
      <c r="E115" s="6">
        <v>0</v>
      </c>
      <c r="F115" s="6">
        <v>4.6840000000000002</v>
      </c>
      <c r="G115" s="12">
        <f t="shared" ref="G115" si="122">F115*86400</f>
        <v>404697.60000000003</v>
      </c>
      <c r="H115" s="14">
        <f t="shared" ref="H115" si="123">G115/1000000</f>
        <v>0.40469760000000005</v>
      </c>
      <c r="I115" s="13">
        <f t="shared" si="23"/>
        <v>18211.392</v>
      </c>
      <c r="J115" s="21">
        <f t="shared" si="24"/>
        <v>1.8211392E-2</v>
      </c>
      <c r="K115" s="13">
        <f t="shared" si="25"/>
        <v>2185.3670400000001</v>
      </c>
      <c r="L115" s="13">
        <f t="shared" si="26"/>
        <v>2.18536704E-3</v>
      </c>
      <c r="M115" s="27">
        <f t="shared" si="27"/>
        <v>2.039675904E-2</v>
      </c>
      <c r="N115" s="29">
        <f t="shared" si="28"/>
        <v>4.0469760000000007E-2</v>
      </c>
      <c r="O115" s="28">
        <f t="shared" si="29"/>
        <v>0.34383108096000004</v>
      </c>
    </row>
    <row r="116" spans="1:15" x14ac:dyDescent="0.7">
      <c r="A116" s="5"/>
      <c r="B116" s="5"/>
      <c r="C116" s="5">
        <v>24</v>
      </c>
      <c r="D116" s="6">
        <v>4.5330000000000004</v>
      </c>
      <c r="E116" s="6">
        <v>0</v>
      </c>
      <c r="F116" s="6">
        <v>4.5330000000000004</v>
      </c>
      <c r="G116" s="12">
        <f t="shared" ref="G116" si="124">F116*86400</f>
        <v>391651.2</v>
      </c>
      <c r="H116" s="14">
        <f t="shared" ref="H116" si="125">G116/1000000</f>
        <v>0.39165120000000003</v>
      </c>
      <c r="I116" s="13">
        <f t="shared" si="23"/>
        <v>17624.304</v>
      </c>
      <c r="J116" s="21">
        <f t="shared" si="24"/>
        <v>1.7624304E-2</v>
      </c>
      <c r="K116" s="13">
        <f t="shared" si="25"/>
        <v>2114.9164799999999</v>
      </c>
      <c r="L116" s="13">
        <f t="shared" si="26"/>
        <v>2.1149164799999999E-3</v>
      </c>
      <c r="M116" s="27">
        <f t="shared" si="27"/>
        <v>1.973922048E-2</v>
      </c>
      <c r="N116" s="29">
        <f t="shared" si="28"/>
        <v>3.9165120000000005E-2</v>
      </c>
      <c r="O116" s="28">
        <f t="shared" si="29"/>
        <v>0.33274685952000005</v>
      </c>
    </row>
    <row r="117" spans="1:15" x14ac:dyDescent="0.7">
      <c r="A117" s="5"/>
      <c r="B117" s="5"/>
      <c r="C117" s="5">
        <v>25</v>
      </c>
      <c r="D117" s="6">
        <v>4.109</v>
      </c>
      <c r="E117" s="6">
        <v>0</v>
      </c>
      <c r="F117" s="6">
        <v>4.109</v>
      </c>
      <c r="G117" s="12">
        <f t="shared" ref="G117" si="126">F117*86400</f>
        <v>355017.6</v>
      </c>
      <c r="H117" s="14">
        <f t="shared" ref="H117" si="127">G117/1000000</f>
        <v>0.35501759999999999</v>
      </c>
      <c r="I117" s="13">
        <f t="shared" si="23"/>
        <v>15975.791999999998</v>
      </c>
      <c r="J117" s="21">
        <f t="shared" si="24"/>
        <v>1.5975791999999999E-2</v>
      </c>
      <c r="K117" s="13">
        <f t="shared" si="25"/>
        <v>1917.0950399999997</v>
      </c>
      <c r="L117" s="13">
        <f t="shared" si="26"/>
        <v>1.9170950399999998E-3</v>
      </c>
      <c r="M117" s="27">
        <f t="shared" si="27"/>
        <v>1.789288704E-2</v>
      </c>
      <c r="N117" s="29">
        <f t="shared" si="28"/>
        <v>3.550176E-2</v>
      </c>
      <c r="O117" s="28">
        <f t="shared" si="29"/>
        <v>0.30162295296000002</v>
      </c>
    </row>
    <row r="118" spans="1:15" x14ac:dyDescent="0.7">
      <c r="A118" s="5"/>
      <c r="B118" s="5"/>
      <c r="C118" s="5">
        <v>26</v>
      </c>
      <c r="D118" s="6">
        <v>4.109</v>
      </c>
      <c r="E118" s="6">
        <v>0</v>
      </c>
      <c r="F118" s="6">
        <v>4.109</v>
      </c>
      <c r="G118" s="12">
        <f t="shared" ref="G118" si="128">F118*86400</f>
        <v>355017.6</v>
      </c>
      <c r="H118" s="14">
        <f t="shared" ref="H118" si="129">G118/1000000</f>
        <v>0.35501759999999999</v>
      </c>
      <c r="I118" s="13">
        <f t="shared" si="23"/>
        <v>15975.791999999998</v>
      </c>
      <c r="J118" s="21">
        <f t="shared" si="24"/>
        <v>1.5975791999999999E-2</v>
      </c>
      <c r="K118" s="13">
        <f t="shared" si="25"/>
        <v>1917.0950399999997</v>
      </c>
      <c r="L118" s="13">
        <f t="shared" si="26"/>
        <v>1.9170950399999998E-3</v>
      </c>
      <c r="M118" s="27">
        <f t="shared" si="27"/>
        <v>1.789288704E-2</v>
      </c>
      <c r="N118" s="29">
        <f t="shared" si="28"/>
        <v>3.550176E-2</v>
      </c>
      <c r="O118" s="28">
        <f t="shared" si="29"/>
        <v>0.30162295296000002</v>
      </c>
    </row>
    <row r="119" spans="1:15" x14ac:dyDescent="0.7">
      <c r="A119" s="5"/>
      <c r="B119" s="5"/>
      <c r="C119" s="5">
        <v>27</v>
      </c>
      <c r="D119" s="6">
        <v>4.109</v>
      </c>
      <c r="E119" s="6">
        <v>12.5</v>
      </c>
      <c r="F119" s="6">
        <v>4.109</v>
      </c>
      <c r="G119" s="12">
        <f t="shared" ref="G119" si="130">F119*86400</f>
        <v>355017.6</v>
      </c>
      <c r="H119" s="14">
        <f t="shared" ref="H119" si="131">G119/1000000</f>
        <v>0.35501759999999999</v>
      </c>
      <c r="I119" s="13">
        <f t="shared" si="23"/>
        <v>15975.791999999998</v>
      </c>
      <c r="J119" s="21">
        <f t="shared" si="24"/>
        <v>1.5975791999999999E-2</v>
      </c>
      <c r="K119" s="13">
        <f t="shared" si="25"/>
        <v>1917.0950399999997</v>
      </c>
      <c r="L119" s="13">
        <f t="shared" si="26"/>
        <v>1.9170950399999998E-3</v>
      </c>
      <c r="M119" s="27">
        <f t="shared" si="27"/>
        <v>1.789288704E-2</v>
      </c>
      <c r="N119" s="29">
        <f t="shared" si="28"/>
        <v>3.550176E-2</v>
      </c>
      <c r="O119" s="28">
        <f t="shared" si="29"/>
        <v>0.30162295296000002</v>
      </c>
    </row>
    <row r="120" spans="1:15" x14ac:dyDescent="0.7">
      <c r="A120" s="10"/>
      <c r="B120" s="10"/>
      <c r="C120" s="10">
        <v>28</v>
      </c>
      <c r="D120" s="16">
        <v>9.5150000000000006</v>
      </c>
      <c r="E120" s="6">
        <v>0</v>
      </c>
      <c r="F120" s="16">
        <v>9.5150000000000006</v>
      </c>
      <c r="G120" s="17">
        <f t="shared" ref="G120" si="132">F120*86400</f>
        <v>822096</v>
      </c>
      <c r="H120" s="18">
        <f t="shared" ref="H120" si="133">G120/1000000</f>
        <v>0.82209600000000005</v>
      </c>
      <c r="I120" s="13">
        <f t="shared" si="23"/>
        <v>36994.32</v>
      </c>
      <c r="J120" s="21">
        <f t="shared" si="24"/>
        <v>3.6994319999999997E-2</v>
      </c>
      <c r="K120" s="13">
        <f t="shared" si="25"/>
        <v>4439.3184000000001</v>
      </c>
      <c r="L120" s="13">
        <f t="shared" si="26"/>
        <v>4.4393184000000004E-3</v>
      </c>
      <c r="M120" s="27">
        <f t="shared" si="27"/>
        <v>4.14336384E-2</v>
      </c>
      <c r="N120" s="29">
        <f t="shared" si="28"/>
        <v>8.2209600000000008E-2</v>
      </c>
      <c r="O120" s="28">
        <f t="shared" si="29"/>
        <v>0.69845276160000003</v>
      </c>
    </row>
    <row r="121" spans="1:15" s="20" customFormat="1" x14ac:dyDescent="0.7">
      <c r="A121" s="10"/>
      <c r="B121" s="10"/>
      <c r="C121" s="10">
        <v>29</v>
      </c>
      <c r="D121" s="16">
        <v>6.7430000000000003</v>
      </c>
      <c r="E121" s="6">
        <v>0</v>
      </c>
      <c r="F121" s="16">
        <v>6.7430000000000003</v>
      </c>
      <c r="G121" s="42">
        <f t="shared" ref="G121" si="134">F121*86400</f>
        <v>582595.20000000007</v>
      </c>
      <c r="H121" s="37">
        <f t="shared" ref="H121" si="135">G121/1000000</f>
        <v>0.58259520000000009</v>
      </c>
      <c r="I121" s="37">
        <f t="shared" si="23"/>
        <v>26216.784000000003</v>
      </c>
      <c r="J121" s="38">
        <f t="shared" si="24"/>
        <v>2.6216784000000003E-2</v>
      </c>
      <c r="K121" s="37">
        <f t="shared" si="25"/>
        <v>3146.0140800000004</v>
      </c>
      <c r="L121" s="37">
        <f t="shared" si="26"/>
        <v>3.1460140800000005E-3</v>
      </c>
      <c r="M121" s="39">
        <f t="shared" si="27"/>
        <v>2.9362798080000002E-2</v>
      </c>
      <c r="N121" s="40">
        <f t="shared" si="28"/>
        <v>5.8259520000000009E-2</v>
      </c>
      <c r="O121" s="41">
        <f t="shared" si="29"/>
        <v>0.49497288192000011</v>
      </c>
    </row>
    <row r="122" spans="1:15" s="65" customFormat="1" ht="25.2" thickBot="1" x14ac:dyDescent="0.75">
      <c r="A122" s="8"/>
      <c r="B122" s="8" t="s">
        <v>18</v>
      </c>
      <c r="C122" s="8">
        <v>30</v>
      </c>
      <c r="D122" s="9">
        <v>7.4619999999999997</v>
      </c>
      <c r="E122" s="9">
        <v>4</v>
      </c>
      <c r="F122" s="9">
        <v>7.4619999999999997</v>
      </c>
      <c r="G122" s="19">
        <f t="shared" ref="G122" si="136">F122*86400</f>
        <v>644716.79999999993</v>
      </c>
      <c r="H122" s="15">
        <f t="shared" ref="H122" si="137">G122/1000000</f>
        <v>0.64471679999999998</v>
      </c>
      <c r="I122" s="15">
        <f t="shared" si="23"/>
        <v>29012.255999999998</v>
      </c>
      <c r="J122" s="22">
        <f t="shared" si="24"/>
        <v>2.9012255999999997E-2</v>
      </c>
      <c r="K122" s="15">
        <f t="shared" si="25"/>
        <v>3481.4707199999998</v>
      </c>
      <c r="L122" s="15">
        <f t="shared" si="26"/>
        <v>3.4814707199999997E-3</v>
      </c>
      <c r="M122" s="15">
        <f t="shared" si="27"/>
        <v>3.2493726719999998E-2</v>
      </c>
      <c r="N122" s="34">
        <f t="shared" si="28"/>
        <v>6.4471680000000003E-2</v>
      </c>
      <c r="O122" s="15">
        <f t="shared" si="29"/>
        <v>0.54775139328</v>
      </c>
    </row>
    <row r="123" spans="1:15" x14ac:dyDescent="0.7">
      <c r="A123" s="2"/>
      <c r="B123" s="2" t="s">
        <v>19</v>
      </c>
      <c r="C123" s="2">
        <v>1</v>
      </c>
      <c r="D123" s="3">
        <v>8.9139999999999997</v>
      </c>
      <c r="E123" s="3">
        <v>3</v>
      </c>
      <c r="F123" s="3">
        <v>8.9139999999999997</v>
      </c>
      <c r="G123" s="12">
        <f t="shared" ref="G123" si="138">F123*86400</f>
        <v>770169.6</v>
      </c>
      <c r="H123" s="14">
        <f t="shared" ref="H123" si="139">G123/1000000</f>
        <v>0.77016960000000001</v>
      </c>
      <c r="I123" s="14">
        <f t="shared" si="23"/>
        <v>34657.631999999998</v>
      </c>
      <c r="J123" s="26">
        <f t="shared" si="24"/>
        <v>3.4657632000000001E-2</v>
      </c>
      <c r="K123" s="14">
        <f t="shared" si="25"/>
        <v>4158.9158399999997</v>
      </c>
      <c r="L123" s="14">
        <f t="shared" si="26"/>
        <v>4.1589158399999993E-3</v>
      </c>
      <c r="M123" s="30">
        <f t="shared" si="27"/>
        <v>3.881654784E-2</v>
      </c>
      <c r="N123" s="31">
        <f t="shared" si="28"/>
        <v>7.7016960000000009E-2</v>
      </c>
      <c r="O123" s="32">
        <f t="shared" si="29"/>
        <v>0.65433609215999999</v>
      </c>
    </row>
    <row r="124" spans="1:15" x14ac:dyDescent="0.7">
      <c r="A124" s="5"/>
      <c r="B124" s="2"/>
      <c r="C124" s="5">
        <v>2</v>
      </c>
      <c r="D124" s="6">
        <v>7.7190000000000003</v>
      </c>
      <c r="E124" s="6">
        <v>50</v>
      </c>
      <c r="F124" s="6">
        <v>7.7190000000000003</v>
      </c>
      <c r="G124" s="12">
        <f t="shared" ref="G124" si="140">F124*86400</f>
        <v>666921.6</v>
      </c>
      <c r="H124" s="14">
        <f t="shared" ref="H124" si="141">G124/1000000</f>
        <v>0.6669216</v>
      </c>
      <c r="I124" s="13">
        <f t="shared" si="23"/>
        <v>30011.471999999998</v>
      </c>
      <c r="J124" s="21">
        <f t="shared" si="24"/>
        <v>3.0011471999999997E-2</v>
      </c>
      <c r="K124" s="13">
        <f t="shared" si="25"/>
        <v>3601.3766399999995</v>
      </c>
      <c r="L124" s="13">
        <f t="shared" si="26"/>
        <v>3.6013766399999995E-3</v>
      </c>
      <c r="M124" s="27">
        <f t="shared" si="27"/>
        <v>3.3612848639999998E-2</v>
      </c>
      <c r="N124" s="29">
        <f t="shared" si="28"/>
        <v>6.669216E-2</v>
      </c>
      <c r="O124" s="28">
        <f t="shared" si="29"/>
        <v>0.56661659135999998</v>
      </c>
    </row>
    <row r="125" spans="1:15" x14ac:dyDescent="0.7">
      <c r="A125" s="5"/>
      <c r="B125" s="5"/>
      <c r="C125" s="5">
        <v>3</v>
      </c>
      <c r="D125" s="6">
        <v>9.1340000000000003</v>
      </c>
      <c r="E125" s="6">
        <v>0</v>
      </c>
      <c r="F125" s="6">
        <v>9.1340000000000003</v>
      </c>
      <c r="G125" s="12">
        <f t="shared" ref="G125" si="142">F125*86400</f>
        <v>789177.6</v>
      </c>
      <c r="H125" s="14">
        <f t="shared" ref="H125" si="143">G125/1000000</f>
        <v>0.78917759999999992</v>
      </c>
      <c r="I125" s="13">
        <f t="shared" si="23"/>
        <v>35512.991999999998</v>
      </c>
      <c r="J125" s="21">
        <f t="shared" si="24"/>
        <v>3.5512992E-2</v>
      </c>
      <c r="K125" s="13">
        <f t="shared" si="25"/>
        <v>4261.5590400000001</v>
      </c>
      <c r="L125" s="13">
        <f t="shared" si="26"/>
        <v>4.2615590399999997E-3</v>
      </c>
      <c r="M125" s="27">
        <f t="shared" si="27"/>
        <v>3.9774551040000002E-2</v>
      </c>
      <c r="N125" s="29">
        <f t="shared" si="28"/>
        <v>7.8917760000000003E-2</v>
      </c>
      <c r="O125" s="28">
        <f t="shared" si="29"/>
        <v>0.67048528895999993</v>
      </c>
    </row>
    <row r="126" spans="1:15" x14ac:dyDescent="0.7">
      <c r="A126" s="5"/>
      <c r="B126" s="5"/>
      <c r="C126" s="5">
        <v>4</v>
      </c>
      <c r="D126" s="6">
        <v>17.227999999999998</v>
      </c>
      <c r="E126" s="6">
        <v>0.7</v>
      </c>
      <c r="F126" s="6">
        <v>17.227999999999998</v>
      </c>
      <c r="G126" s="12">
        <f t="shared" ref="G126" si="144">F126*86400</f>
        <v>1488499.1999999997</v>
      </c>
      <c r="H126" s="14">
        <f t="shared" ref="H126" si="145">G126/1000000</f>
        <v>1.4884991999999997</v>
      </c>
      <c r="I126" s="13">
        <f t="shared" si="23"/>
        <v>66982.463999999978</v>
      </c>
      <c r="J126" s="21">
        <f t="shared" si="24"/>
        <v>6.6982463999999978E-2</v>
      </c>
      <c r="K126" s="13">
        <f t="shared" si="25"/>
        <v>8037.8956799999969</v>
      </c>
      <c r="L126" s="13">
        <f t="shared" si="26"/>
        <v>8.037895679999997E-3</v>
      </c>
      <c r="M126" s="27">
        <f t="shared" si="27"/>
        <v>7.5020359679999982E-2</v>
      </c>
      <c r="N126" s="29">
        <f t="shared" si="28"/>
        <v>0.14884991999999997</v>
      </c>
      <c r="O126" s="28">
        <f t="shared" si="29"/>
        <v>1.2646289203199998</v>
      </c>
    </row>
    <row r="127" spans="1:15" x14ac:dyDescent="0.7">
      <c r="A127" s="5"/>
      <c r="B127" s="5"/>
      <c r="C127" s="5">
        <v>5</v>
      </c>
      <c r="D127" s="6">
        <v>42.713999999999999</v>
      </c>
      <c r="E127" s="6">
        <v>0</v>
      </c>
      <c r="F127" s="6">
        <v>42.713999999999999</v>
      </c>
      <c r="G127" s="12">
        <f t="shared" ref="G127" si="146">F127*86400</f>
        <v>3690489.6</v>
      </c>
      <c r="H127" s="14">
        <f t="shared" ref="H127" si="147">G127/1000000</f>
        <v>3.6904896000000003</v>
      </c>
      <c r="I127" s="13">
        <f t="shared" si="23"/>
        <v>166072.03200000001</v>
      </c>
      <c r="J127" s="21">
        <f t="shared" si="24"/>
        <v>0.16607203200000001</v>
      </c>
      <c r="K127" s="13">
        <f t="shared" si="25"/>
        <v>19928.643840000001</v>
      </c>
      <c r="L127" s="13">
        <f t="shared" si="26"/>
        <v>1.9928643839999999E-2</v>
      </c>
      <c r="M127" s="27">
        <f t="shared" si="27"/>
        <v>0.18600067584000002</v>
      </c>
      <c r="N127" s="29">
        <f t="shared" si="28"/>
        <v>0.36904896000000004</v>
      </c>
      <c r="O127" s="28">
        <f t="shared" si="29"/>
        <v>3.1354399641600001</v>
      </c>
    </row>
    <row r="128" spans="1:15" x14ac:dyDescent="0.7">
      <c r="A128" s="5"/>
      <c r="B128" s="5"/>
      <c r="C128" s="5">
        <v>6</v>
      </c>
      <c r="D128" s="6">
        <v>23.978000000000002</v>
      </c>
      <c r="E128" s="6">
        <v>0.6</v>
      </c>
      <c r="F128" s="6">
        <v>23.978000000000002</v>
      </c>
      <c r="G128" s="12">
        <f t="shared" ref="G128" si="148">F128*86400</f>
        <v>2071699.2000000002</v>
      </c>
      <c r="H128" s="14">
        <f t="shared" ref="H128" si="149">G128/1000000</f>
        <v>2.0716992000000003</v>
      </c>
      <c r="I128" s="13">
        <f t="shared" si="23"/>
        <v>93226.464000000007</v>
      </c>
      <c r="J128" s="21">
        <f t="shared" si="24"/>
        <v>9.3226464000000009E-2</v>
      </c>
      <c r="K128" s="13">
        <f t="shared" si="25"/>
        <v>11187.17568</v>
      </c>
      <c r="L128" s="13">
        <f t="shared" si="26"/>
        <v>1.118717568E-2</v>
      </c>
      <c r="M128" s="27">
        <f t="shared" si="27"/>
        <v>0.10441363968</v>
      </c>
      <c r="N128" s="29">
        <f t="shared" si="28"/>
        <v>0.20716992000000004</v>
      </c>
      <c r="O128" s="28">
        <f t="shared" si="29"/>
        <v>1.7601156403200002</v>
      </c>
    </row>
    <row r="129" spans="1:15" x14ac:dyDescent="0.7">
      <c r="A129" s="5"/>
      <c r="B129" s="5"/>
      <c r="C129" s="5">
        <v>7</v>
      </c>
      <c r="D129" s="6">
        <v>14.319000000000001</v>
      </c>
      <c r="E129" s="6">
        <v>0.6</v>
      </c>
      <c r="F129" s="6">
        <v>14.319000000000001</v>
      </c>
      <c r="G129" s="12">
        <f t="shared" ref="G129" si="150">F129*86400</f>
        <v>1237161.6000000001</v>
      </c>
      <c r="H129" s="14">
        <f t="shared" ref="H129" si="151">G129/1000000</f>
        <v>1.2371616000000001</v>
      </c>
      <c r="I129" s="13">
        <f t="shared" si="23"/>
        <v>55672.272000000004</v>
      </c>
      <c r="J129" s="21">
        <f t="shared" si="24"/>
        <v>5.5672272000000002E-2</v>
      </c>
      <c r="K129" s="13">
        <f t="shared" si="25"/>
        <v>6680.6726400000007</v>
      </c>
      <c r="L129" s="13">
        <f t="shared" si="26"/>
        <v>6.6806726400000004E-3</v>
      </c>
      <c r="M129" s="27">
        <f t="shared" si="27"/>
        <v>6.2352944640000005E-2</v>
      </c>
      <c r="N129" s="29">
        <f t="shared" si="28"/>
        <v>0.12371616000000002</v>
      </c>
      <c r="O129" s="28">
        <f t="shared" si="29"/>
        <v>1.05109249536</v>
      </c>
    </row>
    <row r="130" spans="1:15" x14ac:dyDescent="0.7">
      <c r="A130" s="5"/>
      <c r="B130" s="5"/>
      <c r="C130" s="5">
        <v>8</v>
      </c>
      <c r="D130" s="6">
        <v>10.824</v>
      </c>
      <c r="E130" s="6">
        <v>0.6</v>
      </c>
      <c r="F130" s="6">
        <v>10.824</v>
      </c>
      <c r="G130" s="12">
        <f t="shared" ref="G130" si="152">F130*86400</f>
        <v>935193.59999999998</v>
      </c>
      <c r="H130" s="14">
        <f t="shared" ref="H130" si="153">G130/1000000</f>
        <v>0.93519359999999996</v>
      </c>
      <c r="I130" s="13">
        <f t="shared" si="23"/>
        <v>42083.712</v>
      </c>
      <c r="J130" s="21">
        <f t="shared" si="24"/>
        <v>4.2083712000000002E-2</v>
      </c>
      <c r="K130" s="13">
        <f t="shared" si="25"/>
        <v>5050.0454399999999</v>
      </c>
      <c r="L130" s="13">
        <f t="shared" si="26"/>
        <v>5.0500454399999995E-3</v>
      </c>
      <c r="M130" s="27">
        <f t="shared" si="27"/>
        <v>4.713375744E-2</v>
      </c>
      <c r="N130" s="29">
        <f t="shared" si="28"/>
        <v>9.3519359999999996E-2</v>
      </c>
      <c r="O130" s="28">
        <f t="shared" si="29"/>
        <v>0.79454048255999998</v>
      </c>
    </row>
    <row r="131" spans="1:15" x14ac:dyDescent="0.7">
      <c r="A131" s="5"/>
      <c r="B131" s="5"/>
      <c r="C131" s="5">
        <v>9</v>
      </c>
      <c r="D131" s="6">
        <v>9.8810000000000002</v>
      </c>
      <c r="E131" s="6">
        <v>0.6</v>
      </c>
      <c r="F131" s="6">
        <v>9.8810000000000002</v>
      </c>
      <c r="G131" s="12">
        <f t="shared" ref="G131" si="154">F131*86400</f>
        <v>853718.4</v>
      </c>
      <c r="H131" s="14">
        <f t="shared" ref="H131" si="155">G131/1000000</f>
        <v>0.85371839999999999</v>
      </c>
      <c r="I131" s="13">
        <f t="shared" si="23"/>
        <v>38417.328000000001</v>
      </c>
      <c r="J131" s="21">
        <f t="shared" si="24"/>
        <v>3.8417328000000001E-2</v>
      </c>
      <c r="K131" s="13">
        <f t="shared" si="25"/>
        <v>4610.0793599999997</v>
      </c>
      <c r="L131" s="13">
        <f t="shared" si="26"/>
        <v>4.6100793599999999E-3</v>
      </c>
      <c r="M131" s="27">
        <f t="shared" si="27"/>
        <v>4.3027407359999999E-2</v>
      </c>
      <c r="N131" s="29">
        <f t="shared" si="28"/>
        <v>8.5371840000000004E-2</v>
      </c>
      <c r="O131" s="28">
        <f t="shared" si="29"/>
        <v>0.72531915264000002</v>
      </c>
    </row>
    <row r="132" spans="1:15" x14ac:dyDescent="0.7">
      <c r="A132" s="5"/>
      <c r="B132" s="5"/>
      <c r="C132" s="5">
        <v>10</v>
      </c>
      <c r="D132" s="6">
        <v>7.3650000000000002</v>
      </c>
      <c r="E132" s="6">
        <v>0.2</v>
      </c>
      <c r="F132" s="6">
        <v>7.3650000000000002</v>
      </c>
      <c r="G132" s="12">
        <f t="shared" ref="G132" si="156">F132*86400</f>
        <v>636336</v>
      </c>
      <c r="H132" s="14">
        <f t="shared" ref="H132" si="157">G132/1000000</f>
        <v>0.63633600000000001</v>
      </c>
      <c r="I132" s="13">
        <f t="shared" ref="I132:I195" si="158">H132*1000000*0.045</f>
        <v>28635.119999999999</v>
      </c>
      <c r="J132" s="21">
        <f t="shared" ref="J132:J195" si="159">I132/1000000</f>
        <v>2.863512E-2</v>
      </c>
      <c r="K132" s="13">
        <f t="shared" ref="K132:K195" si="160">I132*0.12</f>
        <v>3436.2143999999998</v>
      </c>
      <c r="L132" s="13">
        <f t="shared" ref="L132:L195" si="161">K132/1000000</f>
        <v>3.4362143999999996E-3</v>
      </c>
      <c r="M132" s="27">
        <f t="shared" ref="M132:M195" si="162">J132+L132</f>
        <v>3.2071334399999998E-2</v>
      </c>
      <c r="N132" s="29">
        <f t="shared" ref="N132:N195" si="163">H132*0.1</f>
        <v>6.3633599999999998E-2</v>
      </c>
      <c r="O132" s="28">
        <f t="shared" ref="O132:O195" si="164">H132-M132-N132</f>
        <v>0.54063106560000007</v>
      </c>
    </row>
    <row r="133" spans="1:15" x14ac:dyDescent="0.7">
      <c r="A133" s="5"/>
      <c r="B133" s="5"/>
      <c r="C133" s="5">
        <v>11</v>
      </c>
      <c r="D133" s="6">
        <v>5.0979999999999999</v>
      </c>
      <c r="E133" s="6">
        <v>0.6</v>
      </c>
      <c r="F133" s="6">
        <v>5.0979999999999999</v>
      </c>
      <c r="G133" s="12">
        <f t="shared" ref="G133" si="165">F133*86400</f>
        <v>440467.20000000001</v>
      </c>
      <c r="H133" s="14">
        <f t="shared" ref="H133" si="166">G133/1000000</f>
        <v>0.4404672</v>
      </c>
      <c r="I133" s="13">
        <f t="shared" si="158"/>
        <v>19821.024000000001</v>
      </c>
      <c r="J133" s="21">
        <f t="shared" si="159"/>
        <v>1.9821024E-2</v>
      </c>
      <c r="K133" s="13">
        <f t="shared" si="160"/>
        <v>2378.52288</v>
      </c>
      <c r="L133" s="13">
        <f t="shared" si="161"/>
        <v>2.3785228800000001E-3</v>
      </c>
      <c r="M133" s="27">
        <f t="shared" si="162"/>
        <v>2.2199546880000001E-2</v>
      </c>
      <c r="N133" s="29">
        <f t="shared" si="163"/>
        <v>4.4046720000000004E-2</v>
      </c>
      <c r="O133" s="28">
        <f t="shared" si="164"/>
        <v>0.37422093312000004</v>
      </c>
    </row>
    <row r="134" spans="1:15" x14ac:dyDescent="0.7">
      <c r="A134" s="5"/>
      <c r="B134" s="5"/>
      <c r="C134" s="5">
        <v>12</v>
      </c>
      <c r="D134" s="6">
        <v>4.6500000000000004</v>
      </c>
      <c r="E134" s="6">
        <v>0.1</v>
      </c>
      <c r="F134" s="6">
        <v>4.6500000000000004</v>
      </c>
      <c r="G134" s="12">
        <f t="shared" ref="G134" si="167">F134*86400</f>
        <v>401760.00000000006</v>
      </c>
      <c r="H134" s="14">
        <f t="shared" ref="H134" si="168">G134/1000000</f>
        <v>0.40176000000000006</v>
      </c>
      <c r="I134" s="13">
        <f t="shared" si="158"/>
        <v>18079.2</v>
      </c>
      <c r="J134" s="21">
        <f t="shared" si="159"/>
        <v>1.80792E-2</v>
      </c>
      <c r="K134" s="13">
        <f t="shared" si="160"/>
        <v>2169.5039999999999</v>
      </c>
      <c r="L134" s="13">
        <f t="shared" si="161"/>
        <v>2.1695040000000001E-3</v>
      </c>
      <c r="M134" s="27">
        <f t="shared" si="162"/>
        <v>2.0248703999999999E-2</v>
      </c>
      <c r="N134" s="29">
        <f t="shared" si="163"/>
        <v>4.017600000000001E-2</v>
      </c>
      <c r="O134" s="28">
        <f t="shared" si="164"/>
        <v>0.34133529600000007</v>
      </c>
    </row>
    <row r="135" spans="1:15" x14ac:dyDescent="0.7">
      <c r="A135" s="5"/>
      <c r="B135" s="5"/>
      <c r="C135" s="5">
        <v>13</v>
      </c>
      <c r="D135" s="6">
        <v>4.6500000000000004</v>
      </c>
      <c r="E135" s="6">
        <v>26.9</v>
      </c>
      <c r="F135" s="6">
        <v>4.6500000000000004</v>
      </c>
      <c r="G135" s="12">
        <f t="shared" ref="G135" si="169">F135*86400</f>
        <v>401760.00000000006</v>
      </c>
      <c r="H135" s="14">
        <f t="shared" ref="H135" si="170">G135/1000000</f>
        <v>0.40176000000000006</v>
      </c>
      <c r="I135" s="13">
        <f t="shared" si="158"/>
        <v>18079.2</v>
      </c>
      <c r="J135" s="21">
        <f t="shared" si="159"/>
        <v>1.80792E-2</v>
      </c>
      <c r="K135" s="13">
        <f t="shared" si="160"/>
        <v>2169.5039999999999</v>
      </c>
      <c r="L135" s="13">
        <f t="shared" si="161"/>
        <v>2.1695040000000001E-3</v>
      </c>
      <c r="M135" s="27">
        <f t="shared" si="162"/>
        <v>2.0248703999999999E-2</v>
      </c>
      <c r="N135" s="29">
        <f t="shared" si="163"/>
        <v>4.017600000000001E-2</v>
      </c>
      <c r="O135" s="28">
        <f t="shared" si="164"/>
        <v>0.34133529600000007</v>
      </c>
    </row>
    <row r="136" spans="1:15" x14ac:dyDescent="0.7">
      <c r="A136" s="5"/>
      <c r="B136" s="5"/>
      <c r="C136" s="5">
        <v>14</v>
      </c>
      <c r="D136" s="6">
        <v>5.0940000000000003</v>
      </c>
      <c r="E136" s="6">
        <v>17.600000000000001</v>
      </c>
      <c r="F136" s="6">
        <v>5.0940000000000003</v>
      </c>
      <c r="G136" s="12">
        <f t="shared" ref="G136" si="171">F136*86400</f>
        <v>440121.60000000003</v>
      </c>
      <c r="H136" s="14">
        <f t="shared" ref="H136" si="172">G136/1000000</f>
        <v>0.44012160000000006</v>
      </c>
      <c r="I136" s="13">
        <f t="shared" si="158"/>
        <v>19805.472000000002</v>
      </c>
      <c r="J136" s="21">
        <f t="shared" si="159"/>
        <v>1.9805472000000001E-2</v>
      </c>
      <c r="K136" s="13">
        <f t="shared" si="160"/>
        <v>2376.6566400000002</v>
      </c>
      <c r="L136" s="13">
        <f t="shared" si="161"/>
        <v>2.37665664E-3</v>
      </c>
      <c r="M136" s="27">
        <f t="shared" si="162"/>
        <v>2.218212864E-2</v>
      </c>
      <c r="N136" s="29">
        <f t="shared" si="163"/>
        <v>4.4012160000000008E-2</v>
      </c>
      <c r="O136" s="28">
        <f t="shared" si="164"/>
        <v>0.37392731136000001</v>
      </c>
    </row>
    <row r="137" spans="1:15" x14ac:dyDescent="0.7">
      <c r="A137" s="5"/>
      <c r="B137" s="5"/>
      <c r="C137" s="5">
        <v>15</v>
      </c>
      <c r="D137" s="6">
        <v>4.9219999999999997</v>
      </c>
      <c r="E137" s="6">
        <v>0.6</v>
      </c>
      <c r="F137" s="6">
        <v>4.9219999999999997</v>
      </c>
      <c r="G137" s="12">
        <f t="shared" ref="G137" si="173">F137*86400</f>
        <v>425260.79999999999</v>
      </c>
      <c r="H137" s="14">
        <f t="shared" ref="H137" si="174">G137/1000000</f>
        <v>0.42526079999999999</v>
      </c>
      <c r="I137" s="13">
        <f t="shared" si="158"/>
        <v>19136.735999999997</v>
      </c>
      <c r="J137" s="21">
        <f t="shared" si="159"/>
        <v>1.9136735999999998E-2</v>
      </c>
      <c r="K137" s="13">
        <f t="shared" si="160"/>
        <v>2296.4083199999995</v>
      </c>
      <c r="L137" s="13">
        <f t="shared" si="161"/>
        <v>2.2964083199999994E-3</v>
      </c>
      <c r="M137" s="27">
        <f t="shared" si="162"/>
        <v>2.1433144319999996E-2</v>
      </c>
      <c r="N137" s="29">
        <f t="shared" si="163"/>
        <v>4.2526080000000001E-2</v>
      </c>
      <c r="O137" s="28">
        <f t="shared" si="164"/>
        <v>0.36130157567999999</v>
      </c>
    </row>
    <row r="138" spans="1:15" x14ac:dyDescent="0.7">
      <c r="A138" s="5"/>
      <c r="B138" s="5"/>
      <c r="C138" s="5">
        <v>16</v>
      </c>
      <c r="D138" s="6">
        <v>19.213999999999999</v>
      </c>
      <c r="E138" s="6">
        <v>0.3</v>
      </c>
      <c r="F138" s="6">
        <v>19.213999999999999</v>
      </c>
      <c r="G138" s="12">
        <f t="shared" ref="G138" si="175">F138*86400</f>
        <v>1660089.5999999999</v>
      </c>
      <c r="H138" s="14">
        <f t="shared" ref="H138" si="176">G138/1000000</f>
        <v>1.6600895999999998</v>
      </c>
      <c r="I138" s="13">
        <f t="shared" si="158"/>
        <v>74704.031999999992</v>
      </c>
      <c r="J138" s="21">
        <f t="shared" si="159"/>
        <v>7.470403199999999E-2</v>
      </c>
      <c r="K138" s="13">
        <f t="shared" si="160"/>
        <v>8964.483839999999</v>
      </c>
      <c r="L138" s="13">
        <f t="shared" si="161"/>
        <v>8.9644838399999989E-3</v>
      </c>
      <c r="M138" s="27">
        <f t="shared" si="162"/>
        <v>8.3668515839999985E-2</v>
      </c>
      <c r="N138" s="29">
        <f t="shared" si="163"/>
        <v>0.16600895999999998</v>
      </c>
      <c r="O138" s="28">
        <f t="shared" si="164"/>
        <v>1.4104121241600001</v>
      </c>
    </row>
    <row r="139" spans="1:15" x14ac:dyDescent="0.7">
      <c r="A139" s="5"/>
      <c r="B139" s="5"/>
      <c r="C139" s="5">
        <v>17</v>
      </c>
      <c r="D139" s="6">
        <v>8.7330000000000005</v>
      </c>
      <c r="E139" s="6">
        <v>0.6</v>
      </c>
      <c r="F139" s="6">
        <v>8.7330000000000005</v>
      </c>
      <c r="G139" s="12">
        <f t="shared" ref="G139" si="177">F139*86400</f>
        <v>754531.20000000007</v>
      </c>
      <c r="H139" s="14">
        <f t="shared" ref="H139" si="178">G139/1000000</f>
        <v>0.75453120000000007</v>
      </c>
      <c r="I139" s="13">
        <f t="shared" si="158"/>
        <v>33953.904000000002</v>
      </c>
      <c r="J139" s="21">
        <f t="shared" si="159"/>
        <v>3.3953904E-2</v>
      </c>
      <c r="K139" s="13">
        <f t="shared" si="160"/>
        <v>4074.46848</v>
      </c>
      <c r="L139" s="13">
        <f t="shared" si="161"/>
        <v>4.0744684800000002E-3</v>
      </c>
      <c r="M139" s="27">
        <f t="shared" si="162"/>
        <v>3.8028372480000003E-2</v>
      </c>
      <c r="N139" s="29">
        <f t="shared" si="163"/>
        <v>7.5453120000000012E-2</v>
      </c>
      <c r="O139" s="28">
        <f t="shared" si="164"/>
        <v>0.64104970752000001</v>
      </c>
    </row>
    <row r="140" spans="1:15" x14ac:dyDescent="0.7">
      <c r="A140" s="5"/>
      <c r="B140" s="5"/>
      <c r="C140" s="5">
        <v>18</v>
      </c>
      <c r="D140" s="6">
        <v>7.9729999999999999</v>
      </c>
      <c r="E140" s="6">
        <v>0.2</v>
      </c>
      <c r="F140" s="6">
        <v>7.9729999999999999</v>
      </c>
      <c r="G140" s="12">
        <f t="shared" ref="G140" si="179">F140*86400</f>
        <v>688867.2</v>
      </c>
      <c r="H140" s="14">
        <f t="shared" ref="H140" si="180">G140/1000000</f>
        <v>0.6888671999999999</v>
      </c>
      <c r="I140" s="13">
        <f t="shared" si="158"/>
        <v>30999.023999999998</v>
      </c>
      <c r="J140" s="21">
        <f t="shared" si="159"/>
        <v>3.0999023999999997E-2</v>
      </c>
      <c r="K140" s="13">
        <f t="shared" si="160"/>
        <v>3719.8828799999997</v>
      </c>
      <c r="L140" s="13">
        <f t="shared" si="161"/>
        <v>3.7198828799999998E-3</v>
      </c>
      <c r="M140" s="27">
        <f t="shared" si="162"/>
        <v>3.4718906879999997E-2</v>
      </c>
      <c r="N140" s="29">
        <f t="shared" si="163"/>
        <v>6.8886719999999999E-2</v>
      </c>
      <c r="O140" s="28">
        <f t="shared" si="164"/>
        <v>0.58526157311999993</v>
      </c>
    </row>
    <row r="141" spans="1:15" x14ac:dyDescent="0.7">
      <c r="A141" s="5"/>
      <c r="B141" s="5"/>
      <c r="C141" s="5">
        <v>19</v>
      </c>
      <c r="D141" s="6">
        <v>9.4329999999999998</v>
      </c>
      <c r="E141" s="6">
        <v>24.9</v>
      </c>
      <c r="F141" s="6">
        <v>9.4329999999999998</v>
      </c>
      <c r="G141" s="12">
        <f t="shared" ref="G141" si="181">F141*86400</f>
        <v>815011.2</v>
      </c>
      <c r="H141" s="14">
        <f t="shared" ref="H141" si="182">G141/1000000</f>
        <v>0.81501119999999994</v>
      </c>
      <c r="I141" s="13">
        <f t="shared" si="158"/>
        <v>36675.503999999994</v>
      </c>
      <c r="J141" s="21">
        <f t="shared" si="159"/>
        <v>3.6675503999999991E-2</v>
      </c>
      <c r="K141" s="13">
        <f t="shared" si="160"/>
        <v>4401.0604799999992</v>
      </c>
      <c r="L141" s="13">
        <f t="shared" si="161"/>
        <v>4.401060479999999E-3</v>
      </c>
      <c r="M141" s="27">
        <f t="shared" si="162"/>
        <v>4.1076564479999987E-2</v>
      </c>
      <c r="N141" s="29">
        <f t="shared" si="163"/>
        <v>8.1501119999999996E-2</v>
      </c>
      <c r="O141" s="28">
        <f t="shared" si="164"/>
        <v>0.69243351551999999</v>
      </c>
    </row>
    <row r="142" spans="1:15" x14ac:dyDescent="0.7">
      <c r="A142" s="5"/>
      <c r="B142" s="5"/>
      <c r="C142" s="5">
        <v>20</v>
      </c>
      <c r="D142" s="6">
        <v>8.7330000000000005</v>
      </c>
      <c r="E142" s="6">
        <v>5.4</v>
      </c>
      <c r="F142" s="6">
        <v>8.7330000000000005</v>
      </c>
      <c r="G142" s="12">
        <f t="shared" ref="G142" si="183">F142*86400</f>
        <v>754531.20000000007</v>
      </c>
      <c r="H142" s="14">
        <f t="shared" ref="H142" si="184">G142/1000000</f>
        <v>0.75453120000000007</v>
      </c>
      <c r="I142" s="13">
        <f t="shared" si="158"/>
        <v>33953.904000000002</v>
      </c>
      <c r="J142" s="21">
        <f t="shared" si="159"/>
        <v>3.3953904E-2</v>
      </c>
      <c r="K142" s="13">
        <f t="shared" si="160"/>
        <v>4074.46848</v>
      </c>
      <c r="L142" s="13">
        <f t="shared" si="161"/>
        <v>4.0744684800000002E-3</v>
      </c>
      <c r="M142" s="27">
        <f t="shared" si="162"/>
        <v>3.8028372480000003E-2</v>
      </c>
      <c r="N142" s="29">
        <f t="shared" si="163"/>
        <v>7.5453120000000012E-2</v>
      </c>
      <c r="O142" s="28">
        <f t="shared" si="164"/>
        <v>0.64104970752000001</v>
      </c>
    </row>
    <row r="143" spans="1:15" x14ac:dyDescent="0.7">
      <c r="A143" s="5"/>
      <c r="B143" s="5"/>
      <c r="C143" s="5">
        <v>21</v>
      </c>
      <c r="D143" s="6">
        <v>11.047000000000001</v>
      </c>
      <c r="E143" s="6">
        <v>19.899999999999999</v>
      </c>
      <c r="F143" s="6">
        <v>11.047000000000001</v>
      </c>
      <c r="G143" s="12">
        <f t="shared" ref="G143" si="185">F143*86400</f>
        <v>954460.8</v>
      </c>
      <c r="H143" s="14">
        <f t="shared" ref="H143" si="186">G143/1000000</f>
        <v>0.9544608</v>
      </c>
      <c r="I143" s="13">
        <f t="shared" si="158"/>
        <v>42950.735999999997</v>
      </c>
      <c r="J143" s="21">
        <f t="shared" si="159"/>
        <v>4.2950735999999996E-2</v>
      </c>
      <c r="K143" s="13">
        <f t="shared" si="160"/>
        <v>5154.0883199999998</v>
      </c>
      <c r="L143" s="13">
        <f t="shared" si="161"/>
        <v>5.1540883199999998E-3</v>
      </c>
      <c r="M143" s="27">
        <f t="shared" si="162"/>
        <v>4.8104824319999996E-2</v>
      </c>
      <c r="N143" s="29">
        <f t="shared" si="163"/>
        <v>9.5446080000000003E-2</v>
      </c>
      <c r="O143" s="28">
        <f t="shared" si="164"/>
        <v>0.81090989568000005</v>
      </c>
    </row>
    <row r="144" spans="1:15" x14ac:dyDescent="0.7">
      <c r="A144" s="5"/>
      <c r="B144" s="5"/>
      <c r="C144" s="5">
        <v>22</v>
      </c>
      <c r="D144" s="6">
        <v>10.085000000000001</v>
      </c>
      <c r="E144" s="6">
        <v>1.1000000000000001</v>
      </c>
      <c r="F144" s="6">
        <v>10.085000000000001</v>
      </c>
      <c r="G144" s="12">
        <f t="shared" ref="G144" si="187">F144*86400</f>
        <v>871344.00000000012</v>
      </c>
      <c r="H144" s="14">
        <f t="shared" ref="H144" si="188">G144/1000000</f>
        <v>0.87134400000000012</v>
      </c>
      <c r="I144" s="13">
        <f t="shared" si="158"/>
        <v>39210.480000000003</v>
      </c>
      <c r="J144" s="21">
        <f t="shared" si="159"/>
        <v>3.9210480000000006E-2</v>
      </c>
      <c r="K144" s="13">
        <f t="shared" si="160"/>
        <v>4705.2575999999999</v>
      </c>
      <c r="L144" s="13">
        <f t="shared" si="161"/>
        <v>4.7052576000000002E-3</v>
      </c>
      <c r="M144" s="27">
        <f t="shared" si="162"/>
        <v>4.3915737600000004E-2</v>
      </c>
      <c r="N144" s="29">
        <f t="shared" si="163"/>
        <v>8.7134400000000015E-2</v>
      </c>
      <c r="O144" s="28">
        <f t="shared" si="164"/>
        <v>0.74029386240000006</v>
      </c>
    </row>
    <row r="145" spans="1:15" x14ac:dyDescent="0.7">
      <c r="A145" s="5"/>
      <c r="B145" s="5"/>
      <c r="C145" s="5">
        <v>23</v>
      </c>
      <c r="D145" s="6">
        <v>7.9729999999999999</v>
      </c>
      <c r="E145" s="6">
        <v>0.6</v>
      </c>
      <c r="F145" s="6">
        <v>7.9729999999999999</v>
      </c>
      <c r="G145" s="12">
        <f t="shared" ref="G145" si="189">F145*86400</f>
        <v>688867.2</v>
      </c>
      <c r="H145" s="14">
        <f t="shared" ref="H145" si="190">G145/1000000</f>
        <v>0.6888671999999999</v>
      </c>
      <c r="I145" s="13">
        <f t="shared" si="158"/>
        <v>30999.023999999998</v>
      </c>
      <c r="J145" s="21">
        <f t="shared" si="159"/>
        <v>3.0999023999999997E-2</v>
      </c>
      <c r="K145" s="13">
        <f t="shared" si="160"/>
        <v>3719.8828799999997</v>
      </c>
      <c r="L145" s="13">
        <f t="shared" si="161"/>
        <v>3.7198828799999998E-3</v>
      </c>
      <c r="M145" s="27">
        <f t="shared" si="162"/>
        <v>3.4718906879999997E-2</v>
      </c>
      <c r="N145" s="29">
        <f t="shared" si="163"/>
        <v>6.8886719999999999E-2</v>
      </c>
      <c r="O145" s="28">
        <f t="shared" si="164"/>
        <v>0.58526157311999993</v>
      </c>
    </row>
    <row r="146" spans="1:15" x14ac:dyDescent="0.7">
      <c r="A146" s="5"/>
      <c r="B146" s="5"/>
      <c r="C146" s="5">
        <v>24</v>
      </c>
      <c r="D146" s="6">
        <v>6.7649999999999997</v>
      </c>
      <c r="E146" s="6">
        <v>0</v>
      </c>
      <c r="F146" s="6">
        <v>6.7649999999999997</v>
      </c>
      <c r="G146" s="12">
        <f t="shared" ref="G146" si="191">F146*86400</f>
        <v>584496</v>
      </c>
      <c r="H146" s="14">
        <f t="shared" ref="H146" si="192">G146/1000000</f>
        <v>0.58449600000000002</v>
      </c>
      <c r="I146" s="13">
        <f t="shared" si="158"/>
        <v>26302.32</v>
      </c>
      <c r="J146" s="21">
        <f t="shared" si="159"/>
        <v>2.6302320000000001E-2</v>
      </c>
      <c r="K146" s="13">
        <f t="shared" si="160"/>
        <v>3156.2783999999997</v>
      </c>
      <c r="L146" s="13">
        <f t="shared" si="161"/>
        <v>3.1562783999999995E-3</v>
      </c>
      <c r="M146" s="27">
        <f t="shared" si="162"/>
        <v>2.9458598400000001E-2</v>
      </c>
      <c r="N146" s="29">
        <f t="shared" si="163"/>
        <v>5.8449600000000004E-2</v>
      </c>
      <c r="O146" s="28">
        <f t="shared" si="164"/>
        <v>0.49658780160000004</v>
      </c>
    </row>
    <row r="147" spans="1:15" x14ac:dyDescent="0.7">
      <c r="A147" s="5"/>
      <c r="B147" s="5"/>
      <c r="C147" s="5">
        <v>25</v>
      </c>
      <c r="D147" s="6">
        <v>9.0310000000000006</v>
      </c>
      <c r="E147" s="6">
        <v>0</v>
      </c>
      <c r="F147" s="6">
        <v>9.0310000000000006</v>
      </c>
      <c r="G147" s="12">
        <f t="shared" ref="G147" si="193">F147*86400</f>
        <v>780278.4</v>
      </c>
      <c r="H147" s="14">
        <f t="shared" ref="H147" si="194">G147/1000000</f>
        <v>0.78027840000000004</v>
      </c>
      <c r="I147" s="13">
        <f t="shared" si="158"/>
        <v>35112.527999999998</v>
      </c>
      <c r="J147" s="21">
        <f t="shared" si="159"/>
        <v>3.5112527999999997E-2</v>
      </c>
      <c r="K147" s="13">
        <f t="shared" si="160"/>
        <v>4213.5033599999997</v>
      </c>
      <c r="L147" s="13">
        <f t="shared" si="161"/>
        <v>4.2135033599999998E-3</v>
      </c>
      <c r="M147" s="27">
        <f t="shared" si="162"/>
        <v>3.9326031359999999E-2</v>
      </c>
      <c r="N147" s="29">
        <f t="shared" si="163"/>
        <v>7.8027840000000015E-2</v>
      </c>
      <c r="O147" s="28">
        <f t="shared" si="164"/>
        <v>0.66292452864000007</v>
      </c>
    </row>
    <row r="148" spans="1:15" x14ac:dyDescent="0.7">
      <c r="A148" s="5"/>
      <c r="B148" s="5"/>
      <c r="C148" s="5">
        <v>26</v>
      </c>
      <c r="D148" s="6">
        <v>6.7649999999999997</v>
      </c>
      <c r="E148" s="6">
        <v>0</v>
      </c>
      <c r="F148" s="6">
        <v>6.7649999999999997</v>
      </c>
      <c r="G148" s="12">
        <f t="shared" ref="G148" si="195">F148*86400</f>
        <v>584496</v>
      </c>
      <c r="H148" s="14">
        <f t="shared" ref="H148" si="196">G148/1000000</f>
        <v>0.58449600000000002</v>
      </c>
      <c r="I148" s="13">
        <f t="shared" si="158"/>
        <v>26302.32</v>
      </c>
      <c r="J148" s="21">
        <f t="shared" si="159"/>
        <v>2.6302320000000001E-2</v>
      </c>
      <c r="K148" s="13">
        <f t="shared" si="160"/>
        <v>3156.2783999999997</v>
      </c>
      <c r="L148" s="13">
        <f t="shared" si="161"/>
        <v>3.1562783999999995E-3</v>
      </c>
      <c r="M148" s="27">
        <f t="shared" si="162"/>
        <v>2.9458598400000001E-2</v>
      </c>
      <c r="N148" s="29">
        <f t="shared" si="163"/>
        <v>5.8449600000000004E-2</v>
      </c>
      <c r="O148" s="28">
        <f t="shared" si="164"/>
        <v>0.49658780160000004</v>
      </c>
    </row>
    <row r="149" spans="1:15" x14ac:dyDescent="0.7">
      <c r="A149" s="5"/>
      <c r="B149" s="5"/>
      <c r="C149" s="5">
        <v>27</v>
      </c>
      <c r="D149" s="6">
        <v>6.95</v>
      </c>
      <c r="E149" s="6">
        <v>0</v>
      </c>
      <c r="F149" s="6">
        <v>6.95</v>
      </c>
      <c r="G149" s="12">
        <f t="shared" ref="G149" si="197">F149*86400</f>
        <v>600480</v>
      </c>
      <c r="H149" s="14">
        <f t="shared" ref="H149" si="198">G149/1000000</f>
        <v>0.60048000000000001</v>
      </c>
      <c r="I149" s="13">
        <f t="shared" si="158"/>
        <v>27021.599999999999</v>
      </c>
      <c r="J149" s="21">
        <f t="shared" si="159"/>
        <v>2.70216E-2</v>
      </c>
      <c r="K149" s="13">
        <f t="shared" si="160"/>
        <v>3242.5919999999996</v>
      </c>
      <c r="L149" s="13">
        <f t="shared" si="161"/>
        <v>3.2425919999999994E-3</v>
      </c>
      <c r="M149" s="27">
        <f t="shared" si="162"/>
        <v>3.0264191999999999E-2</v>
      </c>
      <c r="N149" s="29">
        <f t="shared" si="163"/>
        <v>6.0048000000000004E-2</v>
      </c>
      <c r="O149" s="28">
        <f t="shared" si="164"/>
        <v>0.51016780800000006</v>
      </c>
    </row>
    <row r="150" spans="1:15" x14ac:dyDescent="0.7">
      <c r="A150" s="5"/>
      <c r="B150" s="5"/>
      <c r="C150" s="5">
        <v>28</v>
      </c>
      <c r="D150" s="6">
        <v>7.3070000000000004</v>
      </c>
      <c r="E150" s="6">
        <v>1</v>
      </c>
      <c r="F150" s="6">
        <v>7.3070000000000004</v>
      </c>
      <c r="G150" s="12">
        <f t="shared" ref="G150" si="199">F150*86400</f>
        <v>631324.80000000005</v>
      </c>
      <c r="H150" s="14">
        <f t="shared" ref="H150" si="200">G150/1000000</f>
        <v>0.63132480000000002</v>
      </c>
      <c r="I150" s="13">
        <f t="shared" si="158"/>
        <v>28409.616000000002</v>
      </c>
      <c r="J150" s="21">
        <f t="shared" si="159"/>
        <v>2.8409616000000002E-2</v>
      </c>
      <c r="K150" s="13">
        <f t="shared" si="160"/>
        <v>3409.1539200000002</v>
      </c>
      <c r="L150" s="13">
        <f t="shared" si="161"/>
        <v>3.4091539200000001E-3</v>
      </c>
      <c r="M150" s="27">
        <f t="shared" si="162"/>
        <v>3.1818769920000003E-2</v>
      </c>
      <c r="N150" s="29">
        <f t="shared" si="163"/>
        <v>6.3132480000000005E-2</v>
      </c>
      <c r="O150" s="28">
        <f t="shared" si="164"/>
        <v>0.53637355007999998</v>
      </c>
    </row>
    <row r="151" spans="1:15" x14ac:dyDescent="0.7">
      <c r="A151" s="10"/>
      <c r="B151" s="10"/>
      <c r="C151" s="10">
        <v>29</v>
      </c>
      <c r="D151" s="16">
        <v>9.16</v>
      </c>
      <c r="E151" s="6">
        <v>24.5</v>
      </c>
      <c r="F151" s="16">
        <v>9.16</v>
      </c>
      <c r="G151" s="17">
        <f t="shared" ref="G151" si="201">F151*86400</f>
        <v>791424</v>
      </c>
      <c r="H151" s="18">
        <f t="shared" ref="H151" si="202">G151/1000000</f>
        <v>0.79142400000000002</v>
      </c>
      <c r="I151" s="13">
        <f t="shared" si="158"/>
        <v>35614.080000000002</v>
      </c>
      <c r="J151" s="21">
        <f t="shared" si="159"/>
        <v>3.5614079999999999E-2</v>
      </c>
      <c r="K151" s="13">
        <f t="shared" si="160"/>
        <v>4273.6895999999997</v>
      </c>
      <c r="L151" s="13">
        <f t="shared" si="161"/>
        <v>4.2736896E-3</v>
      </c>
      <c r="M151" s="27">
        <f t="shared" si="162"/>
        <v>3.9887769599999998E-2</v>
      </c>
      <c r="N151" s="29">
        <f t="shared" si="163"/>
        <v>7.9142400000000002E-2</v>
      </c>
      <c r="O151" s="28">
        <f t="shared" si="164"/>
        <v>0.67239383040000011</v>
      </c>
    </row>
    <row r="152" spans="1:15" s="20" customFormat="1" x14ac:dyDescent="0.7">
      <c r="A152" s="10"/>
      <c r="B152" s="10"/>
      <c r="C152" s="10">
        <v>30</v>
      </c>
      <c r="D152" s="16">
        <v>9.298</v>
      </c>
      <c r="E152" s="6">
        <v>0.6</v>
      </c>
      <c r="F152" s="16">
        <v>9.298</v>
      </c>
      <c r="G152" s="42">
        <f t="shared" ref="G152" si="203">F152*86400</f>
        <v>803347.2</v>
      </c>
      <c r="H152" s="37">
        <f t="shared" ref="H152" si="204">G152/1000000</f>
        <v>0.80334719999999993</v>
      </c>
      <c r="I152" s="37">
        <f t="shared" si="158"/>
        <v>36150.623999999996</v>
      </c>
      <c r="J152" s="38">
        <f t="shared" si="159"/>
        <v>3.6150623999999999E-2</v>
      </c>
      <c r="K152" s="37">
        <f t="shared" si="160"/>
        <v>4338.0748799999992</v>
      </c>
      <c r="L152" s="37">
        <f t="shared" si="161"/>
        <v>4.338074879999999E-3</v>
      </c>
      <c r="M152" s="39">
        <f t="shared" si="162"/>
        <v>4.048869888E-2</v>
      </c>
      <c r="N152" s="40">
        <f t="shared" si="163"/>
        <v>8.0334719999999998E-2</v>
      </c>
      <c r="O152" s="41">
        <f t="shared" si="164"/>
        <v>0.68252378112000001</v>
      </c>
    </row>
    <row r="153" spans="1:15" s="65" customFormat="1" ht="25.2" thickBot="1" x14ac:dyDescent="0.75">
      <c r="A153" s="8"/>
      <c r="B153" s="8" t="s">
        <v>19</v>
      </c>
      <c r="C153" s="8">
        <v>31</v>
      </c>
      <c r="D153" s="9">
        <v>0</v>
      </c>
      <c r="E153" s="9">
        <v>0.6</v>
      </c>
      <c r="F153" s="9">
        <v>0</v>
      </c>
      <c r="G153" s="19">
        <f t="shared" ref="G153" si="205">F153*86400</f>
        <v>0</v>
      </c>
      <c r="H153" s="15">
        <f t="shared" ref="H153" si="206">G153/1000000</f>
        <v>0</v>
      </c>
      <c r="I153" s="15">
        <f t="shared" si="158"/>
        <v>0</v>
      </c>
      <c r="J153" s="22">
        <f t="shared" si="159"/>
        <v>0</v>
      </c>
      <c r="K153" s="15">
        <f t="shared" si="160"/>
        <v>0</v>
      </c>
      <c r="L153" s="15">
        <f t="shared" si="161"/>
        <v>0</v>
      </c>
      <c r="M153" s="15">
        <f t="shared" si="162"/>
        <v>0</v>
      </c>
      <c r="N153" s="34">
        <f t="shared" si="163"/>
        <v>0</v>
      </c>
      <c r="O153" s="15">
        <f t="shared" si="164"/>
        <v>0</v>
      </c>
    </row>
    <row r="154" spans="1:15" x14ac:dyDescent="0.7">
      <c r="A154" s="2"/>
      <c r="B154" s="2" t="s">
        <v>20</v>
      </c>
      <c r="C154" s="2">
        <v>1</v>
      </c>
      <c r="D154" s="3">
        <v>0</v>
      </c>
      <c r="E154" s="3">
        <v>4.3</v>
      </c>
      <c r="F154" s="3">
        <v>0</v>
      </c>
      <c r="G154" s="12">
        <f t="shared" ref="G154" si="207">F154*86400</f>
        <v>0</v>
      </c>
      <c r="H154" s="14">
        <f t="shared" ref="H154" si="208">G154/1000000</f>
        <v>0</v>
      </c>
      <c r="I154" s="14">
        <f t="shared" si="158"/>
        <v>0</v>
      </c>
      <c r="J154" s="26">
        <f t="shared" si="159"/>
        <v>0</v>
      </c>
      <c r="K154" s="14">
        <f t="shared" si="160"/>
        <v>0</v>
      </c>
      <c r="L154" s="14">
        <f t="shared" si="161"/>
        <v>0</v>
      </c>
      <c r="M154" s="30">
        <f t="shared" si="162"/>
        <v>0</v>
      </c>
      <c r="N154" s="31">
        <f t="shared" si="163"/>
        <v>0</v>
      </c>
      <c r="O154" s="32">
        <f t="shared" si="164"/>
        <v>0</v>
      </c>
    </row>
    <row r="155" spans="1:15" x14ac:dyDescent="0.7">
      <c r="A155" s="5"/>
      <c r="B155" s="5"/>
      <c r="C155" s="5">
        <v>2</v>
      </c>
      <c r="D155" s="6">
        <v>13.436</v>
      </c>
      <c r="E155" s="6">
        <v>0</v>
      </c>
      <c r="F155" s="6">
        <v>13.436</v>
      </c>
      <c r="G155" s="12">
        <f t="shared" ref="G155" si="209">F155*86400</f>
        <v>1160870.3999999999</v>
      </c>
      <c r="H155" s="14">
        <f t="shared" ref="H155" si="210">G155/1000000</f>
        <v>1.1608703999999999</v>
      </c>
      <c r="I155" s="13">
        <f t="shared" si="158"/>
        <v>52239.167999999991</v>
      </c>
      <c r="J155" s="21">
        <f t="shared" si="159"/>
        <v>5.2239167999999989E-2</v>
      </c>
      <c r="K155" s="13">
        <f t="shared" si="160"/>
        <v>6268.7001599999985</v>
      </c>
      <c r="L155" s="13">
        <f t="shared" si="161"/>
        <v>6.2687001599999988E-3</v>
      </c>
      <c r="M155" s="27">
        <f t="shared" si="162"/>
        <v>5.850786815999999E-2</v>
      </c>
      <c r="N155" s="29">
        <f t="shared" si="163"/>
        <v>0.11608703999999999</v>
      </c>
      <c r="O155" s="28">
        <f t="shared" si="164"/>
        <v>0.98627549183999985</v>
      </c>
    </row>
    <row r="156" spans="1:15" x14ac:dyDescent="0.7">
      <c r="A156" s="5"/>
      <c r="B156" s="5"/>
      <c r="C156" s="5">
        <v>3</v>
      </c>
      <c r="D156" s="6">
        <v>9.9580000000000002</v>
      </c>
      <c r="E156" s="6">
        <v>0</v>
      </c>
      <c r="F156" s="6">
        <v>9.9580000000000002</v>
      </c>
      <c r="G156" s="12">
        <f t="shared" ref="G156" si="211">F156*86400</f>
        <v>860371.20000000007</v>
      </c>
      <c r="H156" s="14">
        <f t="shared" ref="H156" si="212">G156/1000000</f>
        <v>0.86037120000000011</v>
      </c>
      <c r="I156" s="13">
        <f t="shared" si="158"/>
        <v>38716.704000000005</v>
      </c>
      <c r="J156" s="21">
        <f t="shared" si="159"/>
        <v>3.8716704000000005E-2</v>
      </c>
      <c r="K156" s="13">
        <f t="shared" si="160"/>
        <v>4646.0044800000005</v>
      </c>
      <c r="L156" s="13">
        <f t="shared" si="161"/>
        <v>4.6460044800000003E-3</v>
      </c>
      <c r="M156" s="27">
        <f t="shared" si="162"/>
        <v>4.3362708480000005E-2</v>
      </c>
      <c r="N156" s="29">
        <f t="shared" si="163"/>
        <v>8.6037120000000022E-2</v>
      </c>
      <c r="O156" s="28">
        <f t="shared" si="164"/>
        <v>0.73097137152000013</v>
      </c>
    </row>
    <row r="157" spans="1:15" x14ac:dyDescent="0.7">
      <c r="A157" s="5"/>
      <c r="B157" s="5"/>
      <c r="C157" s="2">
        <v>4</v>
      </c>
      <c r="D157" s="6">
        <v>8.1300000000000008</v>
      </c>
      <c r="E157" s="6">
        <v>0</v>
      </c>
      <c r="F157" s="6">
        <v>8.1300000000000008</v>
      </c>
      <c r="G157" s="12">
        <f t="shared" ref="G157" si="213">F157*86400</f>
        <v>702432.00000000012</v>
      </c>
      <c r="H157" s="14">
        <f t="shared" ref="H157" si="214">G157/1000000</f>
        <v>0.70243200000000017</v>
      </c>
      <c r="I157" s="13">
        <f t="shared" si="158"/>
        <v>31609.440000000002</v>
      </c>
      <c r="J157" s="21">
        <f t="shared" si="159"/>
        <v>3.1609440000000003E-2</v>
      </c>
      <c r="K157" s="13">
        <f t="shared" si="160"/>
        <v>3793.1328000000003</v>
      </c>
      <c r="L157" s="13">
        <f t="shared" si="161"/>
        <v>3.7931328000000001E-3</v>
      </c>
      <c r="M157" s="27">
        <f t="shared" si="162"/>
        <v>3.5402572800000004E-2</v>
      </c>
      <c r="N157" s="29">
        <f t="shared" si="163"/>
        <v>7.024320000000002E-2</v>
      </c>
      <c r="O157" s="28">
        <f t="shared" si="164"/>
        <v>0.59678622720000007</v>
      </c>
    </row>
    <row r="158" spans="1:15" x14ac:dyDescent="0.7">
      <c r="A158" s="5"/>
      <c r="B158" s="5"/>
      <c r="C158" s="5">
        <v>5</v>
      </c>
      <c r="D158" s="6">
        <v>7.8109999999999999</v>
      </c>
      <c r="E158" s="6">
        <v>0</v>
      </c>
      <c r="F158" s="6">
        <v>7.8109999999999999</v>
      </c>
      <c r="G158" s="12">
        <f t="shared" ref="G158" si="215">F158*86400</f>
        <v>674870.4</v>
      </c>
      <c r="H158" s="14">
        <f t="shared" ref="H158" si="216">G158/1000000</f>
        <v>0.67487039999999998</v>
      </c>
      <c r="I158" s="13">
        <f t="shared" si="158"/>
        <v>30369.168000000001</v>
      </c>
      <c r="J158" s="21">
        <f t="shared" si="159"/>
        <v>3.0369168000000002E-2</v>
      </c>
      <c r="K158" s="13">
        <f t="shared" si="160"/>
        <v>3644.3001600000002</v>
      </c>
      <c r="L158" s="13">
        <f t="shared" si="161"/>
        <v>3.6443001600000003E-3</v>
      </c>
      <c r="M158" s="27">
        <f t="shared" si="162"/>
        <v>3.4013468160000004E-2</v>
      </c>
      <c r="N158" s="29">
        <f t="shared" si="163"/>
        <v>6.7487039999999998E-2</v>
      </c>
      <c r="O158" s="28">
        <f t="shared" si="164"/>
        <v>0.57336989183999987</v>
      </c>
    </row>
    <row r="159" spans="1:15" x14ac:dyDescent="0.7">
      <c r="A159" s="5"/>
      <c r="B159" s="5"/>
      <c r="C159" s="5">
        <v>6</v>
      </c>
      <c r="D159" s="6">
        <v>8.5869999999999997</v>
      </c>
      <c r="E159" s="6">
        <v>0</v>
      </c>
      <c r="F159" s="6">
        <v>8.5869999999999997</v>
      </c>
      <c r="G159" s="12">
        <f t="shared" ref="G159" si="217">F159*86400</f>
        <v>741916.79999999993</v>
      </c>
      <c r="H159" s="14">
        <f t="shared" ref="H159" si="218">G159/1000000</f>
        <v>0.74191679999999993</v>
      </c>
      <c r="I159" s="13">
        <f t="shared" si="158"/>
        <v>33386.255999999994</v>
      </c>
      <c r="J159" s="21">
        <f t="shared" si="159"/>
        <v>3.3386255999999996E-2</v>
      </c>
      <c r="K159" s="13">
        <f t="shared" si="160"/>
        <v>4006.350719999999</v>
      </c>
      <c r="L159" s="13">
        <f t="shared" si="161"/>
        <v>4.0063507199999994E-3</v>
      </c>
      <c r="M159" s="27">
        <f t="shared" si="162"/>
        <v>3.7392606719999999E-2</v>
      </c>
      <c r="N159" s="29">
        <f t="shared" si="163"/>
        <v>7.4191679999999996E-2</v>
      </c>
      <c r="O159" s="28">
        <f t="shared" si="164"/>
        <v>0.63033251327999995</v>
      </c>
    </row>
    <row r="160" spans="1:15" x14ac:dyDescent="0.7">
      <c r="A160" s="5"/>
      <c r="B160" s="5"/>
      <c r="C160" s="2">
        <v>7</v>
      </c>
      <c r="D160" s="6">
        <v>12.144</v>
      </c>
      <c r="E160" s="6">
        <v>0.4</v>
      </c>
      <c r="F160" s="6">
        <v>12.144</v>
      </c>
      <c r="G160" s="12">
        <f t="shared" ref="G160" si="219">F160*86400</f>
        <v>1049241.6000000001</v>
      </c>
      <c r="H160" s="14">
        <f t="shared" ref="H160" si="220">G160/1000000</f>
        <v>1.0492416</v>
      </c>
      <c r="I160" s="13">
        <f t="shared" si="158"/>
        <v>47215.872000000003</v>
      </c>
      <c r="J160" s="21">
        <f t="shared" si="159"/>
        <v>4.7215872000000006E-2</v>
      </c>
      <c r="K160" s="13">
        <f t="shared" si="160"/>
        <v>5665.9046399999997</v>
      </c>
      <c r="L160" s="13">
        <f t="shared" si="161"/>
        <v>5.6659046399999994E-3</v>
      </c>
      <c r="M160" s="27">
        <f t="shared" si="162"/>
        <v>5.2881776640000003E-2</v>
      </c>
      <c r="N160" s="29">
        <f t="shared" si="163"/>
        <v>0.10492416</v>
      </c>
      <c r="O160" s="28">
        <f t="shared" si="164"/>
        <v>0.89143566335999991</v>
      </c>
    </row>
    <row r="161" spans="1:15" x14ac:dyDescent="0.7">
      <c r="A161" s="5"/>
      <c r="B161" s="5"/>
      <c r="C161" s="5">
        <v>8</v>
      </c>
      <c r="D161" s="6">
        <v>12.856</v>
      </c>
      <c r="E161" s="6">
        <v>7.9</v>
      </c>
      <c r="F161" s="6">
        <v>12.856</v>
      </c>
      <c r="G161" s="12">
        <f t="shared" ref="G161" si="221">F161*86400</f>
        <v>1110758.3999999999</v>
      </c>
      <c r="H161" s="14">
        <f t="shared" ref="H161" si="222">G161/1000000</f>
        <v>1.1107583999999999</v>
      </c>
      <c r="I161" s="13">
        <f t="shared" si="158"/>
        <v>49984.127999999997</v>
      </c>
      <c r="J161" s="21">
        <f t="shared" si="159"/>
        <v>4.9984127999999996E-2</v>
      </c>
      <c r="K161" s="13">
        <f t="shared" si="160"/>
        <v>5998.0953599999993</v>
      </c>
      <c r="L161" s="13">
        <f t="shared" si="161"/>
        <v>5.9980953599999996E-3</v>
      </c>
      <c r="M161" s="27">
        <f t="shared" si="162"/>
        <v>5.5982223359999993E-2</v>
      </c>
      <c r="N161" s="29">
        <f t="shared" si="163"/>
        <v>0.11107584</v>
      </c>
      <c r="O161" s="28">
        <f t="shared" si="164"/>
        <v>0.94370033663999986</v>
      </c>
    </row>
    <row r="162" spans="1:15" x14ac:dyDescent="0.7">
      <c r="A162" s="5"/>
      <c r="B162" s="5"/>
      <c r="C162" s="5">
        <v>9</v>
      </c>
      <c r="D162" s="6">
        <v>18.146999999999998</v>
      </c>
      <c r="E162" s="6">
        <v>9</v>
      </c>
      <c r="F162" s="6">
        <v>18.146999999999998</v>
      </c>
      <c r="G162" s="12">
        <f t="shared" ref="G162" si="223">F162*86400</f>
        <v>1567900.7999999998</v>
      </c>
      <c r="H162" s="14">
        <f t="shared" ref="H162" si="224">G162/1000000</f>
        <v>1.5679007999999999</v>
      </c>
      <c r="I162" s="13">
        <f t="shared" si="158"/>
        <v>70555.535999999993</v>
      </c>
      <c r="J162" s="21">
        <f t="shared" si="159"/>
        <v>7.0555535999999988E-2</v>
      </c>
      <c r="K162" s="13">
        <f t="shared" si="160"/>
        <v>8466.664319999998</v>
      </c>
      <c r="L162" s="13">
        <f t="shared" si="161"/>
        <v>8.4666643199999975E-3</v>
      </c>
      <c r="M162" s="27">
        <f t="shared" si="162"/>
        <v>7.9022200319999986E-2</v>
      </c>
      <c r="N162" s="29">
        <f t="shared" si="163"/>
        <v>0.15679008</v>
      </c>
      <c r="O162" s="28">
        <f t="shared" si="164"/>
        <v>1.3320885196799999</v>
      </c>
    </row>
    <row r="163" spans="1:15" x14ac:dyDescent="0.7">
      <c r="A163" s="5"/>
      <c r="B163" s="5"/>
      <c r="C163" s="2">
        <v>10</v>
      </c>
      <c r="D163" s="6">
        <v>22.149000000000001</v>
      </c>
      <c r="E163" s="6">
        <v>5.5</v>
      </c>
      <c r="F163" s="6">
        <v>22.149000000000001</v>
      </c>
      <c r="G163" s="12">
        <f t="shared" ref="G163" si="225">F163*86400</f>
        <v>1913673.6</v>
      </c>
      <c r="H163" s="14">
        <f t="shared" ref="H163" si="226">G163/1000000</f>
        <v>1.9136736000000001</v>
      </c>
      <c r="I163" s="13">
        <f t="shared" si="158"/>
        <v>86115.312000000005</v>
      </c>
      <c r="J163" s="21">
        <f t="shared" si="159"/>
        <v>8.6115311999999999E-2</v>
      </c>
      <c r="K163" s="13">
        <f t="shared" si="160"/>
        <v>10333.837440000001</v>
      </c>
      <c r="L163" s="13">
        <f t="shared" si="161"/>
        <v>1.0333837440000002E-2</v>
      </c>
      <c r="M163" s="27">
        <f t="shared" si="162"/>
        <v>9.6449149440000007E-2</v>
      </c>
      <c r="N163" s="29">
        <f t="shared" si="163"/>
        <v>0.19136736000000001</v>
      </c>
      <c r="O163" s="28">
        <f t="shared" si="164"/>
        <v>1.6258570905600001</v>
      </c>
    </row>
    <row r="164" spans="1:15" x14ac:dyDescent="0.7">
      <c r="A164" s="5"/>
      <c r="B164" s="5"/>
      <c r="C164" s="5">
        <v>11</v>
      </c>
      <c r="D164" s="6">
        <v>14.388</v>
      </c>
      <c r="E164" s="6">
        <v>3.4</v>
      </c>
      <c r="F164" s="6">
        <v>14.388</v>
      </c>
      <c r="G164" s="12">
        <f t="shared" ref="G164" si="227">F164*86400</f>
        <v>1243123.2</v>
      </c>
      <c r="H164" s="14">
        <f t="shared" ref="H164" si="228">G164/1000000</f>
        <v>1.2431231999999999</v>
      </c>
      <c r="I164" s="13">
        <f t="shared" si="158"/>
        <v>55940.543999999994</v>
      </c>
      <c r="J164" s="21">
        <f t="shared" si="159"/>
        <v>5.5940543999999995E-2</v>
      </c>
      <c r="K164" s="13">
        <f t="shared" si="160"/>
        <v>6712.8652799999991</v>
      </c>
      <c r="L164" s="13">
        <f t="shared" si="161"/>
        <v>6.712865279999999E-3</v>
      </c>
      <c r="M164" s="27">
        <f t="shared" si="162"/>
        <v>6.2653409279999989E-2</v>
      </c>
      <c r="N164" s="29">
        <f t="shared" si="163"/>
        <v>0.12431231999999999</v>
      </c>
      <c r="O164" s="28">
        <f t="shared" si="164"/>
        <v>1.0561574707199999</v>
      </c>
    </row>
    <row r="165" spans="1:15" x14ac:dyDescent="0.7">
      <c r="A165" s="5"/>
      <c r="B165" s="5"/>
      <c r="C165" s="5">
        <v>12</v>
      </c>
      <c r="D165" s="6">
        <v>14.048</v>
      </c>
      <c r="E165" s="6">
        <v>0.3</v>
      </c>
      <c r="F165" s="6">
        <v>14.048</v>
      </c>
      <c r="G165" s="12">
        <f t="shared" ref="G165" si="229">F165*86400</f>
        <v>1213747.2</v>
      </c>
      <c r="H165" s="14">
        <f t="shared" ref="H165" si="230">G165/1000000</f>
        <v>1.2137472</v>
      </c>
      <c r="I165" s="13">
        <f t="shared" si="158"/>
        <v>54618.623999999996</v>
      </c>
      <c r="J165" s="21">
        <f t="shared" si="159"/>
        <v>5.4618623999999998E-2</v>
      </c>
      <c r="K165" s="13">
        <f t="shared" si="160"/>
        <v>6554.2348799999991</v>
      </c>
      <c r="L165" s="13">
        <f t="shared" si="161"/>
        <v>6.554234879999999E-3</v>
      </c>
      <c r="M165" s="27">
        <f t="shared" si="162"/>
        <v>6.117285888E-2</v>
      </c>
      <c r="N165" s="29">
        <f t="shared" si="163"/>
        <v>0.12137472000000001</v>
      </c>
      <c r="O165" s="28">
        <f t="shared" si="164"/>
        <v>1.0311996211200001</v>
      </c>
    </row>
    <row r="166" spans="1:15" x14ac:dyDescent="0.7">
      <c r="A166" s="5"/>
      <c r="B166" s="5"/>
      <c r="C166" s="2">
        <v>13</v>
      </c>
      <c r="D166" s="6">
        <v>35.945</v>
      </c>
      <c r="E166" s="6">
        <v>32.200000000000003</v>
      </c>
      <c r="F166" s="6">
        <v>35.945</v>
      </c>
      <c r="G166" s="12">
        <f t="shared" ref="G166" si="231">F166*86400</f>
        <v>3105648</v>
      </c>
      <c r="H166" s="14">
        <f t="shared" ref="H166" si="232">G166/1000000</f>
        <v>3.105648</v>
      </c>
      <c r="I166" s="13">
        <f t="shared" si="158"/>
        <v>139754.16</v>
      </c>
      <c r="J166" s="21">
        <f t="shared" si="159"/>
        <v>0.13975416000000002</v>
      </c>
      <c r="K166" s="13">
        <f t="shared" si="160"/>
        <v>16770.499199999998</v>
      </c>
      <c r="L166" s="13">
        <f t="shared" si="161"/>
        <v>1.6770499199999997E-2</v>
      </c>
      <c r="M166" s="27">
        <f t="shared" si="162"/>
        <v>0.15652465920000003</v>
      </c>
      <c r="N166" s="29">
        <f t="shared" si="163"/>
        <v>0.31056480000000003</v>
      </c>
      <c r="O166" s="28">
        <f t="shared" si="164"/>
        <v>2.6385585408000001</v>
      </c>
    </row>
    <row r="167" spans="1:15" x14ac:dyDescent="0.7">
      <c r="A167" s="5"/>
      <c r="B167" s="5"/>
      <c r="C167" s="5">
        <v>14</v>
      </c>
      <c r="D167" s="6">
        <v>22.399000000000001</v>
      </c>
      <c r="E167" s="6">
        <v>0.3</v>
      </c>
      <c r="F167" s="6">
        <v>22.399000000000001</v>
      </c>
      <c r="G167" s="12">
        <f t="shared" ref="G167" si="233">F167*86400</f>
        <v>1935273.6</v>
      </c>
      <c r="H167" s="14">
        <f t="shared" ref="H167" si="234">G167/1000000</f>
        <v>1.9352736000000001</v>
      </c>
      <c r="I167" s="13">
        <f t="shared" si="158"/>
        <v>87087.312000000005</v>
      </c>
      <c r="J167" s="21">
        <f t="shared" si="159"/>
        <v>8.7087312E-2</v>
      </c>
      <c r="K167" s="13">
        <f t="shared" si="160"/>
        <v>10450.477440000001</v>
      </c>
      <c r="L167" s="13">
        <f t="shared" si="161"/>
        <v>1.0450477440000001E-2</v>
      </c>
      <c r="M167" s="27">
        <f t="shared" si="162"/>
        <v>9.7537789439999995E-2</v>
      </c>
      <c r="N167" s="29">
        <f t="shared" si="163"/>
        <v>0.19352736000000004</v>
      </c>
      <c r="O167" s="28">
        <f t="shared" si="164"/>
        <v>1.6442084505600001</v>
      </c>
    </row>
    <row r="168" spans="1:15" x14ac:dyDescent="0.7">
      <c r="A168" s="5"/>
      <c r="B168" s="5"/>
      <c r="C168" s="5">
        <v>15</v>
      </c>
      <c r="D168" s="6">
        <v>15.713000000000001</v>
      </c>
      <c r="E168" s="6">
        <v>2.4</v>
      </c>
      <c r="F168" s="6">
        <v>15.713000000000001</v>
      </c>
      <c r="G168" s="12">
        <f t="shared" ref="G168" si="235">F168*86400</f>
        <v>1357603.2000000002</v>
      </c>
      <c r="H168" s="14">
        <f t="shared" ref="H168" si="236">G168/1000000</f>
        <v>1.3576032000000002</v>
      </c>
      <c r="I168" s="13">
        <f t="shared" si="158"/>
        <v>61092.144000000008</v>
      </c>
      <c r="J168" s="21">
        <f t="shared" si="159"/>
        <v>6.1092144000000008E-2</v>
      </c>
      <c r="K168" s="13">
        <f t="shared" si="160"/>
        <v>7331.0572800000009</v>
      </c>
      <c r="L168" s="13">
        <f t="shared" si="161"/>
        <v>7.3310572800000008E-3</v>
      </c>
      <c r="M168" s="27">
        <f t="shared" si="162"/>
        <v>6.8423201280000012E-2</v>
      </c>
      <c r="N168" s="29">
        <f t="shared" si="163"/>
        <v>0.13576032000000002</v>
      </c>
      <c r="O168" s="28">
        <f t="shared" si="164"/>
        <v>1.1534196787200004</v>
      </c>
    </row>
    <row r="169" spans="1:15" x14ac:dyDescent="0.7">
      <c r="A169" s="5"/>
      <c r="B169" s="5"/>
      <c r="C169" s="2">
        <v>16</v>
      </c>
      <c r="D169" s="6">
        <v>18.962</v>
      </c>
      <c r="E169" s="6">
        <v>4.5</v>
      </c>
      <c r="F169" s="6">
        <v>18.962</v>
      </c>
      <c r="G169" s="12">
        <f t="shared" ref="G169" si="237">F169*86400</f>
        <v>1638316.8</v>
      </c>
      <c r="H169" s="14">
        <f t="shared" ref="H169" si="238">G169/1000000</f>
        <v>1.6383168000000001</v>
      </c>
      <c r="I169" s="13">
        <f t="shared" si="158"/>
        <v>73724.255999999994</v>
      </c>
      <c r="J169" s="21">
        <f t="shared" si="159"/>
        <v>7.3724255999999988E-2</v>
      </c>
      <c r="K169" s="13">
        <f t="shared" si="160"/>
        <v>8846.9107199999999</v>
      </c>
      <c r="L169" s="13">
        <f t="shared" si="161"/>
        <v>8.8469107200000001E-3</v>
      </c>
      <c r="M169" s="27">
        <f t="shared" si="162"/>
        <v>8.2571166719999992E-2</v>
      </c>
      <c r="N169" s="29">
        <f t="shared" si="163"/>
        <v>0.16383168000000004</v>
      </c>
      <c r="O169" s="28">
        <f t="shared" si="164"/>
        <v>1.39191395328</v>
      </c>
    </row>
    <row r="170" spans="1:15" x14ac:dyDescent="0.7">
      <c r="A170" s="5"/>
      <c r="B170" s="5"/>
      <c r="C170" s="5">
        <v>17</v>
      </c>
      <c r="D170" s="6">
        <v>13.706</v>
      </c>
      <c r="E170" s="6">
        <v>6.9</v>
      </c>
      <c r="F170" s="6">
        <v>13.706</v>
      </c>
      <c r="G170" s="12">
        <f t="shared" ref="G170" si="239">F170*86400</f>
        <v>1184198.3999999999</v>
      </c>
      <c r="H170" s="14">
        <f t="shared" ref="H170" si="240">G170/1000000</f>
        <v>1.1841983999999999</v>
      </c>
      <c r="I170" s="13">
        <f t="shared" si="158"/>
        <v>53288.927999999993</v>
      </c>
      <c r="J170" s="21">
        <f t="shared" si="159"/>
        <v>5.3288927999999992E-2</v>
      </c>
      <c r="K170" s="13">
        <f t="shared" si="160"/>
        <v>6394.6713599999985</v>
      </c>
      <c r="L170" s="13">
        <f t="shared" si="161"/>
        <v>6.3946713599999988E-3</v>
      </c>
      <c r="M170" s="27">
        <f t="shared" si="162"/>
        <v>5.9683599359999992E-2</v>
      </c>
      <c r="N170" s="29">
        <f t="shared" si="163"/>
        <v>0.11841984</v>
      </c>
      <c r="O170" s="28">
        <f t="shared" si="164"/>
        <v>1.0060949606399998</v>
      </c>
    </row>
    <row r="171" spans="1:15" x14ac:dyDescent="0.7">
      <c r="A171" s="5"/>
      <c r="B171" s="5"/>
      <c r="C171" s="5">
        <v>18</v>
      </c>
      <c r="D171" s="6">
        <v>15.145</v>
      </c>
      <c r="E171" s="6">
        <v>1.2</v>
      </c>
      <c r="F171" s="6">
        <v>15.145</v>
      </c>
      <c r="G171" s="12">
        <f t="shared" ref="G171" si="241">F171*86400</f>
        <v>1308528</v>
      </c>
      <c r="H171" s="14">
        <f t="shared" ref="H171" si="242">G171/1000000</f>
        <v>1.3085279999999999</v>
      </c>
      <c r="I171" s="13">
        <f t="shared" si="158"/>
        <v>58883.759999999995</v>
      </c>
      <c r="J171" s="21">
        <f t="shared" si="159"/>
        <v>5.8883759999999993E-2</v>
      </c>
      <c r="K171" s="13">
        <f t="shared" si="160"/>
        <v>7066.051199999999</v>
      </c>
      <c r="L171" s="13">
        <f t="shared" si="161"/>
        <v>7.0660511999999986E-3</v>
      </c>
      <c r="M171" s="27">
        <f t="shared" si="162"/>
        <v>6.5949811199999986E-2</v>
      </c>
      <c r="N171" s="29">
        <f t="shared" si="163"/>
        <v>0.13085279999999999</v>
      </c>
      <c r="O171" s="28">
        <f t="shared" si="164"/>
        <v>1.1117253888</v>
      </c>
    </row>
    <row r="172" spans="1:15" x14ac:dyDescent="0.7">
      <c r="A172" s="5"/>
      <c r="B172" s="5"/>
      <c r="C172" s="2">
        <v>19</v>
      </c>
      <c r="D172" s="6">
        <v>14.421999999999999</v>
      </c>
      <c r="E172" s="6">
        <v>0</v>
      </c>
      <c r="F172" s="6">
        <v>14.421999999999999</v>
      </c>
      <c r="G172" s="12">
        <f t="shared" ref="G172" si="243">F172*86400</f>
        <v>1246060.7999999998</v>
      </c>
      <c r="H172" s="14">
        <f t="shared" ref="H172" si="244">G172/1000000</f>
        <v>1.2460607999999997</v>
      </c>
      <c r="I172" s="13">
        <f t="shared" si="158"/>
        <v>56072.73599999999</v>
      </c>
      <c r="J172" s="21">
        <f t="shared" si="159"/>
        <v>5.6072735999999991E-2</v>
      </c>
      <c r="K172" s="13">
        <f t="shared" si="160"/>
        <v>6728.7283199999983</v>
      </c>
      <c r="L172" s="13">
        <f t="shared" si="161"/>
        <v>6.7287283199999985E-3</v>
      </c>
      <c r="M172" s="27">
        <f t="shared" si="162"/>
        <v>6.2801464319999986E-2</v>
      </c>
      <c r="N172" s="29">
        <f t="shared" si="163"/>
        <v>0.12460607999999998</v>
      </c>
      <c r="O172" s="28">
        <f t="shared" si="164"/>
        <v>1.0586532556799999</v>
      </c>
    </row>
    <row r="173" spans="1:15" x14ac:dyDescent="0.7">
      <c r="A173" s="5"/>
      <c r="B173" s="5"/>
      <c r="C173" s="5">
        <v>20</v>
      </c>
      <c r="D173" s="6">
        <v>15.784000000000001</v>
      </c>
      <c r="E173" s="6">
        <v>0</v>
      </c>
      <c r="F173" s="6">
        <v>15.784000000000001</v>
      </c>
      <c r="G173" s="12">
        <f t="shared" ref="G173" si="245">F173*86400</f>
        <v>1363737.6000000001</v>
      </c>
      <c r="H173" s="14">
        <f t="shared" ref="H173" si="246">G173/1000000</f>
        <v>1.3637376000000001</v>
      </c>
      <c r="I173" s="13">
        <f t="shared" si="158"/>
        <v>61368.192000000003</v>
      </c>
      <c r="J173" s="21">
        <f t="shared" si="159"/>
        <v>6.1368192000000002E-2</v>
      </c>
      <c r="K173" s="13">
        <f t="shared" si="160"/>
        <v>7364.1830399999999</v>
      </c>
      <c r="L173" s="13">
        <f t="shared" si="161"/>
        <v>7.3641830399999997E-3</v>
      </c>
      <c r="M173" s="27">
        <f t="shared" si="162"/>
        <v>6.8732375040000002E-2</v>
      </c>
      <c r="N173" s="29">
        <f t="shared" si="163"/>
        <v>0.13637376000000001</v>
      </c>
      <c r="O173" s="28">
        <f t="shared" si="164"/>
        <v>1.15863146496</v>
      </c>
    </row>
    <row r="174" spans="1:15" x14ac:dyDescent="0.7">
      <c r="A174" s="5"/>
      <c r="B174" s="5"/>
      <c r="C174" s="5">
        <v>21</v>
      </c>
      <c r="D174" s="6">
        <v>10.696</v>
      </c>
      <c r="E174" s="6">
        <v>1.6</v>
      </c>
      <c r="F174" s="6">
        <v>10.696</v>
      </c>
      <c r="G174" s="12">
        <f t="shared" ref="G174" si="247">F174*86400</f>
        <v>924134.40000000002</v>
      </c>
      <c r="H174" s="14">
        <f t="shared" ref="H174" si="248">G174/1000000</f>
        <v>0.92413440000000002</v>
      </c>
      <c r="I174" s="13">
        <f t="shared" si="158"/>
        <v>41586.048000000003</v>
      </c>
      <c r="J174" s="21">
        <f t="shared" si="159"/>
        <v>4.1586048E-2</v>
      </c>
      <c r="K174" s="13">
        <f t="shared" si="160"/>
        <v>4990.3257599999997</v>
      </c>
      <c r="L174" s="13">
        <f t="shared" si="161"/>
        <v>4.9903257599999999E-3</v>
      </c>
      <c r="M174" s="27">
        <f t="shared" si="162"/>
        <v>4.6576373759999998E-2</v>
      </c>
      <c r="N174" s="29">
        <f t="shared" si="163"/>
        <v>9.2413440000000013E-2</v>
      </c>
      <c r="O174" s="28">
        <f t="shared" si="164"/>
        <v>0.78514458623999994</v>
      </c>
    </row>
    <row r="175" spans="1:15" x14ac:dyDescent="0.7">
      <c r="A175" s="5"/>
      <c r="B175" s="5"/>
      <c r="C175" s="2">
        <v>22</v>
      </c>
      <c r="D175" s="6">
        <v>9.4329999999999998</v>
      </c>
      <c r="E175" s="6">
        <v>0</v>
      </c>
      <c r="F175" s="6">
        <v>9.4329999999999998</v>
      </c>
      <c r="G175" s="12">
        <f t="shared" ref="G175" si="249">F175*86400</f>
        <v>815011.2</v>
      </c>
      <c r="H175" s="14">
        <f t="shared" ref="H175" si="250">G175/1000000</f>
        <v>0.81501119999999994</v>
      </c>
      <c r="I175" s="13">
        <f t="shared" si="158"/>
        <v>36675.503999999994</v>
      </c>
      <c r="J175" s="21">
        <f t="shared" si="159"/>
        <v>3.6675503999999991E-2</v>
      </c>
      <c r="K175" s="13">
        <f t="shared" si="160"/>
        <v>4401.0604799999992</v>
      </c>
      <c r="L175" s="13">
        <f t="shared" si="161"/>
        <v>4.401060479999999E-3</v>
      </c>
      <c r="M175" s="27">
        <f t="shared" si="162"/>
        <v>4.1076564479999987E-2</v>
      </c>
      <c r="N175" s="29">
        <f t="shared" si="163"/>
        <v>8.1501119999999996E-2</v>
      </c>
      <c r="O175" s="28">
        <f t="shared" si="164"/>
        <v>0.69243351551999999</v>
      </c>
    </row>
    <row r="176" spans="1:15" x14ac:dyDescent="0.7">
      <c r="A176" s="5"/>
      <c r="B176" s="5"/>
      <c r="C176" s="5">
        <v>23</v>
      </c>
      <c r="D176" s="6">
        <v>8.7330000000000005</v>
      </c>
      <c r="E176" s="6">
        <v>5</v>
      </c>
      <c r="F176" s="6">
        <v>8.7330000000000005</v>
      </c>
      <c r="G176" s="12">
        <f t="shared" ref="G176" si="251">F176*86400</f>
        <v>754531.20000000007</v>
      </c>
      <c r="H176" s="14">
        <f t="shared" ref="H176" si="252">G176/1000000</f>
        <v>0.75453120000000007</v>
      </c>
      <c r="I176" s="13">
        <f t="shared" si="158"/>
        <v>33953.904000000002</v>
      </c>
      <c r="J176" s="21">
        <f t="shared" si="159"/>
        <v>3.3953904E-2</v>
      </c>
      <c r="K176" s="13">
        <f t="shared" si="160"/>
        <v>4074.46848</v>
      </c>
      <c r="L176" s="13">
        <f t="shared" si="161"/>
        <v>4.0744684800000002E-3</v>
      </c>
      <c r="M176" s="27">
        <f t="shared" si="162"/>
        <v>3.8028372480000003E-2</v>
      </c>
      <c r="N176" s="29">
        <f t="shared" si="163"/>
        <v>7.5453120000000012E-2</v>
      </c>
      <c r="O176" s="28">
        <f t="shared" si="164"/>
        <v>0.64104970752000001</v>
      </c>
    </row>
    <row r="177" spans="1:15" x14ac:dyDescent="0.7">
      <c r="A177" s="5"/>
      <c r="B177" s="5"/>
      <c r="C177" s="5">
        <v>24</v>
      </c>
      <c r="D177" s="6">
        <v>8.2850000000000001</v>
      </c>
      <c r="E177" s="6">
        <v>4.5</v>
      </c>
      <c r="F177" s="6">
        <v>8.2850000000000001</v>
      </c>
      <c r="G177" s="12">
        <f t="shared" ref="G177" si="253">F177*86400</f>
        <v>715824</v>
      </c>
      <c r="H177" s="14">
        <f t="shared" ref="H177" si="254">G177/1000000</f>
        <v>0.71582400000000002</v>
      </c>
      <c r="I177" s="13">
        <f t="shared" si="158"/>
        <v>32212.079999999998</v>
      </c>
      <c r="J177" s="21">
        <f t="shared" si="159"/>
        <v>3.2212079999999997E-2</v>
      </c>
      <c r="K177" s="13">
        <f t="shared" si="160"/>
        <v>3865.4495999999995</v>
      </c>
      <c r="L177" s="13">
        <f t="shared" si="161"/>
        <v>3.8654495999999993E-3</v>
      </c>
      <c r="M177" s="27">
        <f t="shared" si="162"/>
        <v>3.6077529599999998E-2</v>
      </c>
      <c r="N177" s="29">
        <f t="shared" si="163"/>
        <v>7.1582400000000004E-2</v>
      </c>
      <c r="O177" s="28">
        <f t="shared" si="164"/>
        <v>0.60816407039999998</v>
      </c>
    </row>
    <row r="178" spans="1:15" x14ac:dyDescent="0.7">
      <c r="A178" s="5"/>
      <c r="B178" s="5"/>
      <c r="C178" s="2">
        <v>25</v>
      </c>
      <c r="D178" s="6">
        <v>8.4819999999999993</v>
      </c>
      <c r="E178" s="6">
        <v>1.2</v>
      </c>
      <c r="F178" s="6">
        <v>8.4819999999999993</v>
      </c>
      <c r="G178" s="12">
        <f t="shared" ref="G178" si="255">F178*86400</f>
        <v>732844.79999999993</v>
      </c>
      <c r="H178" s="14">
        <f t="shared" ref="H178" si="256">G178/1000000</f>
        <v>0.73284479999999996</v>
      </c>
      <c r="I178" s="13">
        <f t="shared" si="158"/>
        <v>32978.015999999996</v>
      </c>
      <c r="J178" s="21">
        <f t="shared" si="159"/>
        <v>3.2978015999999999E-2</v>
      </c>
      <c r="K178" s="13">
        <f t="shared" si="160"/>
        <v>3957.3619199999994</v>
      </c>
      <c r="L178" s="13">
        <f t="shared" si="161"/>
        <v>3.9573619199999993E-3</v>
      </c>
      <c r="M178" s="27">
        <f t="shared" si="162"/>
        <v>3.6935377919999998E-2</v>
      </c>
      <c r="N178" s="29">
        <f t="shared" si="163"/>
        <v>7.3284479999999999E-2</v>
      </c>
      <c r="O178" s="28">
        <f t="shared" si="164"/>
        <v>0.62262494207999997</v>
      </c>
    </row>
    <row r="179" spans="1:15" x14ac:dyDescent="0.7">
      <c r="A179" s="5"/>
      <c r="B179" s="5"/>
      <c r="C179" s="5">
        <v>26</v>
      </c>
      <c r="D179" s="6">
        <v>8.2889999999999997</v>
      </c>
      <c r="E179" s="6">
        <v>0.5</v>
      </c>
      <c r="F179" s="6">
        <v>8.2889999999999997</v>
      </c>
      <c r="G179" s="12">
        <f t="shared" ref="G179" si="257">F179*86400</f>
        <v>716169.6</v>
      </c>
      <c r="H179" s="14">
        <f t="shared" ref="H179" si="258">G179/1000000</f>
        <v>0.71616959999999996</v>
      </c>
      <c r="I179" s="13">
        <f t="shared" si="158"/>
        <v>32227.631999999998</v>
      </c>
      <c r="J179" s="21">
        <f t="shared" si="159"/>
        <v>3.2227631999999999E-2</v>
      </c>
      <c r="K179" s="13">
        <f t="shared" si="160"/>
        <v>3867.3158399999998</v>
      </c>
      <c r="L179" s="13">
        <f t="shared" si="161"/>
        <v>3.8673158399999998E-3</v>
      </c>
      <c r="M179" s="27">
        <f t="shared" si="162"/>
        <v>3.6094947840000002E-2</v>
      </c>
      <c r="N179" s="29">
        <f t="shared" si="163"/>
        <v>7.1616959999999993E-2</v>
      </c>
      <c r="O179" s="28">
        <f t="shared" si="164"/>
        <v>0.60845769216000001</v>
      </c>
    </row>
    <row r="180" spans="1:15" x14ac:dyDescent="0.7">
      <c r="A180" s="5"/>
      <c r="B180" s="5"/>
      <c r="C180" s="5">
        <v>27</v>
      </c>
      <c r="D180" s="6">
        <v>8.9030000000000005</v>
      </c>
      <c r="E180" s="6">
        <v>0</v>
      </c>
      <c r="F180" s="6">
        <v>8.9030000000000005</v>
      </c>
      <c r="G180" s="12">
        <f t="shared" ref="G180" si="259">F180*86400</f>
        <v>769219.20000000007</v>
      </c>
      <c r="H180" s="14">
        <f t="shared" ref="H180" si="260">G180/1000000</f>
        <v>0.7692192000000001</v>
      </c>
      <c r="I180" s="13">
        <f t="shared" si="158"/>
        <v>34614.864000000001</v>
      </c>
      <c r="J180" s="21">
        <f t="shared" si="159"/>
        <v>3.4614864000000002E-2</v>
      </c>
      <c r="K180" s="13">
        <f t="shared" si="160"/>
        <v>4153.7836800000005</v>
      </c>
      <c r="L180" s="13">
        <f t="shared" si="161"/>
        <v>4.1537836800000002E-3</v>
      </c>
      <c r="M180" s="27">
        <f t="shared" si="162"/>
        <v>3.8768647680000004E-2</v>
      </c>
      <c r="N180" s="29">
        <f t="shared" si="163"/>
        <v>7.6921920000000019E-2</v>
      </c>
      <c r="O180" s="28">
        <f t="shared" si="164"/>
        <v>0.65352863232000014</v>
      </c>
    </row>
    <row r="181" spans="1:15" x14ac:dyDescent="0.7">
      <c r="A181" s="10"/>
      <c r="B181" s="10"/>
      <c r="C181" s="24">
        <v>28</v>
      </c>
      <c r="D181" s="16">
        <v>0</v>
      </c>
      <c r="E181" s="6">
        <v>0</v>
      </c>
      <c r="F181" s="16">
        <v>0</v>
      </c>
      <c r="G181" s="17">
        <f t="shared" ref="G181" si="261">F181*86400</f>
        <v>0</v>
      </c>
      <c r="H181" s="18">
        <f t="shared" ref="H181" si="262">G181/1000000</f>
        <v>0</v>
      </c>
      <c r="I181" s="13">
        <f t="shared" si="158"/>
        <v>0</v>
      </c>
      <c r="J181" s="21">
        <f t="shared" si="159"/>
        <v>0</v>
      </c>
      <c r="K181" s="13">
        <f t="shared" si="160"/>
        <v>0</v>
      </c>
      <c r="L181" s="13">
        <f t="shared" si="161"/>
        <v>0</v>
      </c>
      <c r="M181" s="27">
        <f t="shared" si="162"/>
        <v>0</v>
      </c>
      <c r="N181" s="29">
        <f t="shared" si="163"/>
        <v>0</v>
      </c>
      <c r="O181" s="28">
        <f t="shared" si="164"/>
        <v>0</v>
      </c>
    </row>
    <row r="182" spans="1:15" s="20" customFormat="1" x14ac:dyDescent="0.7">
      <c r="A182" s="10"/>
      <c r="B182" s="10"/>
      <c r="C182" s="10">
        <v>29</v>
      </c>
      <c r="D182" s="16">
        <v>0</v>
      </c>
      <c r="E182" s="6">
        <v>0</v>
      </c>
      <c r="F182" s="16">
        <v>0</v>
      </c>
      <c r="G182" s="42">
        <f t="shared" ref="G182" si="263">F182*86400</f>
        <v>0</v>
      </c>
      <c r="H182" s="37">
        <f t="shared" ref="H182" si="264">G182/1000000</f>
        <v>0</v>
      </c>
      <c r="I182" s="37">
        <f t="shared" si="158"/>
        <v>0</v>
      </c>
      <c r="J182" s="38">
        <f t="shared" si="159"/>
        <v>0</v>
      </c>
      <c r="K182" s="37">
        <f t="shared" si="160"/>
        <v>0</v>
      </c>
      <c r="L182" s="37">
        <f t="shared" si="161"/>
        <v>0</v>
      </c>
      <c r="M182" s="39">
        <f t="shared" si="162"/>
        <v>0</v>
      </c>
      <c r="N182" s="40">
        <f t="shared" si="163"/>
        <v>0</v>
      </c>
      <c r="O182" s="41">
        <f t="shared" si="164"/>
        <v>0</v>
      </c>
    </row>
    <row r="183" spans="1:15" s="65" customFormat="1" ht="25.2" thickBot="1" x14ac:dyDescent="0.75">
      <c r="A183" s="8"/>
      <c r="B183" s="8" t="s">
        <v>20</v>
      </c>
      <c r="C183" s="8">
        <v>30</v>
      </c>
      <c r="D183" s="9">
        <v>0</v>
      </c>
      <c r="E183" s="9">
        <v>0</v>
      </c>
      <c r="F183" s="9">
        <v>0</v>
      </c>
      <c r="G183" s="19">
        <f t="shared" ref="G183" si="265">F183*86400</f>
        <v>0</v>
      </c>
      <c r="H183" s="15">
        <f t="shared" ref="H183" si="266">G183/1000000</f>
        <v>0</v>
      </c>
      <c r="I183" s="15">
        <f t="shared" si="158"/>
        <v>0</v>
      </c>
      <c r="J183" s="22">
        <f t="shared" si="159"/>
        <v>0</v>
      </c>
      <c r="K183" s="15">
        <f t="shared" si="160"/>
        <v>0</v>
      </c>
      <c r="L183" s="15">
        <f t="shared" si="161"/>
        <v>0</v>
      </c>
      <c r="M183" s="15">
        <f t="shared" si="162"/>
        <v>0</v>
      </c>
      <c r="N183" s="34">
        <f t="shared" si="163"/>
        <v>0</v>
      </c>
      <c r="O183" s="15">
        <f t="shared" si="164"/>
        <v>0</v>
      </c>
    </row>
    <row r="184" spans="1:15" x14ac:dyDescent="0.7">
      <c r="A184" s="2"/>
      <c r="B184" s="2" t="s">
        <v>21</v>
      </c>
      <c r="C184" s="2">
        <v>1</v>
      </c>
      <c r="D184" s="3">
        <v>8.5530000000000008</v>
      </c>
      <c r="E184" s="3">
        <v>0</v>
      </c>
      <c r="F184" s="3">
        <v>8.5530000000000008</v>
      </c>
      <c r="G184" s="12">
        <f t="shared" ref="G184" si="267">F184*86400</f>
        <v>738979.20000000007</v>
      </c>
      <c r="H184" s="14">
        <f t="shared" ref="H184" si="268">G184/1000000</f>
        <v>0.73897920000000006</v>
      </c>
      <c r="I184" s="14">
        <f t="shared" si="158"/>
        <v>33254.063999999998</v>
      </c>
      <c r="J184" s="26">
        <f t="shared" si="159"/>
        <v>3.3254064E-2</v>
      </c>
      <c r="K184" s="14">
        <f t="shared" si="160"/>
        <v>3990.4876799999997</v>
      </c>
      <c r="L184" s="14">
        <f t="shared" si="161"/>
        <v>3.9904876799999999E-3</v>
      </c>
      <c r="M184" s="30">
        <f t="shared" si="162"/>
        <v>3.7244551680000001E-2</v>
      </c>
      <c r="N184" s="31">
        <f t="shared" si="163"/>
        <v>7.3897920000000006E-2</v>
      </c>
      <c r="O184" s="32">
        <f t="shared" si="164"/>
        <v>0.62783672832000015</v>
      </c>
    </row>
    <row r="185" spans="1:15" x14ac:dyDescent="0.7">
      <c r="A185" s="5"/>
      <c r="B185" s="5"/>
      <c r="C185" s="5">
        <v>2</v>
      </c>
      <c r="D185" s="6">
        <v>9.1280000000000001</v>
      </c>
      <c r="E185" s="6">
        <v>0</v>
      </c>
      <c r="F185" s="6">
        <v>9.1280000000000001</v>
      </c>
      <c r="G185" s="12">
        <f t="shared" ref="G185" si="269">F185*86400</f>
        <v>788659.19999999995</v>
      </c>
      <c r="H185" s="14">
        <f t="shared" ref="H185" si="270">G185/1000000</f>
        <v>0.7886592</v>
      </c>
      <c r="I185" s="13">
        <f t="shared" si="158"/>
        <v>35489.663999999997</v>
      </c>
      <c r="J185" s="21">
        <f t="shared" si="159"/>
        <v>3.5489663999999997E-2</v>
      </c>
      <c r="K185" s="13">
        <f t="shared" si="160"/>
        <v>4258.7596799999992</v>
      </c>
      <c r="L185" s="13">
        <f t="shared" si="161"/>
        <v>4.258759679999999E-3</v>
      </c>
      <c r="M185" s="27">
        <f t="shared" si="162"/>
        <v>3.9748423679999999E-2</v>
      </c>
      <c r="N185" s="29">
        <f t="shared" si="163"/>
        <v>7.8865920000000006E-2</v>
      </c>
      <c r="O185" s="28">
        <f t="shared" si="164"/>
        <v>0.67004485631999999</v>
      </c>
    </row>
    <row r="186" spans="1:15" x14ac:dyDescent="0.7">
      <c r="A186" s="5"/>
      <c r="B186" s="5"/>
      <c r="C186" s="5">
        <v>3</v>
      </c>
      <c r="D186" s="6">
        <v>8.2370000000000001</v>
      </c>
      <c r="E186" s="6">
        <v>0.3</v>
      </c>
      <c r="F186" s="6">
        <v>8.2370000000000001</v>
      </c>
      <c r="G186" s="12">
        <f t="shared" ref="G186" si="271">F186*86400</f>
        <v>711676.8</v>
      </c>
      <c r="H186" s="14">
        <f t="shared" ref="H186" si="272">G186/1000000</f>
        <v>0.7116768</v>
      </c>
      <c r="I186" s="13">
        <f t="shared" si="158"/>
        <v>32025.456000000002</v>
      </c>
      <c r="J186" s="21">
        <f t="shared" si="159"/>
        <v>3.2025456000000001E-2</v>
      </c>
      <c r="K186" s="13">
        <f t="shared" si="160"/>
        <v>3843.0547200000001</v>
      </c>
      <c r="L186" s="13">
        <f t="shared" si="161"/>
        <v>3.84305472E-3</v>
      </c>
      <c r="M186" s="27">
        <f t="shared" si="162"/>
        <v>3.5868510720000003E-2</v>
      </c>
      <c r="N186" s="29">
        <f t="shared" si="163"/>
        <v>7.1167679999999997E-2</v>
      </c>
      <c r="O186" s="28">
        <f t="shared" si="164"/>
        <v>0.60464060928000007</v>
      </c>
    </row>
    <row r="187" spans="1:15" x14ac:dyDescent="0.7">
      <c r="A187" s="5"/>
      <c r="B187" s="5"/>
      <c r="C187" s="2">
        <v>4</v>
      </c>
      <c r="D187" s="6">
        <v>8.57</v>
      </c>
      <c r="E187" s="6">
        <v>0.3</v>
      </c>
      <c r="F187" s="6">
        <v>8.57</v>
      </c>
      <c r="G187" s="12">
        <f t="shared" ref="G187" si="273">F187*86400</f>
        <v>740448</v>
      </c>
      <c r="H187" s="14">
        <f t="shared" ref="H187" si="274">G187/1000000</f>
        <v>0.740448</v>
      </c>
      <c r="I187" s="13">
        <f t="shared" si="158"/>
        <v>33320.159999999996</v>
      </c>
      <c r="J187" s="21">
        <f t="shared" si="159"/>
        <v>3.3320159999999995E-2</v>
      </c>
      <c r="K187" s="13">
        <f t="shared" si="160"/>
        <v>3998.4191999999994</v>
      </c>
      <c r="L187" s="13">
        <f t="shared" si="161"/>
        <v>3.9984191999999997E-3</v>
      </c>
      <c r="M187" s="27">
        <f t="shared" si="162"/>
        <v>3.7318579199999993E-2</v>
      </c>
      <c r="N187" s="29">
        <f t="shared" si="163"/>
        <v>7.4044800000000008E-2</v>
      </c>
      <c r="O187" s="28">
        <f t="shared" si="164"/>
        <v>0.62908462079999994</v>
      </c>
    </row>
    <row r="188" spans="1:15" x14ac:dyDescent="0.7">
      <c r="A188" s="5"/>
      <c r="B188" s="5"/>
      <c r="C188" s="5">
        <v>5</v>
      </c>
      <c r="D188" s="6">
        <v>8.2260000000000009</v>
      </c>
      <c r="E188" s="6">
        <v>0.5</v>
      </c>
      <c r="F188" s="6">
        <v>8.2260000000000009</v>
      </c>
      <c r="G188" s="12">
        <f t="shared" ref="G188" si="275">F188*86400</f>
        <v>710726.4</v>
      </c>
      <c r="H188" s="14">
        <f t="shared" ref="H188" si="276">G188/1000000</f>
        <v>0.71072639999999998</v>
      </c>
      <c r="I188" s="13">
        <f t="shared" si="158"/>
        <v>31982.687999999998</v>
      </c>
      <c r="J188" s="21">
        <f t="shared" si="159"/>
        <v>3.1982687999999995E-2</v>
      </c>
      <c r="K188" s="13">
        <f t="shared" si="160"/>
        <v>3837.9225599999995</v>
      </c>
      <c r="L188" s="13">
        <f t="shared" si="161"/>
        <v>3.8379225599999996E-3</v>
      </c>
      <c r="M188" s="27">
        <f t="shared" si="162"/>
        <v>3.5820610559999994E-2</v>
      </c>
      <c r="N188" s="29">
        <f t="shared" si="163"/>
        <v>7.1072640000000006E-2</v>
      </c>
      <c r="O188" s="28">
        <f t="shared" si="164"/>
        <v>0.60383314943999999</v>
      </c>
    </row>
    <row r="189" spans="1:15" x14ac:dyDescent="0.7">
      <c r="A189" s="5"/>
      <c r="B189" s="5"/>
      <c r="C189" s="5">
        <v>6</v>
      </c>
      <c r="D189" s="6">
        <v>7.6420000000000003</v>
      </c>
      <c r="E189" s="6">
        <v>0</v>
      </c>
      <c r="F189" s="6">
        <v>7.6420000000000003</v>
      </c>
      <c r="G189" s="12">
        <f t="shared" ref="G189" si="277">F189*86400</f>
        <v>660268.80000000005</v>
      </c>
      <c r="H189" s="14">
        <f t="shared" ref="H189" si="278">G189/1000000</f>
        <v>0.6602688000000001</v>
      </c>
      <c r="I189" s="13">
        <f t="shared" si="158"/>
        <v>29712.096000000001</v>
      </c>
      <c r="J189" s="21">
        <f t="shared" si="159"/>
        <v>2.9712096E-2</v>
      </c>
      <c r="K189" s="13">
        <f t="shared" si="160"/>
        <v>3565.4515200000001</v>
      </c>
      <c r="L189" s="13">
        <f t="shared" si="161"/>
        <v>3.56545152E-3</v>
      </c>
      <c r="M189" s="27">
        <f t="shared" si="162"/>
        <v>3.3277547519999999E-2</v>
      </c>
      <c r="N189" s="29">
        <f t="shared" si="163"/>
        <v>6.602688000000001E-2</v>
      </c>
      <c r="O189" s="28">
        <f t="shared" si="164"/>
        <v>0.56096437248000008</v>
      </c>
    </row>
    <row r="190" spans="1:15" x14ac:dyDescent="0.7">
      <c r="A190" s="5"/>
      <c r="B190" s="5"/>
      <c r="C190" s="2">
        <v>7</v>
      </c>
      <c r="D190" s="6">
        <v>6.8959999999999999</v>
      </c>
      <c r="E190" s="6">
        <v>14.6</v>
      </c>
      <c r="F190" s="6">
        <v>6.8959999999999999</v>
      </c>
      <c r="G190" s="12">
        <f t="shared" ref="G190" si="279">F190*86400</f>
        <v>595814.40000000002</v>
      </c>
      <c r="H190" s="14">
        <f t="shared" ref="H190" si="280">G190/1000000</f>
        <v>0.59581440000000008</v>
      </c>
      <c r="I190" s="13">
        <f t="shared" si="158"/>
        <v>26811.648000000001</v>
      </c>
      <c r="J190" s="21">
        <f t="shared" si="159"/>
        <v>2.6811648E-2</v>
      </c>
      <c r="K190" s="13">
        <f t="shared" si="160"/>
        <v>3217.3977599999998</v>
      </c>
      <c r="L190" s="13">
        <f t="shared" si="161"/>
        <v>3.2173977599999999E-3</v>
      </c>
      <c r="M190" s="27">
        <f t="shared" si="162"/>
        <v>3.0029045760000001E-2</v>
      </c>
      <c r="N190" s="29">
        <f t="shared" si="163"/>
        <v>5.9581440000000013E-2</v>
      </c>
      <c r="O190" s="28">
        <f t="shared" si="164"/>
        <v>0.50620391424000011</v>
      </c>
    </row>
    <row r="191" spans="1:15" x14ac:dyDescent="0.7">
      <c r="A191" s="5"/>
      <c r="B191" s="5"/>
      <c r="C191" s="5">
        <v>8</v>
      </c>
      <c r="D191" s="6">
        <v>8.0749999999999993</v>
      </c>
      <c r="E191" s="6">
        <v>6.7</v>
      </c>
      <c r="F191" s="6">
        <v>8.0749999999999993</v>
      </c>
      <c r="G191" s="12">
        <f t="shared" ref="G191" si="281">F191*86400</f>
        <v>697679.99999999988</v>
      </c>
      <c r="H191" s="14">
        <f t="shared" ref="H191" si="282">G191/1000000</f>
        <v>0.69767999999999986</v>
      </c>
      <c r="I191" s="13">
        <f t="shared" si="158"/>
        <v>31395.599999999995</v>
      </c>
      <c r="J191" s="21">
        <f t="shared" si="159"/>
        <v>3.1395599999999996E-2</v>
      </c>
      <c r="K191" s="13">
        <f t="shared" si="160"/>
        <v>3767.4719999999993</v>
      </c>
      <c r="L191" s="13">
        <f t="shared" si="161"/>
        <v>3.7674719999999991E-3</v>
      </c>
      <c r="M191" s="27">
        <f t="shared" si="162"/>
        <v>3.5163071999999997E-2</v>
      </c>
      <c r="N191" s="29">
        <f t="shared" si="163"/>
        <v>6.9767999999999983E-2</v>
      </c>
      <c r="O191" s="28">
        <f t="shared" si="164"/>
        <v>0.5927489279999999</v>
      </c>
    </row>
    <row r="192" spans="1:15" x14ac:dyDescent="0.7">
      <c r="A192" s="5"/>
      <c r="B192" s="5"/>
      <c r="C192" s="5">
        <v>9</v>
      </c>
      <c r="D192" s="6">
        <v>23.867999999999999</v>
      </c>
      <c r="E192" s="6">
        <v>6.5</v>
      </c>
      <c r="F192" s="6">
        <v>23.867999999999999</v>
      </c>
      <c r="G192" s="12">
        <f t="shared" ref="G192" si="283">F192*86400</f>
        <v>2062195.2</v>
      </c>
      <c r="H192" s="14">
        <f t="shared" ref="H192" si="284">G192/1000000</f>
        <v>2.0621952000000001</v>
      </c>
      <c r="I192" s="13">
        <f t="shared" si="158"/>
        <v>92798.784</v>
      </c>
      <c r="J192" s="21">
        <f t="shared" si="159"/>
        <v>9.2798783999999995E-2</v>
      </c>
      <c r="K192" s="13">
        <f t="shared" si="160"/>
        <v>11135.854079999999</v>
      </c>
      <c r="L192" s="13">
        <f t="shared" si="161"/>
        <v>1.1135854079999999E-2</v>
      </c>
      <c r="M192" s="27">
        <f t="shared" si="162"/>
        <v>0.10393463807999999</v>
      </c>
      <c r="N192" s="29">
        <f t="shared" si="163"/>
        <v>0.20621952000000002</v>
      </c>
      <c r="O192" s="28">
        <f t="shared" si="164"/>
        <v>1.7520410419200001</v>
      </c>
    </row>
    <row r="193" spans="1:15" x14ac:dyDescent="0.7">
      <c r="A193" s="5"/>
      <c r="B193" s="5"/>
      <c r="C193" s="2">
        <v>10</v>
      </c>
      <c r="D193" s="6">
        <v>50.579000000000001</v>
      </c>
      <c r="E193" s="6">
        <v>0</v>
      </c>
      <c r="F193" s="6">
        <v>50.579000000000001</v>
      </c>
      <c r="G193" s="12">
        <f t="shared" ref="G193" si="285">F193*86400</f>
        <v>4370025.5999999996</v>
      </c>
      <c r="H193" s="14">
        <f t="shared" ref="H193" si="286">G193/1000000</f>
        <v>4.3700256</v>
      </c>
      <c r="I193" s="13">
        <f t="shared" si="158"/>
        <v>196651.15199999997</v>
      </c>
      <c r="J193" s="21">
        <f t="shared" si="159"/>
        <v>0.19665115199999997</v>
      </c>
      <c r="K193" s="13">
        <f t="shared" si="160"/>
        <v>23598.138239999997</v>
      </c>
      <c r="L193" s="13">
        <f t="shared" si="161"/>
        <v>2.3598138239999997E-2</v>
      </c>
      <c r="M193" s="27">
        <f t="shared" si="162"/>
        <v>0.22024929023999995</v>
      </c>
      <c r="N193" s="29">
        <f t="shared" si="163"/>
        <v>0.43700256000000004</v>
      </c>
      <c r="O193" s="28">
        <f t="shared" si="164"/>
        <v>3.7127737497600002</v>
      </c>
    </row>
    <row r="194" spans="1:15" x14ac:dyDescent="0.7">
      <c r="A194" s="5"/>
      <c r="B194" s="5"/>
      <c r="C194" s="5">
        <v>11</v>
      </c>
      <c r="D194" s="6">
        <v>17.675999999999998</v>
      </c>
      <c r="E194" s="6">
        <v>4.0999999999999996</v>
      </c>
      <c r="F194" s="6">
        <v>17.675999999999998</v>
      </c>
      <c r="G194" s="12">
        <f t="shared" ref="G194" si="287">F194*86400</f>
        <v>1527206.4</v>
      </c>
      <c r="H194" s="14">
        <f t="shared" ref="H194" si="288">G194/1000000</f>
        <v>1.5272063999999999</v>
      </c>
      <c r="I194" s="13">
        <f t="shared" si="158"/>
        <v>68724.288</v>
      </c>
      <c r="J194" s="21">
        <f t="shared" si="159"/>
        <v>6.8724287999999994E-2</v>
      </c>
      <c r="K194" s="13">
        <f t="shared" si="160"/>
        <v>8246.9145599999993</v>
      </c>
      <c r="L194" s="13">
        <f t="shared" si="161"/>
        <v>8.2469145599999988E-3</v>
      </c>
      <c r="M194" s="27">
        <f t="shared" si="162"/>
        <v>7.6971202559999993E-2</v>
      </c>
      <c r="N194" s="29">
        <f t="shared" si="163"/>
        <v>0.15272063999999999</v>
      </c>
      <c r="O194" s="28">
        <f t="shared" si="164"/>
        <v>1.2975145574399998</v>
      </c>
    </row>
    <row r="195" spans="1:15" x14ac:dyDescent="0.7">
      <c r="A195" s="5"/>
      <c r="B195" s="5"/>
      <c r="C195" s="5">
        <v>12</v>
      </c>
      <c r="D195" s="6">
        <v>17.114999999999998</v>
      </c>
      <c r="E195" s="6">
        <v>8.3000000000000007</v>
      </c>
      <c r="F195" s="6">
        <v>17.114999999999998</v>
      </c>
      <c r="G195" s="12">
        <f t="shared" ref="G195" si="289">F195*86400</f>
        <v>1478735.9999999998</v>
      </c>
      <c r="H195" s="14">
        <f t="shared" ref="H195" si="290">G195/1000000</f>
        <v>1.4787359999999998</v>
      </c>
      <c r="I195" s="13">
        <f t="shared" si="158"/>
        <v>66543.119999999981</v>
      </c>
      <c r="J195" s="21">
        <f t="shared" si="159"/>
        <v>6.6543119999999983E-2</v>
      </c>
      <c r="K195" s="13">
        <f t="shared" si="160"/>
        <v>7985.1743999999971</v>
      </c>
      <c r="L195" s="13">
        <f t="shared" si="161"/>
        <v>7.9851743999999978E-3</v>
      </c>
      <c r="M195" s="27">
        <f t="shared" si="162"/>
        <v>7.4528294399999986E-2</v>
      </c>
      <c r="N195" s="29">
        <f t="shared" si="163"/>
        <v>0.14787359999999999</v>
      </c>
      <c r="O195" s="28">
        <f t="shared" si="164"/>
        <v>1.2563341055999997</v>
      </c>
    </row>
    <row r="196" spans="1:15" x14ac:dyDescent="0.7">
      <c r="A196" s="5"/>
      <c r="B196" s="5"/>
      <c r="C196" s="2">
        <v>13</v>
      </c>
      <c r="D196" s="6">
        <v>31.670999999999999</v>
      </c>
      <c r="E196" s="6">
        <v>2.5</v>
      </c>
      <c r="F196" s="6">
        <v>31.670999999999999</v>
      </c>
      <c r="G196" s="12">
        <f t="shared" ref="G196" si="291">F196*86400</f>
        <v>2736374.4</v>
      </c>
      <c r="H196" s="14">
        <f t="shared" ref="H196" si="292">G196/1000000</f>
        <v>2.7363743999999999</v>
      </c>
      <c r="I196" s="13">
        <f t="shared" ref="I196:I259" si="293">H196*1000000*0.045</f>
        <v>123136.848</v>
      </c>
      <c r="J196" s="21">
        <f t="shared" ref="J196:J259" si="294">I196/1000000</f>
        <v>0.12313684799999999</v>
      </c>
      <c r="K196" s="13">
        <f t="shared" ref="K196:K259" si="295">I196*0.12</f>
        <v>14776.421759999999</v>
      </c>
      <c r="L196" s="13">
        <f t="shared" ref="L196:L259" si="296">K196/1000000</f>
        <v>1.477642176E-2</v>
      </c>
      <c r="M196" s="27">
        <f t="shared" ref="M196:M259" si="297">J196+L196</f>
        <v>0.13791326975999998</v>
      </c>
      <c r="N196" s="29">
        <f t="shared" ref="N196:N259" si="298">H196*0.1</f>
        <v>0.27363744000000001</v>
      </c>
      <c r="O196" s="28">
        <f t="shared" ref="O196:O259" si="299">H196-M196-N196</f>
        <v>2.3248236902400001</v>
      </c>
    </row>
    <row r="197" spans="1:15" x14ac:dyDescent="0.7">
      <c r="A197" s="5"/>
      <c r="B197" s="5"/>
      <c r="C197" s="5">
        <v>14</v>
      </c>
      <c r="D197" s="6">
        <v>37.320999999999998</v>
      </c>
      <c r="E197" s="6">
        <v>0</v>
      </c>
      <c r="F197" s="6">
        <v>37.320999999999998</v>
      </c>
      <c r="G197" s="12">
        <f t="shared" ref="G197" si="300">F197*86400</f>
        <v>3224534.4</v>
      </c>
      <c r="H197" s="14">
        <f t="shared" ref="H197" si="301">G197/1000000</f>
        <v>3.2245344</v>
      </c>
      <c r="I197" s="13">
        <f t="shared" si="293"/>
        <v>145104.04799999998</v>
      </c>
      <c r="J197" s="21">
        <f t="shared" si="294"/>
        <v>0.14510404799999999</v>
      </c>
      <c r="K197" s="13">
        <f t="shared" si="295"/>
        <v>17412.485759999996</v>
      </c>
      <c r="L197" s="13">
        <f t="shared" si="296"/>
        <v>1.7412485759999995E-2</v>
      </c>
      <c r="M197" s="27">
        <f t="shared" si="297"/>
        <v>0.16251653375999997</v>
      </c>
      <c r="N197" s="29">
        <f t="shared" si="298"/>
        <v>0.32245344000000004</v>
      </c>
      <c r="O197" s="28">
        <f t="shared" si="299"/>
        <v>2.7395644262400003</v>
      </c>
    </row>
    <row r="198" spans="1:15" x14ac:dyDescent="0.7">
      <c r="A198" s="5"/>
      <c r="B198" s="5"/>
      <c r="C198" s="5">
        <v>15</v>
      </c>
      <c r="D198" s="6">
        <v>25.473000000000003</v>
      </c>
      <c r="E198" s="6">
        <v>0</v>
      </c>
      <c r="F198" s="6">
        <v>25.473000000000003</v>
      </c>
      <c r="G198" s="12">
        <f t="shared" ref="G198" si="302">F198*86400</f>
        <v>2200867.2000000002</v>
      </c>
      <c r="H198" s="14">
        <f t="shared" ref="H198" si="303">G198/1000000</f>
        <v>2.2008672000000002</v>
      </c>
      <c r="I198" s="13">
        <f t="shared" si="293"/>
        <v>99039.024000000005</v>
      </c>
      <c r="J198" s="21">
        <f t="shared" si="294"/>
        <v>9.9039024000000003E-2</v>
      </c>
      <c r="K198" s="13">
        <f t="shared" si="295"/>
        <v>11884.68288</v>
      </c>
      <c r="L198" s="13">
        <f t="shared" si="296"/>
        <v>1.1884682880000001E-2</v>
      </c>
      <c r="M198" s="27">
        <f t="shared" si="297"/>
        <v>0.11092370688</v>
      </c>
      <c r="N198" s="29">
        <f t="shared" si="298"/>
        <v>0.22008672000000004</v>
      </c>
      <c r="O198" s="28">
        <f t="shared" si="299"/>
        <v>1.8698567731200002</v>
      </c>
    </row>
    <row r="199" spans="1:15" x14ac:dyDescent="0.7">
      <c r="A199" s="5"/>
      <c r="B199" s="5"/>
      <c r="C199" s="2">
        <v>16</v>
      </c>
      <c r="D199" s="6">
        <v>23.013000000000002</v>
      </c>
      <c r="E199" s="6">
        <v>11.6</v>
      </c>
      <c r="F199" s="6">
        <v>23.013000000000002</v>
      </c>
      <c r="G199" s="12">
        <f t="shared" ref="G199" si="304">F199*86400</f>
        <v>1988323.2000000002</v>
      </c>
      <c r="H199" s="14">
        <f t="shared" ref="H199" si="305">G199/1000000</f>
        <v>1.9883232000000002</v>
      </c>
      <c r="I199" s="13">
        <f t="shared" si="293"/>
        <v>89474.544000000009</v>
      </c>
      <c r="J199" s="21">
        <f t="shared" si="294"/>
        <v>8.9474544000000003E-2</v>
      </c>
      <c r="K199" s="13">
        <f t="shared" si="295"/>
        <v>10736.94528</v>
      </c>
      <c r="L199" s="13">
        <f t="shared" si="296"/>
        <v>1.073694528E-2</v>
      </c>
      <c r="M199" s="27">
        <f t="shared" si="297"/>
        <v>0.10021148928000001</v>
      </c>
      <c r="N199" s="29">
        <f t="shared" si="298"/>
        <v>0.19883232000000003</v>
      </c>
      <c r="O199" s="28">
        <f t="shared" si="299"/>
        <v>1.6892793907200001</v>
      </c>
    </row>
    <row r="200" spans="1:15" x14ac:dyDescent="0.7">
      <c r="A200" s="5"/>
      <c r="B200" s="5"/>
      <c r="C200" s="5">
        <v>17</v>
      </c>
      <c r="D200" s="6">
        <v>20.754000000000001</v>
      </c>
      <c r="E200" s="6">
        <v>0.8</v>
      </c>
      <c r="F200" s="6">
        <v>20.754000000000001</v>
      </c>
      <c r="G200" s="12">
        <f t="shared" ref="G200" si="306">F200*86400</f>
        <v>1793145.6</v>
      </c>
      <c r="H200" s="14">
        <f t="shared" ref="H200" si="307">G200/1000000</f>
        <v>1.7931456000000001</v>
      </c>
      <c r="I200" s="13">
        <f t="shared" si="293"/>
        <v>80691.551999999996</v>
      </c>
      <c r="J200" s="21">
        <f t="shared" si="294"/>
        <v>8.0691552E-2</v>
      </c>
      <c r="K200" s="13">
        <f t="shared" si="295"/>
        <v>9682.9862399999984</v>
      </c>
      <c r="L200" s="13">
        <f t="shared" si="296"/>
        <v>9.6829862399999984E-3</v>
      </c>
      <c r="M200" s="27">
        <f t="shared" si="297"/>
        <v>9.0374538239999996E-2</v>
      </c>
      <c r="N200" s="29">
        <f t="shared" si="298"/>
        <v>0.17931456000000001</v>
      </c>
      <c r="O200" s="28">
        <f t="shared" si="299"/>
        <v>1.5234565017600001</v>
      </c>
    </row>
    <row r="201" spans="1:15" x14ac:dyDescent="0.7">
      <c r="A201" s="5"/>
      <c r="B201" s="5"/>
      <c r="C201" s="5">
        <v>18</v>
      </c>
      <c r="D201" s="6">
        <v>14.77</v>
      </c>
      <c r="E201" s="6">
        <v>41</v>
      </c>
      <c r="F201" s="6">
        <v>14.77</v>
      </c>
      <c r="G201" s="12">
        <f t="shared" ref="G201" si="308">F201*86400</f>
        <v>1276128</v>
      </c>
      <c r="H201" s="14">
        <f t="shared" ref="H201" si="309">G201/1000000</f>
        <v>1.2761279999999999</v>
      </c>
      <c r="I201" s="13">
        <f t="shared" si="293"/>
        <v>57425.759999999995</v>
      </c>
      <c r="J201" s="21">
        <f t="shared" si="294"/>
        <v>5.7425759999999992E-2</v>
      </c>
      <c r="K201" s="13">
        <f t="shared" si="295"/>
        <v>6891.0911999999989</v>
      </c>
      <c r="L201" s="13">
        <f t="shared" si="296"/>
        <v>6.8910911999999986E-3</v>
      </c>
      <c r="M201" s="27">
        <f t="shared" si="297"/>
        <v>6.4316851199999997E-2</v>
      </c>
      <c r="N201" s="29">
        <f t="shared" si="298"/>
        <v>0.1276128</v>
      </c>
      <c r="O201" s="28">
        <f t="shared" si="299"/>
        <v>1.0841983487999998</v>
      </c>
    </row>
    <row r="202" spans="1:15" x14ac:dyDescent="0.7">
      <c r="A202" s="5"/>
      <c r="B202" s="5"/>
      <c r="C202" s="2">
        <v>19</v>
      </c>
      <c r="D202" s="6">
        <v>19.213999999999999</v>
      </c>
      <c r="E202" s="6">
        <v>0.5</v>
      </c>
      <c r="F202" s="6">
        <v>19.213999999999999</v>
      </c>
      <c r="G202" s="12">
        <f t="shared" ref="G202" si="310">F202*86400</f>
        <v>1660089.5999999999</v>
      </c>
      <c r="H202" s="14">
        <f t="shared" ref="H202" si="311">G202/1000000</f>
        <v>1.6600895999999998</v>
      </c>
      <c r="I202" s="13">
        <f t="shared" si="293"/>
        <v>74704.031999999992</v>
      </c>
      <c r="J202" s="21">
        <f t="shared" si="294"/>
        <v>7.470403199999999E-2</v>
      </c>
      <c r="K202" s="13">
        <f t="shared" si="295"/>
        <v>8964.483839999999</v>
      </c>
      <c r="L202" s="13">
        <f t="shared" si="296"/>
        <v>8.9644838399999989E-3</v>
      </c>
      <c r="M202" s="27">
        <f t="shared" si="297"/>
        <v>8.3668515839999985E-2</v>
      </c>
      <c r="N202" s="29">
        <f t="shared" si="298"/>
        <v>0.16600895999999998</v>
      </c>
      <c r="O202" s="28">
        <f t="shared" si="299"/>
        <v>1.4104121241600001</v>
      </c>
    </row>
    <row r="203" spans="1:15" x14ac:dyDescent="0.7">
      <c r="A203" s="5"/>
      <c r="B203" s="5"/>
      <c r="C203" s="5">
        <v>20</v>
      </c>
      <c r="D203" s="6">
        <v>18.228000000000002</v>
      </c>
      <c r="E203" s="6">
        <v>0</v>
      </c>
      <c r="F203" s="6">
        <v>18.228000000000002</v>
      </c>
      <c r="G203" s="12">
        <f t="shared" ref="G203" si="312">F203*86400</f>
        <v>1574899.2000000002</v>
      </c>
      <c r="H203" s="14">
        <f t="shared" ref="H203" si="313">G203/1000000</f>
        <v>1.5748992000000002</v>
      </c>
      <c r="I203" s="13">
        <f t="shared" si="293"/>
        <v>70870.464000000007</v>
      </c>
      <c r="J203" s="21">
        <f t="shared" si="294"/>
        <v>7.0870464000000008E-2</v>
      </c>
      <c r="K203" s="13">
        <f t="shared" si="295"/>
        <v>8504.4556800000009</v>
      </c>
      <c r="L203" s="13">
        <f t="shared" si="296"/>
        <v>8.5044556800000018E-3</v>
      </c>
      <c r="M203" s="27">
        <f t="shared" si="297"/>
        <v>7.9374919680000017E-2</v>
      </c>
      <c r="N203" s="29">
        <f t="shared" si="298"/>
        <v>0.15748992000000003</v>
      </c>
      <c r="O203" s="28">
        <f t="shared" si="299"/>
        <v>1.3380343603200002</v>
      </c>
    </row>
    <row r="204" spans="1:15" x14ac:dyDescent="0.7">
      <c r="A204" s="5"/>
      <c r="B204" s="5"/>
      <c r="C204" s="5">
        <v>21</v>
      </c>
      <c r="D204" s="6">
        <v>14.843999999999999</v>
      </c>
      <c r="E204" s="6">
        <v>4.4000000000000004</v>
      </c>
      <c r="F204" s="6">
        <v>14.843999999999999</v>
      </c>
      <c r="G204" s="12">
        <f t="shared" ref="G204" si="314">F204*86400</f>
        <v>1282521.5999999999</v>
      </c>
      <c r="H204" s="14">
        <f t="shared" ref="H204" si="315">G204/1000000</f>
        <v>1.2825215999999999</v>
      </c>
      <c r="I204" s="13">
        <f t="shared" si="293"/>
        <v>57713.471999999994</v>
      </c>
      <c r="J204" s="21">
        <f t="shared" si="294"/>
        <v>5.7713471999999995E-2</v>
      </c>
      <c r="K204" s="13">
        <f t="shared" si="295"/>
        <v>6925.6166399999993</v>
      </c>
      <c r="L204" s="13">
        <f t="shared" si="296"/>
        <v>6.9256166399999991E-3</v>
      </c>
      <c r="M204" s="27">
        <f t="shared" si="297"/>
        <v>6.4639088639999995E-2</v>
      </c>
      <c r="N204" s="29">
        <f t="shared" si="298"/>
        <v>0.12825216</v>
      </c>
      <c r="O204" s="28">
        <f t="shared" si="299"/>
        <v>1.0896303513600001</v>
      </c>
    </row>
    <row r="205" spans="1:15" x14ac:dyDescent="0.7">
      <c r="A205" s="5"/>
      <c r="B205" s="5"/>
      <c r="C205" s="2">
        <v>22</v>
      </c>
      <c r="D205" s="6">
        <v>14.753</v>
      </c>
      <c r="E205" s="6">
        <v>4.4000000000000004</v>
      </c>
      <c r="F205" s="6">
        <v>14.753</v>
      </c>
      <c r="G205" s="12">
        <f t="shared" ref="G205" si="316">F205*86400</f>
        <v>1274659.2</v>
      </c>
      <c r="H205" s="14">
        <f t="shared" ref="H205" si="317">G205/1000000</f>
        <v>1.2746591999999999</v>
      </c>
      <c r="I205" s="13">
        <f t="shared" si="293"/>
        <v>57359.663999999997</v>
      </c>
      <c r="J205" s="21">
        <f t="shared" si="294"/>
        <v>5.7359663999999998E-2</v>
      </c>
      <c r="K205" s="13">
        <f t="shared" si="295"/>
        <v>6883.1596799999998</v>
      </c>
      <c r="L205" s="13">
        <f t="shared" si="296"/>
        <v>6.8831596799999997E-3</v>
      </c>
      <c r="M205" s="27">
        <f t="shared" si="297"/>
        <v>6.4242823679999991E-2</v>
      </c>
      <c r="N205" s="29">
        <f t="shared" si="298"/>
        <v>0.12746591999999998</v>
      </c>
      <c r="O205" s="28">
        <f t="shared" si="299"/>
        <v>1.0829504563200001</v>
      </c>
    </row>
    <row r="206" spans="1:15" x14ac:dyDescent="0.7">
      <c r="A206" s="5"/>
      <c r="B206" s="5"/>
      <c r="C206" s="5">
        <v>23</v>
      </c>
      <c r="D206" s="6">
        <v>14.688000000000001</v>
      </c>
      <c r="E206" s="6">
        <v>1.5</v>
      </c>
      <c r="F206" s="6">
        <v>14.688000000000001</v>
      </c>
      <c r="G206" s="12">
        <f t="shared" ref="G206" si="318">F206*86400</f>
        <v>1269043.2</v>
      </c>
      <c r="H206" s="14">
        <f t="shared" ref="H206" si="319">G206/1000000</f>
        <v>1.2690432</v>
      </c>
      <c r="I206" s="13">
        <f t="shared" si="293"/>
        <v>57106.943999999996</v>
      </c>
      <c r="J206" s="21">
        <f t="shared" si="294"/>
        <v>5.7106943999999993E-2</v>
      </c>
      <c r="K206" s="13">
        <f t="shared" si="295"/>
        <v>6852.8332799999989</v>
      </c>
      <c r="L206" s="13">
        <f t="shared" si="296"/>
        <v>6.8528332799999989E-3</v>
      </c>
      <c r="M206" s="27">
        <f t="shared" si="297"/>
        <v>6.3959777279999991E-2</v>
      </c>
      <c r="N206" s="29">
        <f t="shared" si="298"/>
        <v>0.12690432000000001</v>
      </c>
      <c r="O206" s="28">
        <f t="shared" si="299"/>
        <v>1.0781791027200001</v>
      </c>
    </row>
    <row r="207" spans="1:15" x14ac:dyDescent="0.7">
      <c r="A207" s="5"/>
      <c r="B207" s="5"/>
      <c r="C207" s="5">
        <v>24</v>
      </c>
      <c r="D207" s="6">
        <v>17.295000000000002</v>
      </c>
      <c r="E207" s="6">
        <v>0.8</v>
      </c>
      <c r="F207" s="6">
        <v>17.295000000000002</v>
      </c>
      <c r="G207" s="12">
        <f t="shared" ref="G207" si="320">F207*86400</f>
        <v>1494288.0000000002</v>
      </c>
      <c r="H207" s="14">
        <f t="shared" ref="H207" si="321">G207/1000000</f>
        <v>1.4942880000000003</v>
      </c>
      <c r="I207" s="13">
        <f t="shared" si="293"/>
        <v>67242.960000000006</v>
      </c>
      <c r="J207" s="21">
        <f t="shared" si="294"/>
        <v>6.7242960000000004E-2</v>
      </c>
      <c r="K207" s="13">
        <f t="shared" si="295"/>
        <v>8069.1552000000001</v>
      </c>
      <c r="L207" s="13">
        <f t="shared" si="296"/>
        <v>8.0691552000000007E-3</v>
      </c>
      <c r="M207" s="27">
        <f t="shared" si="297"/>
        <v>7.5312115200000002E-2</v>
      </c>
      <c r="N207" s="29">
        <f t="shared" si="298"/>
        <v>0.14942880000000003</v>
      </c>
      <c r="O207" s="28">
        <f t="shared" si="299"/>
        <v>1.2695470848000001</v>
      </c>
    </row>
    <row r="208" spans="1:15" x14ac:dyDescent="0.7">
      <c r="A208" s="5"/>
      <c r="B208" s="5"/>
      <c r="C208" s="2">
        <v>25</v>
      </c>
      <c r="D208" s="6">
        <v>16.012</v>
      </c>
      <c r="E208" s="6">
        <v>1.4</v>
      </c>
      <c r="F208" s="6">
        <v>16.012</v>
      </c>
      <c r="G208" s="12">
        <f t="shared" ref="G208" si="322">F208*86400</f>
        <v>1383436.8</v>
      </c>
      <c r="H208" s="14">
        <f t="shared" ref="H208" si="323">G208/1000000</f>
        <v>1.3834368000000001</v>
      </c>
      <c r="I208" s="13">
        <f t="shared" si="293"/>
        <v>62254.656000000003</v>
      </c>
      <c r="J208" s="21">
        <f t="shared" si="294"/>
        <v>6.2254656000000005E-2</v>
      </c>
      <c r="K208" s="13">
        <f t="shared" si="295"/>
        <v>7470.55872</v>
      </c>
      <c r="L208" s="13">
        <f t="shared" si="296"/>
        <v>7.4705587200000001E-3</v>
      </c>
      <c r="M208" s="27">
        <f t="shared" si="297"/>
        <v>6.9725214720000012E-2</v>
      </c>
      <c r="N208" s="29">
        <f t="shared" si="298"/>
        <v>0.13834368000000002</v>
      </c>
      <c r="O208" s="28">
        <f t="shared" si="299"/>
        <v>1.1753679052800001</v>
      </c>
    </row>
    <row r="209" spans="1:15" x14ac:dyDescent="0.7">
      <c r="A209" s="5"/>
      <c r="B209" s="5"/>
      <c r="C209" s="5">
        <v>26</v>
      </c>
      <c r="D209" s="6">
        <v>14.688000000000001</v>
      </c>
      <c r="E209" s="6">
        <v>40</v>
      </c>
      <c r="F209" s="6">
        <v>14.688000000000001</v>
      </c>
      <c r="G209" s="12">
        <f t="shared" ref="G209" si="324">F209*86400</f>
        <v>1269043.2</v>
      </c>
      <c r="H209" s="14">
        <f t="shared" ref="H209" si="325">G209/1000000</f>
        <v>1.2690432</v>
      </c>
      <c r="I209" s="13">
        <f t="shared" si="293"/>
        <v>57106.943999999996</v>
      </c>
      <c r="J209" s="21">
        <f t="shared" si="294"/>
        <v>5.7106943999999993E-2</v>
      </c>
      <c r="K209" s="13">
        <f t="shared" si="295"/>
        <v>6852.8332799999989</v>
      </c>
      <c r="L209" s="13">
        <f t="shared" si="296"/>
        <v>6.8528332799999989E-3</v>
      </c>
      <c r="M209" s="27">
        <f t="shared" si="297"/>
        <v>6.3959777279999991E-2</v>
      </c>
      <c r="N209" s="29">
        <f t="shared" si="298"/>
        <v>0.12690432000000001</v>
      </c>
      <c r="O209" s="28">
        <f t="shared" si="299"/>
        <v>1.0781791027200001</v>
      </c>
    </row>
    <row r="210" spans="1:15" x14ac:dyDescent="0.7">
      <c r="A210" s="5"/>
      <c r="B210" s="5"/>
      <c r="C210" s="5">
        <v>27</v>
      </c>
      <c r="D210" s="6">
        <v>65.149000000000001</v>
      </c>
      <c r="E210" s="6">
        <v>23.7</v>
      </c>
      <c r="F210" s="6">
        <v>65.149000000000001</v>
      </c>
      <c r="G210" s="12">
        <f t="shared" ref="G210" si="326">F210*86400</f>
        <v>5628873.5999999996</v>
      </c>
      <c r="H210" s="14">
        <f t="shared" ref="H210" si="327">G210/1000000</f>
        <v>5.6288735999999995</v>
      </c>
      <c r="I210" s="13">
        <f t="shared" si="293"/>
        <v>253299.31199999998</v>
      </c>
      <c r="J210" s="21">
        <f t="shared" si="294"/>
        <v>0.253299312</v>
      </c>
      <c r="K210" s="13">
        <f t="shared" si="295"/>
        <v>30395.917439999997</v>
      </c>
      <c r="L210" s="13">
        <f t="shared" si="296"/>
        <v>3.0395917439999996E-2</v>
      </c>
      <c r="M210" s="27">
        <f t="shared" si="297"/>
        <v>0.28369522943999997</v>
      </c>
      <c r="N210" s="29">
        <f t="shared" si="298"/>
        <v>0.56288735999999995</v>
      </c>
      <c r="O210" s="28">
        <f t="shared" si="299"/>
        <v>4.7822910105599998</v>
      </c>
    </row>
    <row r="211" spans="1:15" x14ac:dyDescent="0.7">
      <c r="A211" s="5"/>
      <c r="B211" s="5"/>
      <c r="C211" s="2">
        <v>28</v>
      </c>
      <c r="D211" s="6">
        <v>42.713999999999999</v>
      </c>
      <c r="E211" s="6">
        <v>1.3</v>
      </c>
      <c r="F211" s="6">
        <v>42.713999999999999</v>
      </c>
      <c r="G211" s="12">
        <f t="shared" ref="G211" si="328">F211*86400</f>
        <v>3690489.6</v>
      </c>
      <c r="H211" s="14">
        <f t="shared" ref="H211" si="329">G211/1000000</f>
        <v>3.6904896000000003</v>
      </c>
      <c r="I211" s="13">
        <f t="shared" si="293"/>
        <v>166072.03200000001</v>
      </c>
      <c r="J211" s="21">
        <f t="shared" si="294"/>
        <v>0.16607203200000001</v>
      </c>
      <c r="K211" s="13">
        <f t="shared" si="295"/>
        <v>19928.643840000001</v>
      </c>
      <c r="L211" s="13">
        <f t="shared" si="296"/>
        <v>1.9928643839999999E-2</v>
      </c>
      <c r="M211" s="27">
        <f t="shared" si="297"/>
        <v>0.18600067584000002</v>
      </c>
      <c r="N211" s="29">
        <f t="shared" si="298"/>
        <v>0.36904896000000004</v>
      </c>
      <c r="O211" s="28">
        <f t="shared" si="299"/>
        <v>3.1354399641600001</v>
      </c>
    </row>
    <row r="212" spans="1:15" x14ac:dyDescent="0.7">
      <c r="A212" s="10"/>
      <c r="B212" s="10"/>
      <c r="C212" s="10">
        <v>29</v>
      </c>
      <c r="D212" s="16">
        <v>26.766000000000002</v>
      </c>
      <c r="E212" s="6">
        <v>4.3</v>
      </c>
      <c r="F212" s="16">
        <v>26.766000000000002</v>
      </c>
      <c r="G212" s="17">
        <f t="shared" ref="G212" si="330">F212*86400</f>
        <v>2312582.4000000004</v>
      </c>
      <c r="H212" s="18">
        <f t="shared" ref="H212" si="331">G212/1000000</f>
        <v>2.3125824000000006</v>
      </c>
      <c r="I212" s="13">
        <f t="shared" si="293"/>
        <v>104066.20800000001</v>
      </c>
      <c r="J212" s="21">
        <f t="shared" si="294"/>
        <v>0.10406620800000001</v>
      </c>
      <c r="K212" s="13">
        <f t="shared" si="295"/>
        <v>12487.944960000001</v>
      </c>
      <c r="L212" s="13">
        <f t="shared" si="296"/>
        <v>1.248794496E-2</v>
      </c>
      <c r="M212" s="27">
        <f t="shared" si="297"/>
        <v>0.11655415296</v>
      </c>
      <c r="N212" s="29">
        <f t="shared" si="298"/>
        <v>0.23125824000000006</v>
      </c>
      <c r="O212" s="28">
        <f t="shared" si="299"/>
        <v>1.9647700070400005</v>
      </c>
    </row>
    <row r="213" spans="1:15" s="20" customFormat="1" x14ac:dyDescent="0.7">
      <c r="A213" s="10"/>
      <c r="B213" s="10"/>
      <c r="C213" s="10">
        <v>30</v>
      </c>
      <c r="D213" s="16">
        <v>18.844999999999999</v>
      </c>
      <c r="E213" s="6">
        <v>11.9</v>
      </c>
      <c r="F213" s="16">
        <v>18.844999999999999</v>
      </c>
      <c r="G213" s="42">
        <f t="shared" ref="G213" si="332">F213*86400</f>
        <v>1628208</v>
      </c>
      <c r="H213" s="37">
        <f t="shared" ref="H213" si="333">G213/1000000</f>
        <v>1.6282080000000001</v>
      </c>
      <c r="I213" s="37">
        <f t="shared" si="293"/>
        <v>73269.36</v>
      </c>
      <c r="J213" s="38">
        <f t="shared" si="294"/>
        <v>7.3269360000000006E-2</v>
      </c>
      <c r="K213" s="37">
        <f t="shared" si="295"/>
        <v>8792.3231999999989</v>
      </c>
      <c r="L213" s="37">
        <f t="shared" si="296"/>
        <v>8.7923231999999987E-3</v>
      </c>
      <c r="M213" s="39">
        <f t="shared" si="297"/>
        <v>8.2061683199999999E-2</v>
      </c>
      <c r="N213" s="29">
        <f t="shared" si="298"/>
        <v>0.16282080000000002</v>
      </c>
      <c r="O213" s="41">
        <f t="shared" si="299"/>
        <v>1.3833255168</v>
      </c>
    </row>
    <row r="214" spans="1:15" s="36" customFormat="1" ht="25.2" thickBot="1" x14ac:dyDescent="0.75">
      <c r="A214" s="8"/>
      <c r="B214" s="8" t="s">
        <v>21</v>
      </c>
      <c r="C214" s="8">
        <v>31</v>
      </c>
      <c r="D214" s="9">
        <v>21.154999999999998</v>
      </c>
      <c r="E214" s="9">
        <v>0</v>
      </c>
      <c r="F214" s="9">
        <v>21.154999999999998</v>
      </c>
      <c r="G214" s="19">
        <f t="shared" ref="G214" si="334">F214*86400</f>
        <v>1827791.9999999998</v>
      </c>
      <c r="H214" s="15">
        <f t="shared" ref="H214" si="335">G214/1000000</f>
        <v>1.8277919999999999</v>
      </c>
      <c r="I214" s="15">
        <f t="shared" si="293"/>
        <v>82250.639999999985</v>
      </c>
      <c r="J214" s="22">
        <f t="shared" si="294"/>
        <v>8.2250639999999986E-2</v>
      </c>
      <c r="K214" s="15">
        <f t="shared" si="295"/>
        <v>9870.0767999999971</v>
      </c>
      <c r="L214" s="15">
        <f t="shared" si="296"/>
        <v>9.870076799999997E-3</v>
      </c>
      <c r="M214" s="33">
        <f t="shared" si="297"/>
        <v>9.2120716799999988E-2</v>
      </c>
      <c r="N214" s="34">
        <f t="shared" si="298"/>
        <v>0.1827792</v>
      </c>
      <c r="O214" s="35">
        <f t="shared" si="299"/>
        <v>1.5528920831999999</v>
      </c>
    </row>
    <row r="215" spans="1:15" x14ac:dyDescent="0.7">
      <c r="A215" s="2"/>
      <c r="B215" s="2" t="s">
        <v>22</v>
      </c>
      <c r="C215" s="2">
        <v>1</v>
      </c>
      <c r="D215" s="3">
        <v>17.666</v>
      </c>
      <c r="E215" s="3">
        <v>0</v>
      </c>
      <c r="F215" s="3">
        <v>17.666</v>
      </c>
      <c r="G215" s="12">
        <f t="shared" ref="G215" si="336">F215*86400</f>
        <v>1526342.4000000001</v>
      </c>
      <c r="H215" s="14">
        <f t="shared" ref="H215" si="337">G215/1000000</f>
        <v>1.5263424000000001</v>
      </c>
      <c r="I215" s="14">
        <f t="shared" si="293"/>
        <v>68685.40800000001</v>
      </c>
      <c r="J215" s="26">
        <f t="shared" si="294"/>
        <v>6.8685408000000017E-2</v>
      </c>
      <c r="K215" s="14">
        <f t="shared" si="295"/>
        <v>8242.2489600000008</v>
      </c>
      <c r="L215" s="14">
        <f t="shared" si="296"/>
        <v>8.2422489600000003E-3</v>
      </c>
      <c r="M215" s="30">
        <f t="shared" si="297"/>
        <v>7.6927656960000021E-2</v>
      </c>
      <c r="N215" s="31">
        <f t="shared" si="298"/>
        <v>0.15263424000000003</v>
      </c>
      <c r="O215" s="32">
        <f t="shared" si="299"/>
        <v>1.2967805030400001</v>
      </c>
    </row>
    <row r="216" spans="1:15" x14ac:dyDescent="0.7">
      <c r="A216" s="5"/>
      <c r="B216" s="5"/>
      <c r="C216" s="5">
        <v>2</v>
      </c>
      <c r="D216" s="6">
        <v>16.594000000000001</v>
      </c>
      <c r="E216" s="6">
        <v>35.5</v>
      </c>
      <c r="F216" s="6">
        <v>16.594000000000001</v>
      </c>
      <c r="G216" s="12">
        <f t="shared" ref="G216" si="338">F216*86400</f>
        <v>1433721.6</v>
      </c>
      <c r="H216" s="14">
        <f t="shared" ref="H216" si="339">G216/1000000</f>
        <v>1.4337216000000002</v>
      </c>
      <c r="I216" s="13">
        <f t="shared" si="293"/>
        <v>64517.472000000002</v>
      </c>
      <c r="J216" s="21">
        <f t="shared" si="294"/>
        <v>6.4517472000000006E-2</v>
      </c>
      <c r="K216" s="13">
        <f t="shared" si="295"/>
        <v>7742.0966399999998</v>
      </c>
      <c r="L216" s="13">
        <f t="shared" si="296"/>
        <v>7.7420966399999996E-3</v>
      </c>
      <c r="M216" s="27">
        <f t="shared" si="297"/>
        <v>7.2259568640000008E-2</v>
      </c>
      <c r="N216" s="29">
        <f t="shared" si="298"/>
        <v>0.14337216000000003</v>
      </c>
      <c r="O216" s="28">
        <f t="shared" si="299"/>
        <v>1.2180898713600001</v>
      </c>
    </row>
    <row r="217" spans="1:15" x14ac:dyDescent="0.7">
      <c r="A217" s="5"/>
      <c r="B217" s="5"/>
      <c r="C217" s="5">
        <v>3</v>
      </c>
      <c r="D217" s="6">
        <v>18.428999999999998</v>
      </c>
      <c r="E217" s="6">
        <v>3.7</v>
      </c>
      <c r="F217" s="6">
        <v>18.428999999999998</v>
      </c>
      <c r="G217" s="12">
        <f t="shared" ref="G217" si="340">F217*86400</f>
        <v>1592265.5999999999</v>
      </c>
      <c r="H217" s="14">
        <f t="shared" ref="H217" si="341">G217/1000000</f>
        <v>1.5922655999999999</v>
      </c>
      <c r="I217" s="13">
        <f t="shared" si="293"/>
        <v>71651.95199999999</v>
      </c>
      <c r="J217" s="21">
        <f t="shared" si="294"/>
        <v>7.1651951999999991E-2</v>
      </c>
      <c r="K217" s="13">
        <f t="shared" si="295"/>
        <v>8598.234239999998</v>
      </c>
      <c r="L217" s="13">
        <f t="shared" si="296"/>
        <v>8.5982342399999988E-3</v>
      </c>
      <c r="M217" s="27">
        <f t="shared" si="297"/>
        <v>8.0250186239999993E-2</v>
      </c>
      <c r="N217" s="29">
        <f t="shared" si="298"/>
        <v>0.15922656000000002</v>
      </c>
      <c r="O217" s="28">
        <f t="shared" si="299"/>
        <v>1.3527888537599999</v>
      </c>
    </row>
    <row r="218" spans="1:15" x14ac:dyDescent="0.7">
      <c r="A218" s="5"/>
      <c r="B218" s="5"/>
      <c r="C218" s="2">
        <v>4</v>
      </c>
      <c r="D218" s="6">
        <v>27.807000000000002</v>
      </c>
      <c r="E218" s="6">
        <v>10.9</v>
      </c>
      <c r="F218" s="6">
        <v>27.807000000000002</v>
      </c>
      <c r="G218" s="12">
        <f t="shared" ref="G218" si="342">F218*86400</f>
        <v>2402524.8000000003</v>
      </c>
      <c r="H218" s="14">
        <f t="shared" ref="H218" si="343">G218/1000000</f>
        <v>2.4025248000000001</v>
      </c>
      <c r="I218" s="13">
        <f t="shared" si="293"/>
        <v>108113.61600000001</v>
      </c>
      <c r="J218" s="21">
        <f t="shared" si="294"/>
        <v>0.10811361600000001</v>
      </c>
      <c r="K218" s="13">
        <f t="shared" si="295"/>
        <v>12973.63392</v>
      </c>
      <c r="L218" s="13">
        <f t="shared" si="296"/>
        <v>1.297363392E-2</v>
      </c>
      <c r="M218" s="27">
        <f t="shared" si="297"/>
        <v>0.12108724992000001</v>
      </c>
      <c r="N218" s="29">
        <f t="shared" si="298"/>
        <v>0.24025248000000002</v>
      </c>
      <c r="O218" s="28">
        <f t="shared" si="299"/>
        <v>2.0411850700800001</v>
      </c>
    </row>
    <row r="219" spans="1:15" x14ac:dyDescent="0.7">
      <c r="A219" s="5"/>
      <c r="B219" s="5"/>
      <c r="C219" s="5">
        <v>5</v>
      </c>
      <c r="D219" s="6">
        <v>19.116</v>
      </c>
      <c r="E219" s="6">
        <v>11.5</v>
      </c>
      <c r="F219" s="6">
        <v>19.116</v>
      </c>
      <c r="G219" s="12">
        <f t="shared" ref="G219" si="344">F219*86400</f>
        <v>1651622.4</v>
      </c>
      <c r="H219" s="14">
        <f t="shared" ref="H219" si="345">G219/1000000</f>
        <v>1.6516223999999999</v>
      </c>
      <c r="I219" s="13">
        <f t="shared" si="293"/>
        <v>74323.007999999987</v>
      </c>
      <c r="J219" s="21">
        <f t="shared" si="294"/>
        <v>7.4323007999999982E-2</v>
      </c>
      <c r="K219" s="13">
        <f t="shared" si="295"/>
        <v>8918.7609599999978</v>
      </c>
      <c r="L219" s="13">
        <f t="shared" si="296"/>
        <v>8.9187609599999974E-3</v>
      </c>
      <c r="M219" s="27">
        <f t="shared" si="297"/>
        <v>8.3241768959999976E-2</v>
      </c>
      <c r="N219" s="29">
        <f t="shared" si="298"/>
        <v>0.16516224000000002</v>
      </c>
      <c r="O219" s="28">
        <f t="shared" si="299"/>
        <v>1.4032183910399998</v>
      </c>
    </row>
    <row r="220" spans="1:15" x14ac:dyDescent="0.7">
      <c r="A220" s="5"/>
      <c r="B220" s="5"/>
      <c r="C220" s="5">
        <v>6</v>
      </c>
      <c r="D220" s="6">
        <v>16.867999999999999</v>
      </c>
      <c r="E220" s="6">
        <v>2.2000000000000002</v>
      </c>
      <c r="F220" s="6">
        <v>16.867999999999999</v>
      </c>
      <c r="G220" s="12">
        <f t="shared" ref="G220" si="346">F220*86400</f>
        <v>1457395.2</v>
      </c>
      <c r="H220" s="14">
        <f t="shared" ref="H220" si="347">G220/1000000</f>
        <v>1.4573951999999999</v>
      </c>
      <c r="I220" s="13">
        <f t="shared" si="293"/>
        <v>65582.784</v>
      </c>
      <c r="J220" s="21">
        <f t="shared" si="294"/>
        <v>6.5582784000000005E-2</v>
      </c>
      <c r="K220" s="13">
        <f t="shared" si="295"/>
        <v>7869.93408</v>
      </c>
      <c r="L220" s="13">
        <f t="shared" si="296"/>
        <v>7.86993408E-3</v>
      </c>
      <c r="M220" s="27">
        <f t="shared" si="297"/>
        <v>7.3452718080000007E-2</v>
      </c>
      <c r="N220" s="29">
        <f t="shared" si="298"/>
        <v>0.14573951999999998</v>
      </c>
      <c r="O220" s="28">
        <f t="shared" si="299"/>
        <v>1.2382029619199999</v>
      </c>
    </row>
    <row r="221" spans="1:15" x14ac:dyDescent="0.7">
      <c r="A221" s="5"/>
      <c r="B221" s="5"/>
      <c r="C221" s="2">
        <v>7</v>
      </c>
      <c r="D221" s="6">
        <v>38.515000000000001</v>
      </c>
      <c r="E221" s="6">
        <v>0</v>
      </c>
      <c r="F221" s="6">
        <v>38.515000000000001</v>
      </c>
      <c r="G221" s="12">
        <f t="shared" ref="G221" si="348">F221*86400</f>
        <v>3327696</v>
      </c>
      <c r="H221" s="14">
        <f t="shared" ref="H221" si="349">G221/1000000</f>
        <v>3.327696</v>
      </c>
      <c r="I221" s="13">
        <f t="shared" si="293"/>
        <v>149746.32</v>
      </c>
      <c r="J221" s="21">
        <f t="shared" si="294"/>
        <v>0.14974632000000002</v>
      </c>
      <c r="K221" s="13">
        <f t="shared" si="295"/>
        <v>17969.558400000002</v>
      </c>
      <c r="L221" s="13">
        <f t="shared" si="296"/>
        <v>1.7969558400000002E-2</v>
      </c>
      <c r="M221" s="27">
        <f t="shared" si="297"/>
        <v>0.16771587840000002</v>
      </c>
      <c r="N221" s="29">
        <f t="shared" si="298"/>
        <v>0.3327696</v>
      </c>
      <c r="O221" s="28">
        <f t="shared" si="299"/>
        <v>2.8272105215999996</v>
      </c>
    </row>
    <row r="222" spans="1:15" x14ac:dyDescent="0.7">
      <c r="A222" s="5"/>
      <c r="B222" s="5"/>
      <c r="C222" s="5">
        <v>8</v>
      </c>
      <c r="D222" s="6">
        <v>37.097999999999999</v>
      </c>
      <c r="E222" s="6">
        <v>14.2</v>
      </c>
      <c r="F222" s="6">
        <v>37.097999999999999</v>
      </c>
      <c r="G222" s="12">
        <f t="shared" ref="G222" si="350">F222*86400</f>
        <v>3205267.1999999997</v>
      </c>
      <c r="H222" s="14">
        <f t="shared" ref="H222" si="351">G222/1000000</f>
        <v>3.2052671999999998</v>
      </c>
      <c r="I222" s="13">
        <f t="shared" si="293"/>
        <v>144237.02399999998</v>
      </c>
      <c r="J222" s="21">
        <f t="shared" si="294"/>
        <v>0.14423702399999996</v>
      </c>
      <c r="K222" s="13">
        <f t="shared" si="295"/>
        <v>17308.442879999995</v>
      </c>
      <c r="L222" s="13">
        <f t="shared" si="296"/>
        <v>1.7308442879999997E-2</v>
      </c>
      <c r="M222" s="27">
        <f t="shared" si="297"/>
        <v>0.16154546687999996</v>
      </c>
      <c r="N222" s="29">
        <f t="shared" si="298"/>
        <v>0.32052671999999999</v>
      </c>
      <c r="O222" s="28">
        <f t="shared" si="299"/>
        <v>2.7231950131199998</v>
      </c>
    </row>
    <row r="223" spans="1:15" x14ac:dyDescent="0.7">
      <c r="A223" s="5"/>
      <c r="B223" s="5"/>
      <c r="C223" s="5">
        <v>9</v>
      </c>
      <c r="D223" s="6">
        <v>42.186</v>
      </c>
      <c r="E223" s="6">
        <v>13.7</v>
      </c>
      <c r="F223" s="6">
        <v>42.186</v>
      </c>
      <c r="G223" s="12">
        <f t="shared" ref="G223" si="352">F223*86400</f>
        <v>3644870.4</v>
      </c>
      <c r="H223" s="14">
        <f t="shared" ref="H223" si="353">G223/1000000</f>
        <v>3.6448703999999998</v>
      </c>
      <c r="I223" s="13">
        <f t="shared" si="293"/>
        <v>164019.16799999998</v>
      </c>
      <c r="J223" s="21">
        <f t="shared" si="294"/>
        <v>0.16401916799999997</v>
      </c>
      <c r="K223" s="13">
        <f t="shared" si="295"/>
        <v>19682.300159999995</v>
      </c>
      <c r="L223" s="13">
        <f t="shared" si="296"/>
        <v>1.9682300159999996E-2</v>
      </c>
      <c r="M223" s="27">
        <f t="shared" si="297"/>
        <v>0.18370146815999996</v>
      </c>
      <c r="N223" s="29">
        <f t="shared" si="298"/>
        <v>0.36448703999999998</v>
      </c>
      <c r="O223" s="28">
        <f t="shared" si="299"/>
        <v>3.0966818918400003</v>
      </c>
    </row>
    <row r="224" spans="1:15" x14ac:dyDescent="0.7">
      <c r="A224" s="5"/>
      <c r="B224" s="5"/>
      <c r="C224" s="2">
        <v>10</v>
      </c>
      <c r="D224" s="6">
        <v>0</v>
      </c>
      <c r="E224" s="6">
        <v>0.5</v>
      </c>
      <c r="F224" s="6">
        <v>0</v>
      </c>
      <c r="G224" s="12">
        <f t="shared" ref="G224" si="354">F224*86400</f>
        <v>0</v>
      </c>
      <c r="H224" s="14">
        <f t="shared" ref="H224" si="355">G224/1000000</f>
        <v>0</v>
      </c>
      <c r="I224" s="13">
        <f t="shared" si="293"/>
        <v>0</v>
      </c>
      <c r="J224" s="21">
        <f t="shared" si="294"/>
        <v>0</v>
      </c>
      <c r="K224" s="13">
        <f t="shared" si="295"/>
        <v>0</v>
      </c>
      <c r="L224" s="13">
        <f t="shared" si="296"/>
        <v>0</v>
      </c>
      <c r="M224" s="27">
        <f t="shared" si="297"/>
        <v>0</v>
      </c>
      <c r="N224" s="29">
        <f t="shared" si="298"/>
        <v>0</v>
      </c>
      <c r="O224" s="28">
        <f t="shared" si="299"/>
        <v>0</v>
      </c>
    </row>
    <row r="225" spans="1:15" x14ac:dyDescent="0.7">
      <c r="A225" s="5"/>
      <c r="B225" s="5"/>
      <c r="C225" s="5">
        <v>11</v>
      </c>
      <c r="D225" s="6">
        <v>0</v>
      </c>
      <c r="E225" s="6">
        <v>11</v>
      </c>
      <c r="F225" s="6">
        <v>0</v>
      </c>
      <c r="G225" s="12">
        <f t="shared" ref="G225" si="356">F225*86400</f>
        <v>0</v>
      </c>
      <c r="H225" s="14">
        <f t="shared" ref="H225" si="357">G225/1000000</f>
        <v>0</v>
      </c>
      <c r="I225" s="13">
        <f t="shared" si="293"/>
        <v>0</v>
      </c>
      <c r="J225" s="21">
        <f t="shared" si="294"/>
        <v>0</v>
      </c>
      <c r="K225" s="13">
        <f t="shared" si="295"/>
        <v>0</v>
      </c>
      <c r="L225" s="13">
        <f t="shared" si="296"/>
        <v>0</v>
      </c>
      <c r="M225" s="27">
        <f t="shared" si="297"/>
        <v>0</v>
      </c>
      <c r="N225" s="29">
        <f t="shared" si="298"/>
        <v>0</v>
      </c>
      <c r="O225" s="28">
        <f t="shared" si="299"/>
        <v>0</v>
      </c>
    </row>
    <row r="226" spans="1:15" x14ac:dyDescent="0.7">
      <c r="A226" s="5"/>
      <c r="B226" s="5"/>
      <c r="C226" s="5">
        <v>12</v>
      </c>
      <c r="D226" s="6">
        <v>22.291</v>
      </c>
      <c r="E226" s="6">
        <v>0</v>
      </c>
      <c r="F226" s="6">
        <v>22.291</v>
      </c>
      <c r="G226" s="12">
        <f t="shared" ref="G226" si="358">F226*86400</f>
        <v>1925942.4000000001</v>
      </c>
      <c r="H226" s="14">
        <f t="shared" ref="H226" si="359">G226/1000000</f>
        <v>1.9259424000000001</v>
      </c>
      <c r="I226" s="13">
        <f t="shared" si="293"/>
        <v>86667.407999999996</v>
      </c>
      <c r="J226" s="21">
        <f t="shared" si="294"/>
        <v>8.6667408000000001E-2</v>
      </c>
      <c r="K226" s="13">
        <f t="shared" si="295"/>
        <v>10400.088959999999</v>
      </c>
      <c r="L226" s="13">
        <f t="shared" si="296"/>
        <v>1.040008896E-2</v>
      </c>
      <c r="M226" s="27">
        <f t="shared" si="297"/>
        <v>9.7067496959999999E-2</v>
      </c>
      <c r="N226" s="29">
        <f t="shared" si="298"/>
        <v>0.19259424000000003</v>
      </c>
      <c r="O226" s="28">
        <f t="shared" si="299"/>
        <v>1.63628066304</v>
      </c>
    </row>
    <row r="227" spans="1:15" x14ac:dyDescent="0.7">
      <c r="A227" s="5"/>
      <c r="B227" s="5"/>
      <c r="C227" s="2">
        <v>13</v>
      </c>
      <c r="D227" s="6">
        <v>17.663</v>
      </c>
      <c r="E227" s="6">
        <v>10.6</v>
      </c>
      <c r="F227" s="6">
        <v>17.663</v>
      </c>
      <c r="G227" s="12">
        <f t="shared" ref="G227" si="360">F227*86400</f>
        <v>1526083.2</v>
      </c>
      <c r="H227" s="14">
        <f t="shared" ref="H227" si="361">G227/1000000</f>
        <v>1.5260832</v>
      </c>
      <c r="I227" s="13">
        <f t="shared" si="293"/>
        <v>68673.743999999992</v>
      </c>
      <c r="J227" s="21">
        <f t="shared" si="294"/>
        <v>6.8673743999999995E-2</v>
      </c>
      <c r="K227" s="13">
        <f t="shared" si="295"/>
        <v>8240.8492799999985</v>
      </c>
      <c r="L227" s="13">
        <f t="shared" si="296"/>
        <v>8.2408492799999986E-3</v>
      </c>
      <c r="M227" s="27">
        <f t="shared" si="297"/>
        <v>7.6914593279999999E-2</v>
      </c>
      <c r="N227" s="29">
        <f t="shared" si="298"/>
        <v>0.15260832000000002</v>
      </c>
      <c r="O227" s="28">
        <f t="shared" si="299"/>
        <v>1.2965602867200001</v>
      </c>
    </row>
    <row r="228" spans="1:15" x14ac:dyDescent="0.7">
      <c r="A228" s="5"/>
      <c r="B228" s="5"/>
      <c r="C228" s="5">
        <v>14</v>
      </c>
      <c r="D228" s="6">
        <v>16.030999999999999</v>
      </c>
      <c r="E228" s="6">
        <v>11.5</v>
      </c>
      <c r="F228" s="6">
        <v>16.030999999999999</v>
      </c>
      <c r="G228" s="12">
        <f t="shared" ref="G228" si="362">F228*86400</f>
        <v>1385078.4</v>
      </c>
      <c r="H228" s="14">
        <f t="shared" ref="H228" si="363">G228/1000000</f>
        <v>1.3850783999999998</v>
      </c>
      <c r="I228" s="13">
        <f t="shared" si="293"/>
        <v>62328.527999999991</v>
      </c>
      <c r="J228" s="21">
        <f t="shared" si="294"/>
        <v>6.2328527999999994E-2</v>
      </c>
      <c r="K228" s="13">
        <f t="shared" si="295"/>
        <v>7479.4233599999989</v>
      </c>
      <c r="L228" s="13">
        <f t="shared" si="296"/>
        <v>7.4794233599999992E-3</v>
      </c>
      <c r="M228" s="27">
        <f t="shared" si="297"/>
        <v>6.9807951359999995E-2</v>
      </c>
      <c r="N228" s="29">
        <f t="shared" si="298"/>
        <v>0.13850783999999999</v>
      </c>
      <c r="O228" s="28">
        <f t="shared" si="299"/>
        <v>1.1767626086399998</v>
      </c>
    </row>
    <row r="229" spans="1:15" x14ac:dyDescent="0.7">
      <c r="A229" s="5"/>
      <c r="B229" s="5"/>
      <c r="C229" s="5">
        <v>15</v>
      </c>
      <c r="D229" s="6">
        <v>27.712000000000003</v>
      </c>
      <c r="E229" s="6">
        <v>2.6</v>
      </c>
      <c r="F229" s="6">
        <v>27.712000000000003</v>
      </c>
      <c r="G229" s="12">
        <f t="shared" ref="G229" si="364">F229*86400</f>
        <v>2394316.8000000003</v>
      </c>
      <c r="H229" s="14">
        <f t="shared" ref="H229" si="365">G229/1000000</f>
        <v>2.3943168000000004</v>
      </c>
      <c r="I229" s="13">
        <f t="shared" si="293"/>
        <v>107744.25600000001</v>
      </c>
      <c r="J229" s="21">
        <f t="shared" si="294"/>
        <v>0.10774425600000001</v>
      </c>
      <c r="K229" s="13">
        <f t="shared" si="295"/>
        <v>12929.310720000001</v>
      </c>
      <c r="L229" s="13">
        <f t="shared" si="296"/>
        <v>1.2929310720000002E-2</v>
      </c>
      <c r="M229" s="27">
        <f t="shared" si="297"/>
        <v>0.12067356672000001</v>
      </c>
      <c r="N229" s="29">
        <f t="shared" si="298"/>
        <v>0.23943168000000004</v>
      </c>
      <c r="O229" s="28">
        <f t="shared" si="299"/>
        <v>2.0342115532800005</v>
      </c>
    </row>
    <row r="230" spans="1:15" x14ac:dyDescent="0.7">
      <c r="A230" s="5"/>
      <c r="B230" s="5"/>
      <c r="C230" s="2">
        <v>16</v>
      </c>
      <c r="D230" s="6">
        <v>27.712000000000003</v>
      </c>
      <c r="E230" s="6">
        <v>1.5</v>
      </c>
      <c r="F230" s="6">
        <v>27.712000000000003</v>
      </c>
      <c r="G230" s="12">
        <f t="shared" ref="G230" si="366">F230*86400</f>
        <v>2394316.8000000003</v>
      </c>
      <c r="H230" s="14">
        <f t="shared" ref="H230" si="367">G230/1000000</f>
        <v>2.3943168000000004</v>
      </c>
      <c r="I230" s="13">
        <f t="shared" si="293"/>
        <v>107744.25600000001</v>
      </c>
      <c r="J230" s="21">
        <f t="shared" si="294"/>
        <v>0.10774425600000001</v>
      </c>
      <c r="K230" s="13">
        <f t="shared" si="295"/>
        <v>12929.310720000001</v>
      </c>
      <c r="L230" s="13">
        <f t="shared" si="296"/>
        <v>1.2929310720000002E-2</v>
      </c>
      <c r="M230" s="27">
        <f t="shared" si="297"/>
        <v>0.12067356672000001</v>
      </c>
      <c r="N230" s="29">
        <f t="shared" si="298"/>
        <v>0.23943168000000004</v>
      </c>
      <c r="O230" s="28">
        <f t="shared" si="299"/>
        <v>2.0342115532800005</v>
      </c>
    </row>
    <row r="231" spans="1:15" x14ac:dyDescent="0.7">
      <c r="A231" s="5"/>
      <c r="B231" s="5"/>
      <c r="C231" s="5">
        <v>17</v>
      </c>
      <c r="D231" s="6">
        <v>21.154999999999998</v>
      </c>
      <c r="E231" s="6">
        <v>1</v>
      </c>
      <c r="F231" s="6">
        <v>21.154999999999998</v>
      </c>
      <c r="G231" s="12">
        <f t="shared" ref="G231" si="368">F231*86400</f>
        <v>1827791.9999999998</v>
      </c>
      <c r="H231" s="14">
        <f t="shared" ref="H231" si="369">G231/1000000</f>
        <v>1.8277919999999999</v>
      </c>
      <c r="I231" s="13">
        <f t="shared" si="293"/>
        <v>82250.639999999985</v>
      </c>
      <c r="J231" s="21">
        <f t="shared" si="294"/>
        <v>8.2250639999999986E-2</v>
      </c>
      <c r="K231" s="13">
        <f t="shared" si="295"/>
        <v>9870.0767999999971</v>
      </c>
      <c r="L231" s="13">
        <f t="shared" si="296"/>
        <v>9.870076799999997E-3</v>
      </c>
      <c r="M231" s="27">
        <f t="shared" si="297"/>
        <v>9.2120716799999988E-2</v>
      </c>
      <c r="N231" s="29">
        <f t="shared" si="298"/>
        <v>0.1827792</v>
      </c>
      <c r="O231" s="28">
        <f t="shared" si="299"/>
        <v>1.5528920831999999</v>
      </c>
    </row>
    <row r="232" spans="1:15" x14ac:dyDescent="0.7">
      <c r="A232" s="5"/>
      <c r="B232" s="5"/>
      <c r="C232" s="5">
        <v>18</v>
      </c>
      <c r="D232" s="6">
        <v>18.428999999999998</v>
      </c>
      <c r="E232" s="6">
        <v>0.8</v>
      </c>
      <c r="F232" s="6">
        <v>18.428999999999998</v>
      </c>
      <c r="G232" s="12">
        <f t="shared" ref="G232" si="370">F232*86400</f>
        <v>1592265.5999999999</v>
      </c>
      <c r="H232" s="14">
        <f t="shared" ref="H232" si="371">G232/1000000</f>
        <v>1.5922655999999999</v>
      </c>
      <c r="I232" s="13">
        <f t="shared" si="293"/>
        <v>71651.95199999999</v>
      </c>
      <c r="J232" s="21">
        <f t="shared" si="294"/>
        <v>7.1651951999999991E-2</v>
      </c>
      <c r="K232" s="13">
        <f t="shared" si="295"/>
        <v>8598.234239999998</v>
      </c>
      <c r="L232" s="13">
        <f t="shared" si="296"/>
        <v>8.5982342399999988E-3</v>
      </c>
      <c r="M232" s="27">
        <f t="shared" si="297"/>
        <v>8.0250186239999993E-2</v>
      </c>
      <c r="N232" s="29">
        <f t="shared" si="298"/>
        <v>0.15922656000000002</v>
      </c>
      <c r="O232" s="28">
        <f t="shared" si="299"/>
        <v>1.3527888537599999</v>
      </c>
    </row>
    <row r="233" spans="1:15" x14ac:dyDescent="0.7">
      <c r="A233" s="5"/>
      <c r="B233" s="5"/>
      <c r="C233" s="2">
        <v>19</v>
      </c>
      <c r="D233" s="6">
        <v>22.006</v>
      </c>
      <c r="E233" s="6">
        <v>18.600000000000001</v>
      </c>
      <c r="F233" s="6">
        <v>22.006</v>
      </c>
      <c r="G233" s="12">
        <f t="shared" ref="G233" si="372">F233*86400</f>
        <v>1901318.4</v>
      </c>
      <c r="H233" s="14">
        <f t="shared" ref="H233" si="373">G233/1000000</f>
        <v>1.9013183999999999</v>
      </c>
      <c r="I233" s="13">
        <f t="shared" si="293"/>
        <v>85559.327999999994</v>
      </c>
      <c r="J233" s="21">
        <f t="shared" si="294"/>
        <v>8.555932799999999E-2</v>
      </c>
      <c r="K233" s="13">
        <f t="shared" si="295"/>
        <v>10267.119359999999</v>
      </c>
      <c r="L233" s="13">
        <f t="shared" si="296"/>
        <v>1.0267119359999998E-2</v>
      </c>
      <c r="M233" s="27">
        <f t="shared" si="297"/>
        <v>9.5826447359999983E-2</v>
      </c>
      <c r="N233" s="29">
        <f t="shared" si="298"/>
        <v>0.19013184</v>
      </c>
      <c r="O233" s="28">
        <f t="shared" si="299"/>
        <v>1.6153601126399999</v>
      </c>
    </row>
    <row r="234" spans="1:15" x14ac:dyDescent="0.7">
      <c r="A234" s="5"/>
      <c r="B234" s="5"/>
      <c r="C234" s="5">
        <v>20</v>
      </c>
      <c r="D234" s="6">
        <v>22.263999999999999</v>
      </c>
      <c r="E234" s="6">
        <v>17</v>
      </c>
      <c r="F234" s="6">
        <v>22.263999999999999</v>
      </c>
      <c r="G234" s="12">
        <f t="shared" ref="G234" si="374">F234*86400</f>
        <v>1923609.5999999999</v>
      </c>
      <c r="H234" s="14">
        <f t="shared" ref="H234" si="375">G234/1000000</f>
        <v>1.9236095999999998</v>
      </c>
      <c r="I234" s="13">
        <f t="shared" si="293"/>
        <v>86562.431999999986</v>
      </c>
      <c r="J234" s="21">
        <f t="shared" si="294"/>
        <v>8.6562431999999981E-2</v>
      </c>
      <c r="K234" s="13">
        <f t="shared" si="295"/>
        <v>10387.491839999999</v>
      </c>
      <c r="L234" s="13">
        <f t="shared" si="296"/>
        <v>1.0387491839999999E-2</v>
      </c>
      <c r="M234" s="27">
        <f t="shared" si="297"/>
        <v>9.694992383999998E-2</v>
      </c>
      <c r="N234" s="29">
        <f t="shared" si="298"/>
        <v>0.19236096</v>
      </c>
      <c r="O234" s="28">
        <f t="shared" si="299"/>
        <v>1.6342987161599998</v>
      </c>
    </row>
    <row r="235" spans="1:15" x14ac:dyDescent="0.7">
      <c r="A235" s="5"/>
      <c r="B235" s="5"/>
      <c r="C235" s="5">
        <v>21</v>
      </c>
      <c r="D235" s="6">
        <v>55.765000000000001</v>
      </c>
      <c r="E235" s="6">
        <v>0</v>
      </c>
      <c r="F235" s="6">
        <v>55.765000000000001</v>
      </c>
      <c r="G235" s="12">
        <f t="shared" ref="G235" si="376">F235*86400</f>
        <v>4818096</v>
      </c>
      <c r="H235" s="14">
        <f t="shared" ref="H235" si="377">G235/1000000</f>
        <v>4.8180959999999997</v>
      </c>
      <c r="I235" s="13">
        <f t="shared" si="293"/>
        <v>216814.31999999998</v>
      </c>
      <c r="J235" s="21">
        <f t="shared" si="294"/>
        <v>0.21681431999999998</v>
      </c>
      <c r="K235" s="13">
        <f t="shared" si="295"/>
        <v>26017.718399999998</v>
      </c>
      <c r="L235" s="13">
        <f t="shared" si="296"/>
        <v>2.6017718399999997E-2</v>
      </c>
      <c r="M235" s="27">
        <f t="shared" si="297"/>
        <v>0.24283203839999998</v>
      </c>
      <c r="N235" s="29">
        <f t="shared" si="298"/>
        <v>0.4818096</v>
      </c>
      <c r="O235" s="28">
        <f t="shared" si="299"/>
        <v>4.0934543616000001</v>
      </c>
    </row>
    <row r="236" spans="1:15" x14ac:dyDescent="0.7">
      <c r="A236" s="5"/>
      <c r="B236" s="5"/>
      <c r="C236" s="2">
        <v>22</v>
      </c>
      <c r="D236" s="6">
        <v>42.713999999999999</v>
      </c>
      <c r="E236" s="6">
        <v>0</v>
      </c>
      <c r="F236" s="6">
        <v>42.713999999999999</v>
      </c>
      <c r="G236" s="12">
        <f t="shared" ref="G236" si="378">F236*86400</f>
        <v>3690489.6</v>
      </c>
      <c r="H236" s="14">
        <f t="shared" ref="H236" si="379">G236/1000000</f>
        <v>3.6904896000000003</v>
      </c>
      <c r="I236" s="13">
        <f t="shared" si="293"/>
        <v>166072.03200000001</v>
      </c>
      <c r="J236" s="21">
        <f t="shared" si="294"/>
        <v>0.16607203200000001</v>
      </c>
      <c r="K236" s="13">
        <f t="shared" si="295"/>
        <v>19928.643840000001</v>
      </c>
      <c r="L236" s="13">
        <f t="shared" si="296"/>
        <v>1.9928643839999999E-2</v>
      </c>
      <c r="M236" s="27">
        <f t="shared" si="297"/>
        <v>0.18600067584000002</v>
      </c>
      <c r="N236" s="29">
        <f t="shared" si="298"/>
        <v>0.36904896000000004</v>
      </c>
      <c r="O236" s="28">
        <f t="shared" si="299"/>
        <v>3.1354399641600001</v>
      </c>
    </row>
    <row r="237" spans="1:15" x14ac:dyDescent="0.7">
      <c r="A237" s="5"/>
      <c r="B237" s="5"/>
      <c r="C237" s="5">
        <v>23</v>
      </c>
      <c r="D237" s="6">
        <v>45.076000000000001</v>
      </c>
      <c r="E237" s="6">
        <v>0</v>
      </c>
      <c r="F237" s="6">
        <v>45.076000000000001</v>
      </c>
      <c r="G237" s="12">
        <f t="shared" ref="G237" si="380">F237*86400</f>
        <v>3894566.4</v>
      </c>
      <c r="H237" s="14">
        <f t="shared" ref="H237" si="381">G237/1000000</f>
        <v>3.8945664</v>
      </c>
      <c r="I237" s="13">
        <f t="shared" si="293"/>
        <v>175255.48799999998</v>
      </c>
      <c r="J237" s="21">
        <f t="shared" si="294"/>
        <v>0.17525548799999999</v>
      </c>
      <c r="K237" s="13">
        <f t="shared" si="295"/>
        <v>21030.658559999996</v>
      </c>
      <c r="L237" s="13">
        <f t="shared" si="296"/>
        <v>2.1030658559999995E-2</v>
      </c>
      <c r="M237" s="27">
        <f t="shared" si="297"/>
        <v>0.19628614655999999</v>
      </c>
      <c r="N237" s="29">
        <f t="shared" si="298"/>
        <v>0.38945664000000002</v>
      </c>
      <c r="O237" s="28">
        <f t="shared" si="299"/>
        <v>3.30882361344</v>
      </c>
    </row>
    <row r="238" spans="1:15" x14ac:dyDescent="0.7">
      <c r="A238" s="5"/>
      <c r="B238" s="5"/>
      <c r="C238" s="5">
        <v>24</v>
      </c>
      <c r="D238" s="6">
        <v>27.356000000000002</v>
      </c>
      <c r="E238" s="6">
        <v>0.4</v>
      </c>
      <c r="F238" s="6">
        <v>27.356000000000002</v>
      </c>
      <c r="G238" s="12">
        <f t="shared" ref="G238" si="382">F238*86400</f>
        <v>2363558.4000000004</v>
      </c>
      <c r="H238" s="14">
        <f t="shared" ref="H238" si="383">G238/1000000</f>
        <v>2.3635584000000005</v>
      </c>
      <c r="I238" s="13">
        <f t="shared" si="293"/>
        <v>106360.12800000001</v>
      </c>
      <c r="J238" s="21">
        <f t="shared" si="294"/>
        <v>0.10636012800000001</v>
      </c>
      <c r="K238" s="13">
        <f t="shared" si="295"/>
        <v>12763.21536</v>
      </c>
      <c r="L238" s="13">
        <f t="shared" si="296"/>
        <v>1.276321536E-2</v>
      </c>
      <c r="M238" s="27">
        <f t="shared" si="297"/>
        <v>0.11912334336000001</v>
      </c>
      <c r="N238" s="29">
        <f t="shared" si="298"/>
        <v>0.23635584000000007</v>
      </c>
      <c r="O238" s="28">
        <f t="shared" si="299"/>
        <v>2.0080792166400006</v>
      </c>
    </row>
    <row r="239" spans="1:15" x14ac:dyDescent="0.7">
      <c r="A239" s="5"/>
      <c r="B239" s="5"/>
      <c r="C239" s="2">
        <v>25</v>
      </c>
      <c r="D239" s="6">
        <v>18.167999999999999</v>
      </c>
      <c r="E239" s="6">
        <v>0</v>
      </c>
      <c r="F239" s="6">
        <v>18.167999999999999</v>
      </c>
      <c r="G239" s="12">
        <f t="shared" ref="G239" si="384">F239*86400</f>
        <v>1569715.2</v>
      </c>
      <c r="H239" s="14">
        <f t="shared" ref="H239" si="385">G239/1000000</f>
        <v>1.5697151999999999</v>
      </c>
      <c r="I239" s="13">
        <f t="shared" si="293"/>
        <v>70637.183999999994</v>
      </c>
      <c r="J239" s="21">
        <f t="shared" si="294"/>
        <v>7.0637183999999992E-2</v>
      </c>
      <c r="K239" s="13">
        <f t="shared" si="295"/>
        <v>8476.4620799999993</v>
      </c>
      <c r="L239" s="13">
        <f t="shared" si="296"/>
        <v>8.4764620799999985E-3</v>
      </c>
      <c r="M239" s="27">
        <f t="shared" si="297"/>
        <v>7.9113646079999989E-2</v>
      </c>
      <c r="N239" s="29">
        <f t="shared" si="298"/>
        <v>0.15697152</v>
      </c>
      <c r="O239" s="28">
        <f t="shared" si="299"/>
        <v>1.33363003392</v>
      </c>
    </row>
    <row r="240" spans="1:15" x14ac:dyDescent="0.7">
      <c r="A240" s="5"/>
      <c r="B240" s="5"/>
      <c r="C240" s="5">
        <v>26</v>
      </c>
      <c r="D240" s="6">
        <v>59.216000000000001</v>
      </c>
      <c r="E240" s="6">
        <v>9.1</v>
      </c>
      <c r="F240" s="6">
        <v>59.216000000000001</v>
      </c>
      <c r="G240" s="12">
        <f t="shared" ref="G240" si="386">F240*86400</f>
        <v>5116262.4000000004</v>
      </c>
      <c r="H240" s="14">
        <f t="shared" ref="H240" si="387">G240/1000000</f>
        <v>5.1162624000000001</v>
      </c>
      <c r="I240" s="13">
        <f t="shared" si="293"/>
        <v>230231.80800000002</v>
      </c>
      <c r="J240" s="21">
        <f t="shared" si="294"/>
        <v>0.23023180800000001</v>
      </c>
      <c r="K240" s="13">
        <f t="shared" si="295"/>
        <v>27627.81696</v>
      </c>
      <c r="L240" s="13">
        <f t="shared" si="296"/>
        <v>2.7627816959999999E-2</v>
      </c>
      <c r="M240" s="27">
        <f t="shared" si="297"/>
        <v>0.25785962496000003</v>
      </c>
      <c r="N240" s="29">
        <f t="shared" si="298"/>
        <v>0.51162624000000001</v>
      </c>
      <c r="O240" s="28">
        <f t="shared" si="299"/>
        <v>4.3467765350400001</v>
      </c>
    </row>
    <row r="241" spans="1:15" x14ac:dyDescent="0.7">
      <c r="A241" s="5"/>
      <c r="B241" s="5"/>
      <c r="C241" s="5">
        <v>27</v>
      </c>
      <c r="D241" s="6">
        <v>40.244</v>
      </c>
      <c r="E241" s="6">
        <v>5.8</v>
      </c>
      <c r="F241" s="6">
        <v>40.244</v>
      </c>
      <c r="G241" s="12">
        <f t="shared" ref="G241" si="388">F241*86400</f>
        <v>3477081.6</v>
      </c>
      <c r="H241" s="14">
        <f t="shared" ref="H241" si="389">G241/1000000</f>
        <v>3.4770816</v>
      </c>
      <c r="I241" s="13">
        <f t="shared" si="293"/>
        <v>156468.67199999999</v>
      </c>
      <c r="J241" s="21">
        <f t="shared" si="294"/>
        <v>0.156468672</v>
      </c>
      <c r="K241" s="13">
        <f t="shared" si="295"/>
        <v>18776.24064</v>
      </c>
      <c r="L241" s="13">
        <f t="shared" si="296"/>
        <v>1.8776240640000001E-2</v>
      </c>
      <c r="M241" s="27">
        <f t="shared" si="297"/>
        <v>0.17524491264</v>
      </c>
      <c r="N241" s="29">
        <f t="shared" si="298"/>
        <v>0.34770816000000004</v>
      </c>
      <c r="O241" s="28">
        <f t="shared" si="299"/>
        <v>2.95412852736</v>
      </c>
    </row>
    <row r="242" spans="1:15" x14ac:dyDescent="0.7">
      <c r="A242" s="5"/>
      <c r="B242" s="5"/>
      <c r="C242" s="2">
        <v>28</v>
      </c>
      <c r="D242" s="6">
        <v>41.596000000000004</v>
      </c>
      <c r="E242" s="6">
        <v>0</v>
      </c>
      <c r="F242" s="6">
        <v>41.596000000000004</v>
      </c>
      <c r="G242" s="12">
        <f t="shared" ref="G242" si="390">F242*86400</f>
        <v>3593894.4000000004</v>
      </c>
      <c r="H242" s="14">
        <f t="shared" ref="H242" si="391">G242/1000000</f>
        <v>3.5938944000000004</v>
      </c>
      <c r="I242" s="13">
        <f t="shared" si="293"/>
        <v>161725.24800000002</v>
      </c>
      <c r="J242" s="21">
        <f t="shared" si="294"/>
        <v>0.16172524800000002</v>
      </c>
      <c r="K242" s="13">
        <f t="shared" si="295"/>
        <v>19407.029760000001</v>
      </c>
      <c r="L242" s="13">
        <f t="shared" si="296"/>
        <v>1.940702976E-2</v>
      </c>
      <c r="M242" s="27">
        <f t="shared" si="297"/>
        <v>0.18113227776000002</v>
      </c>
      <c r="N242" s="29">
        <f t="shared" si="298"/>
        <v>0.35938944000000006</v>
      </c>
      <c r="O242" s="28">
        <f t="shared" si="299"/>
        <v>3.05337268224</v>
      </c>
    </row>
    <row r="243" spans="1:15" x14ac:dyDescent="0.7">
      <c r="A243" s="10"/>
      <c r="B243" s="10"/>
      <c r="C243" s="10">
        <v>29</v>
      </c>
      <c r="D243" s="16">
        <v>52.040999999999997</v>
      </c>
      <c r="E243" s="6">
        <v>0</v>
      </c>
      <c r="F243" s="16">
        <v>52.040999999999997</v>
      </c>
      <c r="G243" s="17">
        <f t="shared" ref="G243" si="392">F243*86400</f>
        <v>4496342.3999999994</v>
      </c>
      <c r="H243" s="18">
        <f t="shared" ref="H243" si="393">G243/1000000</f>
        <v>4.4963423999999996</v>
      </c>
      <c r="I243" s="13">
        <f t="shared" si="293"/>
        <v>202335.40799999997</v>
      </c>
      <c r="J243" s="21">
        <f t="shared" si="294"/>
        <v>0.20233540799999997</v>
      </c>
      <c r="K243" s="13">
        <f t="shared" si="295"/>
        <v>24280.248959999994</v>
      </c>
      <c r="L243" s="13">
        <f t="shared" si="296"/>
        <v>2.4280248959999993E-2</v>
      </c>
      <c r="M243" s="27">
        <f t="shared" si="297"/>
        <v>0.22661565695999997</v>
      </c>
      <c r="N243" s="29">
        <f t="shared" si="298"/>
        <v>0.44963423999999996</v>
      </c>
      <c r="O243" s="28">
        <f t="shared" si="299"/>
        <v>3.8200925030399997</v>
      </c>
    </row>
    <row r="244" spans="1:15" s="20" customFormat="1" x14ac:dyDescent="0.7">
      <c r="A244" s="10"/>
      <c r="B244" s="10"/>
      <c r="C244" s="10">
        <v>30</v>
      </c>
      <c r="D244" s="16">
        <v>52.040999999999997</v>
      </c>
      <c r="E244" s="6">
        <v>0</v>
      </c>
      <c r="F244" s="16">
        <v>52.040999999999997</v>
      </c>
      <c r="G244" s="42">
        <f t="shared" ref="G244" si="394">F244*86400</f>
        <v>4496342.3999999994</v>
      </c>
      <c r="H244" s="37">
        <f t="shared" ref="H244" si="395">G244/1000000</f>
        <v>4.4963423999999996</v>
      </c>
      <c r="I244" s="37">
        <f t="shared" si="293"/>
        <v>202335.40799999997</v>
      </c>
      <c r="J244" s="38">
        <f t="shared" si="294"/>
        <v>0.20233540799999997</v>
      </c>
      <c r="K244" s="37">
        <f t="shared" si="295"/>
        <v>24280.248959999994</v>
      </c>
      <c r="L244" s="37">
        <f t="shared" si="296"/>
        <v>2.4280248959999993E-2</v>
      </c>
      <c r="M244" s="39">
        <f t="shared" si="297"/>
        <v>0.22661565695999997</v>
      </c>
      <c r="N244" s="29">
        <f t="shared" si="298"/>
        <v>0.44963423999999996</v>
      </c>
      <c r="O244" s="41">
        <f t="shared" si="299"/>
        <v>3.8200925030399997</v>
      </c>
    </row>
    <row r="245" spans="1:15" s="36" customFormat="1" ht="25.2" thickBot="1" x14ac:dyDescent="0.75">
      <c r="A245" s="8"/>
      <c r="B245" s="8" t="s">
        <v>22</v>
      </c>
      <c r="C245" s="8">
        <v>31</v>
      </c>
      <c r="D245" s="9">
        <v>52.040999999999997</v>
      </c>
      <c r="E245" s="9">
        <v>0.5</v>
      </c>
      <c r="F245" s="9">
        <v>52.040999999999997</v>
      </c>
      <c r="G245" s="19">
        <f t="shared" ref="G245" si="396">F245*86400</f>
        <v>4496342.3999999994</v>
      </c>
      <c r="H245" s="15">
        <f t="shared" ref="H245" si="397">G245/1000000</f>
        <v>4.4963423999999996</v>
      </c>
      <c r="I245" s="15">
        <f t="shared" si="293"/>
        <v>202335.40799999997</v>
      </c>
      <c r="J245" s="22">
        <f t="shared" si="294"/>
        <v>0.20233540799999997</v>
      </c>
      <c r="K245" s="15">
        <f t="shared" si="295"/>
        <v>24280.248959999994</v>
      </c>
      <c r="L245" s="15">
        <f t="shared" si="296"/>
        <v>2.4280248959999993E-2</v>
      </c>
      <c r="M245" s="33">
        <f t="shared" si="297"/>
        <v>0.22661565695999997</v>
      </c>
      <c r="N245" s="34">
        <f t="shared" si="298"/>
        <v>0.44963423999999996</v>
      </c>
      <c r="O245" s="35">
        <f t="shared" si="299"/>
        <v>3.8200925030399997</v>
      </c>
    </row>
    <row r="246" spans="1:15" x14ac:dyDescent="0.7">
      <c r="A246" s="2"/>
      <c r="B246" s="2" t="s">
        <v>23</v>
      </c>
      <c r="C246" s="2">
        <v>1</v>
      </c>
      <c r="D246" s="3">
        <v>68.027999999999992</v>
      </c>
      <c r="E246" s="3">
        <v>3.3</v>
      </c>
      <c r="F246" s="3">
        <v>68.027999999999992</v>
      </c>
      <c r="G246" s="12">
        <f t="shared" ref="G246" si="398">F246*86400</f>
        <v>5877619.1999999993</v>
      </c>
      <c r="H246" s="14">
        <f t="shared" ref="H246" si="399">G246/1000000</f>
        <v>5.8776191999999989</v>
      </c>
      <c r="I246" s="14">
        <f t="shared" si="293"/>
        <v>264492.86399999994</v>
      </c>
      <c r="J246" s="26">
        <f t="shared" si="294"/>
        <v>0.26449286399999994</v>
      </c>
      <c r="K246" s="14">
        <f t="shared" si="295"/>
        <v>31739.143679999994</v>
      </c>
      <c r="L246" s="14">
        <f t="shared" si="296"/>
        <v>3.1739143679999991E-2</v>
      </c>
      <c r="M246" s="30">
        <f t="shared" si="297"/>
        <v>0.29623200767999991</v>
      </c>
      <c r="N246" s="31">
        <f t="shared" si="298"/>
        <v>0.58776191999999994</v>
      </c>
      <c r="O246" s="32">
        <f t="shared" si="299"/>
        <v>4.9936252723199992</v>
      </c>
    </row>
    <row r="247" spans="1:15" x14ac:dyDescent="0.7">
      <c r="A247" s="5"/>
      <c r="B247" s="5"/>
      <c r="C247" s="5">
        <v>2</v>
      </c>
      <c r="D247" s="6">
        <v>44.991</v>
      </c>
      <c r="E247" s="6">
        <v>73.400000000000006</v>
      </c>
      <c r="F247" s="6">
        <v>44.991</v>
      </c>
      <c r="G247" s="12">
        <f t="shared" ref="G247" si="400">F247*86400</f>
        <v>3887222.4</v>
      </c>
      <c r="H247" s="14">
        <f t="shared" ref="H247" si="401">G247/1000000</f>
        <v>3.8872223999999997</v>
      </c>
      <c r="I247" s="13">
        <f t="shared" si="293"/>
        <v>174925.008</v>
      </c>
      <c r="J247" s="21">
        <f t="shared" si="294"/>
        <v>0.17492500799999999</v>
      </c>
      <c r="K247" s="13">
        <f t="shared" si="295"/>
        <v>20991.000960000001</v>
      </c>
      <c r="L247" s="13">
        <f t="shared" si="296"/>
        <v>2.0991000960000002E-2</v>
      </c>
      <c r="M247" s="27">
        <f t="shared" si="297"/>
        <v>0.19591600896</v>
      </c>
      <c r="N247" s="29">
        <f t="shared" si="298"/>
        <v>0.38872224</v>
      </c>
      <c r="O247" s="28">
        <f t="shared" si="299"/>
        <v>3.30258415104</v>
      </c>
    </row>
    <row r="248" spans="1:15" x14ac:dyDescent="0.7">
      <c r="A248" s="5"/>
      <c r="B248" s="5"/>
      <c r="C248" s="5">
        <v>3</v>
      </c>
      <c r="D248" s="6">
        <v>98.319000000000003</v>
      </c>
      <c r="E248" s="6">
        <v>0.9</v>
      </c>
      <c r="F248" s="6">
        <v>98.319000000000003</v>
      </c>
      <c r="G248" s="12">
        <f t="shared" ref="G248" si="402">F248*86400</f>
        <v>8494761.5999999996</v>
      </c>
      <c r="H248" s="14">
        <f t="shared" ref="H248" si="403">G248/1000000</f>
        <v>8.4947616000000004</v>
      </c>
      <c r="I248" s="13">
        <f t="shared" si="293"/>
        <v>382264.272</v>
      </c>
      <c r="J248" s="21">
        <f t="shared" si="294"/>
        <v>0.38226427200000002</v>
      </c>
      <c r="K248" s="13">
        <f t="shared" si="295"/>
        <v>45871.712639999998</v>
      </c>
      <c r="L248" s="13">
        <f t="shared" si="296"/>
        <v>4.5871712639999999E-2</v>
      </c>
      <c r="M248" s="27">
        <f t="shared" si="297"/>
        <v>0.42813598464000002</v>
      </c>
      <c r="N248" s="29">
        <f t="shared" si="298"/>
        <v>0.84947616000000004</v>
      </c>
      <c r="O248" s="28">
        <f t="shared" si="299"/>
        <v>7.2171494553599995</v>
      </c>
    </row>
    <row r="249" spans="1:15" x14ac:dyDescent="0.7">
      <c r="A249" s="5"/>
      <c r="B249" s="5"/>
      <c r="C249" s="2">
        <v>4</v>
      </c>
      <c r="D249" s="6">
        <v>76.519000000000005</v>
      </c>
      <c r="E249" s="6">
        <v>11.3</v>
      </c>
      <c r="F249" s="6">
        <v>76.519000000000005</v>
      </c>
      <c r="G249" s="12">
        <f t="shared" ref="G249" si="404">F249*86400</f>
        <v>6611241.6000000006</v>
      </c>
      <c r="H249" s="14">
        <f t="shared" ref="H249" si="405">G249/1000000</f>
        <v>6.6112416000000005</v>
      </c>
      <c r="I249" s="13">
        <f t="shared" si="293"/>
        <v>297505.87200000003</v>
      </c>
      <c r="J249" s="21">
        <f t="shared" si="294"/>
        <v>0.297505872</v>
      </c>
      <c r="K249" s="13">
        <f t="shared" si="295"/>
        <v>35700.704640000004</v>
      </c>
      <c r="L249" s="13">
        <f t="shared" si="296"/>
        <v>3.5700704640000004E-2</v>
      </c>
      <c r="M249" s="27">
        <f t="shared" si="297"/>
        <v>0.33320657664000003</v>
      </c>
      <c r="N249" s="29">
        <f t="shared" si="298"/>
        <v>0.66112416000000007</v>
      </c>
      <c r="O249" s="28">
        <f t="shared" si="299"/>
        <v>5.6169108633600002</v>
      </c>
    </row>
    <row r="250" spans="1:15" x14ac:dyDescent="0.7">
      <c r="A250" s="5"/>
      <c r="B250" s="5"/>
      <c r="C250" s="5">
        <v>5</v>
      </c>
      <c r="D250" s="6">
        <v>73.192999999999998</v>
      </c>
      <c r="E250" s="6">
        <v>0</v>
      </c>
      <c r="F250" s="6">
        <v>73.192999999999998</v>
      </c>
      <c r="G250" s="12">
        <f t="shared" ref="G250" si="406">F250*86400</f>
        <v>6323875.2000000002</v>
      </c>
      <c r="H250" s="14">
        <f t="shared" ref="H250" si="407">G250/1000000</f>
        <v>6.3238751999999998</v>
      </c>
      <c r="I250" s="13">
        <f t="shared" si="293"/>
        <v>284574.38400000002</v>
      </c>
      <c r="J250" s="21">
        <f t="shared" si="294"/>
        <v>0.28457438400000001</v>
      </c>
      <c r="K250" s="13">
        <f t="shared" si="295"/>
        <v>34148.926080000005</v>
      </c>
      <c r="L250" s="13">
        <f t="shared" si="296"/>
        <v>3.4148926080000003E-2</v>
      </c>
      <c r="M250" s="27">
        <f t="shared" si="297"/>
        <v>0.31872331007999999</v>
      </c>
      <c r="N250" s="29">
        <f t="shared" si="298"/>
        <v>0.63238751999999998</v>
      </c>
      <c r="O250" s="28">
        <f t="shared" si="299"/>
        <v>5.3727643699199996</v>
      </c>
    </row>
    <row r="251" spans="1:15" x14ac:dyDescent="0.7">
      <c r="A251" s="5"/>
      <c r="B251" s="5"/>
      <c r="C251" s="5">
        <v>6</v>
      </c>
      <c r="D251" s="6">
        <v>49.213999999999999</v>
      </c>
      <c r="E251" s="6">
        <v>2.2999999999999998</v>
      </c>
      <c r="F251" s="6">
        <v>49.213999999999999</v>
      </c>
      <c r="G251" s="12">
        <f t="shared" ref="G251" si="408">F251*86400</f>
        <v>4252089.5999999996</v>
      </c>
      <c r="H251" s="14">
        <f t="shared" ref="H251" si="409">G251/1000000</f>
        <v>4.2520895999999997</v>
      </c>
      <c r="I251" s="13">
        <f t="shared" si="293"/>
        <v>191344.03199999998</v>
      </c>
      <c r="J251" s="21">
        <f t="shared" si="294"/>
        <v>0.19134403199999997</v>
      </c>
      <c r="K251" s="13">
        <f t="shared" si="295"/>
        <v>22961.283839999996</v>
      </c>
      <c r="L251" s="13">
        <f t="shared" si="296"/>
        <v>2.2961283839999996E-2</v>
      </c>
      <c r="M251" s="27">
        <f t="shared" si="297"/>
        <v>0.21430531583999995</v>
      </c>
      <c r="N251" s="29">
        <f t="shared" si="298"/>
        <v>0.42520895999999997</v>
      </c>
      <c r="O251" s="28">
        <f t="shared" si="299"/>
        <v>3.6125753241599998</v>
      </c>
    </row>
    <row r="252" spans="1:15" x14ac:dyDescent="0.7">
      <c r="A252" s="5"/>
      <c r="B252" s="5"/>
      <c r="C252" s="2">
        <v>7</v>
      </c>
      <c r="D252" s="6">
        <v>41.403999999999996</v>
      </c>
      <c r="E252" s="6">
        <v>0.5</v>
      </c>
      <c r="F252" s="6">
        <v>41.403999999999996</v>
      </c>
      <c r="G252" s="12">
        <f t="shared" ref="G252" si="410">F252*86400</f>
        <v>3577305.5999999996</v>
      </c>
      <c r="H252" s="14">
        <f t="shared" ref="H252" si="411">G252/1000000</f>
        <v>3.5773055999999994</v>
      </c>
      <c r="I252" s="13">
        <f t="shared" si="293"/>
        <v>160978.75199999998</v>
      </c>
      <c r="J252" s="21">
        <f t="shared" si="294"/>
        <v>0.16097875199999997</v>
      </c>
      <c r="K252" s="13">
        <f t="shared" si="295"/>
        <v>19317.450239999998</v>
      </c>
      <c r="L252" s="13">
        <f t="shared" si="296"/>
        <v>1.9317450239999999E-2</v>
      </c>
      <c r="M252" s="27">
        <f t="shared" si="297"/>
        <v>0.18029620223999998</v>
      </c>
      <c r="N252" s="29">
        <f t="shared" si="298"/>
        <v>0.35773055999999998</v>
      </c>
      <c r="O252" s="28">
        <f t="shared" si="299"/>
        <v>3.0392788377599995</v>
      </c>
    </row>
    <row r="253" spans="1:15" x14ac:dyDescent="0.7">
      <c r="A253" s="5"/>
      <c r="B253" s="5"/>
      <c r="C253" s="5">
        <v>8</v>
      </c>
      <c r="D253" s="6">
        <v>34.207999999999998</v>
      </c>
      <c r="E253" s="6">
        <v>0.3</v>
      </c>
      <c r="F253" s="6">
        <v>34.207999999999998</v>
      </c>
      <c r="G253" s="12">
        <f t="shared" ref="G253" si="412">F253*86400</f>
        <v>2955571.1999999997</v>
      </c>
      <c r="H253" s="14">
        <f t="shared" ref="H253" si="413">G253/1000000</f>
        <v>2.9555711999999996</v>
      </c>
      <c r="I253" s="13">
        <f t="shared" si="293"/>
        <v>133000.70399999997</v>
      </c>
      <c r="J253" s="21">
        <f t="shared" si="294"/>
        <v>0.13300070399999997</v>
      </c>
      <c r="K253" s="13">
        <f t="shared" si="295"/>
        <v>15960.084479999996</v>
      </c>
      <c r="L253" s="13">
        <f t="shared" si="296"/>
        <v>1.5960084479999997E-2</v>
      </c>
      <c r="M253" s="27">
        <f t="shared" si="297"/>
        <v>0.14896078847999997</v>
      </c>
      <c r="N253" s="29">
        <f t="shared" si="298"/>
        <v>0.29555711999999995</v>
      </c>
      <c r="O253" s="28">
        <f t="shared" si="299"/>
        <v>2.5110532915199997</v>
      </c>
    </row>
    <row r="254" spans="1:15" x14ac:dyDescent="0.7">
      <c r="A254" s="5"/>
      <c r="B254" s="5"/>
      <c r="C254" s="5">
        <v>9</v>
      </c>
      <c r="D254" s="6">
        <v>26.757000000000001</v>
      </c>
      <c r="E254" s="6">
        <v>0</v>
      </c>
      <c r="F254" s="6">
        <v>26.757000000000001</v>
      </c>
      <c r="G254" s="12">
        <f t="shared" ref="G254" si="414">F254*86400</f>
        <v>2311804.8000000003</v>
      </c>
      <c r="H254" s="14">
        <f t="shared" ref="H254" si="415">G254/1000000</f>
        <v>2.3118048000000004</v>
      </c>
      <c r="I254" s="13">
        <f t="shared" si="293"/>
        <v>104031.21600000001</v>
      </c>
      <c r="J254" s="21">
        <f t="shared" si="294"/>
        <v>0.10403121600000001</v>
      </c>
      <c r="K254" s="13">
        <f t="shared" si="295"/>
        <v>12483.745920000001</v>
      </c>
      <c r="L254" s="13">
        <f t="shared" si="296"/>
        <v>1.2483745920000001E-2</v>
      </c>
      <c r="M254" s="27">
        <f t="shared" si="297"/>
        <v>0.11651496192000001</v>
      </c>
      <c r="N254" s="29">
        <f t="shared" si="298"/>
        <v>0.23118048000000005</v>
      </c>
      <c r="O254" s="28">
        <f t="shared" si="299"/>
        <v>1.9641093580800002</v>
      </c>
    </row>
    <row r="255" spans="1:15" x14ac:dyDescent="0.7">
      <c r="A255" s="5"/>
      <c r="B255" s="5"/>
      <c r="C255" s="2">
        <v>10</v>
      </c>
      <c r="D255" s="6">
        <v>22.006</v>
      </c>
      <c r="E255" s="6">
        <v>0</v>
      </c>
      <c r="F255" s="6">
        <v>22.006</v>
      </c>
      <c r="G255" s="12">
        <f t="shared" ref="G255" si="416">F255*86400</f>
        <v>1901318.4</v>
      </c>
      <c r="H255" s="14">
        <f t="shared" ref="H255" si="417">G255/1000000</f>
        <v>1.9013183999999999</v>
      </c>
      <c r="I255" s="13">
        <f t="shared" si="293"/>
        <v>85559.327999999994</v>
      </c>
      <c r="J255" s="21">
        <f t="shared" si="294"/>
        <v>8.555932799999999E-2</v>
      </c>
      <c r="K255" s="13">
        <f t="shared" si="295"/>
        <v>10267.119359999999</v>
      </c>
      <c r="L255" s="13">
        <f t="shared" si="296"/>
        <v>1.0267119359999998E-2</v>
      </c>
      <c r="M255" s="27">
        <f t="shared" si="297"/>
        <v>9.5826447359999983E-2</v>
      </c>
      <c r="N255" s="29">
        <f t="shared" si="298"/>
        <v>0.19013184</v>
      </c>
      <c r="O255" s="28">
        <f t="shared" si="299"/>
        <v>1.6153601126399999</v>
      </c>
    </row>
    <row r="256" spans="1:15" x14ac:dyDescent="0.7">
      <c r="A256" s="5"/>
      <c r="B256" s="5"/>
      <c r="C256" s="5">
        <v>11</v>
      </c>
      <c r="D256" s="6">
        <v>18.843</v>
      </c>
      <c r="E256" s="6">
        <v>0</v>
      </c>
      <c r="F256" s="6">
        <v>18.843</v>
      </c>
      <c r="G256" s="12">
        <f t="shared" ref="G256" si="418">F256*86400</f>
        <v>1628035.2</v>
      </c>
      <c r="H256" s="14">
        <f t="shared" ref="H256" si="419">G256/1000000</f>
        <v>1.6280352</v>
      </c>
      <c r="I256" s="13">
        <f t="shared" si="293"/>
        <v>73261.583999999988</v>
      </c>
      <c r="J256" s="21">
        <f t="shared" si="294"/>
        <v>7.3261583999999991E-2</v>
      </c>
      <c r="K256" s="13">
        <f t="shared" si="295"/>
        <v>8791.3900799999974</v>
      </c>
      <c r="L256" s="13">
        <f t="shared" si="296"/>
        <v>8.7913900799999976E-3</v>
      </c>
      <c r="M256" s="27">
        <f t="shared" si="297"/>
        <v>8.2052974079999993E-2</v>
      </c>
      <c r="N256" s="29">
        <f t="shared" si="298"/>
        <v>0.16280352000000001</v>
      </c>
      <c r="O256" s="28">
        <f t="shared" si="299"/>
        <v>1.38317870592</v>
      </c>
    </row>
    <row r="257" spans="1:15" x14ac:dyDescent="0.7">
      <c r="A257" s="5"/>
      <c r="B257" s="5"/>
      <c r="C257" s="5">
        <v>12</v>
      </c>
      <c r="D257" s="6">
        <v>18.843</v>
      </c>
      <c r="E257" s="6">
        <v>0</v>
      </c>
      <c r="F257" s="6">
        <v>18.843</v>
      </c>
      <c r="G257" s="12">
        <f t="shared" ref="G257" si="420">F257*86400</f>
        <v>1628035.2</v>
      </c>
      <c r="H257" s="14">
        <f t="shared" ref="H257" si="421">G257/1000000</f>
        <v>1.6280352</v>
      </c>
      <c r="I257" s="13">
        <f t="shared" si="293"/>
        <v>73261.583999999988</v>
      </c>
      <c r="J257" s="21">
        <f t="shared" si="294"/>
        <v>7.3261583999999991E-2</v>
      </c>
      <c r="K257" s="13">
        <f t="shared" si="295"/>
        <v>8791.3900799999974</v>
      </c>
      <c r="L257" s="13">
        <f t="shared" si="296"/>
        <v>8.7913900799999976E-3</v>
      </c>
      <c r="M257" s="27">
        <f t="shared" si="297"/>
        <v>8.2052974079999993E-2</v>
      </c>
      <c r="N257" s="29">
        <f t="shared" si="298"/>
        <v>0.16280352000000001</v>
      </c>
      <c r="O257" s="28">
        <f t="shared" si="299"/>
        <v>1.38317870592</v>
      </c>
    </row>
    <row r="258" spans="1:15" x14ac:dyDescent="0.7">
      <c r="A258" s="5"/>
      <c r="B258" s="5"/>
      <c r="C258" s="2">
        <v>13</v>
      </c>
      <c r="D258" s="6">
        <v>18.843</v>
      </c>
      <c r="E258" s="6">
        <v>0</v>
      </c>
      <c r="F258" s="6">
        <v>18.843</v>
      </c>
      <c r="G258" s="12">
        <f t="shared" ref="G258" si="422">F258*86400</f>
        <v>1628035.2</v>
      </c>
      <c r="H258" s="14">
        <f t="shared" ref="H258" si="423">G258/1000000</f>
        <v>1.6280352</v>
      </c>
      <c r="I258" s="13">
        <f t="shared" si="293"/>
        <v>73261.583999999988</v>
      </c>
      <c r="J258" s="21">
        <f t="shared" si="294"/>
        <v>7.3261583999999991E-2</v>
      </c>
      <c r="K258" s="13">
        <f t="shared" si="295"/>
        <v>8791.3900799999974</v>
      </c>
      <c r="L258" s="13">
        <f t="shared" si="296"/>
        <v>8.7913900799999976E-3</v>
      </c>
      <c r="M258" s="27">
        <f t="shared" si="297"/>
        <v>8.2052974079999993E-2</v>
      </c>
      <c r="N258" s="29">
        <f t="shared" si="298"/>
        <v>0.16280352000000001</v>
      </c>
      <c r="O258" s="28">
        <f t="shared" si="299"/>
        <v>1.38317870592</v>
      </c>
    </row>
    <row r="259" spans="1:15" x14ac:dyDescent="0.7">
      <c r="A259" s="5"/>
      <c r="B259" s="5"/>
      <c r="C259" s="5">
        <v>14</v>
      </c>
      <c r="D259" s="6">
        <v>21.154999999999998</v>
      </c>
      <c r="E259" s="6">
        <v>4.5</v>
      </c>
      <c r="F259" s="6">
        <v>21.154999999999998</v>
      </c>
      <c r="G259" s="12">
        <f t="shared" ref="G259" si="424">F259*86400</f>
        <v>1827791.9999999998</v>
      </c>
      <c r="H259" s="14">
        <f t="shared" ref="H259" si="425">G259/1000000</f>
        <v>1.8277919999999999</v>
      </c>
      <c r="I259" s="13">
        <f t="shared" si="293"/>
        <v>82250.639999999985</v>
      </c>
      <c r="J259" s="21">
        <f t="shared" si="294"/>
        <v>8.2250639999999986E-2</v>
      </c>
      <c r="K259" s="13">
        <f t="shared" si="295"/>
        <v>9870.0767999999971</v>
      </c>
      <c r="L259" s="13">
        <f t="shared" si="296"/>
        <v>9.870076799999997E-3</v>
      </c>
      <c r="M259" s="27">
        <f t="shared" si="297"/>
        <v>9.2120716799999988E-2</v>
      </c>
      <c r="N259" s="29">
        <f t="shared" si="298"/>
        <v>0.1827792</v>
      </c>
      <c r="O259" s="28">
        <f t="shared" si="299"/>
        <v>1.5528920831999999</v>
      </c>
    </row>
    <row r="260" spans="1:15" x14ac:dyDescent="0.7">
      <c r="A260" s="5"/>
      <c r="B260" s="5"/>
      <c r="C260" s="5">
        <v>15</v>
      </c>
      <c r="D260" s="6">
        <v>18.167999999999999</v>
      </c>
      <c r="E260" s="6">
        <v>24.6</v>
      </c>
      <c r="F260" s="6">
        <v>18.167999999999999</v>
      </c>
      <c r="G260" s="12">
        <f t="shared" ref="G260" si="426">F260*86400</f>
        <v>1569715.2</v>
      </c>
      <c r="H260" s="14">
        <f t="shared" ref="H260" si="427">G260/1000000</f>
        <v>1.5697151999999999</v>
      </c>
      <c r="I260" s="13">
        <f t="shared" ref="I260:I323" si="428">H260*1000000*0.045</f>
        <v>70637.183999999994</v>
      </c>
      <c r="J260" s="21">
        <f t="shared" ref="J260:J323" si="429">I260/1000000</f>
        <v>7.0637183999999992E-2</v>
      </c>
      <c r="K260" s="13">
        <f t="shared" ref="K260:K323" si="430">I260*0.12</f>
        <v>8476.4620799999993</v>
      </c>
      <c r="L260" s="13">
        <f t="shared" ref="L260:L323" si="431">K260/1000000</f>
        <v>8.4764620799999985E-3</v>
      </c>
      <c r="M260" s="27">
        <f t="shared" ref="M260:M323" si="432">J260+L260</f>
        <v>7.9113646079999989E-2</v>
      </c>
      <c r="N260" s="29">
        <f t="shared" ref="N260:N323" si="433">H260*0.1</f>
        <v>0.15697152</v>
      </c>
      <c r="O260" s="28">
        <f t="shared" ref="O260:O323" si="434">H260-M260-N260</f>
        <v>1.33363003392</v>
      </c>
    </row>
    <row r="261" spans="1:15" x14ac:dyDescent="0.7">
      <c r="A261" s="5"/>
      <c r="B261" s="5"/>
      <c r="C261" s="2">
        <v>16</v>
      </c>
      <c r="D261" s="6">
        <v>28.164999999999999</v>
      </c>
      <c r="E261" s="6">
        <v>4.8</v>
      </c>
      <c r="F261" s="6">
        <v>28.164999999999999</v>
      </c>
      <c r="G261" s="12">
        <f t="shared" ref="G261" si="435">F261*86400</f>
        <v>2433456</v>
      </c>
      <c r="H261" s="14">
        <f t="shared" ref="H261" si="436">G261/1000000</f>
        <v>2.4334560000000001</v>
      </c>
      <c r="I261" s="13">
        <f t="shared" si="428"/>
        <v>109505.51999999999</v>
      </c>
      <c r="J261" s="21">
        <f t="shared" si="429"/>
        <v>0.10950552</v>
      </c>
      <c r="K261" s="13">
        <f t="shared" si="430"/>
        <v>13140.662399999997</v>
      </c>
      <c r="L261" s="13">
        <f t="shared" si="431"/>
        <v>1.3140662399999998E-2</v>
      </c>
      <c r="M261" s="27">
        <f t="shared" si="432"/>
        <v>0.1226461824</v>
      </c>
      <c r="N261" s="29">
        <f t="shared" si="433"/>
        <v>0.24334560000000002</v>
      </c>
      <c r="O261" s="28">
        <f t="shared" si="434"/>
        <v>2.0674642176</v>
      </c>
    </row>
    <row r="262" spans="1:15" x14ac:dyDescent="0.7">
      <c r="A262" s="5"/>
      <c r="B262" s="5"/>
      <c r="C262" s="5">
        <v>17</v>
      </c>
      <c r="D262" s="6">
        <v>40.840000000000003</v>
      </c>
      <c r="E262" s="6">
        <v>0</v>
      </c>
      <c r="F262" s="6">
        <v>40.840000000000003</v>
      </c>
      <c r="G262" s="12">
        <f t="shared" ref="G262" si="437">F262*86400</f>
        <v>3528576.0000000005</v>
      </c>
      <c r="H262" s="14">
        <f t="shared" ref="H262" si="438">G262/1000000</f>
        <v>3.5285760000000006</v>
      </c>
      <c r="I262" s="13">
        <f t="shared" si="428"/>
        <v>158785.92000000001</v>
      </c>
      <c r="J262" s="21">
        <f t="shared" si="429"/>
        <v>0.15878592000000002</v>
      </c>
      <c r="K262" s="13">
        <f t="shared" si="430"/>
        <v>19054.310400000002</v>
      </c>
      <c r="L262" s="13">
        <f t="shared" si="431"/>
        <v>1.9054310400000003E-2</v>
      </c>
      <c r="M262" s="27">
        <f t="shared" si="432"/>
        <v>0.17784023040000002</v>
      </c>
      <c r="N262" s="29">
        <f t="shared" si="433"/>
        <v>0.3528576000000001</v>
      </c>
      <c r="O262" s="28">
        <f t="shared" si="434"/>
        <v>2.9978781696000003</v>
      </c>
    </row>
    <row r="263" spans="1:15" x14ac:dyDescent="0.7">
      <c r="A263" s="5"/>
      <c r="B263" s="5"/>
      <c r="C263" s="5">
        <v>18</v>
      </c>
      <c r="D263" s="6">
        <v>19.907</v>
      </c>
      <c r="E263" s="6">
        <v>4.4000000000000004</v>
      </c>
      <c r="F263" s="6">
        <v>19.907</v>
      </c>
      <c r="G263" s="12">
        <f t="shared" ref="G263" si="439">F263*86400</f>
        <v>1719964.8</v>
      </c>
      <c r="H263" s="14">
        <f t="shared" ref="H263" si="440">G263/1000000</f>
        <v>1.7199648000000001</v>
      </c>
      <c r="I263" s="13">
        <f t="shared" si="428"/>
        <v>77398.415999999997</v>
      </c>
      <c r="J263" s="21">
        <f t="shared" si="429"/>
        <v>7.7398415999999998E-2</v>
      </c>
      <c r="K263" s="13">
        <f t="shared" si="430"/>
        <v>9287.8099199999997</v>
      </c>
      <c r="L263" s="13">
        <f t="shared" si="431"/>
        <v>9.2878099199999991E-3</v>
      </c>
      <c r="M263" s="27">
        <f t="shared" si="432"/>
        <v>8.6686225919999998E-2</v>
      </c>
      <c r="N263" s="29">
        <f t="shared" si="433"/>
        <v>0.17199648000000001</v>
      </c>
      <c r="O263" s="28">
        <f t="shared" si="434"/>
        <v>1.46128209408</v>
      </c>
    </row>
    <row r="264" spans="1:15" x14ac:dyDescent="0.7">
      <c r="A264" s="5"/>
      <c r="B264" s="5"/>
      <c r="C264" s="2">
        <v>19</v>
      </c>
      <c r="D264" s="6">
        <v>33.015999999999998</v>
      </c>
      <c r="E264" s="6">
        <v>0</v>
      </c>
      <c r="F264" s="6">
        <v>33.015999999999998</v>
      </c>
      <c r="G264" s="12">
        <f t="shared" ref="G264" si="441">F264*86400</f>
        <v>2852582.4</v>
      </c>
      <c r="H264" s="14">
        <f t="shared" ref="H264" si="442">G264/1000000</f>
        <v>2.8525823999999997</v>
      </c>
      <c r="I264" s="13">
        <f t="shared" si="428"/>
        <v>128366.20799999998</v>
      </c>
      <c r="J264" s="21">
        <f t="shared" si="429"/>
        <v>0.12836620799999998</v>
      </c>
      <c r="K264" s="13">
        <f t="shared" si="430"/>
        <v>15403.944959999997</v>
      </c>
      <c r="L264" s="13">
        <f t="shared" si="431"/>
        <v>1.5403944959999997E-2</v>
      </c>
      <c r="M264" s="27">
        <f t="shared" si="432"/>
        <v>0.14377015295999998</v>
      </c>
      <c r="N264" s="29">
        <f t="shared" si="433"/>
        <v>0.28525824</v>
      </c>
      <c r="O264" s="28">
        <f t="shared" si="434"/>
        <v>2.4235540070399995</v>
      </c>
    </row>
    <row r="265" spans="1:15" x14ac:dyDescent="0.7">
      <c r="A265" s="5"/>
      <c r="B265" s="5"/>
      <c r="C265" s="5">
        <v>20</v>
      </c>
      <c r="D265" s="6">
        <v>19.579000000000001</v>
      </c>
      <c r="E265" s="6">
        <v>3.8</v>
      </c>
      <c r="F265" s="6">
        <v>19.579000000000001</v>
      </c>
      <c r="G265" s="12">
        <f t="shared" ref="G265" si="443">F265*86400</f>
        <v>1691625.6</v>
      </c>
      <c r="H265" s="14">
        <f t="shared" ref="H265" si="444">G265/1000000</f>
        <v>1.6916256000000001</v>
      </c>
      <c r="I265" s="13">
        <f t="shared" si="428"/>
        <v>76123.152000000002</v>
      </c>
      <c r="J265" s="21">
        <f t="shared" si="429"/>
        <v>7.6123151999999999E-2</v>
      </c>
      <c r="K265" s="13">
        <f t="shared" si="430"/>
        <v>9134.7782399999996</v>
      </c>
      <c r="L265" s="13">
        <f t="shared" si="431"/>
        <v>9.1347782400000004E-3</v>
      </c>
      <c r="M265" s="27">
        <f t="shared" si="432"/>
        <v>8.5257930240000002E-2</v>
      </c>
      <c r="N265" s="29">
        <f t="shared" si="433"/>
        <v>0.16916256000000002</v>
      </c>
      <c r="O265" s="28">
        <f t="shared" si="434"/>
        <v>1.43720510976</v>
      </c>
    </row>
    <row r="266" spans="1:15" x14ac:dyDescent="0.7">
      <c r="A266" s="5"/>
      <c r="B266" s="5"/>
      <c r="C266" s="5">
        <v>21</v>
      </c>
      <c r="D266" s="6">
        <v>19.579000000000001</v>
      </c>
      <c r="E266" s="6">
        <v>0</v>
      </c>
      <c r="F266" s="6">
        <v>19.579000000000001</v>
      </c>
      <c r="G266" s="12">
        <f t="shared" ref="G266" si="445">F266*86400</f>
        <v>1691625.6</v>
      </c>
      <c r="H266" s="14">
        <f t="shared" ref="H266" si="446">G266/1000000</f>
        <v>1.6916256000000001</v>
      </c>
      <c r="I266" s="13">
        <f t="shared" si="428"/>
        <v>76123.152000000002</v>
      </c>
      <c r="J266" s="21">
        <f t="shared" si="429"/>
        <v>7.6123151999999999E-2</v>
      </c>
      <c r="K266" s="13">
        <f t="shared" si="430"/>
        <v>9134.7782399999996</v>
      </c>
      <c r="L266" s="13">
        <f t="shared" si="431"/>
        <v>9.1347782400000004E-3</v>
      </c>
      <c r="M266" s="27">
        <f t="shared" si="432"/>
        <v>8.5257930240000002E-2</v>
      </c>
      <c r="N266" s="29">
        <f t="shared" si="433"/>
        <v>0.16916256000000002</v>
      </c>
      <c r="O266" s="28">
        <f t="shared" si="434"/>
        <v>1.43720510976</v>
      </c>
    </row>
    <row r="267" spans="1:15" x14ac:dyDescent="0.7">
      <c r="A267" s="5"/>
      <c r="B267" s="5"/>
      <c r="C267" s="2">
        <v>22</v>
      </c>
      <c r="D267" s="6">
        <v>19.879000000000001</v>
      </c>
      <c r="E267" s="6">
        <v>0</v>
      </c>
      <c r="F267" s="6">
        <v>19.879000000000001</v>
      </c>
      <c r="G267" s="12">
        <f t="shared" ref="G267" si="447">F267*86400</f>
        <v>1717545.6</v>
      </c>
      <c r="H267" s="14">
        <f t="shared" ref="H267" si="448">G267/1000000</f>
        <v>1.7175456</v>
      </c>
      <c r="I267" s="13">
        <f t="shared" si="428"/>
        <v>77289.551999999996</v>
      </c>
      <c r="J267" s="21">
        <f t="shared" si="429"/>
        <v>7.7289551999999997E-2</v>
      </c>
      <c r="K267" s="13">
        <f t="shared" si="430"/>
        <v>9274.7462399999986</v>
      </c>
      <c r="L267" s="13">
        <f t="shared" si="431"/>
        <v>9.2747462399999994E-3</v>
      </c>
      <c r="M267" s="27">
        <f t="shared" si="432"/>
        <v>8.6564298240000004E-2</v>
      </c>
      <c r="N267" s="29">
        <f t="shared" si="433"/>
        <v>0.17175456</v>
      </c>
      <c r="O267" s="28">
        <f t="shared" si="434"/>
        <v>1.4592267417599998</v>
      </c>
    </row>
    <row r="268" spans="1:15" x14ac:dyDescent="0.7">
      <c r="A268" s="5"/>
      <c r="B268" s="5"/>
      <c r="C268" s="5">
        <v>23</v>
      </c>
      <c r="D268" s="6">
        <v>18.228000000000002</v>
      </c>
      <c r="E268" s="6">
        <v>0</v>
      </c>
      <c r="F268" s="6">
        <v>18.228000000000002</v>
      </c>
      <c r="G268" s="12">
        <f t="shared" ref="G268" si="449">F268*86400</f>
        <v>1574899.2000000002</v>
      </c>
      <c r="H268" s="14">
        <f t="shared" ref="H268" si="450">G268/1000000</f>
        <v>1.5748992000000002</v>
      </c>
      <c r="I268" s="13">
        <f t="shared" si="428"/>
        <v>70870.464000000007</v>
      </c>
      <c r="J268" s="21">
        <f t="shared" si="429"/>
        <v>7.0870464000000008E-2</v>
      </c>
      <c r="K268" s="13">
        <f t="shared" si="430"/>
        <v>8504.4556800000009</v>
      </c>
      <c r="L268" s="13">
        <f t="shared" si="431"/>
        <v>8.5044556800000018E-3</v>
      </c>
      <c r="M268" s="27">
        <f t="shared" si="432"/>
        <v>7.9374919680000017E-2</v>
      </c>
      <c r="N268" s="29">
        <f t="shared" si="433"/>
        <v>0.15748992000000003</v>
      </c>
      <c r="O268" s="28">
        <f t="shared" si="434"/>
        <v>1.3380343603200002</v>
      </c>
    </row>
    <row r="269" spans="1:15" x14ac:dyDescent="0.7">
      <c r="A269" s="5"/>
      <c r="B269" s="5"/>
      <c r="C269" s="5">
        <v>24</v>
      </c>
      <c r="D269" s="6">
        <v>18.636000000000003</v>
      </c>
      <c r="E269" s="6">
        <v>0</v>
      </c>
      <c r="F269" s="6">
        <v>18.636000000000003</v>
      </c>
      <c r="G269" s="12">
        <f t="shared" ref="G269" si="451">F269*86400</f>
        <v>1610150.4000000001</v>
      </c>
      <c r="H269" s="14">
        <f t="shared" ref="H269" si="452">G269/1000000</f>
        <v>1.6101504000000002</v>
      </c>
      <c r="I269" s="13">
        <f t="shared" si="428"/>
        <v>72456.767999999996</v>
      </c>
      <c r="J269" s="21">
        <f t="shared" si="429"/>
        <v>7.2456767999999991E-2</v>
      </c>
      <c r="K269" s="13">
        <f t="shared" si="430"/>
        <v>8694.8121599999995</v>
      </c>
      <c r="L269" s="13">
        <f t="shared" si="431"/>
        <v>8.694812159999999E-3</v>
      </c>
      <c r="M269" s="27">
        <f t="shared" si="432"/>
        <v>8.1151580159999986E-2</v>
      </c>
      <c r="N269" s="29">
        <f t="shared" si="433"/>
        <v>0.16101504000000003</v>
      </c>
      <c r="O269" s="28">
        <f t="shared" si="434"/>
        <v>1.3679837798400001</v>
      </c>
    </row>
    <row r="270" spans="1:15" x14ac:dyDescent="0.7">
      <c r="A270" s="5"/>
      <c r="B270" s="5"/>
      <c r="C270" s="2">
        <v>25</v>
      </c>
      <c r="D270" s="6">
        <v>18.636000000000003</v>
      </c>
      <c r="E270" s="6">
        <v>7.8</v>
      </c>
      <c r="F270" s="6">
        <v>18.636000000000003</v>
      </c>
      <c r="G270" s="12">
        <f t="shared" ref="G270" si="453">F270*86400</f>
        <v>1610150.4000000001</v>
      </c>
      <c r="H270" s="14">
        <f t="shared" ref="H270" si="454">G270/1000000</f>
        <v>1.6101504000000002</v>
      </c>
      <c r="I270" s="13">
        <f t="shared" si="428"/>
        <v>72456.767999999996</v>
      </c>
      <c r="J270" s="21">
        <f t="shared" si="429"/>
        <v>7.2456767999999991E-2</v>
      </c>
      <c r="K270" s="13">
        <f t="shared" si="430"/>
        <v>8694.8121599999995</v>
      </c>
      <c r="L270" s="13">
        <f t="shared" si="431"/>
        <v>8.694812159999999E-3</v>
      </c>
      <c r="M270" s="27">
        <f t="shared" si="432"/>
        <v>8.1151580159999986E-2</v>
      </c>
      <c r="N270" s="29">
        <f t="shared" si="433"/>
        <v>0.16101504000000003</v>
      </c>
      <c r="O270" s="28">
        <f t="shared" si="434"/>
        <v>1.3679837798400001</v>
      </c>
    </row>
    <row r="271" spans="1:15" x14ac:dyDescent="0.7">
      <c r="A271" s="5"/>
      <c r="B271" s="5"/>
      <c r="C271" s="5">
        <v>26</v>
      </c>
      <c r="D271" s="6">
        <v>24.064999999999998</v>
      </c>
      <c r="E271" s="6">
        <v>0</v>
      </c>
      <c r="F271" s="6">
        <v>24.064999999999998</v>
      </c>
      <c r="G271" s="12">
        <f t="shared" ref="G271" si="455">F271*86400</f>
        <v>2079215.9999999998</v>
      </c>
      <c r="H271" s="14">
        <f t="shared" ref="H271" si="456">G271/1000000</f>
        <v>2.0792159999999997</v>
      </c>
      <c r="I271" s="13">
        <f t="shared" si="428"/>
        <v>93564.719999999987</v>
      </c>
      <c r="J271" s="21">
        <f t="shared" si="429"/>
        <v>9.356471999999999E-2</v>
      </c>
      <c r="K271" s="13">
        <f t="shared" si="430"/>
        <v>11227.766399999999</v>
      </c>
      <c r="L271" s="13">
        <f t="shared" si="431"/>
        <v>1.1227766399999999E-2</v>
      </c>
      <c r="M271" s="27">
        <f t="shared" si="432"/>
        <v>0.1047924864</v>
      </c>
      <c r="N271" s="29">
        <f t="shared" si="433"/>
        <v>0.20792159999999998</v>
      </c>
      <c r="O271" s="28">
        <f t="shared" si="434"/>
        <v>1.7665019135999998</v>
      </c>
    </row>
    <row r="272" spans="1:15" x14ac:dyDescent="0.7">
      <c r="A272" s="5"/>
      <c r="B272" s="5"/>
      <c r="C272" s="5">
        <v>27</v>
      </c>
      <c r="D272" s="6">
        <v>24.064999999999998</v>
      </c>
      <c r="E272" s="6">
        <v>0</v>
      </c>
      <c r="F272" s="6">
        <v>24.064999999999998</v>
      </c>
      <c r="G272" s="12">
        <f t="shared" ref="G272" si="457">F272*86400</f>
        <v>2079215.9999999998</v>
      </c>
      <c r="H272" s="14">
        <f t="shared" ref="H272" si="458">G272/1000000</f>
        <v>2.0792159999999997</v>
      </c>
      <c r="I272" s="13">
        <f t="shared" si="428"/>
        <v>93564.719999999987</v>
      </c>
      <c r="J272" s="21">
        <f t="shared" si="429"/>
        <v>9.356471999999999E-2</v>
      </c>
      <c r="K272" s="13">
        <f t="shared" si="430"/>
        <v>11227.766399999999</v>
      </c>
      <c r="L272" s="13">
        <f t="shared" si="431"/>
        <v>1.1227766399999999E-2</v>
      </c>
      <c r="M272" s="27">
        <f t="shared" si="432"/>
        <v>0.1047924864</v>
      </c>
      <c r="N272" s="29">
        <f t="shared" si="433"/>
        <v>0.20792159999999998</v>
      </c>
      <c r="O272" s="28">
        <f t="shared" si="434"/>
        <v>1.7665019135999998</v>
      </c>
    </row>
    <row r="273" spans="1:15" x14ac:dyDescent="0.7">
      <c r="A273" s="10"/>
      <c r="B273" s="10"/>
      <c r="C273" s="24">
        <v>28</v>
      </c>
      <c r="D273" s="16">
        <v>33.966999999999999</v>
      </c>
      <c r="E273" s="6">
        <v>0</v>
      </c>
      <c r="F273" s="16">
        <v>33.966999999999999</v>
      </c>
      <c r="G273" s="17">
        <f t="shared" ref="G273" si="459">F273*86400</f>
        <v>2934748.8</v>
      </c>
      <c r="H273" s="18">
        <f t="shared" ref="H273" si="460">G273/1000000</f>
        <v>2.9347487999999999</v>
      </c>
      <c r="I273" s="13">
        <f t="shared" si="428"/>
        <v>132063.696</v>
      </c>
      <c r="J273" s="21">
        <f t="shared" si="429"/>
        <v>0.13206369600000001</v>
      </c>
      <c r="K273" s="13">
        <f t="shared" si="430"/>
        <v>15847.64352</v>
      </c>
      <c r="L273" s="13">
        <f t="shared" si="431"/>
        <v>1.5847643519999999E-2</v>
      </c>
      <c r="M273" s="27">
        <f t="shared" si="432"/>
        <v>0.14791133952000002</v>
      </c>
      <c r="N273" s="29">
        <f t="shared" si="433"/>
        <v>0.29347487999999999</v>
      </c>
      <c r="O273" s="28">
        <f t="shared" si="434"/>
        <v>2.4933625804800004</v>
      </c>
    </row>
    <row r="274" spans="1:15" s="20" customFormat="1" x14ac:dyDescent="0.7">
      <c r="A274" s="10"/>
      <c r="B274" s="10"/>
      <c r="C274" s="10">
        <v>29</v>
      </c>
      <c r="D274" s="16">
        <v>27.756999999999998</v>
      </c>
      <c r="E274" s="6">
        <v>24</v>
      </c>
      <c r="F274" s="16">
        <v>27.756999999999998</v>
      </c>
      <c r="G274" s="42">
        <f t="shared" ref="G274" si="461">F274*86400</f>
        <v>2398204.7999999998</v>
      </c>
      <c r="H274" s="37">
        <f t="shared" ref="H274" si="462">G274/1000000</f>
        <v>2.3982047999999998</v>
      </c>
      <c r="I274" s="37">
        <f t="shared" si="428"/>
        <v>107919.21599999999</v>
      </c>
      <c r="J274" s="38">
        <f t="shared" si="429"/>
        <v>0.10791921599999998</v>
      </c>
      <c r="K274" s="37">
        <f t="shared" si="430"/>
        <v>12950.305919999997</v>
      </c>
      <c r="L274" s="37">
        <f t="shared" si="431"/>
        <v>1.2950305919999997E-2</v>
      </c>
      <c r="M274" s="39">
        <f t="shared" si="432"/>
        <v>0.12086952191999999</v>
      </c>
      <c r="N274" s="29">
        <f t="shared" si="433"/>
        <v>0.23982048</v>
      </c>
      <c r="O274" s="41">
        <f t="shared" si="434"/>
        <v>2.0375147980799997</v>
      </c>
    </row>
    <row r="275" spans="1:15" s="36" customFormat="1" ht="25.2" thickBot="1" x14ac:dyDescent="0.75">
      <c r="A275" s="8"/>
      <c r="B275" s="8" t="s">
        <v>23</v>
      </c>
      <c r="C275" s="8">
        <v>30</v>
      </c>
      <c r="D275" s="9">
        <v>74.74199999999999</v>
      </c>
      <c r="E275" s="9">
        <v>0</v>
      </c>
      <c r="F275" s="9">
        <v>74.74199999999999</v>
      </c>
      <c r="G275" s="19">
        <f t="shared" ref="G275" si="463">F275*86400</f>
        <v>6457708.7999999989</v>
      </c>
      <c r="H275" s="15">
        <f t="shared" ref="H275" si="464">G275/1000000</f>
        <v>6.4577087999999989</v>
      </c>
      <c r="I275" s="15">
        <f t="shared" si="428"/>
        <v>290596.89599999995</v>
      </c>
      <c r="J275" s="22">
        <f t="shared" si="429"/>
        <v>0.29059689599999994</v>
      </c>
      <c r="K275" s="15">
        <f t="shared" si="430"/>
        <v>34871.627519999995</v>
      </c>
      <c r="L275" s="15">
        <f t="shared" si="431"/>
        <v>3.4871627519999997E-2</v>
      </c>
      <c r="M275" s="33">
        <f t="shared" si="432"/>
        <v>0.32546852351999994</v>
      </c>
      <c r="N275" s="34">
        <f t="shared" si="433"/>
        <v>0.64577087999999994</v>
      </c>
      <c r="O275" s="35">
        <f t="shared" si="434"/>
        <v>5.4864693964799995</v>
      </c>
    </row>
    <row r="276" spans="1:15" x14ac:dyDescent="0.7">
      <c r="A276" s="2"/>
      <c r="B276" s="2" t="s">
        <v>24</v>
      </c>
      <c r="C276" s="2">
        <v>1</v>
      </c>
      <c r="D276" s="3">
        <v>45.606000000000002</v>
      </c>
      <c r="E276" s="3">
        <v>0</v>
      </c>
      <c r="F276" s="3">
        <v>45.606000000000002</v>
      </c>
      <c r="G276" s="12">
        <f t="shared" ref="G276" si="465">F276*86400</f>
        <v>3940358.4000000004</v>
      </c>
      <c r="H276" s="14">
        <f t="shared" ref="H276" si="466">G276/1000000</f>
        <v>3.9403584000000005</v>
      </c>
      <c r="I276" s="14">
        <f t="shared" si="428"/>
        <v>177316.128</v>
      </c>
      <c r="J276" s="26">
        <f t="shared" si="429"/>
        <v>0.17731612799999999</v>
      </c>
      <c r="K276" s="14">
        <f t="shared" si="430"/>
        <v>21277.935359999999</v>
      </c>
      <c r="L276" s="14">
        <f t="shared" si="431"/>
        <v>2.127793536E-2</v>
      </c>
      <c r="M276" s="30">
        <f t="shared" si="432"/>
        <v>0.19859406335999999</v>
      </c>
      <c r="N276" s="31">
        <f t="shared" si="433"/>
        <v>0.39403584000000008</v>
      </c>
      <c r="O276" s="32">
        <f t="shared" si="434"/>
        <v>3.3477284966400007</v>
      </c>
    </row>
    <row r="277" spans="1:15" x14ac:dyDescent="0.7">
      <c r="A277" s="5"/>
      <c r="B277" s="5"/>
      <c r="C277" s="5">
        <v>2</v>
      </c>
      <c r="D277" s="6">
        <v>26.715</v>
      </c>
      <c r="E277" s="6">
        <v>4.3</v>
      </c>
      <c r="F277" s="6">
        <v>26.715</v>
      </c>
      <c r="G277" s="12">
        <f t="shared" ref="G277" si="467">F277*86400</f>
        <v>2308176</v>
      </c>
      <c r="H277" s="14">
        <f t="shared" ref="H277" si="468">G277/1000000</f>
        <v>2.308176</v>
      </c>
      <c r="I277" s="13">
        <f t="shared" si="428"/>
        <v>103867.92</v>
      </c>
      <c r="J277" s="21">
        <f t="shared" si="429"/>
        <v>0.10386792</v>
      </c>
      <c r="K277" s="13">
        <f t="shared" si="430"/>
        <v>12464.150399999999</v>
      </c>
      <c r="L277" s="13">
        <f t="shared" si="431"/>
        <v>1.2464150399999999E-2</v>
      </c>
      <c r="M277" s="27">
        <f t="shared" si="432"/>
        <v>0.1163320704</v>
      </c>
      <c r="N277" s="29">
        <f t="shared" si="433"/>
        <v>0.23081760000000001</v>
      </c>
      <c r="O277" s="28">
        <f t="shared" si="434"/>
        <v>1.9610263296000001</v>
      </c>
    </row>
    <row r="278" spans="1:15" x14ac:dyDescent="0.7">
      <c r="A278" s="5"/>
      <c r="B278" s="5"/>
      <c r="C278" s="5">
        <v>3</v>
      </c>
      <c r="D278" s="6">
        <v>36.137999999999998</v>
      </c>
      <c r="E278" s="6">
        <v>0</v>
      </c>
      <c r="F278" s="6">
        <v>36.137999999999998</v>
      </c>
      <c r="G278" s="12">
        <f t="shared" ref="G278" si="469">F278*86400</f>
        <v>3122323.1999999997</v>
      </c>
      <c r="H278" s="14">
        <f t="shared" ref="H278" si="470">G278/1000000</f>
        <v>3.1223231999999999</v>
      </c>
      <c r="I278" s="13">
        <f t="shared" si="428"/>
        <v>140504.54399999999</v>
      </c>
      <c r="J278" s="21">
        <f t="shared" si="429"/>
        <v>0.14050454399999998</v>
      </c>
      <c r="K278" s="13">
        <f t="shared" si="430"/>
        <v>16860.545279999998</v>
      </c>
      <c r="L278" s="13">
        <f t="shared" si="431"/>
        <v>1.686054528E-2</v>
      </c>
      <c r="M278" s="27">
        <f t="shared" si="432"/>
        <v>0.15736508927999998</v>
      </c>
      <c r="N278" s="29">
        <f t="shared" si="433"/>
        <v>0.31223232000000001</v>
      </c>
      <c r="O278" s="28">
        <f t="shared" si="434"/>
        <v>2.6527257907199999</v>
      </c>
    </row>
    <row r="279" spans="1:15" x14ac:dyDescent="0.7">
      <c r="A279" s="5"/>
      <c r="B279" s="5"/>
      <c r="C279" s="2">
        <v>4</v>
      </c>
      <c r="D279" s="6">
        <v>22.582999999999998</v>
      </c>
      <c r="E279" s="6">
        <v>0</v>
      </c>
      <c r="F279" s="6">
        <v>22.582999999999998</v>
      </c>
      <c r="G279" s="12">
        <f t="shared" ref="G279" si="471">F279*86400</f>
        <v>1951171.2</v>
      </c>
      <c r="H279" s="14">
        <f t="shared" ref="H279" si="472">G279/1000000</f>
        <v>1.9511711999999999</v>
      </c>
      <c r="I279" s="13">
        <f t="shared" si="428"/>
        <v>87802.703999999998</v>
      </c>
      <c r="J279" s="21">
        <f t="shared" si="429"/>
        <v>8.7802703999999995E-2</v>
      </c>
      <c r="K279" s="13">
        <f t="shared" si="430"/>
        <v>10536.324479999999</v>
      </c>
      <c r="L279" s="13">
        <f t="shared" si="431"/>
        <v>1.053632448E-2</v>
      </c>
      <c r="M279" s="27">
        <f t="shared" si="432"/>
        <v>9.8339028479999993E-2</v>
      </c>
      <c r="N279" s="29">
        <f t="shared" si="433"/>
        <v>0.19511712</v>
      </c>
      <c r="O279" s="28">
        <f t="shared" si="434"/>
        <v>1.6577150515199999</v>
      </c>
    </row>
    <row r="280" spans="1:15" x14ac:dyDescent="0.7">
      <c r="A280" s="5"/>
      <c r="B280" s="5"/>
      <c r="C280" s="5">
        <v>5</v>
      </c>
      <c r="D280" s="6">
        <v>21.787999999999997</v>
      </c>
      <c r="E280" s="6">
        <v>16.7</v>
      </c>
      <c r="F280" s="6">
        <v>21.787999999999997</v>
      </c>
      <c r="G280" s="12">
        <f t="shared" ref="G280" si="473">F280*86400</f>
        <v>1882483.1999999997</v>
      </c>
      <c r="H280" s="14">
        <f t="shared" ref="H280" si="474">G280/1000000</f>
        <v>1.8824831999999998</v>
      </c>
      <c r="I280" s="13">
        <f t="shared" si="428"/>
        <v>84711.743999999992</v>
      </c>
      <c r="J280" s="21">
        <f t="shared" si="429"/>
        <v>8.4711743999999992E-2</v>
      </c>
      <c r="K280" s="13">
        <f t="shared" si="430"/>
        <v>10165.409279999998</v>
      </c>
      <c r="L280" s="13">
        <f t="shared" si="431"/>
        <v>1.0165409279999997E-2</v>
      </c>
      <c r="M280" s="27">
        <f t="shared" si="432"/>
        <v>9.4877153279999987E-2</v>
      </c>
      <c r="N280" s="29">
        <f t="shared" si="433"/>
        <v>0.18824832</v>
      </c>
      <c r="O280" s="28">
        <f t="shared" si="434"/>
        <v>1.5993577267199999</v>
      </c>
    </row>
    <row r="281" spans="1:15" x14ac:dyDescent="0.7">
      <c r="A281" s="5"/>
      <c r="B281" s="5"/>
      <c r="C281" s="5">
        <v>6</v>
      </c>
      <c r="D281" s="6">
        <v>20.04</v>
      </c>
      <c r="E281" s="6">
        <v>0</v>
      </c>
      <c r="F281" s="6">
        <v>20.04</v>
      </c>
      <c r="G281" s="12">
        <f t="shared" ref="G281" si="475">F281*86400</f>
        <v>1731456</v>
      </c>
      <c r="H281" s="14">
        <f t="shared" ref="H281" si="476">G281/1000000</f>
        <v>1.7314560000000001</v>
      </c>
      <c r="I281" s="13">
        <f t="shared" si="428"/>
        <v>77915.520000000004</v>
      </c>
      <c r="J281" s="21">
        <f t="shared" si="429"/>
        <v>7.7915520000000002E-2</v>
      </c>
      <c r="K281" s="13">
        <f t="shared" si="430"/>
        <v>9349.8624</v>
      </c>
      <c r="L281" s="13">
        <f t="shared" si="431"/>
        <v>9.3498624000000006E-3</v>
      </c>
      <c r="M281" s="27">
        <f t="shared" si="432"/>
        <v>8.7265382400000008E-2</v>
      </c>
      <c r="N281" s="29">
        <f t="shared" si="433"/>
        <v>0.17314560000000001</v>
      </c>
      <c r="O281" s="28">
        <f t="shared" si="434"/>
        <v>1.4710450176000001</v>
      </c>
    </row>
    <row r="282" spans="1:15" x14ac:dyDescent="0.7">
      <c r="A282" s="5"/>
      <c r="B282" s="5"/>
      <c r="C282" s="2">
        <v>7</v>
      </c>
      <c r="D282" s="6">
        <v>17.681999999999999</v>
      </c>
      <c r="E282" s="6">
        <v>0</v>
      </c>
      <c r="F282" s="6">
        <v>17.681999999999999</v>
      </c>
      <c r="G282" s="12">
        <f t="shared" ref="G282" si="477">F282*86400</f>
        <v>1527724.7999999998</v>
      </c>
      <c r="H282" s="14">
        <f t="shared" ref="H282" si="478">G282/1000000</f>
        <v>1.5277247999999999</v>
      </c>
      <c r="I282" s="13">
        <f t="shared" si="428"/>
        <v>68747.615999999995</v>
      </c>
      <c r="J282" s="21">
        <f t="shared" si="429"/>
        <v>6.8747615999999998E-2</v>
      </c>
      <c r="K282" s="13">
        <f t="shared" si="430"/>
        <v>8249.7139199999983</v>
      </c>
      <c r="L282" s="13">
        <f t="shared" si="431"/>
        <v>8.2497139199999986E-3</v>
      </c>
      <c r="M282" s="27">
        <f t="shared" si="432"/>
        <v>7.6997329919999996E-2</v>
      </c>
      <c r="N282" s="29">
        <f t="shared" si="433"/>
        <v>0.15277247999999999</v>
      </c>
      <c r="O282" s="28">
        <f t="shared" si="434"/>
        <v>1.29795499008</v>
      </c>
    </row>
    <row r="283" spans="1:15" x14ac:dyDescent="0.7">
      <c r="A283" s="5"/>
      <c r="B283" s="5"/>
      <c r="C283" s="5">
        <v>8</v>
      </c>
      <c r="D283" s="6">
        <v>17.186</v>
      </c>
      <c r="E283" s="6">
        <v>0</v>
      </c>
      <c r="F283" s="6">
        <v>17.186</v>
      </c>
      <c r="G283" s="12">
        <f t="shared" ref="G283" si="479">F283*86400</f>
        <v>1484870.4</v>
      </c>
      <c r="H283" s="14">
        <f t="shared" ref="H283" si="480">G283/1000000</f>
        <v>1.4848703999999999</v>
      </c>
      <c r="I283" s="13">
        <f t="shared" si="428"/>
        <v>66819.167999999991</v>
      </c>
      <c r="J283" s="21">
        <f t="shared" si="429"/>
        <v>6.6819167999999984E-2</v>
      </c>
      <c r="K283" s="13">
        <f t="shared" si="430"/>
        <v>8018.3001599999989</v>
      </c>
      <c r="L283" s="13">
        <f t="shared" si="431"/>
        <v>8.0183001599999984E-3</v>
      </c>
      <c r="M283" s="27">
        <f t="shared" si="432"/>
        <v>7.4837468159999976E-2</v>
      </c>
      <c r="N283" s="29">
        <f t="shared" si="433"/>
        <v>0.14848703999999999</v>
      </c>
      <c r="O283" s="28">
        <f t="shared" si="434"/>
        <v>1.26154589184</v>
      </c>
    </row>
    <row r="284" spans="1:15" x14ac:dyDescent="0.7">
      <c r="A284" s="5"/>
      <c r="B284" s="5"/>
      <c r="C284" s="5">
        <v>9</v>
      </c>
      <c r="D284" s="6">
        <v>17.186</v>
      </c>
      <c r="E284" s="6">
        <v>0</v>
      </c>
      <c r="F284" s="6">
        <v>17.186</v>
      </c>
      <c r="G284" s="12">
        <f t="shared" ref="G284" si="481">F284*86400</f>
        <v>1484870.4</v>
      </c>
      <c r="H284" s="14">
        <f t="shared" ref="H284" si="482">G284/1000000</f>
        <v>1.4848703999999999</v>
      </c>
      <c r="I284" s="13">
        <f t="shared" si="428"/>
        <v>66819.167999999991</v>
      </c>
      <c r="J284" s="21">
        <f t="shared" si="429"/>
        <v>6.6819167999999984E-2</v>
      </c>
      <c r="K284" s="13">
        <f t="shared" si="430"/>
        <v>8018.3001599999989</v>
      </c>
      <c r="L284" s="13">
        <f t="shared" si="431"/>
        <v>8.0183001599999984E-3</v>
      </c>
      <c r="M284" s="27">
        <f t="shared" si="432"/>
        <v>7.4837468159999976E-2</v>
      </c>
      <c r="N284" s="29">
        <f t="shared" si="433"/>
        <v>0.14848703999999999</v>
      </c>
      <c r="O284" s="28">
        <f t="shared" si="434"/>
        <v>1.26154589184</v>
      </c>
    </row>
    <row r="285" spans="1:15" x14ac:dyDescent="0.7">
      <c r="A285" s="5"/>
      <c r="B285" s="5"/>
      <c r="C285" s="2">
        <v>10</v>
      </c>
      <c r="D285" s="6">
        <v>16.824000000000002</v>
      </c>
      <c r="E285" s="6">
        <v>0</v>
      </c>
      <c r="F285" s="6">
        <v>16.824000000000002</v>
      </c>
      <c r="G285" s="12">
        <f t="shared" ref="G285" si="483">F285*86400</f>
        <v>1453593.6000000001</v>
      </c>
      <c r="H285" s="14">
        <f t="shared" ref="H285" si="484">G285/1000000</f>
        <v>1.4535936</v>
      </c>
      <c r="I285" s="13">
        <f t="shared" si="428"/>
        <v>65411.712</v>
      </c>
      <c r="J285" s="21">
        <f t="shared" si="429"/>
        <v>6.5411711999999997E-2</v>
      </c>
      <c r="K285" s="13">
        <f t="shared" si="430"/>
        <v>7849.4054399999995</v>
      </c>
      <c r="L285" s="13">
        <f t="shared" si="431"/>
        <v>7.8494054400000002E-3</v>
      </c>
      <c r="M285" s="27">
        <f t="shared" si="432"/>
        <v>7.3261117439999995E-2</v>
      </c>
      <c r="N285" s="29">
        <f t="shared" si="433"/>
        <v>0.14535936000000002</v>
      </c>
      <c r="O285" s="28">
        <f t="shared" si="434"/>
        <v>1.23497312256</v>
      </c>
    </row>
    <row r="286" spans="1:15" x14ac:dyDescent="0.7">
      <c r="A286" s="5"/>
      <c r="B286" s="5"/>
      <c r="C286" s="5">
        <v>11</v>
      </c>
      <c r="D286" s="6">
        <v>14.680999999999999</v>
      </c>
      <c r="E286" s="6">
        <v>0</v>
      </c>
      <c r="F286" s="6">
        <v>14.680999999999999</v>
      </c>
      <c r="G286" s="12">
        <f t="shared" ref="G286" si="485">F286*86400</f>
        <v>1268438.3999999999</v>
      </c>
      <c r="H286" s="14">
        <f t="shared" ref="H286" si="486">G286/1000000</f>
        <v>1.2684384</v>
      </c>
      <c r="I286" s="13">
        <f t="shared" si="428"/>
        <v>57079.727999999996</v>
      </c>
      <c r="J286" s="21">
        <f t="shared" si="429"/>
        <v>5.7079727999999996E-2</v>
      </c>
      <c r="K286" s="13">
        <f t="shared" si="430"/>
        <v>6849.5673599999991</v>
      </c>
      <c r="L286" s="13">
        <f t="shared" si="431"/>
        <v>6.8495673599999994E-3</v>
      </c>
      <c r="M286" s="27">
        <f t="shared" si="432"/>
        <v>6.3929295359999999E-2</v>
      </c>
      <c r="N286" s="29">
        <f t="shared" si="433"/>
        <v>0.12684384000000001</v>
      </c>
      <c r="O286" s="28">
        <f t="shared" si="434"/>
        <v>1.07766526464</v>
      </c>
    </row>
    <row r="287" spans="1:15" x14ac:dyDescent="0.7">
      <c r="A287" s="5"/>
      <c r="B287" s="5"/>
      <c r="C287" s="5">
        <v>12</v>
      </c>
      <c r="D287" s="6">
        <v>15.336</v>
      </c>
      <c r="E287" s="6">
        <v>3.1</v>
      </c>
      <c r="F287" s="6">
        <v>15.336</v>
      </c>
      <c r="G287" s="12">
        <f t="shared" ref="G287" si="487">F287*86400</f>
        <v>1325030.4000000001</v>
      </c>
      <c r="H287" s="14">
        <f t="shared" ref="H287" si="488">G287/1000000</f>
        <v>1.3250304000000002</v>
      </c>
      <c r="I287" s="13">
        <f t="shared" si="428"/>
        <v>59626.368000000002</v>
      </c>
      <c r="J287" s="21">
        <f t="shared" si="429"/>
        <v>5.9626367999999999E-2</v>
      </c>
      <c r="K287" s="13">
        <f t="shared" si="430"/>
        <v>7155.1641600000003</v>
      </c>
      <c r="L287" s="13">
        <f t="shared" si="431"/>
        <v>7.1551641600000005E-3</v>
      </c>
      <c r="M287" s="27">
        <f t="shared" si="432"/>
        <v>6.6781532160000004E-2</v>
      </c>
      <c r="N287" s="29">
        <f t="shared" si="433"/>
        <v>0.13250304000000002</v>
      </c>
      <c r="O287" s="28">
        <f t="shared" si="434"/>
        <v>1.1257458278400001</v>
      </c>
    </row>
    <row r="288" spans="1:15" x14ac:dyDescent="0.7">
      <c r="A288" s="5"/>
      <c r="B288" s="5"/>
      <c r="C288" s="2">
        <v>13</v>
      </c>
      <c r="D288" s="6">
        <v>17.186</v>
      </c>
      <c r="E288" s="6">
        <v>0</v>
      </c>
      <c r="F288" s="6">
        <v>17.186</v>
      </c>
      <c r="G288" s="12">
        <f t="shared" ref="G288" si="489">F288*86400</f>
        <v>1484870.4</v>
      </c>
      <c r="H288" s="14">
        <f t="shared" ref="H288" si="490">G288/1000000</f>
        <v>1.4848703999999999</v>
      </c>
      <c r="I288" s="13">
        <f t="shared" si="428"/>
        <v>66819.167999999991</v>
      </c>
      <c r="J288" s="21">
        <f t="shared" si="429"/>
        <v>6.6819167999999984E-2</v>
      </c>
      <c r="K288" s="13">
        <f t="shared" si="430"/>
        <v>8018.3001599999989</v>
      </c>
      <c r="L288" s="13">
        <f t="shared" si="431"/>
        <v>8.0183001599999984E-3</v>
      </c>
      <c r="M288" s="27">
        <f t="shared" si="432"/>
        <v>7.4837468159999976E-2</v>
      </c>
      <c r="N288" s="29">
        <f t="shared" si="433"/>
        <v>0.14848703999999999</v>
      </c>
      <c r="O288" s="28">
        <f t="shared" si="434"/>
        <v>1.26154589184</v>
      </c>
    </row>
    <row r="289" spans="1:15" x14ac:dyDescent="0.7">
      <c r="A289" s="5"/>
      <c r="B289" s="5"/>
      <c r="C289" s="5">
        <v>14</v>
      </c>
      <c r="D289" s="6">
        <v>18.562999999999999</v>
      </c>
      <c r="E289" s="6">
        <v>0</v>
      </c>
      <c r="F289" s="6">
        <v>18.562999999999999</v>
      </c>
      <c r="G289" s="12">
        <f t="shared" ref="G289" si="491">F289*86400</f>
        <v>1603843.2</v>
      </c>
      <c r="H289" s="14">
        <f t="shared" ref="H289" si="492">G289/1000000</f>
        <v>1.6038432</v>
      </c>
      <c r="I289" s="13">
        <f t="shared" si="428"/>
        <v>72172.943999999989</v>
      </c>
      <c r="J289" s="21">
        <f t="shared" si="429"/>
        <v>7.2172943999999989E-2</v>
      </c>
      <c r="K289" s="13">
        <f t="shared" si="430"/>
        <v>8660.753279999999</v>
      </c>
      <c r="L289" s="13">
        <f t="shared" si="431"/>
        <v>8.6607532799999991E-3</v>
      </c>
      <c r="M289" s="27">
        <f t="shared" si="432"/>
        <v>8.0833697279999991E-2</v>
      </c>
      <c r="N289" s="29">
        <f t="shared" si="433"/>
        <v>0.16038432000000002</v>
      </c>
      <c r="O289" s="28">
        <f t="shared" si="434"/>
        <v>1.36262518272</v>
      </c>
    </row>
    <row r="290" spans="1:15" x14ac:dyDescent="0.7">
      <c r="A290" s="5"/>
      <c r="B290" s="5"/>
      <c r="C290" s="5">
        <v>15</v>
      </c>
      <c r="D290" s="6">
        <v>16.824000000000002</v>
      </c>
      <c r="E290" s="6">
        <v>0</v>
      </c>
      <c r="F290" s="6">
        <v>16.824000000000002</v>
      </c>
      <c r="G290" s="12">
        <f t="shared" ref="G290" si="493">F290*86400</f>
        <v>1453593.6000000001</v>
      </c>
      <c r="H290" s="14">
        <f t="shared" ref="H290" si="494">G290/1000000</f>
        <v>1.4535936</v>
      </c>
      <c r="I290" s="13">
        <f t="shared" si="428"/>
        <v>65411.712</v>
      </c>
      <c r="J290" s="21">
        <f t="shared" si="429"/>
        <v>6.5411711999999997E-2</v>
      </c>
      <c r="K290" s="13">
        <f t="shared" si="430"/>
        <v>7849.4054399999995</v>
      </c>
      <c r="L290" s="13">
        <f t="shared" si="431"/>
        <v>7.8494054400000002E-3</v>
      </c>
      <c r="M290" s="27">
        <f t="shared" si="432"/>
        <v>7.3261117439999995E-2</v>
      </c>
      <c r="N290" s="29">
        <f t="shared" si="433"/>
        <v>0.14535936000000002</v>
      </c>
      <c r="O290" s="28">
        <f t="shared" si="434"/>
        <v>1.23497312256</v>
      </c>
    </row>
    <row r="291" spans="1:15" x14ac:dyDescent="0.7">
      <c r="A291" s="5"/>
      <c r="B291" s="5"/>
      <c r="C291" s="2">
        <v>16</v>
      </c>
      <c r="D291" s="6">
        <v>14.416</v>
      </c>
      <c r="E291" s="6">
        <v>0</v>
      </c>
      <c r="F291" s="6">
        <v>14.416</v>
      </c>
      <c r="G291" s="12">
        <f t="shared" ref="G291" si="495">F291*86400</f>
        <v>1245542.4000000001</v>
      </c>
      <c r="H291" s="14">
        <f t="shared" ref="H291" si="496">G291/1000000</f>
        <v>1.2455424000000002</v>
      </c>
      <c r="I291" s="13">
        <f t="shared" si="428"/>
        <v>56049.408000000003</v>
      </c>
      <c r="J291" s="21">
        <f t="shared" si="429"/>
        <v>5.6049408000000002E-2</v>
      </c>
      <c r="K291" s="13">
        <f t="shared" si="430"/>
        <v>6725.9289600000002</v>
      </c>
      <c r="L291" s="13">
        <f t="shared" si="431"/>
        <v>6.7259289600000004E-3</v>
      </c>
      <c r="M291" s="27">
        <f t="shared" si="432"/>
        <v>6.2775336959999997E-2</v>
      </c>
      <c r="N291" s="29">
        <f t="shared" si="433"/>
        <v>0.12455424000000002</v>
      </c>
      <c r="O291" s="28">
        <f t="shared" si="434"/>
        <v>1.0582128230400003</v>
      </c>
    </row>
    <row r="292" spans="1:15" x14ac:dyDescent="0.7">
      <c r="A292" s="5"/>
      <c r="B292" s="5"/>
      <c r="C292" s="5">
        <v>17</v>
      </c>
      <c r="D292" s="6">
        <v>14.18</v>
      </c>
      <c r="E292" s="6">
        <v>0</v>
      </c>
      <c r="F292" s="6">
        <v>14.18</v>
      </c>
      <c r="G292" s="12">
        <f t="shared" ref="G292" si="497">F292*86400</f>
        <v>1225152</v>
      </c>
      <c r="H292" s="14">
        <f t="shared" ref="H292" si="498">G292/1000000</f>
        <v>1.225152</v>
      </c>
      <c r="I292" s="13">
        <f t="shared" si="428"/>
        <v>55131.839999999997</v>
      </c>
      <c r="J292" s="21">
        <f t="shared" si="429"/>
        <v>5.5131839999999994E-2</v>
      </c>
      <c r="K292" s="13">
        <f t="shared" si="430"/>
        <v>6615.8207999999995</v>
      </c>
      <c r="L292" s="13">
        <f t="shared" si="431"/>
        <v>6.6158207999999991E-3</v>
      </c>
      <c r="M292" s="27">
        <f t="shared" si="432"/>
        <v>6.1747660799999993E-2</v>
      </c>
      <c r="N292" s="29">
        <f t="shared" si="433"/>
        <v>0.1225152</v>
      </c>
      <c r="O292" s="28">
        <f t="shared" si="434"/>
        <v>1.0408891391999999</v>
      </c>
    </row>
    <row r="293" spans="1:15" x14ac:dyDescent="0.7">
      <c r="A293" s="5"/>
      <c r="B293" s="5"/>
      <c r="C293" s="5">
        <v>18</v>
      </c>
      <c r="D293" s="6">
        <v>13.823</v>
      </c>
      <c r="E293" s="6">
        <v>0</v>
      </c>
      <c r="F293" s="6">
        <v>13.823</v>
      </c>
      <c r="G293" s="12">
        <f t="shared" ref="G293" si="499">F293*86400</f>
        <v>1194307.2</v>
      </c>
      <c r="H293" s="14">
        <f t="shared" ref="H293" si="500">G293/1000000</f>
        <v>1.1943071999999999</v>
      </c>
      <c r="I293" s="13">
        <f t="shared" si="428"/>
        <v>53743.823999999993</v>
      </c>
      <c r="J293" s="21">
        <f t="shared" si="429"/>
        <v>5.3743823999999996E-2</v>
      </c>
      <c r="K293" s="13">
        <f t="shared" si="430"/>
        <v>6449.2588799999985</v>
      </c>
      <c r="L293" s="13">
        <f t="shared" si="431"/>
        <v>6.4492588799999985E-3</v>
      </c>
      <c r="M293" s="27">
        <f t="shared" si="432"/>
        <v>6.0193082879999991E-2</v>
      </c>
      <c r="N293" s="29">
        <f t="shared" si="433"/>
        <v>0.11943071999999999</v>
      </c>
      <c r="O293" s="28">
        <f t="shared" si="434"/>
        <v>1.01468339712</v>
      </c>
    </row>
    <row r="294" spans="1:15" x14ac:dyDescent="0.7">
      <c r="A294" s="5"/>
      <c r="B294" s="5"/>
      <c r="C294" s="2">
        <v>19</v>
      </c>
      <c r="D294" s="6">
        <v>13.699</v>
      </c>
      <c r="E294" s="6">
        <v>0</v>
      </c>
      <c r="F294" s="6">
        <v>13.699</v>
      </c>
      <c r="G294" s="12">
        <f t="shared" ref="G294" si="501">F294*86400</f>
        <v>1183593.6000000001</v>
      </c>
      <c r="H294" s="14">
        <f t="shared" ref="H294" si="502">G294/1000000</f>
        <v>1.1835936</v>
      </c>
      <c r="I294" s="13">
        <f t="shared" si="428"/>
        <v>53261.712</v>
      </c>
      <c r="J294" s="21">
        <f t="shared" si="429"/>
        <v>5.3261712000000003E-2</v>
      </c>
      <c r="K294" s="13">
        <f t="shared" si="430"/>
        <v>6391.4054399999995</v>
      </c>
      <c r="L294" s="13">
        <f t="shared" si="431"/>
        <v>6.3914054399999993E-3</v>
      </c>
      <c r="M294" s="27">
        <f t="shared" si="432"/>
        <v>5.965311744E-2</v>
      </c>
      <c r="N294" s="29">
        <f t="shared" si="433"/>
        <v>0.11835936000000001</v>
      </c>
      <c r="O294" s="28">
        <f t="shared" si="434"/>
        <v>1.0055811225600002</v>
      </c>
    </row>
    <row r="295" spans="1:15" x14ac:dyDescent="0.7">
      <c r="A295" s="5"/>
      <c r="B295" s="5"/>
      <c r="C295" s="5">
        <v>20</v>
      </c>
      <c r="D295" s="6">
        <v>12.801</v>
      </c>
      <c r="E295" s="6">
        <v>0</v>
      </c>
      <c r="F295" s="6">
        <v>12.801</v>
      </c>
      <c r="G295" s="12">
        <f t="shared" ref="G295" si="503">F295*86400</f>
        <v>1106006.3999999999</v>
      </c>
      <c r="H295" s="14">
        <f t="shared" ref="H295" si="504">G295/1000000</f>
        <v>1.1060063999999998</v>
      </c>
      <c r="I295" s="13">
        <f t="shared" si="428"/>
        <v>49770.287999999993</v>
      </c>
      <c r="J295" s="21">
        <f t="shared" si="429"/>
        <v>4.9770287999999996E-2</v>
      </c>
      <c r="K295" s="13">
        <f t="shared" si="430"/>
        <v>5972.4345599999988</v>
      </c>
      <c r="L295" s="13">
        <f t="shared" si="431"/>
        <v>5.9724345599999991E-3</v>
      </c>
      <c r="M295" s="27">
        <f t="shared" si="432"/>
        <v>5.5742722559999992E-2</v>
      </c>
      <c r="N295" s="29">
        <f t="shared" si="433"/>
        <v>0.11060063999999999</v>
      </c>
      <c r="O295" s="28">
        <f t="shared" si="434"/>
        <v>0.93966303743999979</v>
      </c>
    </row>
    <row r="296" spans="1:15" x14ac:dyDescent="0.7">
      <c r="A296" s="5"/>
      <c r="B296" s="5"/>
      <c r="C296" s="5">
        <v>21</v>
      </c>
      <c r="D296" s="6">
        <v>12.801</v>
      </c>
      <c r="E296" s="6">
        <v>0.3</v>
      </c>
      <c r="F296" s="6">
        <v>12.801</v>
      </c>
      <c r="G296" s="12">
        <f t="shared" ref="G296" si="505">F296*86400</f>
        <v>1106006.3999999999</v>
      </c>
      <c r="H296" s="14">
        <f t="shared" ref="H296" si="506">G296/1000000</f>
        <v>1.1060063999999998</v>
      </c>
      <c r="I296" s="13">
        <f t="shared" si="428"/>
        <v>49770.287999999993</v>
      </c>
      <c r="J296" s="21">
        <f t="shared" si="429"/>
        <v>4.9770287999999996E-2</v>
      </c>
      <c r="K296" s="13">
        <f t="shared" si="430"/>
        <v>5972.4345599999988</v>
      </c>
      <c r="L296" s="13">
        <f t="shared" si="431"/>
        <v>5.9724345599999991E-3</v>
      </c>
      <c r="M296" s="27">
        <f t="shared" si="432"/>
        <v>5.5742722559999992E-2</v>
      </c>
      <c r="N296" s="29">
        <f t="shared" si="433"/>
        <v>0.11060063999999999</v>
      </c>
      <c r="O296" s="28">
        <f t="shared" si="434"/>
        <v>0.93966303743999979</v>
      </c>
    </row>
    <row r="297" spans="1:15" x14ac:dyDescent="0.7">
      <c r="A297" s="5"/>
      <c r="B297" s="5"/>
      <c r="C297" s="2">
        <v>22</v>
      </c>
      <c r="D297" s="6">
        <v>13.920999999999999</v>
      </c>
      <c r="E297" s="6">
        <v>5</v>
      </c>
      <c r="F297" s="6">
        <v>13.920999999999999</v>
      </c>
      <c r="G297" s="12">
        <f t="shared" ref="G297" si="507">F297*86400</f>
        <v>1202774.3999999999</v>
      </c>
      <c r="H297" s="14">
        <f t="shared" ref="H297" si="508">G297/1000000</f>
        <v>1.2027743999999998</v>
      </c>
      <c r="I297" s="13">
        <f t="shared" si="428"/>
        <v>54124.847999999991</v>
      </c>
      <c r="J297" s="21">
        <f t="shared" si="429"/>
        <v>5.4124847999999989E-2</v>
      </c>
      <c r="K297" s="13">
        <f t="shared" si="430"/>
        <v>6494.9817599999988</v>
      </c>
      <c r="L297" s="13">
        <f t="shared" si="431"/>
        <v>6.4949817599999991E-3</v>
      </c>
      <c r="M297" s="27">
        <f t="shared" si="432"/>
        <v>6.0619829759999987E-2</v>
      </c>
      <c r="N297" s="29">
        <f t="shared" si="433"/>
        <v>0.12027743999999999</v>
      </c>
      <c r="O297" s="28">
        <f t="shared" si="434"/>
        <v>1.0218771302399998</v>
      </c>
    </row>
    <row r="298" spans="1:15" x14ac:dyDescent="0.7">
      <c r="A298" s="5"/>
      <c r="B298" s="5"/>
      <c r="C298" s="5">
        <v>23</v>
      </c>
      <c r="D298" s="6">
        <v>26.417999999999999</v>
      </c>
      <c r="E298" s="6">
        <v>58.9</v>
      </c>
      <c r="F298" s="6">
        <v>26.417999999999999</v>
      </c>
      <c r="G298" s="12">
        <f t="shared" ref="G298" si="509">F298*86400</f>
        <v>2282515.1999999997</v>
      </c>
      <c r="H298" s="14">
        <f t="shared" ref="H298" si="510">G298/1000000</f>
        <v>2.2825151999999997</v>
      </c>
      <c r="I298" s="13">
        <f t="shared" si="428"/>
        <v>102713.18399999998</v>
      </c>
      <c r="J298" s="21">
        <f t="shared" si="429"/>
        <v>0.10271318399999999</v>
      </c>
      <c r="K298" s="13">
        <f t="shared" si="430"/>
        <v>12325.582079999996</v>
      </c>
      <c r="L298" s="13">
        <f t="shared" si="431"/>
        <v>1.2325582079999996E-2</v>
      </c>
      <c r="M298" s="27">
        <f t="shared" si="432"/>
        <v>0.11503876607999998</v>
      </c>
      <c r="N298" s="29">
        <f t="shared" si="433"/>
        <v>0.22825151999999999</v>
      </c>
      <c r="O298" s="28">
        <f t="shared" si="434"/>
        <v>1.9392249139199997</v>
      </c>
    </row>
    <row r="299" spans="1:15" x14ac:dyDescent="0.7">
      <c r="A299" s="5"/>
      <c r="B299" s="5"/>
      <c r="C299" s="5">
        <v>24</v>
      </c>
      <c r="D299" s="6">
        <v>19.084</v>
      </c>
      <c r="E299" s="6">
        <v>0.6</v>
      </c>
      <c r="F299" s="6">
        <v>19.084</v>
      </c>
      <c r="G299" s="12">
        <f t="shared" ref="G299" si="511">F299*86400</f>
        <v>1648857.5999999999</v>
      </c>
      <c r="H299" s="14">
        <f t="shared" ref="H299" si="512">G299/1000000</f>
        <v>1.6488575999999999</v>
      </c>
      <c r="I299" s="13">
        <f t="shared" si="428"/>
        <v>74198.59199999999</v>
      </c>
      <c r="J299" s="21">
        <f t="shared" si="429"/>
        <v>7.4198591999999994E-2</v>
      </c>
      <c r="K299" s="13">
        <f t="shared" si="430"/>
        <v>8903.8310399999991</v>
      </c>
      <c r="L299" s="13">
        <f t="shared" si="431"/>
        <v>8.903831039999999E-3</v>
      </c>
      <c r="M299" s="27">
        <f t="shared" si="432"/>
        <v>8.3102423039999998E-2</v>
      </c>
      <c r="N299" s="29">
        <f t="shared" si="433"/>
        <v>0.16488575999999999</v>
      </c>
      <c r="O299" s="28">
        <f t="shared" si="434"/>
        <v>1.40086941696</v>
      </c>
    </row>
    <row r="300" spans="1:15" x14ac:dyDescent="0.7">
      <c r="A300" s="5"/>
      <c r="B300" s="5"/>
      <c r="C300" s="2">
        <v>25</v>
      </c>
      <c r="D300" s="6">
        <v>20.716999999999999</v>
      </c>
      <c r="E300" s="6">
        <v>0</v>
      </c>
      <c r="F300" s="6">
        <v>20.716999999999999</v>
      </c>
      <c r="G300" s="12">
        <f t="shared" ref="G300" si="513">F300*86400</f>
        <v>1789948.7999999998</v>
      </c>
      <c r="H300" s="14">
        <f t="shared" ref="H300" si="514">G300/1000000</f>
        <v>1.7899487999999999</v>
      </c>
      <c r="I300" s="13">
        <f t="shared" si="428"/>
        <v>80547.695999999982</v>
      </c>
      <c r="J300" s="21">
        <f t="shared" si="429"/>
        <v>8.0547695999999988E-2</v>
      </c>
      <c r="K300" s="13">
        <f t="shared" si="430"/>
        <v>9665.7235199999977</v>
      </c>
      <c r="L300" s="13">
        <f t="shared" si="431"/>
        <v>9.6657235199999973E-3</v>
      </c>
      <c r="M300" s="27">
        <f t="shared" si="432"/>
        <v>9.0213419519999991E-2</v>
      </c>
      <c r="N300" s="29">
        <f t="shared" si="433"/>
        <v>0.17899488</v>
      </c>
      <c r="O300" s="28">
        <f t="shared" si="434"/>
        <v>1.5207405004799999</v>
      </c>
    </row>
    <row r="301" spans="1:15" x14ac:dyDescent="0.7">
      <c r="A301" s="5"/>
      <c r="B301" s="5"/>
      <c r="C301" s="5">
        <v>26</v>
      </c>
      <c r="D301" s="6">
        <v>17.506999999999998</v>
      </c>
      <c r="E301" s="6">
        <v>0</v>
      </c>
      <c r="F301" s="6">
        <v>17.506999999999998</v>
      </c>
      <c r="G301" s="12">
        <f t="shared" ref="G301" si="515">F301*86400</f>
        <v>1512604.7999999998</v>
      </c>
      <c r="H301" s="14">
        <f t="shared" ref="H301" si="516">G301/1000000</f>
        <v>1.5126047999999999</v>
      </c>
      <c r="I301" s="13">
        <f t="shared" si="428"/>
        <v>68067.215999999986</v>
      </c>
      <c r="J301" s="21">
        <f t="shared" si="429"/>
        <v>6.8067215999999986E-2</v>
      </c>
      <c r="K301" s="13">
        <f t="shared" si="430"/>
        <v>8168.0659199999982</v>
      </c>
      <c r="L301" s="13">
        <f t="shared" si="431"/>
        <v>8.1680659199999985E-3</v>
      </c>
      <c r="M301" s="27">
        <f t="shared" si="432"/>
        <v>7.6235281919999981E-2</v>
      </c>
      <c r="N301" s="29">
        <f t="shared" si="433"/>
        <v>0.15126048</v>
      </c>
      <c r="O301" s="28">
        <f t="shared" si="434"/>
        <v>1.2851090380799999</v>
      </c>
    </row>
    <row r="302" spans="1:15" x14ac:dyDescent="0.7">
      <c r="A302" s="5"/>
      <c r="B302" s="5"/>
      <c r="C302" s="5">
        <v>27</v>
      </c>
      <c r="D302" s="6">
        <v>15.291</v>
      </c>
      <c r="E302" s="6">
        <v>0</v>
      </c>
      <c r="F302" s="6">
        <v>15.291</v>
      </c>
      <c r="G302" s="12">
        <f t="shared" ref="G302" si="517">F302*86400</f>
        <v>1321142.4000000001</v>
      </c>
      <c r="H302" s="14">
        <f t="shared" ref="H302" si="518">G302/1000000</f>
        <v>1.3211424000000001</v>
      </c>
      <c r="I302" s="13">
        <f t="shared" si="428"/>
        <v>59451.408000000003</v>
      </c>
      <c r="J302" s="21">
        <f t="shared" si="429"/>
        <v>5.9451408000000004E-2</v>
      </c>
      <c r="K302" s="13">
        <f t="shared" si="430"/>
        <v>7134.16896</v>
      </c>
      <c r="L302" s="13">
        <f t="shared" si="431"/>
        <v>7.1341689600000003E-3</v>
      </c>
      <c r="M302" s="27">
        <f t="shared" si="432"/>
        <v>6.6585576960000004E-2</v>
      </c>
      <c r="N302" s="29">
        <f t="shared" si="433"/>
        <v>0.13211424000000002</v>
      </c>
      <c r="O302" s="28">
        <f t="shared" si="434"/>
        <v>1.1224425830400002</v>
      </c>
    </row>
    <row r="303" spans="1:15" x14ac:dyDescent="0.7">
      <c r="A303" s="5"/>
      <c r="B303" s="5"/>
      <c r="C303" s="2">
        <v>28</v>
      </c>
      <c r="D303" s="6">
        <v>14.301</v>
      </c>
      <c r="E303" s="6">
        <v>0</v>
      </c>
      <c r="F303" s="6">
        <v>14.301</v>
      </c>
      <c r="G303" s="12">
        <f t="shared" ref="G303" si="519">F303*86400</f>
        <v>1235606.3999999999</v>
      </c>
      <c r="H303" s="14">
        <f t="shared" ref="H303" si="520">G303/1000000</f>
        <v>1.2356064</v>
      </c>
      <c r="I303" s="13">
        <f t="shared" si="428"/>
        <v>55602.287999999993</v>
      </c>
      <c r="J303" s="21">
        <f t="shared" si="429"/>
        <v>5.5602287999999993E-2</v>
      </c>
      <c r="K303" s="13">
        <f t="shared" si="430"/>
        <v>6672.2745599999989</v>
      </c>
      <c r="L303" s="13">
        <f t="shared" si="431"/>
        <v>6.6722745599999992E-3</v>
      </c>
      <c r="M303" s="27">
        <f t="shared" si="432"/>
        <v>6.2274562559999989E-2</v>
      </c>
      <c r="N303" s="29">
        <f t="shared" si="433"/>
        <v>0.12356064</v>
      </c>
      <c r="O303" s="28">
        <f t="shared" si="434"/>
        <v>1.0497711974399999</v>
      </c>
    </row>
    <row r="304" spans="1:15" x14ac:dyDescent="0.7">
      <c r="A304" s="10"/>
      <c r="B304" s="10"/>
      <c r="C304" s="10">
        <v>29</v>
      </c>
      <c r="D304" s="16">
        <v>30.738</v>
      </c>
      <c r="E304" s="6">
        <v>19.899999999999999</v>
      </c>
      <c r="F304" s="16">
        <v>30.738</v>
      </c>
      <c r="G304" s="17">
        <f t="shared" ref="G304:G367" si="521">F304*86400</f>
        <v>2655763.2000000002</v>
      </c>
      <c r="H304" s="18">
        <f t="shared" ref="H304:H367" si="522">G304/1000000</f>
        <v>2.6557632</v>
      </c>
      <c r="I304" s="13">
        <f t="shared" si="428"/>
        <v>119509.344</v>
      </c>
      <c r="J304" s="21">
        <f t="shared" si="429"/>
        <v>0.119509344</v>
      </c>
      <c r="K304" s="13">
        <f t="shared" si="430"/>
        <v>14341.121279999999</v>
      </c>
      <c r="L304" s="13">
        <f t="shared" si="431"/>
        <v>1.4341121279999999E-2</v>
      </c>
      <c r="M304" s="27">
        <f t="shared" si="432"/>
        <v>0.13385046528</v>
      </c>
      <c r="N304" s="29">
        <f t="shared" si="433"/>
        <v>0.26557632000000003</v>
      </c>
      <c r="O304" s="28">
        <f t="shared" si="434"/>
        <v>2.2563364147199998</v>
      </c>
    </row>
    <row r="305" spans="1:15" s="20" customFormat="1" x14ac:dyDescent="0.7">
      <c r="A305" s="5"/>
      <c r="B305" s="5"/>
      <c r="C305" s="5">
        <v>30</v>
      </c>
      <c r="D305" s="6">
        <v>21.117999999999999</v>
      </c>
      <c r="E305" s="6">
        <v>0</v>
      </c>
      <c r="F305" s="6">
        <v>21.117999999999999</v>
      </c>
      <c r="G305" s="64">
        <f t="shared" si="521"/>
        <v>1824595.2</v>
      </c>
      <c r="H305" s="13">
        <f t="shared" si="522"/>
        <v>1.8245951999999999</v>
      </c>
      <c r="I305" s="13">
        <f t="shared" si="428"/>
        <v>82106.784</v>
      </c>
      <c r="J305" s="21">
        <f t="shared" si="429"/>
        <v>8.2106784000000002E-2</v>
      </c>
      <c r="K305" s="13">
        <f t="shared" si="430"/>
        <v>9852.8140800000001</v>
      </c>
      <c r="L305" s="13">
        <f t="shared" si="431"/>
        <v>9.8528140799999993E-3</v>
      </c>
      <c r="M305" s="13">
        <f t="shared" si="432"/>
        <v>9.1959598079999996E-2</v>
      </c>
      <c r="N305" s="29">
        <f t="shared" si="433"/>
        <v>0.18245951999999999</v>
      </c>
      <c r="O305" s="13">
        <f t="shared" si="434"/>
        <v>1.5501760819199997</v>
      </c>
    </row>
    <row r="306" spans="1:15" s="66" customFormat="1" x14ac:dyDescent="0.7">
      <c r="A306" s="5"/>
      <c r="B306" s="5" t="s">
        <v>24</v>
      </c>
      <c r="C306" s="5">
        <v>31</v>
      </c>
      <c r="D306" s="6">
        <v>17.322000000000003</v>
      </c>
      <c r="E306" s="6">
        <v>0</v>
      </c>
      <c r="F306" s="6">
        <v>17.322000000000003</v>
      </c>
      <c r="G306" s="64">
        <f t="shared" si="521"/>
        <v>1496620.8000000003</v>
      </c>
      <c r="H306" s="13">
        <f t="shared" si="522"/>
        <v>1.4966208000000003</v>
      </c>
      <c r="I306" s="13">
        <f t="shared" si="428"/>
        <v>67347.936000000016</v>
      </c>
      <c r="J306" s="21">
        <f t="shared" si="429"/>
        <v>6.7347936000000011E-2</v>
      </c>
      <c r="K306" s="13">
        <f t="shared" si="430"/>
        <v>8081.7523200000014</v>
      </c>
      <c r="L306" s="13">
        <f t="shared" si="431"/>
        <v>8.0817523200000015E-3</v>
      </c>
      <c r="M306" s="13">
        <f t="shared" si="432"/>
        <v>7.5429688320000007E-2</v>
      </c>
      <c r="N306" s="29">
        <f t="shared" si="433"/>
        <v>0.14966208000000003</v>
      </c>
      <c r="O306" s="13">
        <f t="shared" si="434"/>
        <v>1.2715290316800001</v>
      </c>
    </row>
    <row r="307" spans="1:15" s="65" customFormat="1" ht="25.2" thickBot="1" x14ac:dyDescent="0.75">
      <c r="A307" s="67"/>
      <c r="B307" s="67" t="s">
        <v>25</v>
      </c>
      <c r="C307" s="67">
        <v>1</v>
      </c>
      <c r="D307" s="68">
        <v>13.821999999999999</v>
      </c>
      <c r="E307" s="9">
        <v>0</v>
      </c>
      <c r="F307" s="68">
        <v>13.821999999999999</v>
      </c>
      <c r="G307" s="19">
        <f t="shared" si="521"/>
        <v>1194220.7999999998</v>
      </c>
      <c r="H307" s="15">
        <f t="shared" si="522"/>
        <v>1.1942207999999999</v>
      </c>
      <c r="I307" s="15">
        <f t="shared" si="428"/>
        <v>53739.935999999987</v>
      </c>
      <c r="J307" s="22">
        <f t="shared" si="429"/>
        <v>5.3739935999999988E-2</v>
      </c>
      <c r="K307" s="15">
        <f t="shared" si="430"/>
        <v>6448.7923199999977</v>
      </c>
      <c r="L307" s="15">
        <f t="shared" si="431"/>
        <v>6.4487923199999979E-3</v>
      </c>
      <c r="M307" s="15">
        <f t="shared" si="432"/>
        <v>6.0188728319999989E-2</v>
      </c>
      <c r="N307" s="34">
        <f t="shared" si="433"/>
        <v>0.11942207999999999</v>
      </c>
      <c r="O307" s="15">
        <f t="shared" si="434"/>
        <v>1.01460999168</v>
      </c>
    </row>
    <row r="308" spans="1:15" x14ac:dyDescent="0.7">
      <c r="A308" s="2"/>
      <c r="B308" s="2"/>
      <c r="C308" s="2">
        <v>2</v>
      </c>
      <c r="D308" s="3">
        <v>18.228000000000002</v>
      </c>
      <c r="E308" s="3">
        <v>0.9</v>
      </c>
      <c r="F308" s="3">
        <v>18.228000000000002</v>
      </c>
      <c r="G308" s="12">
        <f t="shared" si="521"/>
        <v>1574899.2000000002</v>
      </c>
      <c r="H308" s="14">
        <f t="shared" si="522"/>
        <v>1.5748992000000002</v>
      </c>
      <c r="I308" s="14">
        <f t="shared" si="428"/>
        <v>70870.464000000007</v>
      </c>
      <c r="J308" s="26">
        <f t="shared" si="429"/>
        <v>7.0870464000000008E-2</v>
      </c>
      <c r="K308" s="14">
        <f t="shared" si="430"/>
        <v>8504.4556800000009</v>
      </c>
      <c r="L308" s="14">
        <f t="shared" si="431"/>
        <v>8.5044556800000018E-3</v>
      </c>
      <c r="M308" s="30">
        <f t="shared" si="432"/>
        <v>7.9374919680000017E-2</v>
      </c>
      <c r="N308" s="31">
        <f t="shared" si="433"/>
        <v>0.15748992000000003</v>
      </c>
      <c r="O308" s="32">
        <f t="shared" si="434"/>
        <v>1.3380343603200002</v>
      </c>
    </row>
    <row r="309" spans="1:15" x14ac:dyDescent="0.7">
      <c r="A309" s="5"/>
      <c r="B309" s="5"/>
      <c r="C309" s="5">
        <v>3</v>
      </c>
      <c r="D309" s="6">
        <v>22.249000000000002</v>
      </c>
      <c r="E309" s="6">
        <v>7.8</v>
      </c>
      <c r="F309" s="6">
        <v>22.249000000000002</v>
      </c>
      <c r="G309" s="12">
        <f t="shared" si="521"/>
        <v>1922313.6</v>
      </c>
      <c r="H309" s="14">
        <f t="shared" si="522"/>
        <v>1.9223136000000001</v>
      </c>
      <c r="I309" s="13">
        <f t="shared" si="428"/>
        <v>86504.111999999994</v>
      </c>
      <c r="J309" s="21">
        <f t="shared" si="429"/>
        <v>8.6504111999999994E-2</v>
      </c>
      <c r="K309" s="13">
        <f t="shared" si="430"/>
        <v>10380.493439999998</v>
      </c>
      <c r="L309" s="13">
        <f t="shared" si="431"/>
        <v>1.0380493439999998E-2</v>
      </c>
      <c r="M309" s="27">
        <f t="shared" si="432"/>
        <v>9.6884605439999993E-2</v>
      </c>
      <c r="N309" s="29">
        <f t="shared" si="433"/>
        <v>0.19223136000000002</v>
      </c>
      <c r="O309" s="28">
        <f t="shared" si="434"/>
        <v>1.6331976345600001</v>
      </c>
    </row>
    <row r="310" spans="1:15" x14ac:dyDescent="0.7">
      <c r="A310" s="5"/>
      <c r="B310" s="5"/>
      <c r="C310" s="2">
        <v>4</v>
      </c>
      <c r="D310" s="6">
        <v>17.54</v>
      </c>
      <c r="E310" s="6">
        <v>0</v>
      </c>
      <c r="F310" s="6">
        <v>17.54</v>
      </c>
      <c r="G310" s="12">
        <f t="shared" si="521"/>
        <v>1515456</v>
      </c>
      <c r="H310" s="14">
        <f t="shared" si="522"/>
        <v>1.5154559999999999</v>
      </c>
      <c r="I310" s="13">
        <f t="shared" si="428"/>
        <v>68195.520000000004</v>
      </c>
      <c r="J310" s="21">
        <f t="shared" si="429"/>
        <v>6.8195520000000009E-2</v>
      </c>
      <c r="K310" s="13">
        <f t="shared" si="430"/>
        <v>8183.4624000000003</v>
      </c>
      <c r="L310" s="13">
        <f t="shared" si="431"/>
        <v>8.1834624000000009E-3</v>
      </c>
      <c r="M310" s="27">
        <f t="shared" si="432"/>
        <v>7.6378982400000017E-2</v>
      </c>
      <c r="N310" s="29">
        <f t="shared" si="433"/>
        <v>0.1515456</v>
      </c>
      <c r="O310" s="28">
        <f t="shared" si="434"/>
        <v>1.2875314175999999</v>
      </c>
    </row>
    <row r="311" spans="1:15" x14ac:dyDescent="0.7">
      <c r="A311" s="5"/>
      <c r="B311" s="5"/>
      <c r="C311" s="5">
        <v>5</v>
      </c>
      <c r="D311" s="6">
        <v>28.887</v>
      </c>
      <c r="E311" s="6">
        <v>27.6</v>
      </c>
      <c r="F311" s="6">
        <v>28.887</v>
      </c>
      <c r="G311" s="12">
        <f t="shared" si="521"/>
        <v>2495836.7999999998</v>
      </c>
      <c r="H311" s="14">
        <f t="shared" si="522"/>
        <v>2.4958367999999997</v>
      </c>
      <c r="I311" s="13">
        <f t="shared" si="428"/>
        <v>112312.65599999999</v>
      </c>
      <c r="J311" s="21">
        <f t="shared" si="429"/>
        <v>0.11231265599999998</v>
      </c>
      <c r="K311" s="13">
        <f t="shared" si="430"/>
        <v>13477.518719999998</v>
      </c>
      <c r="L311" s="13">
        <f t="shared" si="431"/>
        <v>1.3477518719999998E-2</v>
      </c>
      <c r="M311" s="27">
        <f t="shared" si="432"/>
        <v>0.12579017471999998</v>
      </c>
      <c r="N311" s="29">
        <f t="shared" si="433"/>
        <v>0.24958367999999997</v>
      </c>
      <c r="O311" s="28">
        <f t="shared" si="434"/>
        <v>2.1204629452799999</v>
      </c>
    </row>
    <row r="312" spans="1:15" x14ac:dyDescent="0.7">
      <c r="A312" s="5"/>
      <c r="B312" s="5"/>
      <c r="C312" s="5">
        <v>6</v>
      </c>
      <c r="D312" s="6">
        <v>26.462</v>
      </c>
      <c r="E312" s="6">
        <v>6.5</v>
      </c>
      <c r="F312" s="6">
        <v>26.462</v>
      </c>
      <c r="G312" s="12">
        <f t="shared" si="521"/>
        <v>2286316.7999999998</v>
      </c>
      <c r="H312" s="14">
        <f t="shared" si="522"/>
        <v>2.2863167999999998</v>
      </c>
      <c r="I312" s="13">
        <f t="shared" si="428"/>
        <v>102884.25599999999</v>
      </c>
      <c r="J312" s="21">
        <f t="shared" si="429"/>
        <v>0.10288425599999999</v>
      </c>
      <c r="K312" s="13">
        <f t="shared" si="430"/>
        <v>12346.110719999999</v>
      </c>
      <c r="L312" s="13">
        <f t="shared" si="431"/>
        <v>1.2346110719999999E-2</v>
      </c>
      <c r="M312" s="27">
        <f t="shared" si="432"/>
        <v>0.11523036671999999</v>
      </c>
      <c r="N312" s="29">
        <f t="shared" si="433"/>
        <v>0.22863168</v>
      </c>
      <c r="O312" s="28">
        <f t="shared" si="434"/>
        <v>1.9424547532799998</v>
      </c>
    </row>
    <row r="313" spans="1:15" x14ac:dyDescent="0.7">
      <c r="A313" s="5"/>
      <c r="B313" s="5"/>
      <c r="C313" s="2">
        <v>7</v>
      </c>
      <c r="D313" s="6">
        <v>27.411000000000001</v>
      </c>
      <c r="E313" s="6">
        <v>0</v>
      </c>
      <c r="F313" s="6">
        <v>27.411000000000001</v>
      </c>
      <c r="G313" s="12">
        <f t="shared" si="521"/>
        <v>2368310.4</v>
      </c>
      <c r="H313" s="14">
        <f t="shared" si="522"/>
        <v>2.3683103999999999</v>
      </c>
      <c r="I313" s="13">
        <f t="shared" si="428"/>
        <v>106573.96799999999</v>
      </c>
      <c r="J313" s="21">
        <f t="shared" si="429"/>
        <v>0.10657396799999999</v>
      </c>
      <c r="K313" s="13">
        <f t="shared" si="430"/>
        <v>12788.876159999998</v>
      </c>
      <c r="L313" s="13">
        <f t="shared" si="431"/>
        <v>1.2788876159999999E-2</v>
      </c>
      <c r="M313" s="27">
        <f t="shared" si="432"/>
        <v>0.11936284416</v>
      </c>
      <c r="N313" s="29">
        <f t="shared" si="433"/>
        <v>0.23683103999999999</v>
      </c>
      <c r="O313" s="28">
        <f t="shared" si="434"/>
        <v>2.0121165158399998</v>
      </c>
    </row>
    <row r="314" spans="1:15" x14ac:dyDescent="0.7">
      <c r="A314" s="5"/>
      <c r="B314" s="5"/>
      <c r="C314" s="5">
        <v>8</v>
      </c>
      <c r="D314" s="6">
        <v>19.875</v>
      </c>
      <c r="E314" s="6">
        <v>0</v>
      </c>
      <c r="F314" s="6">
        <v>19.875</v>
      </c>
      <c r="G314" s="12">
        <f t="shared" si="521"/>
        <v>1717200</v>
      </c>
      <c r="H314" s="14">
        <f t="shared" si="522"/>
        <v>1.7172000000000001</v>
      </c>
      <c r="I314" s="13">
        <f t="shared" si="428"/>
        <v>77274</v>
      </c>
      <c r="J314" s="21">
        <f t="shared" si="429"/>
        <v>7.7273999999999995E-2</v>
      </c>
      <c r="K314" s="13">
        <f t="shared" si="430"/>
        <v>9272.8799999999992</v>
      </c>
      <c r="L314" s="13">
        <f t="shared" si="431"/>
        <v>9.272879999999999E-3</v>
      </c>
      <c r="M314" s="27">
        <f t="shared" si="432"/>
        <v>8.6546879999999993E-2</v>
      </c>
      <c r="N314" s="29">
        <f t="shared" si="433"/>
        <v>0.17172000000000001</v>
      </c>
      <c r="O314" s="28">
        <f t="shared" si="434"/>
        <v>1.45893312</v>
      </c>
    </row>
    <row r="315" spans="1:15" x14ac:dyDescent="0.7">
      <c r="A315" s="5"/>
      <c r="B315" s="5"/>
      <c r="C315" s="5">
        <v>9</v>
      </c>
      <c r="D315" s="6">
        <v>17.946999999999999</v>
      </c>
      <c r="E315" s="6">
        <v>0</v>
      </c>
      <c r="F315" s="6">
        <v>17.946999999999999</v>
      </c>
      <c r="G315" s="12">
        <f t="shared" si="521"/>
        <v>1550620.7999999998</v>
      </c>
      <c r="H315" s="14">
        <f t="shared" si="522"/>
        <v>1.5506207999999999</v>
      </c>
      <c r="I315" s="13">
        <f t="shared" si="428"/>
        <v>69777.935999999987</v>
      </c>
      <c r="J315" s="21">
        <f t="shared" si="429"/>
        <v>6.9777935999999985E-2</v>
      </c>
      <c r="K315" s="13">
        <f t="shared" si="430"/>
        <v>8373.3523199999981</v>
      </c>
      <c r="L315" s="13">
        <f t="shared" si="431"/>
        <v>8.3733523199999976E-3</v>
      </c>
      <c r="M315" s="27">
        <f t="shared" si="432"/>
        <v>7.8151288319999984E-2</v>
      </c>
      <c r="N315" s="29">
        <f t="shared" si="433"/>
        <v>0.15506207999999999</v>
      </c>
      <c r="O315" s="28">
        <f t="shared" si="434"/>
        <v>1.31740743168</v>
      </c>
    </row>
    <row r="316" spans="1:15" x14ac:dyDescent="0.7">
      <c r="A316" s="5"/>
      <c r="B316" s="5"/>
      <c r="C316" s="2">
        <v>10</v>
      </c>
      <c r="D316" s="6">
        <v>16.866</v>
      </c>
      <c r="E316" s="6">
        <v>0</v>
      </c>
      <c r="F316" s="6">
        <v>16.866</v>
      </c>
      <c r="G316" s="12">
        <f t="shared" si="521"/>
        <v>1457222.4</v>
      </c>
      <c r="H316" s="14">
        <f t="shared" si="522"/>
        <v>1.4572223999999998</v>
      </c>
      <c r="I316" s="13">
        <f t="shared" si="428"/>
        <v>65575.007999999987</v>
      </c>
      <c r="J316" s="21">
        <f t="shared" si="429"/>
        <v>6.557500799999999E-2</v>
      </c>
      <c r="K316" s="13">
        <f t="shared" si="430"/>
        <v>7869.0009599999985</v>
      </c>
      <c r="L316" s="13">
        <f t="shared" si="431"/>
        <v>7.8690009599999989E-3</v>
      </c>
      <c r="M316" s="27">
        <f t="shared" si="432"/>
        <v>7.3444008959999987E-2</v>
      </c>
      <c r="N316" s="29">
        <f t="shared" si="433"/>
        <v>0.14572223999999998</v>
      </c>
      <c r="O316" s="28">
        <f t="shared" si="434"/>
        <v>1.2380561510399999</v>
      </c>
    </row>
    <row r="317" spans="1:15" x14ac:dyDescent="0.7">
      <c r="A317" s="5"/>
      <c r="B317" s="5"/>
      <c r="C317" s="5">
        <v>11</v>
      </c>
      <c r="D317" s="6">
        <v>16.28</v>
      </c>
      <c r="E317" s="6">
        <v>0</v>
      </c>
      <c r="F317" s="6">
        <v>16.28</v>
      </c>
      <c r="G317" s="12">
        <f t="shared" si="521"/>
        <v>1406592</v>
      </c>
      <c r="H317" s="14">
        <f t="shared" si="522"/>
        <v>1.4065920000000001</v>
      </c>
      <c r="I317" s="13">
        <f t="shared" si="428"/>
        <v>63296.639999999999</v>
      </c>
      <c r="J317" s="21">
        <f t="shared" si="429"/>
        <v>6.3296640000000001E-2</v>
      </c>
      <c r="K317" s="13">
        <f t="shared" si="430"/>
        <v>7595.5967999999993</v>
      </c>
      <c r="L317" s="13">
        <f t="shared" si="431"/>
        <v>7.595596799999999E-3</v>
      </c>
      <c r="M317" s="27">
        <f t="shared" si="432"/>
        <v>7.0892236799999994E-2</v>
      </c>
      <c r="N317" s="29">
        <f t="shared" si="433"/>
        <v>0.14065920000000001</v>
      </c>
      <c r="O317" s="28">
        <f t="shared" si="434"/>
        <v>1.1950405632000001</v>
      </c>
    </row>
    <row r="318" spans="1:15" x14ac:dyDescent="0.7">
      <c r="A318" s="5"/>
      <c r="B318" s="5"/>
      <c r="C318" s="5">
        <v>12</v>
      </c>
      <c r="D318" s="6">
        <v>17.213999999999999</v>
      </c>
      <c r="E318" s="6">
        <v>0</v>
      </c>
      <c r="F318" s="6">
        <v>17.213999999999999</v>
      </c>
      <c r="G318" s="12">
        <f t="shared" si="521"/>
        <v>1487289.5999999999</v>
      </c>
      <c r="H318" s="14">
        <f t="shared" si="522"/>
        <v>1.4872895999999998</v>
      </c>
      <c r="I318" s="13">
        <f t="shared" si="428"/>
        <v>66928.031999999992</v>
      </c>
      <c r="J318" s="21">
        <f t="shared" si="429"/>
        <v>6.6928031999999998E-2</v>
      </c>
      <c r="K318" s="13">
        <f t="shared" si="430"/>
        <v>8031.3638399999991</v>
      </c>
      <c r="L318" s="13">
        <f t="shared" si="431"/>
        <v>8.0313638399999998E-3</v>
      </c>
      <c r="M318" s="27">
        <f t="shared" si="432"/>
        <v>7.4959395839999998E-2</v>
      </c>
      <c r="N318" s="29">
        <f t="shared" si="433"/>
        <v>0.14872895999999999</v>
      </c>
      <c r="O318" s="28">
        <f t="shared" si="434"/>
        <v>1.26360124416</v>
      </c>
    </row>
    <row r="319" spans="1:15" x14ac:dyDescent="0.7">
      <c r="A319" s="5"/>
      <c r="B319" s="5"/>
      <c r="C319" s="2">
        <v>13</v>
      </c>
      <c r="D319" s="6">
        <v>13.614000000000001</v>
      </c>
      <c r="E319" s="6">
        <v>0</v>
      </c>
      <c r="F319" s="6">
        <v>13.614000000000001</v>
      </c>
      <c r="G319" s="12">
        <f t="shared" si="521"/>
        <v>1176249.6000000001</v>
      </c>
      <c r="H319" s="14">
        <f t="shared" si="522"/>
        <v>1.1762496</v>
      </c>
      <c r="I319" s="13">
        <f t="shared" si="428"/>
        <v>52931.232000000004</v>
      </c>
      <c r="J319" s="21">
        <f t="shared" si="429"/>
        <v>5.2931232000000002E-2</v>
      </c>
      <c r="K319" s="13">
        <f t="shared" si="430"/>
        <v>6351.74784</v>
      </c>
      <c r="L319" s="13">
        <f t="shared" si="431"/>
        <v>6.3517478399999997E-3</v>
      </c>
      <c r="M319" s="27">
        <f t="shared" si="432"/>
        <v>5.928297984E-2</v>
      </c>
      <c r="N319" s="29">
        <f t="shared" si="433"/>
        <v>0.11762496</v>
      </c>
      <c r="O319" s="28">
        <f t="shared" si="434"/>
        <v>0.99934166015999992</v>
      </c>
    </row>
    <row r="320" spans="1:15" x14ac:dyDescent="0.7">
      <c r="A320" s="5"/>
      <c r="B320" s="5"/>
      <c r="C320" s="5">
        <v>14</v>
      </c>
      <c r="D320" s="6">
        <v>13.614000000000001</v>
      </c>
      <c r="E320" s="6">
        <v>0</v>
      </c>
      <c r="F320" s="6">
        <v>13.614000000000001</v>
      </c>
      <c r="G320" s="12">
        <f t="shared" si="521"/>
        <v>1176249.6000000001</v>
      </c>
      <c r="H320" s="14">
        <f t="shared" si="522"/>
        <v>1.1762496</v>
      </c>
      <c r="I320" s="13">
        <f t="shared" si="428"/>
        <v>52931.232000000004</v>
      </c>
      <c r="J320" s="21">
        <f t="shared" si="429"/>
        <v>5.2931232000000002E-2</v>
      </c>
      <c r="K320" s="13">
        <f t="shared" si="430"/>
        <v>6351.74784</v>
      </c>
      <c r="L320" s="13">
        <f t="shared" si="431"/>
        <v>6.3517478399999997E-3</v>
      </c>
      <c r="M320" s="27">
        <f t="shared" si="432"/>
        <v>5.928297984E-2</v>
      </c>
      <c r="N320" s="29">
        <f t="shared" si="433"/>
        <v>0.11762496</v>
      </c>
      <c r="O320" s="28">
        <f t="shared" si="434"/>
        <v>0.99934166015999992</v>
      </c>
    </row>
    <row r="321" spans="1:15" x14ac:dyDescent="0.7">
      <c r="A321" s="5"/>
      <c r="B321" s="5"/>
      <c r="C321" s="5">
        <v>15</v>
      </c>
      <c r="D321" s="6">
        <v>11.100000000000001</v>
      </c>
      <c r="E321" s="6">
        <v>0</v>
      </c>
      <c r="F321" s="6">
        <v>11.100000000000001</v>
      </c>
      <c r="G321" s="12">
        <f t="shared" si="521"/>
        <v>959040.00000000012</v>
      </c>
      <c r="H321" s="14">
        <f t="shared" si="522"/>
        <v>0.95904000000000011</v>
      </c>
      <c r="I321" s="13">
        <f t="shared" si="428"/>
        <v>43156.800000000003</v>
      </c>
      <c r="J321" s="21">
        <f t="shared" si="429"/>
        <v>4.3156800000000002E-2</v>
      </c>
      <c r="K321" s="13">
        <f t="shared" si="430"/>
        <v>5178.8159999999998</v>
      </c>
      <c r="L321" s="13">
        <f t="shared" si="431"/>
        <v>5.1788160000000001E-3</v>
      </c>
      <c r="M321" s="27">
        <f t="shared" si="432"/>
        <v>4.8335616000000005E-2</v>
      </c>
      <c r="N321" s="29">
        <f t="shared" si="433"/>
        <v>9.5904000000000017E-2</v>
      </c>
      <c r="O321" s="28">
        <f t="shared" si="434"/>
        <v>0.8148003840000001</v>
      </c>
    </row>
    <row r="322" spans="1:15" x14ac:dyDescent="0.7">
      <c r="A322" s="5"/>
      <c r="B322" s="5"/>
      <c r="C322" s="2">
        <v>16</v>
      </c>
      <c r="D322" s="6">
        <v>13.87</v>
      </c>
      <c r="E322" s="6">
        <v>0</v>
      </c>
      <c r="F322" s="6">
        <v>13.87</v>
      </c>
      <c r="G322" s="12">
        <f t="shared" si="521"/>
        <v>1198368</v>
      </c>
      <c r="H322" s="14">
        <f t="shared" si="522"/>
        <v>1.1983680000000001</v>
      </c>
      <c r="I322" s="13">
        <f t="shared" si="428"/>
        <v>53926.559999999998</v>
      </c>
      <c r="J322" s="21">
        <f t="shared" si="429"/>
        <v>5.3926559999999998E-2</v>
      </c>
      <c r="K322" s="13">
        <f t="shared" si="430"/>
        <v>6471.1871999999994</v>
      </c>
      <c r="L322" s="13">
        <f t="shared" si="431"/>
        <v>6.471187199999999E-3</v>
      </c>
      <c r="M322" s="27">
        <f t="shared" si="432"/>
        <v>6.0397747199999997E-2</v>
      </c>
      <c r="N322" s="29">
        <f t="shared" si="433"/>
        <v>0.11983680000000002</v>
      </c>
      <c r="O322" s="28">
        <f t="shared" si="434"/>
        <v>1.0181334528000001</v>
      </c>
    </row>
    <row r="323" spans="1:15" x14ac:dyDescent="0.7">
      <c r="A323" s="5"/>
      <c r="B323" s="5"/>
      <c r="C323" s="5">
        <v>17</v>
      </c>
      <c r="D323" s="6">
        <v>13.87</v>
      </c>
      <c r="E323" s="6">
        <v>0</v>
      </c>
      <c r="F323" s="6">
        <v>13.87</v>
      </c>
      <c r="G323" s="12">
        <f t="shared" si="521"/>
        <v>1198368</v>
      </c>
      <c r="H323" s="14">
        <f t="shared" si="522"/>
        <v>1.1983680000000001</v>
      </c>
      <c r="I323" s="13">
        <f t="shared" si="428"/>
        <v>53926.559999999998</v>
      </c>
      <c r="J323" s="21">
        <f t="shared" si="429"/>
        <v>5.3926559999999998E-2</v>
      </c>
      <c r="K323" s="13">
        <f t="shared" si="430"/>
        <v>6471.1871999999994</v>
      </c>
      <c r="L323" s="13">
        <f t="shared" si="431"/>
        <v>6.471187199999999E-3</v>
      </c>
      <c r="M323" s="27">
        <f t="shared" si="432"/>
        <v>6.0397747199999997E-2</v>
      </c>
      <c r="N323" s="29">
        <f t="shared" si="433"/>
        <v>0.11983680000000002</v>
      </c>
      <c r="O323" s="28">
        <f t="shared" si="434"/>
        <v>1.0181334528000001</v>
      </c>
    </row>
    <row r="324" spans="1:15" x14ac:dyDescent="0.7">
      <c r="A324" s="5"/>
      <c r="B324" s="5"/>
      <c r="C324" s="5">
        <v>18</v>
      </c>
      <c r="D324" s="6">
        <v>14.494</v>
      </c>
      <c r="E324" s="6">
        <v>0</v>
      </c>
      <c r="F324" s="6">
        <v>14.494</v>
      </c>
      <c r="G324" s="12">
        <f t="shared" si="521"/>
        <v>1252281.6000000001</v>
      </c>
      <c r="H324" s="14">
        <f t="shared" si="522"/>
        <v>1.2522816000000001</v>
      </c>
      <c r="I324" s="13">
        <f t="shared" ref="I324:I367" si="523">H324*1000000*0.045</f>
        <v>56352.671999999999</v>
      </c>
      <c r="J324" s="21">
        <f t="shared" ref="J324:J367" si="524">I324/1000000</f>
        <v>5.6352671999999999E-2</v>
      </c>
      <c r="K324" s="13">
        <f t="shared" ref="K324:K367" si="525">I324*0.12</f>
        <v>6762.3206399999999</v>
      </c>
      <c r="L324" s="13">
        <f t="shared" ref="L324:L367" si="526">K324/1000000</f>
        <v>6.7623206399999997E-3</v>
      </c>
      <c r="M324" s="27">
        <f t="shared" ref="M324:M367" si="527">J324+L324</f>
        <v>6.3114992640000006E-2</v>
      </c>
      <c r="N324" s="29">
        <f t="shared" ref="N324:N367" si="528">H324*0.1</f>
        <v>0.12522816000000001</v>
      </c>
      <c r="O324" s="28">
        <f t="shared" ref="O324:O367" si="529">H324-M324-N324</f>
        <v>1.06393844736</v>
      </c>
    </row>
    <row r="325" spans="1:15" x14ac:dyDescent="0.7">
      <c r="A325" s="5"/>
      <c r="B325" s="5"/>
      <c r="C325" s="2">
        <v>19</v>
      </c>
      <c r="D325" s="6">
        <v>13.678000000000001</v>
      </c>
      <c r="E325" s="6">
        <v>0</v>
      </c>
      <c r="F325" s="6">
        <v>13.678000000000001</v>
      </c>
      <c r="G325" s="12">
        <f t="shared" si="521"/>
        <v>1181779.2000000002</v>
      </c>
      <c r="H325" s="14">
        <f t="shared" si="522"/>
        <v>1.1817792000000003</v>
      </c>
      <c r="I325" s="13">
        <f t="shared" si="523"/>
        <v>53180.064000000006</v>
      </c>
      <c r="J325" s="21">
        <f t="shared" si="524"/>
        <v>5.3180064000000006E-2</v>
      </c>
      <c r="K325" s="13">
        <f t="shared" si="525"/>
        <v>6381.6076800000001</v>
      </c>
      <c r="L325" s="13">
        <f t="shared" si="526"/>
        <v>6.38160768E-3</v>
      </c>
      <c r="M325" s="27">
        <f t="shared" si="527"/>
        <v>5.9561671680000004E-2</v>
      </c>
      <c r="N325" s="29">
        <f t="shared" si="528"/>
        <v>0.11817792000000003</v>
      </c>
      <c r="O325" s="28">
        <f t="shared" si="529"/>
        <v>1.0040396083200003</v>
      </c>
    </row>
    <row r="326" spans="1:15" x14ac:dyDescent="0.7">
      <c r="A326" s="5"/>
      <c r="B326" s="5"/>
      <c r="C326" s="5">
        <v>20</v>
      </c>
      <c r="D326" s="6">
        <v>12.894</v>
      </c>
      <c r="E326" s="6">
        <v>0</v>
      </c>
      <c r="F326" s="6">
        <v>12.894</v>
      </c>
      <c r="G326" s="12">
        <f t="shared" si="521"/>
        <v>1114041.6000000001</v>
      </c>
      <c r="H326" s="14">
        <f t="shared" si="522"/>
        <v>1.1140416000000002</v>
      </c>
      <c r="I326" s="13">
        <f t="shared" si="523"/>
        <v>50131.872000000003</v>
      </c>
      <c r="J326" s="21">
        <f t="shared" si="524"/>
        <v>5.0131872000000001E-2</v>
      </c>
      <c r="K326" s="13">
        <f t="shared" si="525"/>
        <v>6015.8246399999998</v>
      </c>
      <c r="L326" s="13">
        <f t="shared" si="526"/>
        <v>6.0158246399999995E-3</v>
      </c>
      <c r="M326" s="27">
        <f t="shared" si="527"/>
        <v>5.6147696640000001E-2</v>
      </c>
      <c r="N326" s="29">
        <f t="shared" si="528"/>
        <v>0.11140416000000003</v>
      </c>
      <c r="O326" s="28">
        <f t="shared" si="529"/>
        <v>0.94648974336000014</v>
      </c>
    </row>
    <row r="327" spans="1:15" x14ac:dyDescent="0.7">
      <c r="A327" s="5"/>
      <c r="B327" s="5"/>
      <c r="C327" s="5">
        <v>21</v>
      </c>
      <c r="D327" s="6">
        <v>12.894</v>
      </c>
      <c r="E327" s="6">
        <v>0</v>
      </c>
      <c r="F327" s="6">
        <v>12.894</v>
      </c>
      <c r="G327" s="12">
        <f t="shared" si="521"/>
        <v>1114041.6000000001</v>
      </c>
      <c r="H327" s="14">
        <f t="shared" si="522"/>
        <v>1.1140416000000002</v>
      </c>
      <c r="I327" s="13">
        <f t="shared" si="523"/>
        <v>50131.872000000003</v>
      </c>
      <c r="J327" s="21">
        <f t="shared" si="524"/>
        <v>5.0131872000000001E-2</v>
      </c>
      <c r="K327" s="13">
        <f t="shared" si="525"/>
        <v>6015.8246399999998</v>
      </c>
      <c r="L327" s="13">
        <f t="shared" si="526"/>
        <v>6.0158246399999995E-3</v>
      </c>
      <c r="M327" s="27">
        <f t="shared" si="527"/>
        <v>5.6147696640000001E-2</v>
      </c>
      <c r="N327" s="29">
        <f t="shared" si="528"/>
        <v>0.11140416000000003</v>
      </c>
      <c r="O327" s="28">
        <f t="shared" si="529"/>
        <v>0.94648974336000014</v>
      </c>
    </row>
    <row r="328" spans="1:15" x14ac:dyDescent="0.7">
      <c r="A328" s="5"/>
      <c r="B328" s="5"/>
      <c r="C328" s="2">
        <v>22</v>
      </c>
      <c r="D328" s="6">
        <v>0</v>
      </c>
      <c r="E328" s="6">
        <v>0</v>
      </c>
      <c r="F328" s="6">
        <v>0</v>
      </c>
      <c r="G328" s="12">
        <f t="shared" si="521"/>
        <v>0</v>
      </c>
      <c r="H328" s="14">
        <f t="shared" si="522"/>
        <v>0</v>
      </c>
      <c r="I328" s="13">
        <f t="shared" si="523"/>
        <v>0</v>
      </c>
      <c r="J328" s="21">
        <f t="shared" si="524"/>
        <v>0</v>
      </c>
      <c r="K328" s="13">
        <f t="shared" si="525"/>
        <v>0</v>
      </c>
      <c r="L328" s="13">
        <f t="shared" si="526"/>
        <v>0</v>
      </c>
      <c r="M328" s="27">
        <f t="shared" si="527"/>
        <v>0</v>
      </c>
      <c r="N328" s="29">
        <f t="shared" si="528"/>
        <v>0</v>
      </c>
      <c r="O328" s="28">
        <f t="shared" si="529"/>
        <v>0</v>
      </c>
    </row>
    <row r="329" spans="1:15" x14ac:dyDescent="0.7">
      <c r="A329" s="5"/>
      <c r="B329" s="5"/>
      <c r="C329" s="5">
        <v>23</v>
      </c>
      <c r="D329" s="6">
        <v>0</v>
      </c>
      <c r="E329" s="6">
        <v>0</v>
      </c>
      <c r="F329" s="6">
        <v>0</v>
      </c>
      <c r="G329" s="12">
        <f t="shared" si="521"/>
        <v>0</v>
      </c>
      <c r="H329" s="14">
        <f t="shared" si="522"/>
        <v>0</v>
      </c>
      <c r="I329" s="13">
        <f t="shared" si="523"/>
        <v>0</v>
      </c>
      <c r="J329" s="21">
        <f t="shared" si="524"/>
        <v>0</v>
      </c>
      <c r="K329" s="13">
        <f t="shared" si="525"/>
        <v>0</v>
      </c>
      <c r="L329" s="13">
        <f t="shared" si="526"/>
        <v>0</v>
      </c>
      <c r="M329" s="27">
        <f t="shared" si="527"/>
        <v>0</v>
      </c>
      <c r="N329" s="29">
        <f t="shared" si="528"/>
        <v>0</v>
      </c>
      <c r="O329" s="28">
        <f t="shared" si="529"/>
        <v>0</v>
      </c>
    </row>
    <row r="330" spans="1:15" x14ac:dyDescent="0.7">
      <c r="A330" s="5"/>
      <c r="B330" s="5"/>
      <c r="C330" s="5">
        <v>24</v>
      </c>
      <c r="D330" s="6">
        <v>10.818999999999999</v>
      </c>
      <c r="E330" s="6">
        <v>0</v>
      </c>
      <c r="F330" s="6">
        <v>10.818999999999999</v>
      </c>
      <c r="G330" s="12">
        <f t="shared" si="521"/>
        <v>934761.6</v>
      </c>
      <c r="H330" s="14">
        <f t="shared" si="522"/>
        <v>0.93476159999999997</v>
      </c>
      <c r="I330" s="13">
        <f t="shared" si="523"/>
        <v>42064.271999999997</v>
      </c>
      <c r="J330" s="21">
        <f t="shared" si="524"/>
        <v>4.2064272E-2</v>
      </c>
      <c r="K330" s="13">
        <f t="shared" si="525"/>
        <v>5047.7126399999997</v>
      </c>
      <c r="L330" s="13">
        <f t="shared" si="526"/>
        <v>5.0477126399999994E-3</v>
      </c>
      <c r="M330" s="27">
        <f t="shared" si="527"/>
        <v>4.711198464E-2</v>
      </c>
      <c r="N330" s="29">
        <f t="shared" si="528"/>
        <v>9.3476160000000003E-2</v>
      </c>
      <c r="O330" s="28">
        <f t="shared" si="529"/>
        <v>0.79417345535999995</v>
      </c>
    </row>
    <row r="331" spans="1:15" x14ac:dyDescent="0.7">
      <c r="A331" s="5"/>
      <c r="B331" s="5"/>
      <c r="C331" s="2">
        <v>25</v>
      </c>
      <c r="D331" s="6">
        <v>10.818999999999999</v>
      </c>
      <c r="E331" s="6">
        <v>0</v>
      </c>
      <c r="F331" s="6">
        <v>10.818999999999999</v>
      </c>
      <c r="G331" s="12">
        <f t="shared" si="521"/>
        <v>934761.6</v>
      </c>
      <c r="H331" s="14">
        <f t="shared" si="522"/>
        <v>0.93476159999999997</v>
      </c>
      <c r="I331" s="13">
        <f t="shared" si="523"/>
        <v>42064.271999999997</v>
      </c>
      <c r="J331" s="21">
        <f t="shared" si="524"/>
        <v>4.2064272E-2</v>
      </c>
      <c r="K331" s="13">
        <f t="shared" si="525"/>
        <v>5047.7126399999997</v>
      </c>
      <c r="L331" s="13">
        <f t="shared" si="526"/>
        <v>5.0477126399999994E-3</v>
      </c>
      <c r="M331" s="27">
        <f t="shared" si="527"/>
        <v>4.711198464E-2</v>
      </c>
      <c r="N331" s="29">
        <f t="shared" si="528"/>
        <v>9.3476160000000003E-2</v>
      </c>
      <c r="O331" s="28">
        <f t="shared" si="529"/>
        <v>0.79417345535999995</v>
      </c>
    </row>
    <row r="332" spans="1:15" x14ac:dyDescent="0.7">
      <c r="A332" s="5"/>
      <c r="B332" s="5"/>
      <c r="C332" s="5">
        <v>26</v>
      </c>
      <c r="D332" s="6">
        <v>10.818999999999999</v>
      </c>
      <c r="E332" s="6">
        <v>0</v>
      </c>
      <c r="F332" s="6">
        <v>10.818999999999999</v>
      </c>
      <c r="G332" s="12">
        <f t="shared" si="521"/>
        <v>934761.6</v>
      </c>
      <c r="H332" s="14">
        <f t="shared" si="522"/>
        <v>0.93476159999999997</v>
      </c>
      <c r="I332" s="13">
        <f t="shared" si="523"/>
        <v>42064.271999999997</v>
      </c>
      <c r="J332" s="21">
        <f t="shared" si="524"/>
        <v>4.2064272E-2</v>
      </c>
      <c r="K332" s="13">
        <f t="shared" si="525"/>
        <v>5047.7126399999997</v>
      </c>
      <c r="L332" s="13">
        <f t="shared" si="526"/>
        <v>5.0477126399999994E-3</v>
      </c>
      <c r="M332" s="27">
        <f t="shared" si="527"/>
        <v>4.711198464E-2</v>
      </c>
      <c r="N332" s="29">
        <f t="shared" si="528"/>
        <v>9.3476160000000003E-2</v>
      </c>
      <c r="O332" s="28">
        <f t="shared" si="529"/>
        <v>0.79417345535999995</v>
      </c>
    </row>
    <row r="333" spans="1:15" x14ac:dyDescent="0.7">
      <c r="A333" s="5"/>
      <c r="B333" s="5"/>
      <c r="C333" s="5">
        <v>27</v>
      </c>
      <c r="D333" s="6">
        <v>10.818999999999999</v>
      </c>
      <c r="E333" s="6">
        <v>0</v>
      </c>
      <c r="F333" s="6">
        <v>10.818999999999999</v>
      </c>
      <c r="G333" s="12">
        <f t="shared" si="521"/>
        <v>934761.6</v>
      </c>
      <c r="H333" s="14">
        <f t="shared" si="522"/>
        <v>0.93476159999999997</v>
      </c>
      <c r="I333" s="13">
        <f t="shared" si="523"/>
        <v>42064.271999999997</v>
      </c>
      <c r="J333" s="21">
        <f t="shared" si="524"/>
        <v>4.2064272E-2</v>
      </c>
      <c r="K333" s="13">
        <f t="shared" si="525"/>
        <v>5047.7126399999997</v>
      </c>
      <c r="L333" s="13">
        <f t="shared" si="526"/>
        <v>5.0477126399999994E-3</v>
      </c>
      <c r="M333" s="27">
        <f t="shared" si="527"/>
        <v>4.711198464E-2</v>
      </c>
      <c r="N333" s="29">
        <f t="shared" si="528"/>
        <v>9.3476160000000003E-2</v>
      </c>
      <c r="O333" s="28">
        <f t="shared" si="529"/>
        <v>0.79417345535999995</v>
      </c>
    </row>
    <row r="334" spans="1:15" x14ac:dyDescent="0.7">
      <c r="A334" s="5"/>
      <c r="B334" s="5"/>
      <c r="C334" s="5">
        <v>28</v>
      </c>
      <c r="D334" s="6">
        <v>10.179</v>
      </c>
      <c r="E334" s="6">
        <v>0</v>
      </c>
      <c r="F334" s="6">
        <v>10.179</v>
      </c>
      <c r="G334" s="64">
        <f t="shared" si="521"/>
        <v>879465.6</v>
      </c>
      <c r="H334" s="13">
        <f t="shared" si="522"/>
        <v>0.87946559999999996</v>
      </c>
      <c r="I334" s="13">
        <f t="shared" si="523"/>
        <v>39575.951999999997</v>
      </c>
      <c r="J334" s="21">
        <f t="shared" si="524"/>
        <v>3.9575951999999998E-2</v>
      </c>
      <c r="K334" s="13">
        <f t="shared" si="525"/>
        <v>4749.1142399999999</v>
      </c>
      <c r="L334" s="13">
        <f t="shared" si="526"/>
        <v>4.7491142399999995E-3</v>
      </c>
      <c r="M334" s="13">
        <f t="shared" si="527"/>
        <v>4.4325066239999995E-2</v>
      </c>
      <c r="N334" s="29">
        <f t="shared" si="528"/>
        <v>8.7946560000000007E-2</v>
      </c>
      <c r="O334" s="13">
        <f t="shared" si="529"/>
        <v>0.74719397375999996</v>
      </c>
    </row>
    <row r="335" spans="1:15" s="20" customFormat="1" x14ac:dyDescent="0.7">
      <c r="A335" s="5"/>
      <c r="B335" s="5"/>
      <c r="C335" s="5">
        <v>29</v>
      </c>
      <c r="D335" s="6">
        <v>10.161300000000001</v>
      </c>
      <c r="E335" s="6">
        <v>0</v>
      </c>
      <c r="F335" s="6">
        <v>10.161300000000001</v>
      </c>
      <c r="G335" s="64">
        <f t="shared" si="521"/>
        <v>877936.32000000007</v>
      </c>
      <c r="H335" s="13">
        <f t="shared" si="522"/>
        <v>0.8779363200000001</v>
      </c>
      <c r="I335" s="13">
        <f t="shared" si="523"/>
        <v>39507.134400000003</v>
      </c>
      <c r="J335" s="21">
        <f t="shared" si="524"/>
        <v>3.9507134400000005E-2</v>
      </c>
      <c r="K335" s="13">
        <f t="shared" si="525"/>
        <v>4740.8561280000004</v>
      </c>
      <c r="L335" s="13">
        <f t="shared" si="526"/>
        <v>4.7408561280000002E-3</v>
      </c>
      <c r="M335" s="13">
        <f t="shared" si="527"/>
        <v>4.4247990528000006E-2</v>
      </c>
      <c r="N335" s="29">
        <f t="shared" si="528"/>
        <v>8.779363200000001E-2</v>
      </c>
      <c r="O335" s="13">
        <f t="shared" si="529"/>
        <v>0.7458946974720001</v>
      </c>
    </row>
    <row r="336" spans="1:15" s="65" customFormat="1" ht="25.2" thickBot="1" x14ac:dyDescent="0.75">
      <c r="A336" s="8"/>
      <c r="B336" s="8" t="s">
        <v>25</v>
      </c>
      <c r="C336" s="8">
        <v>30</v>
      </c>
      <c r="D336" s="9">
        <v>9.6159999999999997</v>
      </c>
      <c r="E336" s="9">
        <v>0</v>
      </c>
      <c r="F336" s="9">
        <v>9.6159999999999997</v>
      </c>
      <c r="G336" s="19">
        <f t="shared" si="521"/>
        <v>830822.40000000002</v>
      </c>
      <c r="H336" s="15">
        <f t="shared" si="522"/>
        <v>0.83082240000000007</v>
      </c>
      <c r="I336" s="15">
        <f t="shared" si="523"/>
        <v>37387.008000000002</v>
      </c>
      <c r="J336" s="22">
        <f t="shared" si="524"/>
        <v>3.7387007999999999E-2</v>
      </c>
      <c r="K336" s="15">
        <f t="shared" si="525"/>
        <v>4486.4409599999999</v>
      </c>
      <c r="L336" s="15">
        <f t="shared" si="526"/>
        <v>4.48644096E-3</v>
      </c>
      <c r="M336" s="15">
        <f t="shared" si="527"/>
        <v>4.1873448959999997E-2</v>
      </c>
      <c r="N336" s="34">
        <f t="shared" si="528"/>
        <v>8.3082240000000016E-2</v>
      </c>
      <c r="O336" s="15">
        <f t="shared" si="529"/>
        <v>0.70586671104000009</v>
      </c>
    </row>
    <row r="337" spans="1:15" x14ac:dyDescent="0.7">
      <c r="A337" s="4"/>
      <c r="B337" s="2" t="s">
        <v>26</v>
      </c>
      <c r="C337" s="2">
        <v>1</v>
      </c>
      <c r="D337" s="3">
        <v>9.0980000000000008</v>
      </c>
      <c r="E337" s="3">
        <v>0</v>
      </c>
      <c r="F337" s="3">
        <v>9.0980000000000008</v>
      </c>
      <c r="G337" s="12">
        <f t="shared" si="521"/>
        <v>786067.20000000007</v>
      </c>
      <c r="H337" s="14">
        <f t="shared" si="522"/>
        <v>0.78606720000000008</v>
      </c>
      <c r="I337" s="14">
        <f t="shared" si="523"/>
        <v>35373.024000000005</v>
      </c>
      <c r="J337" s="26">
        <f t="shared" si="524"/>
        <v>3.5373024000000003E-2</v>
      </c>
      <c r="K337" s="14">
        <f t="shared" si="525"/>
        <v>4244.7628800000002</v>
      </c>
      <c r="L337" s="14">
        <f t="shared" si="526"/>
        <v>4.24476288E-3</v>
      </c>
      <c r="M337" s="30">
        <f t="shared" si="527"/>
        <v>3.9617786880000005E-2</v>
      </c>
      <c r="N337" s="31">
        <f t="shared" si="528"/>
        <v>7.8606720000000019E-2</v>
      </c>
      <c r="O337" s="32">
        <f t="shared" si="529"/>
        <v>0.66784269312000011</v>
      </c>
    </row>
    <row r="338" spans="1:15" x14ac:dyDescent="0.7">
      <c r="A338" s="7"/>
      <c r="B338" s="5"/>
      <c r="C338" s="5">
        <v>2</v>
      </c>
      <c r="D338" s="6">
        <v>9.0980000000000008</v>
      </c>
      <c r="E338" s="6">
        <v>0</v>
      </c>
      <c r="F338" s="6">
        <v>9.0980000000000008</v>
      </c>
      <c r="G338" s="12">
        <f t="shared" si="521"/>
        <v>786067.20000000007</v>
      </c>
      <c r="H338" s="14">
        <f t="shared" si="522"/>
        <v>0.78606720000000008</v>
      </c>
      <c r="I338" s="13">
        <f t="shared" si="523"/>
        <v>35373.024000000005</v>
      </c>
      <c r="J338" s="21">
        <f t="shared" si="524"/>
        <v>3.5373024000000003E-2</v>
      </c>
      <c r="K338" s="13">
        <f t="shared" si="525"/>
        <v>4244.7628800000002</v>
      </c>
      <c r="L338" s="13">
        <f t="shared" si="526"/>
        <v>4.24476288E-3</v>
      </c>
      <c r="M338" s="27">
        <f t="shared" si="527"/>
        <v>3.9617786880000005E-2</v>
      </c>
      <c r="N338" s="29">
        <f t="shared" si="528"/>
        <v>7.8606720000000019E-2</v>
      </c>
      <c r="O338" s="28">
        <f t="shared" si="529"/>
        <v>0.66784269312000011</v>
      </c>
    </row>
    <row r="339" spans="1:15" x14ac:dyDescent="0.7">
      <c r="A339" s="7"/>
      <c r="B339" s="5"/>
      <c r="C339" s="5">
        <v>3</v>
      </c>
      <c r="D339" s="6">
        <v>9.0980000000000008</v>
      </c>
      <c r="E339" s="6">
        <v>0</v>
      </c>
      <c r="F339" s="6">
        <v>9.0980000000000008</v>
      </c>
      <c r="G339" s="12">
        <f t="shared" si="521"/>
        <v>786067.20000000007</v>
      </c>
      <c r="H339" s="14">
        <f t="shared" si="522"/>
        <v>0.78606720000000008</v>
      </c>
      <c r="I339" s="13">
        <f t="shared" si="523"/>
        <v>35373.024000000005</v>
      </c>
      <c r="J339" s="21">
        <f t="shared" si="524"/>
        <v>3.5373024000000003E-2</v>
      </c>
      <c r="K339" s="13">
        <f t="shared" si="525"/>
        <v>4244.7628800000002</v>
      </c>
      <c r="L339" s="13">
        <f t="shared" si="526"/>
        <v>4.24476288E-3</v>
      </c>
      <c r="M339" s="27">
        <f t="shared" si="527"/>
        <v>3.9617786880000005E-2</v>
      </c>
      <c r="N339" s="29">
        <f t="shared" si="528"/>
        <v>7.8606720000000019E-2</v>
      </c>
      <c r="O339" s="28">
        <f t="shared" si="529"/>
        <v>0.66784269312000011</v>
      </c>
    </row>
    <row r="340" spans="1:15" x14ac:dyDescent="0.7">
      <c r="A340" s="7"/>
      <c r="B340" s="5"/>
      <c r="C340" s="5">
        <v>4</v>
      </c>
      <c r="D340" s="6">
        <v>9.0980000000000008</v>
      </c>
      <c r="E340" s="6">
        <v>0</v>
      </c>
      <c r="F340" s="6">
        <v>9.0980000000000008</v>
      </c>
      <c r="G340" s="12">
        <f t="shared" si="521"/>
        <v>786067.20000000007</v>
      </c>
      <c r="H340" s="14">
        <f t="shared" si="522"/>
        <v>0.78606720000000008</v>
      </c>
      <c r="I340" s="13">
        <f t="shared" si="523"/>
        <v>35373.024000000005</v>
      </c>
      <c r="J340" s="21">
        <f t="shared" si="524"/>
        <v>3.5373024000000003E-2</v>
      </c>
      <c r="K340" s="13">
        <f t="shared" si="525"/>
        <v>4244.7628800000002</v>
      </c>
      <c r="L340" s="13">
        <f t="shared" si="526"/>
        <v>4.24476288E-3</v>
      </c>
      <c r="M340" s="27">
        <f t="shared" si="527"/>
        <v>3.9617786880000005E-2</v>
      </c>
      <c r="N340" s="29">
        <f t="shared" si="528"/>
        <v>7.8606720000000019E-2</v>
      </c>
      <c r="O340" s="28">
        <f t="shared" si="529"/>
        <v>0.66784269312000011</v>
      </c>
    </row>
    <row r="341" spans="1:15" x14ac:dyDescent="0.7">
      <c r="A341" s="7"/>
      <c r="B341" s="5"/>
      <c r="C341" s="5">
        <v>5</v>
      </c>
      <c r="D341" s="6">
        <v>9.0980000000000008</v>
      </c>
      <c r="E341" s="6">
        <v>0</v>
      </c>
      <c r="F341" s="6">
        <v>9.0980000000000008</v>
      </c>
      <c r="G341" s="12">
        <f t="shared" si="521"/>
        <v>786067.20000000007</v>
      </c>
      <c r="H341" s="14">
        <f t="shared" si="522"/>
        <v>0.78606720000000008</v>
      </c>
      <c r="I341" s="13">
        <f t="shared" si="523"/>
        <v>35373.024000000005</v>
      </c>
      <c r="J341" s="21">
        <f t="shared" si="524"/>
        <v>3.5373024000000003E-2</v>
      </c>
      <c r="K341" s="13">
        <f t="shared" si="525"/>
        <v>4244.7628800000002</v>
      </c>
      <c r="L341" s="13">
        <f t="shared" si="526"/>
        <v>4.24476288E-3</v>
      </c>
      <c r="M341" s="27">
        <f t="shared" si="527"/>
        <v>3.9617786880000005E-2</v>
      </c>
      <c r="N341" s="29">
        <f t="shared" si="528"/>
        <v>7.8606720000000019E-2</v>
      </c>
      <c r="O341" s="28">
        <f t="shared" si="529"/>
        <v>0.66784269312000011</v>
      </c>
    </row>
    <row r="342" spans="1:15" x14ac:dyDescent="0.7">
      <c r="A342" s="7"/>
      <c r="B342" s="5"/>
      <c r="C342" s="5">
        <v>6</v>
      </c>
      <c r="D342" s="6">
        <v>9.0980000000000008</v>
      </c>
      <c r="E342" s="6">
        <v>0</v>
      </c>
      <c r="F342" s="6">
        <v>9.0980000000000008</v>
      </c>
      <c r="G342" s="12">
        <f t="shared" si="521"/>
        <v>786067.20000000007</v>
      </c>
      <c r="H342" s="14">
        <f t="shared" si="522"/>
        <v>0.78606720000000008</v>
      </c>
      <c r="I342" s="13">
        <f t="shared" si="523"/>
        <v>35373.024000000005</v>
      </c>
      <c r="J342" s="21">
        <f t="shared" si="524"/>
        <v>3.5373024000000003E-2</v>
      </c>
      <c r="K342" s="13">
        <f t="shared" si="525"/>
        <v>4244.7628800000002</v>
      </c>
      <c r="L342" s="13">
        <f t="shared" si="526"/>
        <v>4.24476288E-3</v>
      </c>
      <c r="M342" s="27">
        <f t="shared" si="527"/>
        <v>3.9617786880000005E-2</v>
      </c>
      <c r="N342" s="29">
        <f t="shared" si="528"/>
        <v>7.8606720000000019E-2</v>
      </c>
      <c r="O342" s="28">
        <f t="shared" si="529"/>
        <v>0.66784269312000011</v>
      </c>
    </row>
    <row r="343" spans="1:15" x14ac:dyDescent="0.7">
      <c r="A343" s="7"/>
      <c r="B343" s="5"/>
      <c r="C343" s="5">
        <v>7</v>
      </c>
      <c r="D343" s="6">
        <v>9.0980000000000008</v>
      </c>
      <c r="E343" s="6">
        <v>0</v>
      </c>
      <c r="F343" s="6">
        <v>9.0980000000000008</v>
      </c>
      <c r="G343" s="12">
        <f t="shared" si="521"/>
        <v>786067.20000000007</v>
      </c>
      <c r="H343" s="14">
        <f t="shared" si="522"/>
        <v>0.78606720000000008</v>
      </c>
      <c r="I343" s="13">
        <f t="shared" si="523"/>
        <v>35373.024000000005</v>
      </c>
      <c r="J343" s="21">
        <f t="shared" si="524"/>
        <v>3.5373024000000003E-2</v>
      </c>
      <c r="K343" s="13">
        <f t="shared" si="525"/>
        <v>4244.7628800000002</v>
      </c>
      <c r="L343" s="13">
        <f t="shared" si="526"/>
        <v>4.24476288E-3</v>
      </c>
      <c r="M343" s="27">
        <f t="shared" si="527"/>
        <v>3.9617786880000005E-2</v>
      </c>
      <c r="N343" s="29">
        <f t="shared" si="528"/>
        <v>7.8606720000000019E-2</v>
      </c>
      <c r="O343" s="28">
        <f t="shared" si="529"/>
        <v>0.66784269312000011</v>
      </c>
    </row>
    <row r="344" spans="1:15" x14ac:dyDescent="0.7">
      <c r="A344" s="7"/>
      <c r="B344" s="5"/>
      <c r="C344" s="5">
        <v>8</v>
      </c>
      <c r="D344" s="6">
        <v>9.0980000000000008</v>
      </c>
      <c r="E344" s="6">
        <v>0</v>
      </c>
      <c r="F344" s="6">
        <v>9.0980000000000008</v>
      </c>
      <c r="G344" s="12">
        <f t="shared" si="521"/>
        <v>786067.20000000007</v>
      </c>
      <c r="H344" s="14">
        <f t="shared" si="522"/>
        <v>0.78606720000000008</v>
      </c>
      <c r="I344" s="13">
        <f t="shared" si="523"/>
        <v>35373.024000000005</v>
      </c>
      <c r="J344" s="21">
        <f t="shared" si="524"/>
        <v>3.5373024000000003E-2</v>
      </c>
      <c r="K344" s="13">
        <f t="shared" si="525"/>
        <v>4244.7628800000002</v>
      </c>
      <c r="L344" s="13">
        <f t="shared" si="526"/>
        <v>4.24476288E-3</v>
      </c>
      <c r="M344" s="27">
        <f t="shared" si="527"/>
        <v>3.9617786880000005E-2</v>
      </c>
      <c r="N344" s="29">
        <f t="shared" si="528"/>
        <v>7.8606720000000019E-2</v>
      </c>
      <c r="O344" s="28">
        <f t="shared" si="529"/>
        <v>0.66784269312000011</v>
      </c>
    </row>
    <row r="345" spans="1:15" x14ac:dyDescent="0.7">
      <c r="A345" s="7"/>
      <c r="B345" s="5"/>
      <c r="C345" s="5">
        <v>9</v>
      </c>
      <c r="D345" s="6">
        <v>8.6300000000000008</v>
      </c>
      <c r="E345" s="6">
        <v>0</v>
      </c>
      <c r="F345" s="6">
        <v>8.6300000000000008</v>
      </c>
      <c r="G345" s="12">
        <f t="shared" si="521"/>
        <v>745632.00000000012</v>
      </c>
      <c r="H345" s="14">
        <f t="shared" si="522"/>
        <v>0.74563200000000007</v>
      </c>
      <c r="I345" s="13">
        <f t="shared" si="523"/>
        <v>33553.440000000002</v>
      </c>
      <c r="J345" s="21">
        <f t="shared" si="524"/>
        <v>3.3553440000000004E-2</v>
      </c>
      <c r="K345" s="13">
        <f t="shared" si="525"/>
        <v>4026.4128000000001</v>
      </c>
      <c r="L345" s="13">
        <f t="shared" si="526"/>
        <v>4.0264128000000003E-3</v>
      </c>
      <c r="M345" s="27">
        <f t="shared" si="527"/>
        <v>3.7579852800000008E-2</v>
      </c>
      <c r="N345" s="29">
        <f t="shared" si="528"/>
        <v>7.456320000000001E-2</v>
      </c>
      <c r="O345" s="28">
        <f t="shared" si="529"/>
        <v>0.63348894720000004</v>
      </c>
    </row>
    <row r="346" spans="1:15" x14ac:dyDescent="0.7">
      <c r="A346" s="7"/>
      <c r="B346" s="5"/>
      <c r="C346" s="5">
        <v>10</v>
      </c>
      <c r="D346" s="6">
        <v>8.6300000000000008</v>
      </c>
      <c r="E346" s="6">
        <v>0</v>
      </c>
      <c r="F346" s="6">
        <v>8.6300000000000008</v>
      </c>
      <c r="G346" s="12">
        <f t="shared" si="521"/>
        <v>745632.00000000012</v>
      </c>
      <c r="H346" s="14">
        <f t="shared" si="522"/>
        <v>0.74563200000000007</v>
      </c>
      <c r="I346" s="13">
        <f t="shared" si="523"/>
        <v>33553.440000000002</v>
      </c>
      <c r="J346" s="21">
        <f t="shared" si="524"/>
        <v>3.3553440000000004E-2</v>
      </c>
      <c r="K346" s="13">
        <f t="shared" si="525"/>
        <v>4026.4128000000001</v>
      </c>
      <c r="L346" s="13">
        <f t="shared" si="526"/>
        <v>4.0264128000000003E-3</v>
      </c>
      <c r="M346" s="27">
        <f t="shared" si="527"/>
        <v>3.7579852800000008E-2</v>
      </c>
      <c r="N346" s="29">
        <f t="shared" si="528"/>
        <v>7.456320000000001E-2</v>
      </c>
      <c r="O346" s="28">
        <f t="shared" si="529"/>
        <v>0.63348894720000004</v>
      </c>
    </row>
    <row r="347" spans="1:15" x14ac:dyDescent="0.7">
      <c r="A347" s="7"/>
      <c r="B347" s="5"/>
      <c r="C347" s="5">
        <v>11</v>
      </c>
      <c r="D347" s="6">
        <v>8.2170000000000005</v>
      </c>
      <c r="E347" s="6">
        <v>0</v>
      </c>
      <c r="F347" s="6">
        <v>8.2170000000000005</v>
      </c>
      <c r="G347" s="12">
        <f t="shared" si="521"/>
        <v>709948.8</v>
      </c>
      <c r="H347" s="14">
        <f t="shared" si="522"/>
        <v>0.70994880000000005</v>
      </c>
      <c r="I347" s="13">
        <f t="shared" si="523"/>
        <v>31947.696</v>
      </c>
      <c r="J347" s="21">
        <f t="shared" si="524"/>
        <v>3.1947695999999998E-2</v>
      </c>
      <c r="K347" s="13">
        <f t="shared" si="525"/>
        <v>3833.72352</v>
      </c>
      <c r="L347" s="13">
        <f t="shared" si="526"/>
        <v>3.8337235199999999E-3</v>
      </c>
      <c r="M347" s="27">
        <f t="shared" si="527"/>
        <v>3.5781419519999996E-2</v>
      </c>
      <c r="N347" s="29">
        <f t="shared" si="528"/>
        <v>7.099488000000001E-2</v>
      </c>
      <c r="O347" s="28">
        <f t="shared" si="529"/>
        <v>0.60317250048000004</v>
      </c>
    </row>
    <row r="348" spans="1:15" x14ac:dyDescent="0.7">
      <c r="A348" s="7"/>
      <c r="B348" s="5"/>
      <c r="C348" s="5">
        <v>12</v>
      </c>
      <c r="D348" s="6">
        <v>8.6760000000000002</v>
      </c>
      <c r="E348" s="6">
        <v>0</v>
      </c>
      <c r="F348" s="6">
        <v>8.6760000000000002</v>
      </c>
      <c r="G348" s="12">
        <f t="shared" si="521"/>
        <v>749606.40000000002</v>
      </c>
      <c r="H348" s="14">
        <f t="shared" si="522"/>
        <v>0.74960640000000001</v>
      </c>
      <c r="I348" s="13">
        <f t="shared" si="523"/>
        <v>33732.288</v>
      </c>
      <c r="J348" s="21">
        <f t="shared" si="524"/>
        <v>3.3732287999999999E-2</v>
      </c>
      <c r="K348" s="13">
        <f t="shared" si="525"/>
        <v>4047.8745599999997</v>
      </c>
      <c r="L348" s="13">
        <f t="shared" si="526"/>
        <v>4.0478745599999994E-3</v>
      </c>
      <c r="M348" s="27">
        <f t="shared" si="527"/>
        <v>3.7780162559999997E-2</v>
      </c>
      <c r="N348" s="29">
        <f t="shared" si="528"/>
        <v>7.4960640000000009E-2</v>
      </c>
      <c r="O348" s="28">
        <f t="shared" si="529"/>
        <v>0.63686559743999993</v>
      </c>
    </row>
    <row r="349" spans="1:15" x14ac:dyDescent="0.7">
      <c r="A349" s="7"/>
      <c r="B349" s="5"/>
      <c r="C349" s="5">
        <v>13</v>
      </c>
      <c r="D349" s="6">
        <v>8.6199999999999992</v>
      </c>
      <c r="E349" s="6">
        <v>0</v>
      </c>
      <c r="F349" s="6">
        <v>8.6199999999999992</v>
      </c>
      <c r="G349" s="12">
        <f t="shared" si="521"/>
        <v>744767.99999999988</v>
      </c>
      <c r="H349" s="14">
        <f t="shared" si="522"/>
        <v>0.74476799999999987</v>
      </c>
      <c r="I349" s="13">
        <f t="shared" si="523"/>
        <v>33514.55999999999</v>
      </c>
      <c r="J349" s="21">
        <f t="shared" si="524"/>
        <v>3.3514559999999992E-2</v>
      </c>
      <c r="K349" s="13">
        <f t="shared" si="525"/>
        <v>4021.7471999999989</v>
      </c>
      <c r="L349" s="13">
        <f t="shared" si="526"/>
        <v>4.0217471999999992E-3</v>
      </c>
      <c r="M349" s="27">
        <f t="shared" si="527"/>
        <v>3.7536307199999994E-2</v>
      </c>
      <c r="N349" s="29">
        <f t="shared" si="528"/>
        <v>7.4476799999999996E-2</v>
      </c>
      <c r="O349" s="28">
        <f t="shared" si="529"/>
        <v>0.63275489279999986</v>
      </c>
    </row>
    <row r="350" spans="1:15" x14ac:dyDescent="0.7">
      <c r="A350" s="7"/>
      <c r="B350" s="5"/>
      <c r="C350" s="5">
        <v>14</v>
      </c>
      <c r="D350" s="6">
        <v>8.4459999999999997</v>
      </c>
      <c r="E350" s="6">
        <v>0</v>
      </c>
      <c r="F350" s="6">
        <v>8.4459999999999997</v>
      </c>
      <c r="G350" s="12">
        <f t="shared" si="521"/>
        <v>729734.4</v>
      </c>
      <c r="H350" s="14">
        <f t="shared" si="522"/>
        <v>0.72973440000000001</v>
      </c>
      <c r="I350" s="13">
        <f t="shared" si="523"/>
        <v>32838.048000000003</v>
      </c>
      <c r="J350" s="21">
        <f t="shared" si="524"/>
        <v>3.2838048000000002E-2</v>
      </c>
      <c r="K350" s="13">
        <f t="shared" si="525"/>
        <v>3940.56576</v>
      </c>
      <c r="L350" s="13">
        <f t="shared" si="526"/>
        <v>3.9405657599999996E-3</v>
      </c>
      <c r="M350" s="27">
        <f t="shared" si="527"/>
        <v>3.6778613760000002E-2</v>
      </c>
      <c r="N350" s="29">
        <f t="shared" si="528"/>
        <v>7.2973440000000001E-2</v>
      </c>
      <c r="O350" s="28">
        <f t="shared" si="529"/>
        <v>0.61998234624000004</v>
      </c>
    </row>
    <row r="351" spans="1:15" x14ac:dyDescent="0.7">
      <c r="A351" s="7"/>
      <c r="B351" s="5"/>
      <c r="C351" s="5">
        <v>15</v>
      </c>
      <c r="D351" s="6">
        <v>8.4459999999999997</v>
      </c>
      <c r="E351" s="6">
        <v>0</v>
      </c>
      <c r="F351" s="6">
        <v>8.4459999999999997</v>
      </c>
      <c r="G351" s="12">
        <f t="shared" si="521"/>
        <v>729734.4</v>
      </c>
      <c r="H351" s="14">
        <f t="shared" si="522"/>
        <v>0.72973440000000001</v>
      </c>
      <c r="I351" s="13">
        <f t="shared" si="523"/>
        <v>32838.048000000003</v>
      </c>
      <c r="J351" s="21">
        <f t="shared" si="524"/>
        <v>3.2838048000000002E-2</v>
      </c>
      <c r="K351" s="13">
        <f t="shared" si="525"/>
        <v>3940.56576</v>
      </c>
      <c r="L351" s="13">
        <f t="shared" si="526"/>
        <v>3.9405657599999996E-3</v>
      </c>
      <c r="M351" s="27">
        <f t="shared" si="527"/>
        <v>3.6778613760000002E-2</v>
      </c>
      <c r="N351" s="29">
        <f t="shared" si="528"/>
        <v>7.2973440000000001E-2</v>
      </c>
      <c r="O351" s="28">
        <f t="shared" si="529"/>
        <v>0.61998234624000004</v>
      </c>
    </row>
    <row r="352" spans="1:15" x14ac:dyDescent="0.7">
      <c r="A352" s="7"/>
      <c r="B352" s="5"/>
      <c r="C352" s="5">
        <v>16</v>
      </c>
      <c r="D352" s="6">
        <v>8.39</v>
      </c>
      <c r="E352" s="6">
        <v>0</v>
      </c>
      <c r="F352" s="6">
        <v>8.39</v>
      </c>
      <c r="G352" s="12">
        <f t="shared" si="521"/>
        <v>724896</v>
      </c>
      <c r="H352" s="14">
        <f t="shared" si="522"/>
        <v>0.72489599999999998</v>
      </c>
      <c r="I352" s="13">
        <f t="shared" si="523"/>
        <v>32620.32</v>
      </c>
      <c r="J352" s="21">
        <f t="shared" si="524"/>
        <v>3.2620320000000001E-2</v>
      </c>
      <c r="K352" s="13">
        <f t="shared" si="525"/>
        <v>3914.4384</v>
      </c>
      <c r="L352" s="13">
        <f t="shared" si="526"/>
        <v>3.9144384000000003E-3</v>
      </c>
      <c r="M352" s="27">
        <f t="shared" si="527"/>
        <v>3.6534758399999999E-2</v>
      </c>
      <c r="N352" s="29">
        <f t="shared" si="528"/>
        <v>7.2489600000000001E-2</v>
      </c>
      <c r="O352" s="28">
        <f t="shared" si="529"/>
        <v>0.61587164159999996</v>
      </c>
    </row>
    <row r="353" spans="1:15" x14ac:dyDescent="0.7">
      <c r="A353" s="7"/>
      <c r="B353" s="5"/>
      <c r="C353" s="5">
        <v>17</v>
      </c>
      <c r="D353" s="6">
        <v>8.1620000000000008</v>
      </c>
      <c r="E353" s="6">
        <v>0</v>
      </c>
      <c r="F353" s="6">
        <v>8.1620000000000008</v>
      </c>
      <c r="G353" s="12">
        <f t="shared" si="521"/>
        <v>705196.8</v>
      </c>
      <c r="H353" s="14">
        <f t="shared" si="522"/>
        <v>0.70519680000000007</v>
      </c>
      <c r="I353" s="13">
        <f t="shared" si="523"/>
        <v>31733.856</v>
      </c>
      <c r="J353" s="21">
        <f t="shared" si="524"/>
        <v>3.1733855999999998E-2</v>
      </c>
      <c r="K353" s="13">
        <f t="shared" si="525"/>
        <v>3808.0627199999999</v>
      </c>
      <c r="L353" s="13">
        <f t="shared" si="526"/>
        <v>3.8080627199999998E-3</v>
      </c>
      <c r="M353" s="27">
        <f t="shared" si="527"/>
        <v>3.5541918719999996E-2</v>
      </c>
      <c r="N353" s="29">
        <f t="shared" si="528"/>
        <v>7.0519680000000015E-2</v>
      </c>
      <c r="O353" s="28">
        <f t="shared" si="529"/>
        <v>0.59913520128000008</v>
      </c>
    </row>
    <row r="354" spans="1:15" x14ac:dyDescent="0.7">
      <c r="A354" s="7"/>
      <c r="B354" s="5"/>
      <c r="C354" s="5">
        <v>18</v>
      </c>
      <c r="D354" s="6">
        <v>8.0449999999999999</v>
      </c>
      <c r="E354" s="6">
        <v>0</v>
      </c>
      <c r="F354" s="6">
        <v>8.0449999999999999</v>
      </c>
      <c r="G354" s="12">
        <f t="shared" si="521"/>
        <v>695088</v>
      </c>
      <c r="H354" s="14">
        <f t="shared" si="522"/>
        <v>0.69508800000000004</v>
      </c>
      <c r="I354" s="13">
        <f t="shared" si="523"/>
        <v>31278.959999999999</v>
      </c>
      <c r="J354" s="21">
        <f t="shared" si="524"/>
        <v>3.1278960000000001E-2</v>
      </c>
      <c r="K354" s="13">
        <f t="shared" si="525"/>
        <v>3753.4751999999999</v>
      </c>
      <c r="L354" s="13">
        <f t="shared" si="526"/>
        <v>3.7534751999999997E-3</v>
      </c>
      <c r="M354" s="27">
        <f t="shared" si="527"/>
        <v>3.5032435200000003E-2</v>
      </c>
      <c r="N354" s="29">
        <f t="shared" si="528"/>
        <v>6.9508800000000009E-2</v>
      </c>
      <c r="O354" s="28">
        <f t="shared" si="529"/>
        <v>0.59054676480000001</v>
      </c>
    </row>
    <row r="355" spans="1:15" x14ac:dyDescent="0.7">
      <c r="A355" s="7"/>
      <c r="B355" s="5"/>
      <c r="C355" s="5">
        <v>19</v>
      </c>
      <c r="D355" s="6">
        <v>8.0449999999999999</v>
      </c>
      <c r="E355" s="6">
        <v>0</v>
      </c>
      <c r="F355" s="6">
        <v>8.0449999999999999</v>
      </c>
      <c r="G355" s="12">
        <f t="shared" si="521"/>
        <v>695088</v>
      </c>
      <c r="H355" s="14">
        <f t="shared" si="522"/>
        <v>0.69508800000000004</v>
      </c>
      <c r="I355" s="13">
        <f t="shared" si="523"/>
        <v>31278.959999999999</v>
      </c>
      <c r="J355" s="21">
        <f t="shared" si="524"/>
        <v>3.1278960000000001E-2</v>
      </c>
      <c r="K355" s="13">
        <f t="shared" si="525"/>
        <v>3753.4751999999999</v>
      </c>
      <c r="L355" s="13">
        <f t="shared" si="526"/>
        <v>3.7534751999999997E-3</v>
      </c>
      <c r="M355" s="27">
        <f t="shared" si="527"/>
        <v>3.5032435200000003E-2</v>
      </c>
      <c r="N355" s="29">
        <f t="shared" si="528"/>
        <v>6.9508800000000009E-2</v>
      </c>
      <c r="O355" s="28">
        <f t="shared" si="529"/>
        <v>0.59054676480000001</v>
      </c>
    </row>
    <row r="356" spans="1:15" x14ac:dyDescent="0.7">
      <c r="A356" s="7"/>
      <c r="B356" s="5"/>
      <c r="C356" s="5">
        <v>20</v>
      </c>
      <c r="D356" s="6">
        <v>8.0449999999999999</v>
      </c>
      <c r="E356" s="6">
        <v>0</v>
      </c>
      <c r="F356" s="6">
        <v>8.0449999999999999</v>
      </c>
      <c r="G356" s="12">
        <f t="shared" si="521"/>
        <v>695088</v>
      </c>
      <c r="H356" s="14">
        <f t="shared" si="522"/>
        <v>0.69508800000000004</v>
      </c>
      <c r="I356" s="13">
        <f t="shared" si="523"/>
        <v>31278.959999999999</v>
      </c>
      <c r="J356" s="21">
        <f t="shared" si="524"/>
        <v>3.1278960000000001E-2</v>
      </c>
      <c r="K356" s="13">
        <f t="shared" si="525"/>
        <v>3753.4751999999999</v>
      </c>
      <c r="L356" s="13">
        <f t="shared" si="526"/>
        <v>3.7534751999999997E-3</v>
      </c>
      <c r="M356" s="27">
        <f t="shared" si="527"/>
        <v>3.5032435200000003E-2</v>
      </c>
      <c r="N356" s="29">
        <f t="shared" si="528"/>
        <v>6.9508800000000009E-2</v>
      </c>
      <c r="O356" s="28">
        <f t="shared" si="529"/>
        <v>0.59054676480000001</v>
      </c>
    </row>
    <row r="357" spans="1:15" x14ac:dyDescent="0.7">
      <c r="A357" s="7"/>
      <c r="B357" s="5"/>
      <c r="C357" s="5">
        <v>21</v>
      </c>
      <c r="D357" s="6">
        <v>7.9889999999999999</v>
      </c>
      <c r="E357" s="6">
        <v>0</v>
      </c>
      <c r="F357" s="6">
        <v>7.9889999999999999</v>
      </c>
      <c r="G357" s="12">
        <f t="shared" si="521"/>
        <v>690249.6</v>
      </c>
      <c r="H357" s="14">
        <f t="shared" si="522"/>
        <v>0.69024960000000002</v>
      </c>
      <c r="I357" s="13">
        <f t="shared" si="523"/>
        <v>31061.231999999996</v>
      </c>
      <c r="J357" s="21">
        <f t="shared" si="524"/>
        <v>3.1061231999999998E-2</v>
      </c>
      <c r="K357" s="13">
        <f t="shared" si="525"/>
        <v>3727.3478399999995</v>
      </c>
      <c r="L357" s="13">
        <f t="shared" si="526"/>
        <v>3.7273478399999995E-3</v>
      </c>
      <c r="M357" s="27">
        <f t="shared" si="527"/>
        <v>3.478857984E-2</v>
      </c>
      <c r="N357" s="29">
        <f t="shared" si="528"/>
        <v>6.902496000000001E-2</v>
      </c>
      <c r="O357" s="28">
        <f t="shared" si="529"/>
        <v>0.58643606015999994</v>
      </c>
    </row>
    <row r="358" spans="1:15" x14ac:dyDescent="0.7">
      <c r="A358" s="7"/>
      <c r="B358" s="5"/>
      <c r="C358" s="5">
        <v>22</v>
      </c>
      <c r="D358" s="6">
        <v>8.39</v>
      </c>
      <c r="E358" s="6">
        <v>0</v>
      </c>
      <c r="F358" s="6">
        <v>8.39</v>
      </c>
      <c r="G358" s="12">
        <f t="shared" si="521"/>
        <v>724896</v>
      </c>
      <c r="H358" s="14">
        <f t="shared" si="522"/>
        <v>0.72489599999999998</v>
      </c>
      <c r="I358" s="13">
        <f t="shared" si="523"/>
        <v>32620.32</v>
      </c>
      <c r="J358" s="21">
        <f t="shared" si="524"/>
        <v>3.2620320000000001E-2</v>
      </c>
      <c r="K358" s="13">
        <f t="shared" si="525"/>
        <v>3914.4384</v>
      </c>
      <c r="L358" s="13">
        <f t="shared" si="526"/>
        <v>3.9144384000000003E-3</v>
      </c>
      <c r="M358" s="27">
        <f t="shared" si="527"/>
        <v>3.6534758399999999E-2</v>
      </c>
      <c r="N358" s="29">
        <f t="shared" si="528"/>
        <v>7.2489600000000001E-2</v>
      </c>
      <c r="O358" s="28">
        <f t="shared" si="529"/>
        <v>0.61587164159999996</v>
      </c>
    </row>
    <row r="359" spans="1:15" x14ac:dyDescent="0.7">
      <c r="A359" s="7"/>
      <c r="B359" s="5"/>
      <c r="C359" s="5">
        <v>23</v>
      </c>
      <c r="D359" s="6">
        <v>8.0449999999999999</v>
      </c>
      <c r="E359" s="6">
        <v>0</v>
      </c>
      <c r="F359" s="6">
        <v>8.0449999999999999</v>
      </c>
      <c r="G359" s="12">
        <f t="shared" si="521"/>
        <v>695088</v>
      </c>
      <c r="H359" s="14">
        <f t="shared" si="522"/>
        <v>0.69508800000000004</v>
      </c>
      <c r="I359" s="13">
        <f t="shared" si="523"/>
        <v>31278.959999999999</v>
      </c>
      <c r="J359" s="21">
        <f t="shared" si="524"/>
        <v>3.1278960000000001E-2</v>
      </c>
      <c r="K359" s="13">
        <f t="shared" si="525"/>
        <v>3753.4751999999999</v>
      </c>
      <c r="L359" s="13">
        <f t="shared" si="526"/>
        <v>3.7534751999999997E-3</v>
      </c>
      <c r="M359" s="27">
        <f t="shared" si="527"/>
        <v>3.5032435200000003E-2</v>
      </c>
      <c r="N359" s="29">
        <f t="shared" si="528"/>
        <v>6.9508800000000009E-2</v>
      </c>
      <c r="O359" s="28">
        <f t="shared" si="529"/>
        <v>0.59054676480000001</v>
      </c>
    </row>
    <row r="360" spans="1:15" x14ac:dyDescent="0.7">
      <c r="A360" s="7"/>
      <c r="B360" s="5"/>
      <c r="C360" s="5">
        <v>24</v>
      </c>
      <c r="D360" s="6">
        <v>7.9889999999999999</v>
      </c>
      <c r="E360" s="6">
        <v>0</v>
      </c>
      <c r="F360" s="6">
        <v>7.9889999999999999</v>
      </c>
      <c r="G360" s="12">
        <f t="shared" si="521"/>
        <v>690249.6</v>
      </c>
      <c r="H360" s="14">
        <f t="shared" si="522"/>
        <v>0.69024960000000002</v>
      </c>
      <c r="I360" s="13">
        <f t="shared" si="523"/>
        <v>31061.231999999996</v>
      </c>
      <c r="J360" s="21">
        <f t="shared" si="524"/>
        <v>3.1061231999999998E-2</v>
      </c>
      <c r="K360" s="13">
        <f t="shared" si="525"/>
        <v>3727.3478399999995</v>
      </c>
      <c r="L360" s="13">
        <f t="shared" si="526"/>
        <v>3.7273478399999995E-3</v>
      </c>
      <c r="M360" s="27">
        <f t="shared" si="527"/>
        <v>3.478857984E-2</v>
      </c>
      <c r="N360" s="29">
        <f t="shared" si="528"/>
        <v>6.902496000000001E-2</v>
      </c>
      <c r="O360" s="28">
        <f t="shared" si="529"/>
        <v>0.58643606015999994</v>
      </c>
    </row>
    <row r="361" spans="1:15" x14ac:dyDescent="0.7">
      <c r="A361" s="7"/>
      <c r="B361" s="5"/>
      <c r="C361" s="5">
        <v>25</v>
      </c>
      <c r="D361" s="6">
        <v>7.9329999999999998</v>
      </c>
      <c r="E361" s="6">
        <v>0</v>
      </c>
      <c r="F361" s="6">
        <v>7.9329999999999998</v>
      </c>
      <c r="G361" s="12">
        <f t="shared" si="521"/>
        <v>685411.2</v>
      </c>
      <c r="H361" s="14">
        <f t="shared" si="522"/>
        <v>0.6854112</v>
      </c>
      <c r="I361" s="13">
        <f t="shared" si="523"/>
        <v>30843.503999999997</v>
      </c>
      <c r="J361" s="21">
        <f t="shared" si="524"/>
        <v>3.0843503999999997E-2</v>
      </c>
      <c r="K361" s="13">
        <f t="shared" si="525"/>
        <v>3701.2204799999995</v>
      </c>
      <c r="L361" s="13">
        <f t="shared" si="526"/>
        <v>3.7012204799999997E-3</v>
      </c>
      <c r="M361" s="27">
        <f t="shared" si="527"/>
        <v>3.4544724479999997E-2</v>
      </c>
      <c r="N361" s="29">
        <f t="shared" si="528"/>
        <v>6.8541119999999997E-2</v>
      </c>
      <c r="O361" s="28">
        <f t="shared" si="529"/>
        <v>0.58232535551999998</v>
      </c>
    </row>
    <row r="362" spans="1:15" x14ac:dyDescent="0.7">
      <c r="A362" s="7"/>
      <c r="B362" s="5"/>
      <c r="C362" s="5">
        <v>26</v>
      </c>
      <c r="D362" s="6">
        <v>7.8159999999999998</v>
      </c>
      <c r="E362" s="6">
        <v>0</v>
      </c>
      <c r="F362" s="6">
        <v>7.8159999999999998</v>
      </c>
      <c r="G362" s="12">
        <f t="shared" si="521"/>
        <v>675302.40000000002</v>
      </c>
      <c r="H362" s="14">
        <f t="shared" si="522"/>
        <v>0.67530239999999997</v>
      </c>
      <c r="I362" s="13">
        <f t="shared" si="523"/>
        <v>30388.608</v>
      </c>
      <c r="J362" s="21">
        <f t="shared" si="524"/>
        <v>3.0388608000000001E-2</v>
      </c>
      <c r="K362" s="13">
        <f t="shared" si="525"/>
        <v>3646.6329599999999</v>
      </c>
      <c r="L362" s="13">
        <f t="shared" si="526"/>
        <v>3.64663296E-3</v>
      </c>
      <c r="M362" s="27">
        <f t="shared" si="527"/>
        <v>3.4035240960000004E-2</v>
      </c>
      <c r="N362" s="29">
        <f t="shared" si="528"/>
        <v>6.7530240000000005E-2</v>
      </c>
      <c r="O362" s="28">
        <f t="shared" si="529"/>
        <v>0.57373691904000002</v>
      </c>
    </row>
    <row r="363" spans="1:15" x14ac:dyDescent="0.7">
      <c r="A363" s="7"/>
      <c r="B363" s="5"/>
      <c r="C363" s="5">
        <v>27</v>
      </c>
      <c r="D363" s="6">
        <v>7.8159999999999998</v>
      </c>
      <c r="E363" s="6">
        <v>0</v>
      </c>
      <c r="F363" s="6">
        <v>7.8159999999999998</v>
      </c>
      <c r="G363" s="12">
        <f t="shared" si="521"/>
        <v>675302.40000000002</v>
      </c>
      <c r="H363" s="14">
        <f t="shared" si="522"/>
        <v>0.67530239999999997</v>
      </c>
      <c r="I363" s="13">
        <f t="shared" si="523"/>
        <v>30388.608</v>
      </c>
      <c r="J363" s="21">
        <f t="shared" si="524"/>
        <v>3.0388608000000001E-2</v>
      </c>
      <c r="K363" s="13">
        <f t="shared" si="525"/>
        <v>3646.6329599999999</v>
      </c>
      <c r="L363" s="13">
        <f t="shared" si="526"/>
        <v>3.64663296E-3</v>
      </c>
      <c r="M363" s="27">
        <f t="shared" si="527"/>
        <v>3.4035240960000004E-2</v>
      </c>
      <c r="N363" s="29">
        <f t="shared" si="528"/>
        <v>6.7530240000000005E-2</v>
      </c>
      <c r="O363" s="28">
        <f t="shared" si="529"/>
        <v>0.57373691904000002</v>
      </c>
    </row>
    <row r="364" spans="1:15" x14ac:dyDescent="0.7">
      <c r="A364" s="7"/>
      <c r="B364" s="5"/>
      <c r="C364" s="5">
        <v>28</v>
      </c>
      <c r="D364" s="6">
        <v>7.8159999999999998</v>
      </c>
      <c r="E364" s="6">
        <v>0</v>
      </c>
      <c r="F364" s="6">
        <v>7.8159999999999998</v>
      </c>
      <c r="G364" s="12">
        <f t="shared" si="521"/>
        <v>675302.40000000002</v>
      </c>
      <c r="H364" s="14">
        <f t="shared" si="522"/>
        <v>0.67530239999999997</v>
      </c>
      <c r="I364" s="13">
        <f t="shared" si="523"/>
        <v>30388.608</v>
      </c>
      <c r="J364" s="21">
        <f t="shared" si="524"/>
        <v>3.0388608000000001E-2</v>
      </c>
      <c r="K364" s="13">
        <f t="shared" si="525"/>
        <v>3646.6329599999999</v>
      </c>
      <c r="L364" s="13">
        <f t="shared" si="526"/>
        <v>3.64663296E-3</v>
      </c>
      <c r="M364" s="27">
        <f t="shared" si="527"/>
        <v>3.4035240960000004E-2</v>
      </c>
      <c r="N364" s="29">
        <f t="shared" si="528"/>
        <v>6.7530240000000005E-2</v>
      </c>
      <c r="O364" s="28">
        <f t="shared" si="529"/>
        <v>0.57373691904000002</v>
      </c>
    </row>
    <row r="365" spans="1:15" x14ac:dyDescent="0.7">
      <c r="A365" s="25"/>
      <c r="B365" s="10"/>
      <c r="C365" s="10">
        <v>29</v>
      </c>
      <c r="D365" s="16">
        <v>7.76</v>
      </c>
      <c r="E365" s="6">
        <v>0</v>
      </c>
      <c r="F365" s="16">
        <v>7.76</v>
      </c>
      <c r="G365" s="17">
        <f t="shared" si="521"/>
        <v>670464</v>
      </c>
      <c r="H365" s="18">
        <f t="shared" si="522"/>
        <v>0.67046399999999995</v>
      </c>
      <c r="I365" s="13">
        <f t="shared" si="523"/>
        <v>30170.879999999997</v>
      </c>
      <c r="J365" s="21">
        <f t="shared" si="524"/>
        <v>3.0170879999999997E-2</v>
      </c>
      <c r="K365" s="13">
        <f t="shared" si="525"/>
        <v>3620.5055999999995</v>
      </c>
      <c r="L365" s="13">
        <f t="shared" si="526"/>
        <v>3.6205055999999993E-3</v>
      </c>
      <c r="M365" s="27">
        <f t="shared" si="527"/>
        <v>3.3791385599999994E-2</v>
      </c>
      <c r="N365" s="29">
        <f t="shared" si="528"/>
        <v>6.7046399999999992E-2</v>
      </c>
      <c r="O365" s="28">
        <f t="shared" si="529"/>
        <v>0.56962621440000005</v>
      </c>
    </row>
    <row r="366" spans="1:15" s="20" customFormat="1" x14ac:dyDescent="0.7">
      <c r="A366" s="7"/>
      <c r="B366" s="5"/>
      <c r="C366" s="5">
        <v>30</v>
      </c>
      <c r="D366" s="6">
        <v>7.7050000000000001</v>
      </c>
      <c r="E366" s="6">
        <v>0</v>
      </c>
      <c r="F366" s="6">
        <v>7.7050000000000001</v>
      </c>
      <c r="G366" s="64">
        <f t="shared" si="521"/>
        <v>665712</v>
      </c>
      <c r="H366" s="13">
        <f t="shared" si="522"/>
        <v>0.66571199999999997</v>
      </c>
      <c r="I366" s="13">
        <f t="shared" si="523"/>
        <v>29957.039999999997</v>
      </c>
      <c r="J366" s="21">
        <f t="shared" si="524"/>
        <v>2.9957039999999997E-2</v>
      </c>
      <c r="K366" s="13">
        <f t="shared" si="525"/>
        <v>3594.8447999999994</v>
      </c>
      <c r="L366" s="13">
        <f t="shared" si="526"/>
        <v>3.5948447999999992E-3</v>
      </c>
      <c r="M366" s="13">
        <f t="shared" si="527"/>
        <v>3.3551884799999994E-2</v>
      </c>
      <c r="N366" s="29">
        <f t="shared" si="528"/>
        <v>6.6571199999999997E-2</v>
      </c>
      <c r="O366" s="13">
        <f t="shared" si="529"/>
        <v>0.56558891519999999</v>
      </c>
    </row>
    <row r="367" spans="1:15" s="65" customFormat="1" ht="25.2" thickBot="1" x14ac:dyDescent="0.75">
      <c r="A367" s="43"/>
      <c r="B367" s="8" t="s">
        <v>26</v>
      </c>
      <c r="C367" s="8">
        <v>31</v>
      </c>
      <c r="D367" s="9">
        <v>7.6440000000000001</v>
      </c>
      <c r="E367" s="9">
        <v>0</v>
      </c>
      <c r="F367" s="9">
        <v>7.6440000000000001</v>
      </c>
      <c r="G367" s="19">
        <f t="shared" si="521"/>
        <v>660441.59999999998</v>
      </c>
      <c r="H367" s="15">
        <f t="shared" si="522"/>
        <v>0.66044159999999996</v>
      </c>
      <c r="I367" s="15">
        <f t="shared" si="523"/>
        <v>29719.871999999999</v>
      </c>
      <c r="J367" s="22">
        <f t="shared" si="524"/>
        <v>2.9719871999999998E-2</v>
      </c>
      <c r="K367" s="15">
        <f t="shared" si="525"/>
        <v>3566.3846399999998</v>
      </c>
      <c r="L367" s="15">
        <f t="shared" si="526"/>
        <v>3.5663846399999997E-3</v>
      </c>
      <c r="M367" s="15">
        <f t="shared" si="527"/>
        <v>3.3286256639999998E-2</v>
      </c>
      <c r="N367" s="34">
        <f t="shared" si="528"/>
        <v>6.6044160000000005E-2</v>
      </c>
      <c r="O367" s="15">
        <f t="shared" si="529"/>
        <v>0.56111118335999999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2026-02-24T07:09:49Z</dcterms:modified>
</cp:coreProperties>
</file>