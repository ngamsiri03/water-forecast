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FF56484F-BE74-425E-AA2D-E4ECAF24FB5C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" i="1"/>
  <c r="O3" i="1"/>
  <c r="M3" i="1"/>
  <c r="L355" i="1"/>
  <c r="L3" i="1"/>
  <c r="K3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J9" i="1"/>
  <c r="M9" i="1" l="1"/>
  <c r="O9" i="1" s="1"/>
  <c r="J11" i="1"/>
  <c r="M11" i="1" s="1"/>
  <c r="O11" i="1" s="1"/>
  <c r="J19" i="1"/>
  <c r="M19" i="1" s="1"/>
  <c r="O19" i="1" s="1"/>
  <c r="J35" i="1"/>
  <c r="M35" i="1" s="1"/>
  <c r="O35" i="1" s="1"/>
  <c r="J43" i="1"/>
  <c r="M43" i="1" s="1"/>
  <c r="O43" i="1" s="1"/>
  <c r="J59" i="1"/>
  <c r="M59" i="1" s="1"/>
  <c r="O59" i="1" s="1"/>
  <c r="J67" i="1"/>
  <c r="M67" i="1" s="1"/>
  <c r="O67" i="1" s="1"/>
  <c r="J70" i="1"/>
  <c r="M70" i="1" s="1"/>
  <c r="O70" i="1" s="1"/>
  <c r="J75" i="1"/>
  <c r="M75" i="1" s="1"/>
  <c r="O75" i="1" s="1"/>
  <c r="J83" i="1"/>
  <c r="M83" i="1" s="1"/>
  <c r="O83" i="1" s="1"/>
  <c r="J86" i="1"/>
  <c r="M86" i="1" s="1"/>
  <c r="O86" i="1" s="1"/>
  <c r="J94" i="1"/>
  <c r="M94" i="1" s="1"/>
  <c r="O94" i="1" s="1"/>
  <c r="J99" i="1"/>
  <c r="M99" i="1" s="1"/>
  <c r="O99" i="1" s="1"/>
  <c r="J102" i="1"/>
  <c r="M102" i="1" s="1"/>
  <c r="O102" i="1" s="1"/>
  <c r="J107" i="1"/>
  <c r="M107" i="1" s="1"/>
  <c r="O107" i="1" s="1"/>
  <c r="J115" i="1"/>
  <c r="M115" i="1" s="1"/>
  <c r="O115" i="1" s="1"/>
  <c r="J118" i="1"/>
  <c r="M118" i="1" s="1"/>
  <c r="O118" i="1" s="1"/>
  <c r="J126" i="1"/>
  <c r="M126" i="1" s="1"/>
  <c r="O126" i="1" s="1"/>
  <c r="J134" i="1"/>
  <c r="M134" i="1" s="1"/>
  <c r="O134" i="1" s="1"/>
  <c r="J139" i="1"/>
  <c r="M139" i="1" s="1"/>
  <c r="O139" i="1" s="1"/>
  <c r="J142" i="1"/>
  <c r="M142" i="1" s="1"/>
  <c r="O142" i="1" s="1"/>
  <c r="J147" i="1"/>
  <c r="M147" i="1" s="1"/>
  <c r="O147" i="1" s="1"/>
  <c r="J150" i="1"/>
  <c r="M150" i="1" s="1"/>
  <c r="O150" i="1" s="1"/>
  <c r="J155" i="1"/>
  <c r="M155" i="1" s="1"/>
  <c r="O155" i="1" s="1"/>
  <c r="J158" i="1"/>
  <c r="M158" i="1" s="1"/>
  <c r="O158" i="1" s="1"/>
  <c r="J163" i="1"/>
  <c r="M163" i="1" s="1"/>
  <c r="O163" i="1" s="1"/>
  <c r="J166" i="1"/>
  <c r="M166" i="1" s="1"/>
  <c r="O166" i="1" s="1"/>
  <c r="J171" i="1"/>
  <c r="M171" i="1" s="1"/>
  <c r="O171" i="1" s="1"/>
  <c r="J174" i="1"/>
  <c r="M174" i="1" s="1"/>
  <c r="O174" i="1" s="1"/>
  <c r="J182" i="1"/>
  <c r="M182" i="1" s="1"/>
  <c r="O182" i="1" s="1"/>
  <c r="J190" i="1"/>
  <c r="M190" i="1" s="1"/>
  <c r="O190" i="1" s="1"/>
  <c r="J195" i="1"/>
  <c r="M195" i="1" s="1"/>
  <c r="O195" i="1" s="1"/>
  <c r="J198" i="1"/>
  <c r="M198" i="1" s="1"/>
  <c r="O198" i="1" s="1"/>
  <c r="J203" i="1"/>
  <c r="M203" i="1" s="1"/>
  <c r="O203" i="1" s="1"/>
  <c r="J206" i="1"/>
  <c r="M206" i="1" s="1"/>
  <c r="O206" i="1" s="1"/>
  <c r="J214" i="1"/>
  <c r="M214" i="1" s="1"/>
  <c r="O214" i="1" s="1"/>
  <c r="J222" i="1"/>
  <c r="M222" i="1" s="1"/>
  <c r="O222" i="1" s="1"/>
  <c r="J227" i="1"/>
  <c r="M227" i="1" s="1"/>
  <c r="O227" i="1" s="1"/>
  <c r="J230" i="1"/>
  <c r="M230" i="1" s="1"/>
  <c r="O230" i="1" s="1"/>
  <c r="J235" i="1"/>
  <c r="M235" i="1" s="1"/>
  <c r="O235" i="1" s="1"/>
  <c r="J238" i="1"/>
  <c r="M238" i="1" s="1"/>
  <c r="O238" i="1" s="1"/>
  <c r="J243" i="1"/>
  <c r="M243" i="1" s="1"/>
  <c r="O243" i="1" s="1"/>
  <c r="J251" i="1"/>
  <c r="M251" i="1" s="1"/>
  <c r="O251" i="1" s="1"/>
  <c r="J254" i="1"/>
  <c r="M254" i="1" s="1"/>
  <c r="O254" i="1" s="1"/>
  <c r="J267" i="1"/>
  <c r="M267" i="1" s="1"/>
  <c r="O267" i="1" s="1"/>
  <c r="J270" i="1"/>
  <c r="M270" i="1" s="1"/>
  <c r="O270" i="1" s="1"/>
  <c r="J275" i="1"/>
  <c r="M275" i="1" s="1"/>
  <c r="O275" i="1" s="1"/>
  <c r="J278" i="1"/>
  <c r="M278" i="1" s="1"/>
  <c r="O278" i="1" s="1"/>
  <c r="J286" i="1"/>
  <c r="M286" i="1" s="1"/>
  <c r="O286" i="1" s="1"/>
  <c r="J291" i="1"/>
  <c r="M291" i="1" s="1"/>
  <c r="O291" i="1" s="1"/>
  <c r="J294" i="1"/>
  <c r="M294" i="1" s="1"/>
  <c r="O294" i="1" s="1"/>
  <c r="J299" i="1"/>
  <c r="M299" i="1" s="1"/>
  <c r="O299" i="1" s="1"/>
  <c r="J302" i="1"/>
  <c r="M302" i="1" s="1"/>
  <c r="O302" i="1" s="1"/>
  <c r="J307" i="1"/>
  <c r="M307" i="1" s="1"/>
  <c r="O307" i="1" s="1"/>
  <c r="J310" i="1"/>
  <c r="M310" i="1" s="1"/>
  <c r="O310" i="1" s="1"/>
  <c r="J315" i="1"/>
  <c r="M315" i="1" s="1"/>
  <c r="O315" i="1" s="1"/>
  <c r="J318" i="1"/>
  <c r="M318" i="1" s="1"/>
  <c r="O318" i="1" s="1"/>
  <c r="J331" i="1"/>
  <c r="M331" i="1" s="1"/>
  <c r="O331" i="1" s="1"/>
  <c r="J334" i="1"/>
  <c r="M334" i="1" s="1"/>
  <c r="O334" i="1" s="1"/>
  <c r="J339" i="1"/>
  <c r="M339" i="1" s="1"/>
  <c r="O339" i="1" s="1"/>
  <c r="J342" i="1"/>
  <c r="M342" i="1" s="1"/>
  <c r="O342" i="1" s="1"/>
  <c r="J350" i="1"/>
  <c r="M350" i="1" s="1"/>
  <c r="O350" i="1" s="1"/>
  <c r="J355" i="1"/>
  <c r="M355" i="1" s="1"/>
  <c r="O355" i="1" s="1"/>
  <c r="J363" i="1"/>
  <c r="M363" i="1" s="1"/>
  <c r="O363" i="1" s="1"/>
  <c r="J366" i="1"/>
  <c r="M366" i="1" s="1"/>
  <c r="O366" i="1" s="1"/>
  <c r="I3" i="1"/>
  <c r="J3" i="1" s="1"/>
  <c r="J27" i="1"/>
  <c r="M27" i="1" s="1"/>
  <c r="O27" i="1" s="1"/>
  <c r="J51" i="1"/>
  <c r="M51" i="1" s="1"/>
  <c r="O51" i="1" s="1"/>
  <c r="J91" i="1"/>
  <c r="M91" i="1" s="1"/>
  <c r="O91" i="1" s="1"/>
  <c r="J123" i="1"/>
  <c r="M123" i="1" s="1"/>
  <c r="O123" i="1" s="1"/>
  <c r="J179" i="1"/>
  <c r="M179" i="1" s="1"/>
  <c r="O179" i="1" s="1"/>
  <c r="J219" i="1"/>
  <c r="M219" i="1" s="1"/>
  <c r="O219" i="1" s="1"/>
  <c r="J259" i="1"/>
  <c r="M259" i="1" s="1"/>
  <c r="O259" i="1" s="1"/>
  <c r="J283" i="1"/>
  <c r="M283" i="1" s="1"/>
  <c r="O283" i="1" s="1"/>
  <c r="J323" i="1"/>
  <c r="M323" i="1" s="1"/>
  <c r="O323" i="1" s="1"/>
  <c r="J347" i="1"/>
  <c r="M347" i="1" s="1"/>
  <c r="O347" i="1" s="1"/>
  <c r="J367" i="1"/>
  <c r="M367" i="1" s="1"/>
  <c r="O367" i="1" s="1"/>
  <c r="J14" i="1"/>
  <c r="M14" i="1" s="1"/>
  <c r="O14" i="1" s="1"/>
  <c r="J15" i="1"/>
  <c r="M15" i="1" s="1"/>
  <c r="O15" i="1" s="1"/>
  <c r="J22" i="1"/>
  <c r="M22" i="1" s="1"/>
  <c r="O22" i="1" s="1"/>
  <c r="J24" i="1"/>
  <c r="M24" i="1" s="1"/>
  <c r="O24" i="1" s="1"/>
  <c r="J25" i="1"/>
  <c r="M25" i="1" s="1"/>
  <c r="O25" i="1" s="1"/>
  <c r="J26" i="1"/>
  <c r="M26" i="1" s="1"/>
  <c r="O26" i="1" s="1"/>
  <c r="J30" i="1"/>
  <c r="M30" i="1" s="1"/>
  <c r="O30" i="1" s="1"/>
  <c r="J31" i="1"/>
  <c r="M31" i="1" s="1"/>
  <c r="O31" i="1" s="1"/>
  <c r="J41" i="1"/>
  <c r="M41" i="1" s="1"/>
  <c r="O41" i="1" s="1"/>
  <c r="J57" i="1"/>
  <c r="M57" i="1" s="1"/>
  <c r="O57" i="1" s="1"/>
  <c r="J58" i="1"/>
  <c r="M58" i="1" s="1"/>
  <c r="O58" i="1" s="1"/>
  <c r="J62" i="1"/>
  <c r="M62" i="1" s="1"/>
  <c r="O62" i="1" s="1"/>
  <c r="J63" i="1"/>
  <c r="M63" i="1" s="1"/>
  <c r="O63" i="1" s="1"/>
  <c r="J72" i="1"/>
  <c r="M72" i="1" s="1"/>
  <c r="O72" i="1" s="1"/>
  <c r="J73" i="1"/>
  <c r="M73" i="1" s="1"/>
  <c r="O73" i="1" s="1"/>
  <c r="J74" i="1"/>
  <c r="M74" i="1" s="1"/>
  <c r="O74" i="1" s="1"/>
  <c r="J78" i="1"/>
  <c r="M78" i="1" s="1"/>
  <c r="O78" i="1" s="1"/>
  <c r="J79" i="1"/>
  <c r="M79" i="1" s="1"/>
  <c r="O79" i="1" s="1"/>
  <c r="J95" i="1"/>
  <c r="M95" i="1" s="1"/>
  <c r="O95" i="1" s="1"/>
  <c r="J103" i="1"/>
  <c r="M103" i="1" s="1"/>
  <c r="O103" i="1" s="1"/>
  <c r="J105" i="1"/>
  <c r="M105" i="1" s="1"/>
  <c r="O105" i="1" s="1"/>
  <c r="J106" i="1"/>
  <c r="M106" i="1" s="1"/>
  <c r="O106" i="1" s="1"/>
  <c r="J111" i="1"/>
  <c r="M111" i="1" s="1"/>
  <c r="O111" i="1" s="1"/>
  <c r="J114" i="1"/>
  <c r="M114" i="1" s="1"/>
  <c r="O114" i="1" s="1"/>
  <c r="J119" i="1"/>
  <c r="M119" i="1" s="1"/>
  <c r="O119" i="1" s="1"/>
  <c r="J121" i="1"/>
  <c r="M121" i="1" s="1"/>
  <c r="O121" i="1" s="1"/>
  <c r="J122" i="1"/>
  <c r="M122" i="1" s="1"/>
  <c r="O122" i="1" s="1"/>
  <c r="J130" i="1"/>
  <c r="M130" i="1" s="1"/>
  <c r="O130" i="1" s="1"/>
  <c r="J137" i="1"/>
  <c r="M137" i="1" s="1"/>
  <c r="O137" i="1" s="1"/>
  <c r="J143" i="1"/>
  <c r="M143" i="1" s="1"/>
  <c r="O143" i="1" s="1"/>
  <c r="J152" i="1"/>
  <c r="M152" i="1" s="1"/>
  <c r="O152" i="1" s="1"/>
  <c r="J153" i="1"/>
  <c r="M153" i="1" s="1"/>
  <c r="O153" i="1" s="1"/>
  <c r="J154" i="1"/>
  <c r="M154" i="1" s="1"/>
  <c r="O154" i="1" s="1"/>
  <c r="J159" i="1"/>
  <c r="M159" i="1" s="1"/>
  <c r="O159" i="1" s="1"/>
  <c r="J162" i="1"/>
  <c r="M162" i="1" s="1"/>
  <c r="O162" i="1" s="1"/>
  <c r="J167" i="1"/>
  <c r="M167" i="1" s="1"/>
  <c r="O167" i="1" s="1"/>
  <c r="J168" i="1"/>
  <c r="M168" i="1" s="1"/>
  <c r="O168" i="1" s="1"/>
  <c r="J169" i="1"/>
  <c r="M169" i="1" s="1"/>
  <c r="O169" i="1" s="1"/>
  <c r="J170" i="1"/>
  <c r="M170" i="1" s="1"/>
  <c r="O170" i="1" s="1"/>
  <c r="J175" i="1"/>
  <c r="M175" i="1" s="1"/>
  <c r="O175" i="1" s="1"/>
  <c r="J178" i="1"/>
  <c r="M178" i="1" s="1"/>
  <c r="O178" i="1" s="1"/>
  <c r="J180" i="1"/>
  <c r="M180" i="1" s="1"/>
  <c r="O180" i="1" s="1"/>
  <c r="J185" i="1"/>
  <c r="M185" i="1" s="1"/>
  <c r="O185" i="1" s="1"/>
  <c r="J187" i="1"/>
  <c r="M187" i="1" s="1"/>
  <c r="O187" i="1" s="1"/>
  <c r="J191" i="1"/>
  <c r="M191" i="1" s="1"/>
  <c r="O191" i="1" s="1"/>
  <c r="J200" i="1"/>
  <c r="M200" i="1" s="1"/>
  <c r="O200" i="1" s="1"/>
  <c r="J201" i="1"/>
  <c r="M201" i="1" s="1"/>
  <c r="O201" i="1" s="1"/>
  <c r="J202" i="1"/>
  <c r="M202" i="1" s="1"/>
  <c r="O202" i="1" s="1"/>
  <c r="J210" i="1"/>
  <c r="M210" i="1" s="1"/>
  <c r="O210" i="1" s="1"/>
  <c r="J211" i="1"/>
  <c r="M211" i="1" s="1"/>
  <c r="O211" i="1" s="1"/>
  <c r="J215" i="1"/>
  <c r="M215" i="1" s="1"/>
  <c r="O215" i="1" s="1"/>
  <c r="J217" i="1"/>
  <c r="M217" i="1" s="1"/>
  <c r="O217" i="1" s="1"/>
  <c r="J218" i="1"/>
  <c r="M218" i="1" s="1"/>
  <c r="O218" i="1" s="1"/>
  <c r="J226" i="1"/>
  <c r="M226" i="1" s="1"/>
  <c r="O226" i="1" s="1"/>
  <c r="J231" i="1"/>
  <c r="M231" i="1" s="1"/>
  <c r="O231" i="1" s="1"/>
  <c r="J232" i="1"/>
  <c r="M232" i="1" s="1"/>
  <c r="O232" i="1" s="1"/>
  <c r="J233" i="1"/>
  <c r="M233" i="1" s="1"/>
  <c r="O233" i="1" s="1"/>
  <c r="J239" i="1"/>
  <c r="M239" i="1" s="1"/>
  <c r="O239" i="1" s="1"/>
  <c r="J246" i="1"/>
  <c r="M246" i="1" s="1"/>
  <c r="O246" i="1" s="1"/>
  <c r="J249" i="1"/>
  <c r="M249" i="1" s="1"/>
  <c r="O249" i="1" s="1"/>
  <c r="J250" i="1"/>
  <c r="M250" i="1" s="1"/>
  <c r="O250" i="1" s="1"/>
  <c r="J258" i="1"/>
  <c r="M258" i="1" s="1"/>
  <c r="O258" i="1" s="1"/>
  <c r="J260" i="1"/>
  <c r="M260" i="1" s="1"/>
  <c r="O260" i="1" s="1"/>
  <c r="J263" i="1"/>
  <c r="M263" i="1" s="1"/>
  <c r="O263" i="1" s="1"/>
  <c r="J271" i="1"/>
  <c r="M271" i="1" s="1"/>
  <c r="O271" i="1" s="1"/>
  <c r="J272" i="1"/>
  <c r="M272" i="1" s="1"/>
  <c r="O272" i="1" s="1"/>
  <c r="J274" i="1"/>
  <c r="M274" i="1" s="1"/>
  <c r="O274" i="1" s="1"/>
  <c r="J279" i="1"/>
  <c r="M279" i="1" s="1"/>
  <c r="O279" i="1" s="1"/>
  <c r="J280" i="1"/>
  <c r="M280" i="1" s="1"/>
  <c r="O280" i="1" s="1"/>
  <c r="J281" i="1"/>
  <c r="M281" i="1" s="1"/>
  <c r="O281" i="1" s="1"/>
  <c r="J282" i="1"/>
  <c r="M282" i="1" s="1"/>
  <c r="O282" i="1" s="1"/>
  <c r="J287" i="1"/>
  <c r="M287" i="1" s="1"/>
  <c r="O287" i="1" s="1"/>
  <c r="J295" i="1"/>
  <c r="M295" i="1" s="1"/>
  <c r="O295" i="1" s="1"/>
  <c r="J296" i="1"/>
  <c r="M296" i="1" s="1"/>
  <c r="O296" i="1" s="1"/>
  <c r="J297" i="1"/>
  <c r="M297" i="1" s="1"/>
  <c r="O297" i="1" s="1"/>
  <c r="J298" i="1"/>
  <c r="M298" i="1" s="1"/>
  <c r="O298" i="1" s="1"/>
  <c r="J300" i="1"/>
  <c r="M300" i="1" s="1"/>
  <c r="O300" i="1" s="1"/>
  <c r="J303" i="1"/>
  <c r="M303" i="1" s="1"/>
  <c r="O303" i="1" s="1"/>
  <c r="J304" i="1"/>
  <c r="M304" i="1" s="1"/>
  <c r="O304" i="1" s="1"/>
  <c r="J306" i="1"/>
  <c r="M306" i="1" s="1"/>
  <c r="O306" i="1" s="1"/>
  <c r="J308" i="1"/>
  <c r="M308" i="1" s="1"/>
  <c r="O308" i="1" s="1"/>
  <c r="J313" i="1"/>
  <c r="M313" i="1" s="1"/>
  <c r="O313" i="1" s="1"/>
  <c r="J319" i="1"/>
  <c r="M319" i="1" s="1"/>
  <c r="O319" i="1" s="1"/>
  <c r="J324" i="1"/>
  <c r="M324" i="1" s="1"/>
  <c r="O324" i="1" s="1"/>
  <c r="J326" i="1"/>
  <c r="M326" i="1" s="1"/>
  <c r="O326" i="1" s="1"/>
  <c r="J327" i="1"/>
  <c r="M327" i="1" s="1"/>
  <c r="O327" i="1" s="1"/>
  <c r="J328" i="1"/>
  <c r="M328" i="1" s="1"/>
  <c r="O328" i="1" s="1"/>
  <c r="J329" i="1"/>
  <c r="M329" i="1" s="1"/>
  <c r="O329" i="1" s="1"/>
  <c r="J332" i="1"/>
  <c r="M332" i="1" s="1"/>
  <c r="O332" i="1" s="1"/>
  <c r="J333" i="1"/>
  <c r="M333" i="1" s="1"/>
  <c r="O333" i="1" s="1"/>
  <c r="J335" i="1"/>
  <c r="M335" i="1" s="1"/>
  <c r="O335" i="1" s="1"/>
  <c r="J336" i="1"/>
  <c r="M336" i="1" s="1"/>
  <c r="O336" i="1" s="1"/>
  <c r="J337" i="1"/>
  <c r="M337" i="1" s="1"/>
  <c r="O337" i="1" s="1"/>
  <c r="J338" i="1"/>
  <c r="M338" i="1" s="1"/>
  <c r="O338" i="1" s="1"/>
  <c r="J340" i="1"/>
  <c r="M340" i="1" s="1"/>
  <c r="O340" i="1" s="1"/>
  <c r="J345" i="1"/>
  <c r="M345" i="1" s="1"/>
  <c r="O345" i="1" s="1"/>
  <c r="J346" i="1"/>
  <c r="M346" i="1" s="1"/>
  <c r="O346" i="1" s="1"/>
  <c r="J348" i="1"/>
  <c r="M348" i="1" s="1"/>
  <c r="O348" i="1" s="1"/>
  <c r="J352" i="1"/>
  <c r="M352" i="1" s="1"/>
  <c r="O352" i="1" s="1"/>
  <c r="J353" i="1"/>
  <c r="M353" i="1" s="1"/>
  <c r="O353" i="1" s="1"/>
  <c r="J354" i="1"/>
  <c r="M354" i="1" s="1"/>
  <c r="O354" i="1" s="1"/>
  <c r="J356" i="1"/>
  <c r="M356" i="1" s="1"/>
  <c r="O356" i="1" s="1"/>
  <c r="J359" i="1"/>
  <c r="M359" i="1" s="1"/>
  <c r="O359" i="1" s="1"/>
  <c r="J360" i="1"/>
  <c r="M360" i="1" s="1"/>
  <c r="O360" i="1" s="1"/>
  <c r="J361" i="1"/>
  <c r="M361" i="1" s="1"/>
  <c r="O361" i="1" s="1"/>
  <c r="J362" i="1"/>
  <c r="M362" i="1" s="1"/>
  <c r="O362" i="1" s="1"/>
  <c r="J365" i="1"/>
  <c r="M365" i="1" s="1"/>
  <c r="O365" i="1" s="1"/>
  <c r="J10" i="1"/>
  <c r="M10" i="1" s="1"/>
  <c r="O10" i="1" s="1"/>
  <c r="J34" i="1"/>
  <c r="M34" i="1" s="1"/>
  <c r="O34" i="1" s="1"/>
  <c r="J42" i="1"/>
  <c r="M42" i="1" s="1"/>
  <c r="O42" i="1" s="1"/>
  <c r="J50" i="1"/>
  <c r="M50" i="1" s="1"/>
  <c r="O50" i="1" s="1"/>
  <c r="J65" i="1"/>
  <c r="M65" i="1" s="1"/>
  <c r="O65" i="1" s="1"/>
  <c r="J66" i="1"/>
  <c r="M66" i="1" s="1"/>
  <c r="O66" i="1" s="1"/>
  <c r="J82" i="1"/>
  <c r="M82" i="1" s="1"/>
  <c r="O82" i="1" s="1"/>
  <c r="J97" i="1"/>
  <c r="M97" i="1" s="1"/>
  <c r="O97" i="1" s="1"/>
  <c r="J98" i="1"/>
  <c r="M98" i="1" s="1"/>
  <c r="O98" i="1" s="1"/>
  <c r="J129" i="1"/>
  <c r="M129" i="1" s="1"/>
  <c r="O129" i="1" s="1"/>
  <c r="J138" i="1"/>
  <c r="M138" i="1" s="1"/>
  <c r="O138" i="1" s="1"/>
  <c r="J146" i="1"/>
  <c r="M146" i="1" s="1"/>
  <c r="O146" i="1" s="1"/>
  <c r="J161" i="1"/>
  <c r="M161" i="1" s="1"/>
  <c r="O161" i="1" s="1"/>
  <c r="J186" i="1"/>
  <c r="M186" i="1" s="1"/>
  <c r="O186" i="1" s="1"/>
  <c r="J193" i="1"/>
  <c r="M193" i="1" s="1"/>
  <c r="O193" i="1" s="1"/>
  <c r="J194" i="1"/>
  <c r="M194" i="1" s="1"/>
  <c r="O194" i="1" s="1"/>
  <c r="J209" i="1"/>
  <c r="M209" i="1" s="1"/>
  <c r="O209" i="1" s="1"/>
  <c r="J225" i="1"/>
  <c r="M225" i="1" s="1"/>
  <c r="O225" i="1" s="1"/>
  <c r="J241" i="1"/>
  <c r="M241" i="1" s="1"/>
  <c r="O241" i="1" s="1"/>
  <c r="J242" i="1"/>
  <c r="M242" i="1" s="1"/>
  <c r="O242" i="1" s="1"/>
  <c r="J257" i="1"/>
  <c r="M257" i="1" s="1"/>
  <c r="O257" i="1" s="1"/>
  <c r="J273" i="1"/>
  <c r="M273" i="1" s="1"/>
  <c r="O273" i="1" s="1"/>
  <c r="J289" i="1"/>
  <c r="M289" i="1" s="1"/>
  <c r="O289" i="1" s="1"/>
  <c r="J290" i="1"/>
  <c r="M290" i="1" s="1"/>
  <c r="O290" i="1" s="1"/>
  <c r="J305" i="1"/>
  <c r="M305" i="1" s="1"/>
  <c r="O305" i="1" s="1"/>
  <c r="J314" i="1"/>
  <c r="M314" i="1" s="1"/>
  <c r="O314" i="1" s="1"/>
  <c r="J321" i="1"/>
  <c r="M321" i="1" s="1"/>
  <c r="O321" i="1" s="1"/>
  <c r="J322" i="1"/>
  <c r="M322" i="1" s="1"/>
  <c r="O322" i="1" s="1"/>
  <c r="J330" i="1"/>
  <c r="M330" i="1" s="1"/>
  <c r="O330" i="1" s="1"/>
  <c r="J17" i="1"/>
  <c r="M17" i="1" s="1"/>
  <c r="O17" i="1" s="1"/>
  <c r="J33" i="1"/>
  <c r="M33" i="1" s="1"/>
  <c r="O33" i="1" s="1"/>
  <c r="J46" i="1"/>
  <c r="M46" i="1" s="1"/>
  <c r="O46" i="1" s="1"/>
  <c r="J47" i="1"/>
  <c r="M47" i="1" s="1"/>
  <c r="O47" i="1" s="1"/>
  <c r="J49" i="1"/>
  <c r="M49" i="1" s="1"/>
  <c r="O49" i="1" s="1"/>
  <c r="J81" i="1"/>
  <c r="M81" i="1" s="1"/>
  <c r="O81" i="1" s="1"/>
  <c r="J89" i="1"/>
  <c r="M89" i="1" s="1"/>
  <c r="O89" i="1" s="1"/>
  <c r="J110" i="1"/>
  <c r="M110" i="1" s="1"/>
  <c r="O110" i="1" s="1"/>
  <c r="J113" i="1"/>
  <c r="M113" i="1" s="1"/>
  <c r="O113" i="1" s="1"/>
  <c r="J127" i="1"/>
  <c r="M127" i="1" s="1"/>
  <c r="O127" i="1" s="1"/>
  <c r="J145" i="1"/>
  <c r="M145" i="1" s="1"/>
  <c r="O145" i="1" s="1"/>
  <c r="J177" i="1"/>
  <c r="M177" i="1" s="1"/>
  <c r="O177" i="1" s="1"/>
  <c r="J183" i="1"/>
  <c r="M183" i="1" s="1"/>
  <c r="O183" i="1" s="1"/>
  <c r="J189" i="1"/>
  <c r="M189" i="1" s="1"/>
  <c r="O189" i="1" s="1"/>
  <c r="J199" i="1"/>
  <c r="M199" i="1" s="1"/>
  <c r="O199" i="1" s="1"/>
  <c r="J205" i="1"/>
  <c r="M205" i="1" s="1"/>
  <c r="O205" i="1" s="1"/>
  <c r="J207" i="1"/>
  <c r="M207" i="1" s="1"/>
  <c r="O207" i="1" s="1"/>
  <c r="J221" i="1"/>
  <c r="M221" i="1" s="1"/>
  <c r="O221" i="1" s="1"/>
  <c r="J223" i="1"/>
  <c r="M223" i="1" s="1"/>
  <c r="O223" i="1" s="1"/>
  <c r="J237" i="1"/>
  <c r="M237" i="1" s="1"/>
  <c r="O237" i="1" s="1"/>
  <c r="J247" i="1"/>
  <c r="M247" i="1" s="1"/>
  <c r="O247" i="1" s="1"/>
  <c r="J253" i="1"/>
  <c r="M253" i="1" s="1"/>
  <c r="O253" i="1" s="1"/>
  <c r="J255" i="1"/>
  <c r="M255" i="1" s="1"/>
  <c r="O255" i="1" s="1"/>
  <c r="J262" i="1"/>
  <c r="M262" i="1" s="1"/>
  <c r="O262" i="1" s="1"/>
  <c r="J265" i="1"/>
  <c r="M265" i="1" s="1"/>
  <c r="O265" i="1" s="1"/>
  <c r="J269" i="1"/>
  <c r="M269" i="1" s="1"/>
  <c r="O269" i="1" s="1"/>
  <c r="J276" i="1"/>
  <c r="M276" i="1" s="1"/>
  <c r="O276" i="1" s="1"/>
  <c r="J285" i="1"/>
  <c r="M285" i="1" s="1"/>
  <c r="O285" i="1" s="1"/>
  <c r="J292" i="1"/>
  <c r="M292" i="1" s="1"/>
  <c r="O292" i="1" s="1"/>
  <c r="J293" i="1"/>
  <c r="M293" i="1" s="1"/>
  <c r="O293" i="1" s="1"/>
  <c r="J301" i="1"/>
  <c r="M301" i="1" s="1"/>
  <c r="O301" i="1" s="1"/>
  <c r="J309" i="1"/>
  <c r="M309" i="1" s="1"/>
  <c r="O309" i="1" s="1"/>
  <c r="J312" i="1"/>
  <c r="M312" i="1" s="1"/>
  <c r="O312" i="1" s="1"/>
  <c r="J316" i="1"/>
  <c r="M316" i="1" s="1"/>
  <c r="O316" i="1" s="1"/>
  <c r="J317" i="1"/>
  <c r="M317" i="1" s="1"/>
  <c r="O317" i="1" s="1"/>
  <c r="J325" i="1"/>
  <c r="M325" i="1" s="1"/>
  <c r="O325" i="1" s="1"/>
  <c r="J341" i="1"/>
  <c r="M341" i="1" s="1"/>
  <c r="O341" i="1" s="1"/>
  <c r="J344" i="1"/>
  <c r="M344" i="1" s="1"/>
  <c r="O344" i="1" s="1"/>
  <c r="J349" i="1"/>
  <c r="M349" i="1" s="1"/>
  <c r="O349" i="1" s="1"/>
  <c r="J357" i="1"/>
  <c r="M357" i="1" s="1"/>
  <c r="O357" i="1" s="1"/>
  <c r="J358" i="1"/>
  <c r="M358" i="1" s="1"/>
  <c r="O358" i="1" s="1"/>
  <c r="J364" i="1"/>
  <c r="M364" i="1" s="1"/>
  <c r="O364" i="1" s="1"/>
  <c r="J4" i="1"/>
  <c r="M4" i="1" s="1"/>
  <c r="O4" i="1" s="1"/>
  <c r="J5" i="1"/>
  <c r="M5" i="1" s="1"/>
  <c r="O5" i="1" s="1"/>
  <c r="J6" i="1"/>
  <c r="M6" i="1" s="1"/>
  <c r="O6" i="1" s="1"/>
  <c r="J7" i="1"/>
  <c r="M7" i="1" s="1"/>
  <c r="O7" i="1" s="1"/>
  <c r="J8" i="1"/>
  <c r="M8" i="1" s="1"/>
  <c r="O8" i="1" s="1"/>
  <c r="J12" i="1"/>
  <c r="M12" i="1" s="1"/>
  <c r="O12" i="1" s="1"/>
  <c r="J13" i="1"/>
  <c r="M13" i="1" s="1"/>
  <c r="O13" i="1" s="1"/>
  <c r="J16" i="1"/>
  <c r="M16" i="1" s="1"/>
  <c r="O16" i="1" s="1"/>
  <c r="J18" i="1"/>
  <c r="M18" i="1" s="1"/>
  <c r="O18" i="1" s="1"/>
  <c r="J20" i="1"/>
  <c r="M20" i="1" s="1"/>
  <c r="O20" i="1" s="1"/>
  <c r="J21" i="1"/>
  <c r="M21" i="1" s="1"/>
  <c r="O21" i="1" s="1"/>
  <c r="J23" i="1"/>
  <c r="M23" i="1" s="1"/>
  <c r="O23" i="1" s="1"/>
  <c r="J28" i="1"/>
  <c r="M28" i="1" s="1"/>
  <c r="O28" i="1" s="1"/>
  <c r="J29" i="1"/>
  <c r="M29" i="1" s="1"/>
  <c r="O29" i="1" s="1"/>
  <c r="J32" i="1"/>
  <c r="M32" i="1" s="1"/>
  <c r="O32" i="1" s="1"/>
  <c r="J36" i="1"/>
  <c r="M36" i="1" s="1"/>
  <c r="O36" i="1" s="1"/>
  <c r="J37" i="1"/>
  <c r="M37" i="1" s="1"/>
  <c r="O37" i="1" s="1"/>
  <c r="J38" i="1"/>
  <c r="M38" i="1" s="1"/>
  <c r="O38" i="1" s="1"/>
  <c r="J39" i="1"/>
  <c r="M39" i="1" s="1"/>
  <c r="O39" i="1" s="1"/>
  <c r="J40" i="1"/>
  <c r="M40" i="1" s="1"/>
  <c r="O40" i="1" s="1"/>
  <c r="J44" i="1"/>
  <c r="M44" i="1" s="1"/>
  <c r="O44" i="1" s="1"/>
  <c r="J45" i="1"/>
  <c r="M45" i="1" s="1"/>
  <c r="O45" i="1" s="1"/>
  <c r="J48" i="1"/>
  <c r="M48" i="1" s="1"/>
  <c r="O48" i="1" s="1"/>
  <c r="J52" i="1"/>
  <c r="M52" i="1" s="1"/>
  <c r="O52" i="1" s="1"/>
  <c r="J53" i="1"/>
  <c r="M53" i="1" s="1"/>
  <c r="O53" i="1" s="1"/>
  <c r="J54" i="1"/>
  <c r="M54" i="1" s="1"/>
  <c r="O54" i="1" s="1"/>
  <c r="J55" i="1"/>
  <c r="M55" i="1" s="1"/>
  <c r="O55" i="1" s="1"/>
  <c r="J56" i="1"/>
  <c r="M56" i="1" s="1"/>
  <c r="O56" i="1" s="1"/>
  <c r="J60" i="1"/>
  <c r="M60" i="1" s="1"/>
  <c r="O60" i="1" s="1"/>
  <c r="J61" i="1"/>
  <c r="M61" i="1" s="1"/>
  <c r="O61" i="1" s="1"/>
  <c r="J64" i="1"/>
  <c r="M64" i="1" s="1"/>
  <c r="O64" i="1" s="1"/>
  <c r="J68" i="1"/>
  <c r="M68" i="1" s="1"/>
  <c r="O68" i="1" s="1"/>
  <c r="J69" i="1"/>
  <c r="M69" i="1" s="1"/>
  <c r="O69" i="1" s="1"/>
  <c r="J71" i="1"/>
  <c r="M71" i="1" s="1"/>
  <c r="O71" i="1" s="1"/>
  <c r="J76" i="1"/>
  <c r="M76" i="1" s="1"/>
  <c r="O76" i="1" s="1"/>
  <c r="J77" i="1"/>
  <c r="M77" i="1" s="1"/>
  <c r="O77" i="1" s="1"/>
  <c r="J80" i="1"/>
  <c r="M80" i="1" s="1"/>
  <c r="O80" i="1" s="1"/>
  <c r="J84" i="1"/>
  <c r="M84" i="1" s="1"/>
  <c r="O84" i="1" s="1"/>
  <c r="J85" i="1"/>
  <c r="M85" i="1" s="1"/>
  <c r="O85" i="1" s="1"/>
  <c r="J87" i="1"/>
  <c r="M87" i="1" s="1"/>
  <c r="O87" i="1" s="1"/>
  <c r="J88" i="1"/>
  <c r="M88" i="1" s="1"/>
  <c r="O88" i="1" s="1"/>
  <c r="J90" i="1"/>
  <c r="M90" i="1" s="1"/>
  <c r="O90" i="1" s="1"/>
  <c r="J92" i="1"/>
  <c r="M92" i="1" s="1"/>
  <c r="O92" i="1" s="1"/>
  <c r="J93" i="1"/>
  <c r="M93" i="1" s="1"/>
  <c r="O93" i="1" s="1"/>
  <c r="J96" i="1"/>
  <c r="M96" i="1" s="1"/>
  <c r="O96" i="1" s="1"/>
  <c r="J100" i="1"/>
  <c r="M100" i="1" s="1"/>
  <c r="O100" i="1" s="1"/>
  <c r="J101" i="1"/>
  <c r="M101" i="1" s="1"/>
  <c r="O101" i="1" s="1"/>
  <c r="J104" i="1"/>
  <c r="M104" i="1" s="1"/>
  <c r="O104" i="1" s="1"/>
  <c r="J108" i="1"/>
  <c r="M108" i="1" s="1"/>
  <c r="O108" i="1" s="1"/>
  <c r="J109" i="1"/>
  <c r="M109" i="1" s="1"/>
  <c r="O109" i="1" s="1"/>
  <c r="J112" i="1"/>
  <c r="M112" i="1" s="1"/>
  <c r="O112" i="1" s="1"/>
  <c r="J116" i="1"/>
  <c r="M116" i="1" s="1"/>
  <c r="O116" i="1" s="1"/>
  <c r="J117" i="1"/>
  <c r="M117" i="1" s="1"/>
  <c r="O117" i="1" s="1"/>
  <c r="J120" i="1"/>
  <c r="M120" i="1" s="1"/>
  <c r="O120" i="1" s="1"/>
  <c r="J124" i="1"/>
  <c r="M124" i="1" s="1"/>
  <c r="O124" i="1" s="1"/>
  <c r="J125" i="1"/>
  <c r="M125" i="1" s="1"/>
  <c r="O125" i="1" s="1"/>
  <c r="J128" i="1"/>
  <c r="M128" i="1" s="1"/>
  <c r="O128" i="1" s="1"/>
  <c r="J131" i="1"/>
  <c r="M131" i="1" s="1"/>
  <c r="O131" i="1" s="1"/>
  <c r="J132" i="1"/>
  <c r="M132" i="1" s="1"/>
  <c r="O132" i="1" s="1"/>
  <c r="J133" i="1"/>
  <c r="M133" i="1" s="1"/>
  <c r="O133" i="1" s="1"/>
  <c r="J135" i="1"/>
  <c r="M135" i="1" s="1"/>
  <c r="O135" i="1" s="1"/>
  <c r="J136" i="1"/>
  <c r="M136" i="1" s="1"/>
  <c r="O136" i="1" s="1"/>
  <c r="J140" i="1"/>
  <c r="M140" i="1" s="1"/>
  <c r="O140" i="1" s="1"/>
  <c r="J141" i="1"/>
  <c r="M141" i="1" s="1"/>
  <c r="O141" i="1" s="1"/>
  <c r="J144" i="1"/>
  <c r="M144" i="1" s="1"/>
  <c r="O144" i="1" s="1"/>
  <c r="J148" i="1"/>
  <c r="M148" i="1" s="1"/>
  <c r="O148" i="1" s="1"/>
  <c r="J149" i="1"/>
  <c r="M149" i="1" s="1"/>
  <c r="O149" i="1" s="1"/>
  <c r="J151" i="1"/>
  <c r="M151" i="1" s="1"/>
  <c r="O151" i="1" s="1"/>
  <c r="J156" i="1"/>
  <c r="M156" i="1" s="1"/>
  <c r="O156" i="1" s="1"/>
  <c r="J157" i="1"/>
  <c r="M157" i="1" s="1"/>
  <c r="O157" i="1" s="1"/>
  <c r="J160" i="1"/>
  <c r="M160" i="1" s="1"/>
  <c r="O160" i="1" s="1"/>
  <c r="J164" i="1"/>
  <c r="M164" i="1" s="1"/>
  <c r="O164" i="1" s="1"/>
  <c r="J165" i="1"/>
  <c r="M165" i="1" s="1"/>
  <c r="O165" i="1" s="1"/>
  <c r="J172" i="1"/>
  <c r="M172" i="1" s="1"/>
  <c r="O172" i="1" s="1"/>
  <c r="J173" i="1"/>
  <c r="M173" i="1" s="1"/>
  <c r="O173" i="1" s="1"/>
  <c r="J176" i="1"/>
  <c r="M176" i="1" s="1"/>
  <c r="O176" i="1" s="1"/>
  <c r="J181" i="1"/>
  <c r="M181" i="1" s="1"/>
  <c r="O181" i="1" s="1"/>
  <c r="J184" i="1"/>
  <c r="M184" i="1" s="1"/>
  <c r="O184" i="1" s="1"/>
  <c r="J188" i="1"/>
  <c r="M188" i="1" s="1"/>
  <c r="O188" i="1" s="1"/>
  <c r="J192" i="1"/>
  <c r="M192" i="1" s="1"/>
  <c r="O192" i="1" s="1"/>
  <c r="J196" i="1"/>
  <c r="M196" i="1" s="1"/>
  <c r="O196" i="1" s="1"/>
  <c r="J197" i="1"/>
  <c r="M197" i="1" s="1"/>
  <c r="O197" i="1" s="1"/>
  <c r="J204" i="1"/>
  <c r="M204" i="1" s="1"/>
  <c r="O204" i="1" s="1"/>
  <c r="J208" i="1"/>
  <c r="M208" i="1" s="1"/>
  <c r="O208" i="1" s="1"/>
  <c r="J212" i="1"/>
  <c r="M212" i="1" s="1"/>
  <c r="O212" i="1" s="1"/>
  <c r="J213" i="1"/>
  <c r="M213" i="1" s="1"/>
  <c r="O213" i="1" s="1"/>
  <c r="J216" i="1"/>
  <c r="M216" i="1" s="1"/>
  <c r="O216" i="1" s="1"/>
  <c r="J220" i="1"/>
  <c r="M220" i="1" s="1"/>
  <c r="O220" i="1" s="1"/>
  <c r="J224" i="1"/>
  <c r="M224" i="1" s="1"/>
  <c r="O224" i="1" s="1"/>
  <c r="J228" i="1"/>
  <c r="M228" i="1" s="1"/>
  <c r="O228" i="1" s="1"/>
  <c r="J229" i="1"/>
  <c r="M229" i="1" s="1"/>
  <c r="O229" i="1" s="1"/>
  <c r="J234" i="1"/>
  <c r="M234" i="1" s="1"/>
  <c r="O234" i="1" s="1"/>
  <c r="J236" i="1"/>
  <c r="M236" i="1" s="1"/>
  <c r="O236" i="1" s="1"/>
  <c r="J240" i="1"/>
  <c r="M240" i="1" s="1"/>
  <c r="O240" i="1" s="1"/>
  <c r="J244" i="1"/>
  <c r="M244" i="1" s="1"/>
  <c r="O244" i="1" s="1"/>
  <c r="J245" i="1"/>
  <c r="M245" i="1" s="1"/>
  <c r="O245" i="1" s="1"/>
  <c r="J248" i="1"/>
  <c r="M248" i="1" s="1"/>
  <c r="O248" i="1" s="1"/>
  <c r="J252" i="1"/>
  <c r="M252" i="1" s="1"/>
  <c r="O252" i="1" s="1"/>
  <c r="J256" i="1"/>
  <c r="M256" i="1" s="1"/>
  <c r="O256" i="1" s="1"/>
  <c r="J261" i="1"/>
  <c r="M261" i="1" s="1"/>
  <c r="O261" i="1" s="1"/>
  <c r="J264" i="1"/>
  <c r="M264" i="1" s="1"/>
  <c r="O264" i="1" s="1"/>
  <c r="J266" i="1"/>
  <c r="M266" i="1" s="1"/>
  <c r="O266" i="1" s="1"/>
  <c r="J268" i="1"/>
  <c r="M268" i="1" s="1"/>
  <c r="O268" i="1" s="1"/>
  <c r="J277" i="1"/>
  <c r="M277" i="1" s="1"/>
  <c r="O277" i="1" s="1"/>
  <c r="J284" i="1"/>
  <c r="M284" i="1" s="1"/>
  <c r="O284" i="1" s="1"/>
  <c r="J288" i="1"/>
  <c r="M288" i="1" s="1"/>
  <c r="O288" i="1" s="1"/>
  <c r="J311" i="1"/>
  <c r="M311" i="1" s="1"/>
  <c r="O311" i="1" s="1"/>
  <c r="J320" i="1"/>
  <c r="M320" i="1" s="1"/>
  <c r="O320" i="1" s="1"/>
  <c r="J343" i="1"/>
  <c r="M343" i="1" s="1"/>
  <c r="O343" i="1" s="1"/>
  <c r="J351" i="1"/>
  <c r="M351" i="1" s="1"/>
  <c r="O351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/>
  <c r="G170" i="1"/>
  <c r="H170" i="1" s="1"/>
  <c r="G171" i="1"/>
  <c r="H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/>
  <c r="G202" i="1"/>
  <c r="H202" i="1" s="1"/>
  <c r="G203" i="1"/>
  <c r="H203" i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/>
  <c r="G313" i="1"/>
  <c r="H313" i="1" s="1"/>
  <c r="G314" i="1"/>
  <c r="H314" i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/>
  <c r="G345" i="1"/>
  <c r="H345" i="1" s="1"/>
  <c r="G346" i="1"/>
  <c r="H346" i="1" s="1"/>
  <c r="G347" i="1"/>
  <c r="H347" i="1" s="1"/>
  <c r="G348" i="1"/>
  <c r="H348" i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H56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G57" i="1"/>
  <c r="H57" i="1" s="1"/>
  <c r="G58" i="1"/>
  <c r="H58" i="1" s="1"/>
  <c r="G59" i="1"/>
  <c r="H59" i="1" s="1"/>
  <c r="G60" i="1"/>
  <c r="H60" i="1" s="1"/>
  <c r="G3" i="1"/>
  <c r="H3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<sst xmlns="http://schemas.openxmlformats.org/spreadsheetml/2006/main" count="39" uniqueCount="27">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</sst>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187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87" fontId="2" fillId="0" borderId="6" xfId="1" applyNumberFormat="1" applyFont="1" applyBorder="1"/>
    <xf numFmtId="187" fontId="4" fillId="0" borderId="1" xfId="1" applyNumberFormat="1" applyFont="1" applyBorder="1"/>
    <xf numFmtId="187" fontId="4" fillId="0" borderId="6" xfId="1" applyNumberFormat="1" applyFont="1" applyBorder="1"/>
    <xf numFmtId="187" fontId="4" fillId="0" borderId="4" xfId="1" applyNumberFormat="1" applyFont="1" applyBorder="1"/>
    <xf numFmtId="0" fontId="2" fillId="10" borderId="6" xfId="0" applyFont="1" applyFill="1" applyBorder="1" applyAlignment="1">
      <alignment horizontal="center"/>
    </xf>
    <xf numFmtId="187" fontId="2" fillId="10" borderId="6" xfId="0" applyNumberFormat="1" applyFont="1" applyFill="1" applyBorder="1"/>
    <xf numFmtId="187" fontId="2" fillId="0" borderId="3" xfId="0" applyNumberFormat="1" applyFont="1" applyBorder="1"/>
    <xf numFmtId="187" fontId="2" fillId="0" borderId="7" xfId="0" applyNumberFormat="1" applyFont="1" applyBorder="1"/>
    <xf numFmtId="187" fontId="2" fillId="0" borderId="7" xfId="1" applyNumberFormat="1" applyFont="1" applyBorder="1"/>
    <xf numFmtId="187" fontId="4" fillId="0" borderId="7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3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87" fontId="4" fillId="0" borderId="6" xfId="1" applyNumberFormat="1" applyFont="1" applyBorder="1" applyAlignment="1">
      <alignment horizontal="right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187" fontId="4" fillId="0" borderId="9" xfId="1" applyNumberFormat="1" applyFont="1" applyBorder="1"/>
    <xf numFmtId="0" fontId="2" fillId="9" borderId="11" xfId="0" applyFont="1" applyFill="1" applyBorder="1" applyAlignment="1">
      <alignment horizontal="center" wrapText="1"/>
    </xf>
    <xf numFmtId="0" fontId="2" fillId="9" borderId="12" xfId="0" applyFont="1" applyFill="1" applyBorder="1" applyAlignment="1">
      <alignment horizontal="center" wrapText="1"/>
    </xf>
    <xf numFmtId="187" fontId="4" fillId="0" borderId="2" xfId="1" applyNumberFormat="1" applyFont="1" applyBorder="1"/>
    <xf numFmtId="0" fontId="2" fillId="8" borderId="1" xfId="0" applyFont="1" applyFill="1" applyBorder="1" applyAlignment="1">
      <alignment horizontal="center" wrapText="1"/>
    </xf>
    <xf numFmtId="187" fontId="4" fillId="0" borderId="1" xfId="0" applyNumberFormat="1" applyFont="1" applyBorder="1"/>
    <xf numFmtId="187" fontId="4" fillId="0" borderId="13" xfId="1" applyNumberFormat="1" applyFont="1" applyBorder="1"/>
    <xf numFmtId="187" fontId="4" fillId="0" borderId="6" xfId="0" applyNumberFormat="1" applyFont="1" applyBorder="1"/>
    <xf numFmtId="187" fontId="4" fillId="0" borderId="14" xfId="1" applyNumberFormat="1" applyFont="1" applyBorder="1"/>
    <xf numFmtId="0" fontId="3" fillId="0" borderId="4" xfId="0" applyFont="1" applyBorder="1" applyAlignment="1">
      <alignment horizontal="center"/>
    </xf>
    <xf numFmtId="187" fontId="4" fillId="0" borderId="10" xfId="1" applyNumberFormat="1" applyFont="1" applyBorder="1"/>
    <xf numFmtId="187" fontId="4" fillId="0" borderId="4" xfId="0" applyNumberFormat="1" applyFont="1" applyBorder="1"/>
    <xf numFmtId="187" fontId="4" fillId="0" borderId="5" xfId="1" applyNumberFormat="1" applyFont="1" applyBorder="1"/>
    <xf numFmtId="0" fontId="2" fillId="0" borderId="8" xfId="0" applyFont="1" applyBorder="1"/>
    <xf numFmtId="187" fontId="4" fillId="0" borderId="3" xfId="1" applyNumberFormat="1" applyFont="1" applyBorder="1"/>
    <xf numFmtId="187" fontId="4" fillId="0" borderId="3" xfId="1" applyNumberFormat="1" applyFont="1" applyBorder="1" applyAlignment="1">
      <alignment horizontal="right"/>
    </xf>
    <xf numFmtId="187" fontId="4" fillId="0" borderId="15" xfId="1" applyNumberFormat="1" applyFont="1" applyBorder="1"/>
    <xf numFmtId="187" fontId="4" fillId="0" borderId="3" xfId="0" applyNumberFormat="1" applyFont="1" applyBorder="1"/>
    <xf numFmtId="187" fontId="4" fillId="0" borderId="11" xfId="1" applyNumberFormat="1" applyFont="1" applyBorder="1"/>
    <xf numFmtId="187" fontId="2" fillId="0" borderId="3" xfId="1" applyNumberFormat="1" applyFont="1" applyBorder="1"/>
    <xf numFmtId="0" fontId="2" fillId="10" borderId="8" xfId="0" applyFont="1" applyFill="1" applyBorder="1"/>
    <xf numFmtId="0" fontId="2" fillId="0" borderId="4" xfId="0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zoomScale="64" zoomScaleNormal="32" workbookViewId="0">
      <selection activeCell="O6" sqref="O6"/>
    </sheetView>
  </sheetViews>
  <sheetFormatPr defaultColWidth="8.8984375" defaultRowHeight="24.6" x14ac:dyDescent="0.7"/>
  <cols>
    <col min="1" max="1" width="11.59765625" style="1" customWidth="1"/>
    <col min="2" max="2" width="17.59765625" style="11" customWidth="1"/>
    <col min="3" max="3" width="8.8984375" style="11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26" customWidth="1"/>
    <col min="11" max="11" width="21.3984375" style="1" customWidth="1"/>
    <col min="12" max="12" width="19.8984375" style="1" customWidth="1"/>
    <col min="13" max="13" width="19.796875" style="1" customWidth="1"/>
    <col min="14" max="14" width="20.59765625" style="7" customWidth="1"/>
    <col min="15" max="15" width="21.69921875" style="1" customWidth="1"/>
    <col min="16" max="16384" width="8.8984375" style="1"/>
  </cols>
  <sheetData>
    <row r="1" spans="1:15" x14ac:dyDescent="0.7">
      <c r="A1" s="31" t="s">
        <v>0</v>
      </c>
      <c r="B1" s="31" t="s">
        <v>1</v>
      </c>
      <c r="C1" s="31" t="s">
        <v>2</v>
      </c>
      <c r="D1" s="33" t="s">
        <v>3</v>
      </c>
      <c r="E1" s="35" t="s">
        <v>4</v>
      </c>
      <c r="F1" s="29" t="s">
        <v>5</v>
      </c>
      <c r="G1" s="37" t="s">
        <v>6</v>
      </c>
      <c r="H1" s="37" t="s">
        <v>7</v>
      </c>
      <c r="I1" s="39" t="s">
        <v>8</v>
      </c>
      <c r="J1" s="41" t="s">
        <v>9</v>
      </c>
      <c r="K1" s="41" t="s">
        <v>10</v>
      </c>
      <c r="L1" s="41" t="s">
        <v>11</v>
      </c>
      <c r="M1" s="44" t="s">
        <v>12</v>
      </c>
      <c r="N1" s="50" t="s">
        <v>13</v>
      </c>
      <c r="O1" s="47" t="s">
        <v>14</v>
      </c>
    </row>
    <row r="2" spans="1:15" s="23" customFormat="1" ht="34.799999999999997" customHeight="1" thickBot="1" x14ac:dyDescent="0.75">
      <c r="A2" s="32"/>
      <c r="B2" s="32"/>
      <c r="C2" s="32"/>
      <c r="D2" s="34"/>
      <c r="E2" s="36"/>
      <c r="F2" s="30"/>
      <c r="G2" s="38"/>
      <c r="H2" s="38"/>
      <c r="I2" s="40"/>
      <c r="J2" s="42"/>
      <c r="K2" s="42"/>
      <c r="L2" s="42"/>
      <c r="M2" s="45"/>
      <c r="N2" s="50"/>
      <c r="O2" s="48"/>
    </row>
    <row r="3" spans="1:15" s="59" customFormat="1" ht="25.2" thickBot="1" x14ac:dyDescent="0.75">
      <c r="A3" s="55">
        <v>2560</v>
      </c>
      <c r="B3" s="8" t="s">
        <v>15</v>
      </c>
      <c r="C3" s="8">
        <v>1</v>
      </c>
      <c r="D3" s="9">
        <v>5.8079999999999998</v>
      </c>
      <c r="E3" s="9">
        <v>0</v>
      </c>
      <c r="F3" s="9">
        <v>5.8079999999999998</v>
      </c>
      <c r="G3" s="22">
        <f>F3*86400</f>
        <v>501811.20000000001</v>
      </c>
      <c r="H3" s="15">
        <f>G3/1000000</f>
        <v>0.50181120000000001</v>
      </c>
      <c r="I3" s="15">
        <f>H3*1000000*0.045</f>
        <v>22581.504000000001</v>
      </c>
      <c r="J3" s="25">
        <f>I3/1000000</f>
        <v>2.2581504000000002E-2</v>
      </c>
      <c r="K3" s="15">
        <f>I3*0.12</f>
        <v>2709.7804799999999</v>
      </c>
      <c r="L3" s="15">
        <f>K3/1000000</f>
        <v>2.70978048E-3</v>
      </c>
      <c r="M3" s="56">
        <f>J3+L3</f>
        <v>2.5291284480000002E-2</v>
      </c>
      <c r="N3" s="57">
        <f>H3*0.1</f>
        <v>5.0181120000000003E-2</v>
      </c>
      <c r="O3" s="58">
        <f>H3-M3-N3</f>
        <v>0.42633879551999998</v>
      </c>
    </row>
    <row r="4" spans="1:15" x14ac:dyDescent="0.7">
      <c r="A4" s="2"/>
      <c r="B4" s="2"/>
      <c r="C4" s="2">
        <v>2</v>
      </c>
      <c r="D4" s="3">
        <v>6.0990000000000002</v>
      </c>
      <c r="E4" s="3">
        <v>0.5</v>
      </c>
      <c r="F4" s="3">
        <v>6.0990000000000002</v>
      </c>
      <c r="G4" s="12">
        <f t="shared" ref="G4:G61" si="0">F4*86400</f>
        <v>526953.6</v>
      </c>
      <c r="H4" s="14">
        <f t="shared" ref="H4:H61" si="1">G4/1000000</f>
        <v>0.52695360000000002</v>
      </c>
      <c r="I4" s="14">
        <f t="shared" ref="I4:I67" si="2">H4*1000000*0.045</f>
        <v>23712.911999999997</v>
      </c>
      <c r="J4" s="43">
        <f t="shared" ref="J4:J67" si="3">I4/1000000</f>
        <v>2.3712911999999996E-2</v>
      </c>
      <c r="K4" s="14">
        <f t="shared" ref="K4:K67" si="4">I4*0.12</f>
        <v>2845.5494399999993</v>
      </c>
      <c r="L4" s="14">
        <f t="shared" ref="L4:L67" si="5">K4/1000000</f>
        <v>2.8455494399999993E-3</v>
      </c>
      <c r="M4" s="52">
        <f t="shared" ref="M4:M67" si="6">J4+L4</f>
        <v>2.6558461439999993E-2</v>
      </c>
      <c r="N4" s="53">
        <f t="shared" ref="N4:N67" si="7">H4*0.1</f>
        <v>5.2695360000000004E-2</v>
      </c>
      <c r="O4" s="54">
        <f t="shared" ref="O4:O67" si="8">H4-M4-N4</f>
        <v>0.44769977856000004</v>
      </c>
    </row>
    <row r="5" spans="1:15" x14ac:dyDescent="0.7">
      <c r="A5" s="5"/>
      <c r="B5" s="5"/>
      <c r="C5" s="5">
        <v>3</v>
      </c>
      <c r="D5" s="6">
        <v>6.0990000000000002</v>
      </c>
      <c r="E5" s="3">
        <v>0.1</v>
      </c>
      <c r="F5" s="6">
        <v>6.0990000000000002</v>
      </c>
      <c r="G5" s="12">
        <f t="shared" si="0"/>
        <v>526953.6</v>
      </c>
      <c r="H5" s="14">
        <f t="shared" si="1"/>
        <v>0.52695360000000002</v>
      </c>
      <c r="I5" s="13">
        <f t="shared" si="2"/>
        <v>23712.911999999997</v>
      </c>
      <c r="J5" s="24">
        <f t="shared" si="3"/>
        <v>2.3712911999999996E-2</v>
      </c>
      <c r="K5" s="13">
        <f t="shared" si="4"/>
        <v>2845.5494399999993</v>
      </c>
      <c r="L5" s="13">
        <f t="shared" si="5"/>
        <v>2.8455494399999993E-3</v>
      </c>
      <c r="M5" s="46">
        <f t="shared" si="6"/>
        <v>2.6558461439999993E-2</v>
      </c>
      <c r="N5" s="51">
        <f t="shared" si="7"/>
        <v>5.2695360000000004E-2</v>
      </c>
      <c r="O5" s="49">
        <f t="shared" si="8"/>
        <v>0.44769977856000004</v>
      </c>
    </row>
    <row r="6" spans="1:15" x14ac:dyDescent="0.7">
      <c r="A6" s="5"/>
      <c r="B6" s="5"/>
      <c r="C6" s="5">
        <v>4</v>
      </c>
      <c r="D6" s="6">
        <v>5.8819999999999997</v>
      </c>
      <c r="E6" s="3">
        <v>0.4</v>
      </c>
      <c r="F6" s="6">
        <v>5.8819999999999997</v>
      </c>
      <c r="G6" s="12">
        <f t="shared" si="0"/>
        <v>508204.79999999999</v>
      </c>
      <c r="H6" s="14">
        <f t="shared" si="1"/>
        <v>0.50820480000000001</v>
      </c>
      <c r="I6" s="13">
        <f t="shared" si="2"/>
        <v>22869.216</v>
      </c>
      <c r="J6" s="24">
        <f t="shared" si="3"/>
        <v>2.2869216000000001E-2</v>
      </c>
      <c r="K6" s="13">
        <f t="shared" si="4"/>
        <v>2744.3059199999998</v>
      </c>
      <c r="L6" s="13">
        <f t="shared" si="5"/>
        <v>2.7443059199999996E-3</v>
      </c>
      <c r="M6" s="46">
        <f t="shared" si="6"/>
        <v>2.561352192E-2</v>
      </c>
      <c r="N6" s="51">
        <f t="shared" si="7"/>
        <v>5.0820480000000001E-2</v>
      </c>
      <c r="O6" s="49">
        <f t="shared" si="8"/>
        <v>0.43177079808000002</v>
      </c>
    </row>
    <row r="7" spans="1:15" x14ac:dyDescent="0.7">
      <c r="A7" s="5"/>
      <c r="B7" s="5"/>
      <c r="C7" s="5">
        <v>5</v>
      </c>
      <c r="D7" s="6">
        <v>6.8979999999999997</v>
      </c>
      <c r="E7" s="3">
        <v>5.2</v>
      </c>
      <c r="F7" s="6">
        <v>6.8979999999999997</v>
      </c>
      <c r="G7" s="12">
        <f t="shared" si="0"/>
        <v>595987.19999999995</v>
      </c>
      <c r="H7" s="14">
        <f t="shared" si="1"/>
        <v>0.59598719999999994</v>
      </c>
      <c r="I7" s="13">
        <f t="shared" si="2"/>
        <v>26819.423999999995</v>
      </c>
      <c r="J7" s="24">
        <f t="shared" si="3"/>
        <v>2.6819423999999994E-2</v>
      </c>
      <c r="K7" s="13">
        <f t="shared" si="4"/>
        <v>3218.3308799999995</v>
      </c>
      <c r="L7" s="13">
        <f t="shared" si="5"/>
        <v>3.2183308799999997E-3</v>
      </c>
      <c r="M7" s="46">
        <f t="shared" si="6"/>
        <v>3.0037754879999993E-2</v>
      </c>
      <c r="N7" s="51">
        <f t="shared" si="7"/>
        <v>5.9598719999999994E-2</v>
      </c>
      <c r="O7" s="49">
        <f t="shared" si="8"/>
        <v>0.5063507251199999</v>
      </c>
    </row>
    <row r="8" spans="1:15" x14ac:dyDescent="0.7">
      <c r="A8" s="5"/>
      <c r="B8" s="5"/>
      <c r="C8" s="5">
        <v>6</v>
      </c>
      <c r="D8" s="6">
        <v>11.792</v>
      </c>
      <c r="E8" s="3">
        <v>0</v>
      </c>
      <c r="F8" s="6">
        <v>11.792</v>
      </c>
      <c r="G8" s="12">
        <f t="shared" si="0"/>
        <v>1018828.7999999999</v>
      </c>
      <c r="H8" s="14">
        <f t="shared" si="1"/>
        <v>1.0188287999999999</v>
      </c>
      <c r="I8" s="13">
        <f t="shared" si="2"/>
        <v>45847.295999999988</v>
      </c>
      <c r="J8" s="24">
        <f t="shared" si="3"/>
        <v>4.5847295999999989E-2</v>
      </c>
      <c r="K8" s="13">
        <f t="shared" si="4"/>
        <v>5501.675519999998</v>
      </c>
      <c r="L8" s="13">
        <f t="shared" si="5"/>
        <v>5.5016755199999981E-3</v>
      </c>
      <c r="M8" s="46">
        <f t="shared" si="6"/>
        <v>5.1348971519999988E-2</v>
      </c>
      <c r="N8" s="51">
        <f t="shared" si="7"/>
        <v>0.10188288</v>
      </c>
      <c r="O8" s="49">
        <f t="shared" si="8"/>
        <v>0.86559694847999991</v>
      </c>
    </row>
    <row r="9" spans="1:15" x14ac:dyDescent="0.7">
      <c r="A9" s="5"/>
      <c r="B9" s="5"/>
      <c r="C9" s="5">
        <v>7</v>
      </c>
      <c r="D9" s="6">
        <v>8.4039999999999999</v>
      </c>
      <c r="E9" s="3">
        <v>0</v>
      </c>
      <c r="F9" s="6">
        <v>8.4039999999999999</v>
      </c>
      <c r="G9" s="12">
        <f t="shared" si="0"/>
        <v>726105.59999999998</v>
      </c>
      <c r="H9" s="14">
        <f t="shared" si="1"/>
        <v>0.72610560000000002</v>
      </c>
      <c r="I9" s="13">
        <f t="shared" si="2"/>
        <v>32674.751999999997</v>
      </c>
      <c r="J9" s="24">
        <f>I9/1000000</f>
        <v>3.2674751999999994E-2</v>
      </c>
      <c r="K9" s="13">
        <f t="shared" si="4"/>
        <v>3920.9702399999996</v>
      </c>
      <c r="L9" s="13">
        <f t="shared" si="5"/>
        <v>3.9209702399999992E-3</v>
      </c>
      <c r="M9" s="46">
        <f t="shared" si="6"/>
        <v>3.6595722239999996E-2</v>
      </c>
      <c r="N9" s="51">
        <f t="shared" si="7"/>
        <v>7.2610560000000005E-2</v>
      </c>
      <c r="O9" s="49">
        <f t="shared" si="8"/>
        <v>0.61689931776000007</v>
      </c>
    </row>
    <row r="10" spans="1:15" x14ac:dyDescent="0.7">
      <c r="A10" s="5"/>
      <c r="B10" s="5"/>
      <c r="C10" s="5">
        <v>8</v>
      </c>
      <c r="D10" s="6">
        <v>8.1910000000000007</v>
      </c>
      <c r="E10" s="3">
        <v>0</v>
      </c>
      <c r="F10" s="6">
        <v>8.1910000000000007</v>
      </c>
      <c r="G10" s="12">
        <f t="shared" si="0"/>
        <v>707702.4</v>
      </c>
      <c r="H10" s="14">
        <f t="shared" si="1"/>
        <v>0.70770240000000006</v>
      </c>
      <c r="I10" s="13">
        <f t="shared" si="2"/>
        <v>31846.608</v>
      </c>
      <c r="J10" s="24">
        <f t="shared" si="3"/>
        <v>3.1846607999999998E-2</v>
      </c>
      <c r="K10" s="13">
        <f t="shared" si="4"/>
        <v>3821.5929599999999</v>
      </c>
      <c r="L10" s="13">
        <f t="shared" si="5"/>
        <v>3.82159296E-3</v>
      </c>
      <c r="M10" s="46">
        <f t="shared" si="6"/>
        <v>3.566820096E-2</v>
      </c>
      <c r="N10" s="51">
        <f t="shared" si="7"/>
        <v>7.0770240000000012E-2</v>
      </c>
      <c r="O10" s="49">
        <f t="shared" si="8"/>
        <v>0.60126395904000007</v>
      </c>
    </row>
    <row r="11" spans="1:15" x14ac:dyDescent="0.7">
      <c r="A11" s="5"/>
      <c r="B11" s="5"/>
      <c r="C11" s="5">
        <v>9</v>
      </c>
      <c r="D11" s="6">
        <v>7.8609999999999998</v>
      </c>
      <c r="E11" s="3">
        <v>7.8</v>
      </c>
      <c r="F11" s="6">
        <v>7.8609999999999998</v>
      </c>
      <c r="G11" s="12">
        <f t="shared" si="0"/>
        <v>679190.4</v>
      </c>
      <c r="H11" s="14">
        <f t="shared" si="1"/>
        <v>0.67919039999999997</v>
      </c>
      <c r="I11" s="13">
        <f t="shared" si="2"/>
        <v>30563.567999999999</v>
      </c>
      <c r="J11" s="24">
        <f t="shared" si="3"/>
        <v>3.0563567999999999E-2</v>
      </c>
      <c r="K11" s="13">
        <f t="shared" si="4"/>
        <v>3667.6281599999998</v>
      </c>
      <c r="L11" s="13">
        <f t="shared" si="5"/>
        <v>3.6676281599999998E-3</v>
      </c>
      <c r="M11" s="46">
        <f t="shared" si="6"/>
        <v>3.4231196159999998E-2</v>
      </c>
      <c r="N11" s="51">
        <f t="shared" si="7"/>
        <v>6.791904E-2</v>
      </c>
      <c r="O11" s="49">
        <f t="shared" si="8"/>
        <v>0.5770401638399999</v>
      </c>
    </row>
    <row r="12" spans="1:15" x14ac:dyDescent="0.7">
      <c r="A12" s="5"/>
      <c r="B12" s="5"/>
      <c r="C12" s="5">
        <v>10</v>
      </c>
      <c r="D12" s="6">
        <v>7.8609999999999998</v>
      </c>
      <c r="E12" s="3">
        <v>25.3</v>
      </c>
      <c r="F12" s="6">
        <v>7.8609999999999998</v>
      </c>
      <c r="G12" s="12">
        <f t="shared" si="0"/>
        <v>679190.4</v>
      </c>
      <c r="H12" s="14">
        <f t="shared" si="1"/>
        <v>0.67919039999999997</v>
      </c>
      <c r="I12" s="13">
        <f t="shared" si="2"/>
        <v>30563.567999999999</v>
      </c>
      <c r="J12" s="24">
        <f t="shared" si="3"/>
        <v>3.0563567999999999E-2</v>
      </c>
      <c r="K12" s="13">
        <f t="shared" si="4"/>
        <v>3667.6281599999998</v>
      </c>
      <c r="L12" s="13">
        <f t="shared" si="5"/>
        <v>3.6676281599999998E-3</v>
      </c>
      <c r="M12" s="46">
        <f t="shared" si="6"/>
        <v>3.4231196159999998E-2</v>
      </c>
      <c r="N12" s="51">
        <f t="shared" si="7"/>
        <v>6.791904E-2</v>
      </c>
      <c r="O12" s="49">
        <f t="shared" si="8"/>
        <v>0.5770401638399999</v>
      </c>
    </row>
    <row r="13" spans="1:15" x14ac:dyDescent="0.7">
      <c r="A13" s="5"/>
      <c r="B13" s="5"/>
      <c r="C13" s="5">
        <v>11</v>
      </c>
      <c r="D13" s="6">
        <v>8.4039999999999999</v>
      </c>
      <c r="E13" s="3">
        <v>7.1</v>
      </c>
      <c r="F13" s="6">
        <v>8.4039999999999999</v>
      </c>
      <c r="G13" s="12">
        <f t="shared" si="0"/>
        <v>726105.59999999998</v>
      </c>
      <c r="H13" s="14">
        <f t="shared" si="1"/>
        <v>0.72610560000000002</v>
      </c>
      <c r="I13" s="13">
        <f t="shared" si="2"/>
        <v>32674.751999999997</v>
      </c>
      <c r="J13" s="24">
        <f t="shared" si="3"/>
        <v>3.2674751999999994E-2</v>
      </c>
      <c r="K13" s="13">
        <f t="shared" si="4"/>
        <v>3920.9702399999996</v>
      </c>
      <c r="L13" s="13">
        <f t="shared" si="5"/>
        <v>3.9209702399999992E-3</v>
      </c>
      <c r="M13" s="46">
        <f t="shared" si="6"/>
        <v>3.6595722239999996E-2</v>
      </c>
      <c r="N13" s="51">
        <f t="shared" si="7"/>
        <v>7.2610560000000005E-2</v>
      </c>
      <c r="O13" s="49">
        <f t="shared" si="8"/>
        <v>0.61689931776000007</v>
      </c>
    </row>
    <row r="14" spans="1:15" x14ac:dyDescent="0.7">
      <c r="A14" s="5"/>
      <c r="B14" s="5"/>
      <c r="C14" s="5">
        <v>12</v>
      </c>
      <c r="D14" s="6">
        <v>10.356</v>
      </c>
      <c r="E14" s="3">
        <v>0.5</v>
      </c>
      <c r="F14" s="6">
        <v>10.356</v>
      </c>
      <c r="G14" s="12">
        <f t="shared" si="0"/>
        <v>894758.40000000002</v>
      </c>
      <c r="H14" s="14">
        <f t="shared" si="1"/>
        <v>0.89475840000000006</v>
      </c>
      <c r="I14" s="13">
        <f t="shared" si="2"/>
        <v>40264.127999999997</v>
      </c>
      <c r="J14" s="24">
        <f t="shared" si="3"/>
        <v>4.0264127999999996E-2</v>
      </c>
      <c r="K14" s="13">
        <f t="shared" si="4"/>
        <v>4831.6953599999997</v>
      </c>
      <c r="L14" s="13">
        <f t="shared" si="5"/>
        <v>4.8316953599999999E-3</v>
      </c>
      <c r="M14" s="46">
        <f t="shared" si="6"/>
        <v>4.5095823359999995E-2</v>
      </c>
      <c r="N14" s="51">
        <f t="shared" si="7"/>
        <v>8.9475840000000015E-2</v>
      </c>
      <c r="O14" s="49">
        <f t="shared" si="8"/>
        <v>0.76018673664000014</v>
      </c>
    </row>
    <row r="15" spans="1:15" x14ac:dyDescent="0.7">
      <c r="A15" s="5"/>
      <c r="B15" s="5"/>
      <c r="C15" s="5">
        <v>13</v>
      </c>
      <c r="D15" s="6">
        <v>10.356</v>
      </c>
      <c r="E15" s="3">
        <v>0</v>
      </c>
      <c r="F15" s="6">
        <v>10.356</v>
      </c>
      <c r="G15" s="12">
        <f t="shared" si="0"/>
        <v>894758.40000000002</v>
      </c>
      <c r="H15" s="14">
        <f t="shared" si="1"/>
        <v>0.89475840000000006</v>
      </c>
      <c r="I15" s="13">
        <f t="shared" si="2"/>
        <v>40264.127999999997</v>
      </c>
      <c r="J15" s="24">
        <f t="shared" si="3"/>
        <v>4.0264127999999996E-2</v>
      </c>
      <c r="K15" s="13">
        <f t="shared" si="4"/>
        <v>4831.6953599999997</v>
      </c>
      <c r="L15" s="13">
        <f t="shared" si="5"/>
        <v>4.8316953599999999E-3</v>
      </c>
      <c r="M15" s="46">
        <f t="shared" si="6"/>
        <v>4.5095823359999995E-2</v>
      </c>
      <c r="N15" s="51">
        <f t="shared" si="7"/>
        <v>8.9475840000000015E-2</v>
      </c>
      <c r="O15" s="49">
        <f t="shared" si="8"/>
        <v>0.76018673664000014</v>
      </c>
    </row>
    <row r="16" spans="1:15" x14ac:dyDescent="0.7">
      <c r="A16" s="5"/>
      <c r="B16" s="5"/>
      <c r="C16" s="5">
        <v>14</v>
      </c>
      <c r="D16" s="6">
        <v>9.9659999999999993</v>
      </c>
      <c r="E16" s="3">
        <v>0</v>
      </c>
      <c r="F16" s="6">
        <v>9.9659999999999993</v>
      </c>
      <c r="G16" s="12">
        <f t="shared" si="0"/>
        <v>861062.39999999991</v>
      </c>
      <c r="H16" s="14">
        <f t="shared" si="1"/>
        <v>0.86106239999999989</v>
      </c>
      <c r="I16" s="13">
        <f t="shared" si="2"/>
        <v>38747.807999999997</v>
      </c>
      <c r="J16" s="24">
        <f t="shared" si="3"/>
        <v>3.8747807999999995E-2</v>
      </c>
      <c r="K16" s="13">
        <f t="shared" si="4"/>
        <v>4649.7369599999993</v>
      </c>
      <c r="L16" s="13">
        <f t="shared" si="5"/>
        <v>4.6497369599999994E-3</v>
      </c>
      <c r="M16" s="46">
        <f t="shared" si="6"/>
        <v>4.3397544959999992E-2</v>
      </c>
      <c r="N16" s="51">
        <f t="shared" si="7"/>
        <v>8.6106240000000001E-2</v>
      </c>
      <c r="O16" s="49">
        <f t="shared" si="8"/>
        <v>0.73155861503999986</v>
      </c>
    </row>
    <row r="17" spans="1:15" x14ac:dyDescent="0.7">
      <c r="A17" s="5"/>
      <c r="B17" s="5"/>
      <c r="C17" s="5">
        <v>15</v>
      </c>
      <c r="D17" s="6">
        <v>8.9139999999999997</v>
      </c>
      <c r="E17" s="3">
        <v>0</v>
      </c>
      <c r="F17" s="6">
        <v>8.9139999999999997</v>
      </c>
      <c r="G17" s="12">
        <f t="shared" si="0"/>
        <v>770169.6</v>
      </c>
      <c r="H17" s="14">
        <f t="shared" si="1"/>
        <v>0.77016960000000001</v>
      </c>
      <c r="I17" s="13">
        <f t="shared" si="2"/>
        <v>34657.631999999998</v>
      </c>
      <c r="J17" s="24">
        <f t="shared" si="3"/>
        <v>3.4657632000000001E-2</v>
      </c>
      <c r="K17" s="13">
        <f t="shared" si="4"/>
        <v>4158.9158399999997</v>
      </c>
      <c r="L17" s="13">
        <f t="shared" si="5"/>
        <v>4.1589158399999993E-3</v>
      </c>
      <c r="M17" s="46">
        <f t="shared" si="6"/>
        <v>3.881654784E-2</v>
      </c>
      <c r="N17" s="51">
        <f t="shared" si="7"/>
        <v>7.7016960000000009E-2</v>
      </c>
      <c r="O17" s="49">
        <f t="shared" si="8"/>
        <v>0.65433609215999999</v>
      </c>
    </row>
    <row r="18" spans="1:15" x14ac:dyDescent="0.7">
      <c r="A18" s="5"/>
      <c r="B18" s="5"/>
      <c r="C18" s="5">
        <v>16</v>
      </c>
      <c r="D18" s="6">
        <v>8.4550000000000001</v>
      </c>
      <c r="E18" s="3">
        <v>0</v>
      </c>
      <c r="F18" s="6">
        <v>8.4550000000000001</v>
      </c>
      <c r="G18" s="12">
        <f t="shared" si="0"/>
        <v>730512</v>
      </c>
      <c r="H18" s="14">
        <f t="shared" si="1"/>
        <v>0.73051200000000005</v>
      </c>
      <c r="I18" s="13">
        <f t="shared" si="2"/>
        <v>32873.040000000001</v>
      </c>
      <c r="J18" s="24">
        <f t="shared" si="3"/>
        <v>3.2873039999999999E-2</v>
      </c>
      <c r="K18" s="13">
        <f t="shared" si="4"/>
        <v>3944.7647999999999</v>
      </c>
      <c r="L18" s="13">
        <f t="shared" si="5"/>
        <v>3.9447648000000002E-3</v>
      </c>
      <c r="M18" s="46">
        <f t="shared" si="6"/>
        <v>3.6817804799999999E-2</v>
      </c>
      <c r="N18" s="51">
        <f t="shared" si="7"/>
        <v>7.3051200000000011E-2</v>
      </c>
      <c r="O18" s="49">
        <f t="shared" si="8"/>
        <v>0.6206429952000001</v>
      </c>
    </row>
    <row r="19" spans="1:15" x14ac:dyDescent="0.7">
      <c r="A19" s="5"/>
      <c r="B19" s="5"/>
      <c r="C19" s="5">
        <v>17</v>
      </c>
      <c r="D19" s="6">
        <v>6.3029999999999999</v>
      </c>
      <c r="E19" s="3">
        <v>0</v>
      </c>
      <c r="F19" s="6">
        <v>6.3029999999999999</v>
      </c>
      <c r="G19" s="12">
        <f t="shared" si="0"/>
        <v>544579.19999999995</v>
      </c>
      <c r="H19" s="14">
        <f t="shared" si="1"/>
        <v>0.54457919999999993</v>
      </c>
      <c r="I19" s="13">
        <f t="shared" si="2"/>
        <v>24506.063999999998</v>
      </c>
      <c r="J19" s="24">
        <f t="shared" si="3"/>
        <v>2.4506063999999998E-2</v>
      </c>
      <c r="K19" s="13">
        <f t="shared" si="4"/>
        <v>2940.7276799999995</v>
      </c>
      <c r="L19" s="13">
        <f t="shared" si="5"/>
        <v>2.9407276799999996E-3</v>
      </c>
      <c r="M19" s="46">
        <f t="shared" si="6"/>
        <v>2.7446791679999999E-2</v>
      </c>
      <c r="N19" s="51">
        <f t="shared" si="7"/>
        <v>5.4457919999999993E-2</v>
      </c>
      <c r="O19" s="49">
        <f t="shared" si="8"/>
        <v>0.46267448831999997</v>
      </c>
    </row>
    <row r="20" spans="1:15" x14ac:dyDescent="0.7">
      <c r="A20" s="5"/>
      <c r="B20" s="5"/>
      <c r="C20" s="5">
        <v>18</v>
      </c>
      <c r="D20" s="6">
        <v>6.3029999999999999</v>
      </c>
      <c r="E20" s="3">
        <v>0</v>
      </c>
      <c r="F20" s="6">
        <v>6.3029999999999999</v>
      </c>
      <c r="G20" s="12">
        <f t="shared" si="0"/>
        <v>544579.19999999995</v>
      </c>
      <c r="H20" s="14">
        <f t="shared" si="1"/>
        <v>0.54457919999999993</v>
      </c>
      <c r="I20" s="13">
        <f t="shared" si="2"/>
        <v>24506.063999999998</v>
      </c>
      <c r="J20" s="24">
        <f t="shared" si="3"/>
        <v>2.4506063999999998E-2</v>
      </c>
      <c r="K20" s="13">
        <f t="shared" si="4"/>
        <v>2940.7276799999995</v>
      </c>
      <c r="L20" s="13">
        <f t="shared" si="5"/>
        <v>2.9407276799999996E-3</v>
      </c>
      <c r="M20" s="46">
        <f t="shared" si="6"/>
        <v>2.7446791679999999E-2</v>
      </c>
      <c r="N20" s="51">
        <f t="shared" si="7"/>
        <v>5.4457919999999993E-2</v>
      </c>
      <c r="O20" s="49">
        <f t="shared" si="8"/>
        <v>0.46267448831999997</v>
      </c>
    </row>
    <row r="21" spans="1:15" x14ac:dyDescent="0.7">
      <c r="A21" s="5"/>
      <c r="B21" s="5"/>
      <c r="C21" s="5">
        <v>19</v>
      </c>
      <c r="D21" s="6">
        <v>6.3029999999999999</v>
      </c>
      <c r="E21" s="3">
        <v>0</v>
      </c>
      <c r="F21" s="6">
        <v>6.3029999999999999</v>
      </c>
      <c r="G21" s="12">
        <f t="shared" si="0"/>
        <v>544579.19999999995</v>
      </c>
      <c r="H21" s="14">
        <f t="shared" si="1"/>
        <v>0.54457919999999993</v>
      </c>
      <c r="I21" s="13">
        <f t="shared" si="2"/>
        <v>24506.063999999998</v>
      </c>
      <c r="J21" s="24">
        <f t="shared" si="3"/>
        <v>2.4506063999999998E-2</v>
      </c>
      <c r="K21" s="13">
        <f t="shared" si="4"/>
        <v>2940.7276799999995</v>
      </c>
      <c r="L21" s="13">
        <f t="shared" si="5"/>
        <v>2.9407276799999996E-3</v>
      </c>
      <c r="M21" s="46">
        <f t="shared" si="6"/>
        <v>2.7446791679999999E-2</v>
      </c>
      <c r="N21" s="51">
        <f t="shared" si="7"/>
        <v>5.4457919999999993E-2</v>
      </c>
      <c r="O21" s="49">
        <f t="shared" si="8"/>
        <v>0.46267448831999997</v>
      </c>
    </row>
    <row r="22" spans="1:15" x14ac:dyDescent="0.7">
      <c r="A22" s="5"/>
      <c r="B22" s="5"/>
      <c r="C22" s="5">
        <v>20</v>
      </c>
      <c r="D22" s="6">
        <v>6.3029999999999999</v>
      </c>
      <c r="E22" s="3">
        <v>0</v>
      </c>
      <c r="F22" s="6">
        <v>6.3029999999999999</v>
      </c>
      <c r="G22" s="12">
        <f t="shared" si="0"/>
        <v>544579.19999999995</v>
      </c>
      <c r="H22" s="14">
        <f t="shared" si="1"/>
        <v>0.54457919999999993</v>
      </c>
      <c r="I22" s="13">
        <f t="shared" si="2"/>
        <v>24506.063999999998</v>
      </c>
      <c r="J22" s="24">
        <f t="shared" si="3"/>
        <v>2.4506063999999998E-2</v>
      </c>
      <c r="K22" s="13">
        <f t="shared" si="4"/>
        <v>2940.7276799999995</v>
      </c>
      <c r="L22" s="13">
        <f t="shared" si="5"/>
        <v>2.9407276799999996E-3</v>
      </c>
      <c r="M22" s="46">
        <f t="shared" si="6"/>
        <v>2.7446791679999999E-2</v>
      </c>
      <c r="N22" s="51">
        <f t="shared" si="7"/>
        <v>5.4457919999999993E-2</v>
      </c>
      <c r="O22" s="49">
        <f t="shared" si="8"/>
        <v>0.46267448831999997</v>
      </c>
    </row>
    <row r="23" spans="1:15" x14ac:dyDescent="0.7">
      <c r="A23" s="5"/>
      <c r="B23" s="5"/>
      <c r="C23" s="5">
        <v>21</v>
      </c>
      <c r="D23" s="6">
        <v>6.3029999999999999</v>
      </c>
      <c r="E23" s="3">
        <v>0</v>
      </c>
      <c r="F23" s="6">
        <v>6.3029999999999999</v>
      </c>
      <c r="G23" s="12">
        <f t="shared" si="0"/>
        <v>544579.19999999995</v>
      </c>
      <c r="H23" s="14">
        <f t="shared" si="1"/>
        <v>0.54457919999999993</v>
      </c>
      <c r="I23" s="13">
        <f t="shared" si="2"/>
        <v>24506.063999999998</v>
      </c>
      <c r="J23" s="24">
        <f t="shared" si="3"/>
        <v>2.4506063999999998E-2</v>
      </c>
      <c r="K23" s="13">
        <f t="shared" si="4"/>
        <v>2940.7276799999995</v>
      </c>
      <c r="L23" s="13">
        <f t="shared" si="5"/>
        <v>2.9407276799999996E-3</v>
      </c>
      <c r="M23" s="46">
        <f t="shared" si="6"/>
        <v>2.7446791679999999E-2</v>
      </c>
      <c r="N23" s="51">
        <f t="shared" si="7"/>
        <v>5.4457919999999993E-2</v>
      </c>
      <c r="O23" s="49">
        <f t="shared" si="8"/>
        <v>0.46267448831999997</v>
      </c>
    </row>
    <row r="24" spans="1:15" x14ac:dyDescent="0.7">
      <c r="A24" s="5"/>
      <c r="B24" s="5"/>
      <c r="C24" s="5">
        <v>22</v>
      </c>
      <c r="D24" s="6">
        <v>6.3029999999999999</v>
      </c>
      <c r="E24" s="3">
        <v>0</v>
      </c>
      <c r="F24" s="6">
        <v>6.3029999999999999</v>
      </c>
      <c r="G24" s="12">
        <f t="shared" si="0"/>
        <v>544579.19999999995</v>
      </c>
      <c r="H24" s="14">
        <f t="shared" si="1"/>
        <v>0.54457919999999993</v>
      </c>
      <c r="I24" s="13">
        <f t="shared" si="2"/>
        <v>24506.063999999998</v>
      </c>
      <c r="J24" s="24">
        <f t="shared" si="3"/>
        <v>2.4506063999999998E-2</v>
      </c>
      <c r="K24" s="13">
        <f t="shared" si="4"/>
        <v>2940.7276799999995</v>
      </c>
      <c r="L24" s="13">
        <f t="shared" si="5"/>
        <v>2.9407276799999996E-3</v>
      </c>
      <c r="M24" s="46">
        <f t="shared" si="6"/>
        <v>2.7446791679999999E-2</v>
      </c>
      <c r="N24" s="51">
        <f t="shared" si="7"/>
        <v>5.4457919999999993E-2</v>
      </c>
      <c r="O24" s="49">
        <f t="shared" si="8"/>
        <v>0.46267448831999997</v>
      </c>
    </row>
    <row r="25" spans="1:15" x14ac:dyDescent="0.7">
      <c r="A25" s="5"/>
      <c r="B25" s="5"/>
      <c r="C25" s="5">
        <v>23</v>
      </c>
      <c r="D25" s="6">
        <v>6.3029999999999999</v>
      </c>
      <c r="E25" s="3">
        <v>0</v>
      </c>
      <c r="F25" s="6">
        <v>6.3029999999999999</v>
      </c>
      <c r="G25" s="12">
        <f t="shared" si="0"/>
        <v>544579.19999999995</v>
      </c>
      <c r="H25" s="14">
        <f t="shared" si="1"/>
        <v>0.54457919999999993</v>
      </c>
      <c r="I25" s="13">
        <f t="shared" si="2"/>
        <v>24506.063999999998</v>
      </c>
      <c r="J25" s="24">
        <f t="shared" si="3"/>
        <v>2.4506063999999998E-2</v>
      </c>
      <c r="K25" s="13">
        <f t="shared" si="4"/>
        <v>2940.7276799999995</v>
      </c>
      <c r="L25" s="13">
        <f t="shared" si="5"/>
        <v>2.9407276799999996E-3</v>
      </c>
      <c r="M25" s="46">
        <f t="shared" si="6"/>
        <v>2.7446791679999999E-2</v>
      </c>
      <c r="N25" s="51">
        <f t="shared" si="7"/>
        <v>5.4457919999999993E-2</v>
      </c>
      <c r="O25" s="49">
        <f t="shared" si="8"/>
        <v>0.46267448831999997</v>
      </c>
    </row>
    <row r="26" spans="1:15" x14ac:dyDescent="0.7">
      <c r="A26" s="5"/>
      <c r="B26" s="5"/>
      <c r="C26" s="5">
        <v>24</v>
      </c>
      <c r="D26" s="6">
        <v>6.1749999999999998</v>
      </c>
      <c r="E26" s="3">
        <v>0</v>
      </c>
      <c r="F26" s="6">
        <v>6.1749999999999998</v>
      </c>
      <c r="G26" s="12">
        <f t="shared" si="0"/>
        <v>533520</v>
      </c>
      <c r="H26" s="14">
        <f t="shared" si="1"/>
        <v>0.53351999999999999</v>
      </c>
      <c r="I26" s="13">
        <f t="shared" si="2"/>
        <v>24008.399999999998</v>
      </c>
      <c r="J26" s="24">
        <f t="shared" si="3"/>
        <v>2.4008399999999999E-2</v>
      </c>
      <c r="K26" s="13">
        <f t="shared" si="4"/>
        <v>2881.0079999999998</v>
      </c>
      <c r="L26" s="13">
        <f t="shared" si="5"/>
        <v>2.881008E-3</v>
      </c>
      <c r="M26" s="46">
        <f t="shared" si="6"/>
        <v>2.6889408E-2</v>
      </c>
      <c r="N26" s="51">
        <f t="shared" si="7"/>
        <v>5.3352000000000004E-2</v>
      </c>
      <c r="O26" s="49">
        <f t="shared" si="8"/>
        <v>0.45327859200000004</v>
      </c>
    </row>
    <row r="27" spans="1:15" x14ac:dyDescent="0.7">
      <c r="A27" s="5"/>
      <c r="B27" s="5"/>
      <c r="C27" s="5">
        <v>25</v>
      </c>
      <c r="D27" s="6">
        <v>6.1749999999999998</v>
      </c>
      <c r="E27" s="3">
        <v>0</v>
      </c>
      <c r="F27" s="6">
        <v>6.1749999999999998</v>
      </c>
      <c r="G27" s="12">
        <f t="shared" si="0"/>
        <v>533520</v>
      </c>
      <c r="H27" s="14">
        <f t="shared" si="1"/>
        <v>0.53351999999999999</v>
      </c>
      <c r="I27" s="13">
        <f t="shared" si="2"/>
        <v>24008.399999999998</v>
      </c>
      <c r="J27" s="24">
        <f t="shared" si="3"/>
        <v>2.4008399999999999E-2</v>
      </c>
      <c r="K27" s="13">
        <f t="shared" si="4"/>
        <v>2881.0079999999998</v>
      </c>
      <c r="L27" s="13">
        <f t="shared" si="5"/>
        <v>2.881008E-3</v>
      </c>
      <c r="M27" s="46">
        <f t="shared" si="6"/>
        <v>2.6889408E-2</v>
      </c>
      <c r="N27" s="51">
        <f t="shared" si="7"/>
        <v>5.3352000000000004E-2</v>
      </c>
      <c r="O27" s="49">
        <f t="shared" si="8"/>
        <v>0.45327859200000004</v>
      </c>
    </row>
    <row r="28" spans="1:15" x14ac:dyDescent="0.7">
      <c r="A28" s="5"/>
      <c r="B28" s="5"/>
      <c r="C28" s="5">
        <v>26</v>
      </c>
      <c r="D28" s="6">
        <v>6.1749999999999998</v>
      </c>
      <c r="E28" s="3">
        <v>0</v>
      </c>
      <c r="F28" s="6">
        <v>6.1749999999999998</v>
      </c>
      <c r="G28" s="12">
        <f t="shared" si="0"/>
        <v>533520</v>
      </c>
      <c r="H28" s="14">
        <f t="shared" si="1"/>
        <v>0.53351999999999999</v>
      </c>
      <c r="I28" s="13">
        <f t="shared" si="2"/>
        <v>24008.399999999998</v>
      </c>
      <c r="J28" s="24">
        <f t="shared" si="3"/>
        <v>2.4008399999999999E-2</v>
      </c>
      <c r="K28" s="13">
        <f t="shared" si="4"/>
        <v>2881.0079999999998</v>
      </c>
      <c r="L28" s="13">
        <f t="shared" si="5"/>
        <v>2.881008E-3</v>
      </c>
      <c r="M28" s="46">
        <f t="shared" si="6"/>
        <v>2.6889408E-2</v>
      </c>
      <c r="N28" s="51">
        <f t="shared" si="7"/>
        <v>5.3352000000000004E-2</v>
      </c>
      <c r="O28" s="49">
        <f t="shared" si="8"/>
        <v>0.45327859200000004</v>
      </c>
    </row>
    <row r="29" spans="1:15" x14ac:dyDescent="0.7">
      <c r="A29" s="5"/>
      <c r="B29" s="5"/>
      <c r="C29" s="5">
        <v>27</v>
      </c>
      <c r="D29" s="6">
        <v>6.1749999999999998</v>
      </c>
      <c r="E29" s="3">
        <v>0</v>
      </c>
      <c r="F29" s="6">
        <v>6.1749999999999998</v>
      </c>
      <c r="G29" s="12">
        <f t="shared" si="0"/>
        <v>533520</v>
      </c>
      <c r="H29" s="14">
        <f t="shared" si="1"/>
        <v>0.53351999999999999</v>
      </c>
      <c r="I29" s="13">
        <f t="shared" si="2"/>
        <v>24008.399999999998</v>
      </c>
      <c r="J29" s="24">
        <f t="shared" si="3"/>
        <v>2.4008399999999999E-2</v>
      </c>
      <c r="K29" s="13">
        <f t="shared" si="4"/>
        <v>2881.0079999999998</v>
      </c>
      <c r="L29" s="13">
        <f t="shared" si="5"/>
        <v>2.881008E-3</v>
      </c>
      <c r="M29" s="46">
        <f t="shared" si="6"/>
        <v>2.6889408E-2</v>
      </c>
      <c r="N29" s="51">
        <f t="shared" si="7"/>
        <v>5.3352000000000004E-2</v>
      </c>
      <c r="O29" s="49">
        <f t="shared" si="8"/>
        <v>0.45327859200000004</v>
      </c>
    </row>
    <row r="30" spans="1:15" x14ac:dyDescent="0.7">
      <c r="A30" s="5"/>
      <c r="B30" s="5"/>
      <c r="C30" s="5">
        <v>28</v>
      </c>
      <c r="D30" s="6">
        <v>6.1749999999999998</v>
      </c>
      <c r="E30" s="3">
        <v>0</v>
      </c>
      <c r="F30" s="6">
        <v>6.1749999999999998</v>
      </c>
      <c r="G30" s="12">
        <f t="shared" si="0"/>
        <v>533520</v>
      </c>
      <c r="H30" s="14">
        <f t="shared" si="1"/>
        <v>0.53351999999999999</v>
      </c>
      <c r="I30" s="13">
        <f t="shared" si="2"/>
        <v>24008.399999999998</v>
      </c>
      <c r="J30" s="24">
        <f t="shared" si="3"/>
        <v>2.4008399999999999E-2</v>
      </c>
      <c r="K30" s="13">
        <f t="shared" si="4"/>
        <v>2881.0079999999998</v>
      </c>
      <c r="L30" s="13">
        <f t="shared" si="5"/>
        <v>2.881008E-3</v>
      </c>
      <c r="M30" s="46">
        <f t="shared" si="6"/>
        <v>2.6889408E-2</v>
      </c>
      <c r="N30" s="51">
        <f t="shared" si="7"/>
        <v>5.3352000000000004E-2</v>
      </c>
      <c r="O30" s="49">
        <f t="shared" si="8"/>
        <v>0.45327859200000004</v>
      </c>
    </row>
    <row r="31" spans="1:15" x14ac:dyDescent="0.7">
      <c r="A31" s="5"/>
      <c r="B31" s="5"/>
      <c r="C31" s="5">
        <v>29</v>
      </c>
      <c r="D31" s="6">
        <v>6.1749999999999998</v>
      </c>
      <c r="E31" s="3">
        <v>0</v>
      </c>
      <c r="F31" s="6">
        <v>6.1749999999999998</v>
      </c>
      <c r="G31" s="12">
        <f t="shared" si="0"/>
        <v>533520</v>
      </c>
      <c r="H31" s="14">
        <f t="shared" si="1"/>
        <v>0.53351999999999999</v>
      </c>
      <c r="I31" s="13">
        <f t="shared" si="2"/>
        <v>24008.399999999998</v>
      </c>
      <c r="J31" s="24">
        <f t="shared" si="3"/>
        <v>2.4008399999999999E-2</v>
      </c>
      <c r="K31" s="13">
        <f t="shared" si="4"/>
        <v>2881.0079999999998</v>
      </c>
      <c r="L31" s="13">
        <f t="shared" si="5"/>
        <v>2.881008E-3</v>
      </c>
      <c r="M31" s="46">
        <f t="shared" si="6"/>
        <v>2.6889408E-2</v>
      </c>
      <c r="N31" s="51">
        <f t="shared" si="7"/>
        <v>5.3352000000000004E-2</v>
      </c>
      <c r="O31" s="49">
        <f t="shared" si="8"/>
        <v>0.45327859200000004</v>
      </c>
    </row>
    <row r="32" spans="1:15" x14ac:dyDescent="0.7">
      <c r="A32" s="10"/>
      <c r="B32" s="10"/>
      <c r="C32" s="10">
        <v>30</v>
      </c>
      <c r="D32" s="18">
        <v>6.1749999999999998</v>
      </c>
      <c r="E32" s="19">
        <v>0</v>
      </c>
      <c r="F32" s="18">
        <v>6.1749999999999998</v>
      </c>
      <c r="G32" s="20">
        <f t="shared" si="0"/>
        <v>533520</v>
      </c>
      <c r="H32" s="21">
        <f t="shared" si="1"/>
        <v>0.53351999999999999</v>
      </c>
      <c r="I32" s="60">
        <f t="shared" si="2"/>
        <v>24008.399999999998</v>
      </c>
      <c r="J32" s="61">
        <f t="shared" si="3"/>
        <v>2.4008399999999999E-2</v>
      </c>
      <c r="K32" s="60">
        <f t="shared" si="4"/>
        <v>2881.0079999999998</v>
      </c>
      <c r="L32" s="60">
        <f t="shared" si="5"/>
        <v>2.881008E-3</v>
      </c>
      <c r="M32" s="62">
        <f t="shared" si="6"/>
        <v>2.6889408E-2</v>
      </c>
      <c r="N32" s="63">
        <f t="shared" si="7"/>
        <v>5.3352000000000004E-2</v>
      </c>
      <c r="O32" s="64">
        <f t="shared" si="8"/>
        <v>0.45327859200000004</v>
      </c>
    </row>
    <row r="33" spans="1:15" s="59" customFormat="1" ht="25.2" thickBot="1" x14ac:dyDescent="0.75">
      <c r="A33" s="8"/>
      <c r="B33" s="8" t="s">
        <v>15</v>
      </c>
      <c r="C33" s="8">
        <v>31</v>
      </c>
      <c r="D33" s="9">
        <v>6.1749999999999998</v>
      </c>
      <c r="E33" s="9">
        <v>0</v>
      </c>
      <c r="F33" s="9">
        <v>6.1749999999999998</v>
      </c>
      <c r="G33" s="22">
        <f t="shared" si="0"/>
        <v>533520</v>
      </c>
      <c r="H33" s="15">
        <f t="shared" si="1"/>
        <v>0.53351999999999999</v>
      </c>
      <c r="I33" s="15">
        <f t="shared" si="2"/>
        <v>24008.399999999998</v>
      </c>
      <c r="J33" s="25">
        <f t="shared" si="3"/>
        <v>2.4008399999999999E-2</v>
      </c>
      <c r="K33" s="15">
        <f t="shared" si="4"/>
        <v>2881.0079999999998</v>
      </c>
      <c r="L33" s="15">
        <f t="shared" si="5"/>
        <v>2.881008E-3</v>
      </c>
      <c r="M33" s="56">
        <f t="shared" si="6"/>
        <v>2.6889408E-2</v>
      </c>
      <c r="N33" s="57">
        <f t="shared" si="7"/>
        <v>5.3352000000000004E-2</v>
      </c>
      <c r="O33" s="58">
        <f t="shared" si="8"/>
        <v>0.45327859200000004</v>
      </c>
    </row>
    <row r="34" spans="1:15" x14ac:dyDescent="0.7">
      <c r="A34" s="2"/>
      <c r="B34" s="2" t="s">
        <v>16</v>
      </c>
      <c r="C34" s="2">
        <v>1</v>
      </c>
      <c r="D34" s="3">
        <v>6.1749999999999998</v>
      </c>
      <c r="E34" s="3">
        <v>0</v>
      </c>
      <c r="F34" s="3">
        <v>6.1749999999999998</v>
      </c>
      <c r="G34" s="12">
        <f t="shared" si="0"/>
        <v>533520</v>
      </c>
      <c r="H34" s="14">
        <f t="shared" si="1"/>
        <v>0.53351999999999999</v>
      </c>
      <c r="I34" s="14">
        <f t="shared" si="2"/>
        <v>24008.399999999998</v>
      </c>
      <c r="J34" s="43">
        <f t="shared" si="3"/>
        <v>2.4008399999999999E-2</v>
      </c>
      <c r="K34" s="14">
        <f t="shared" si="4"/>
        <v>2881.0079999999998</v>
      </c>
      <c r="L34" s="14">
        <f t="shared" si="5"/>
        <v>2.881008E-3</v>
      </c>
      <c r="M34" s="52">
        <f t="shared" si="6"/>
        <v>2.6889408E-2</v>
      </c>
      <c r="N34" s="53">
        <f t="shared" si="7"/>
        <v>5.3352000000000004E-2</v>
      </c>
      <c r="O34" s="54">
        <f t="shared" si="8"/>
        <v>0.45327859200000004</v>
      </c>
    </row>
    <row r="35" spans="1:15" x14ac:dyDescent="0.7">
      <c r="A35" s="5"/>
      <c r="B35" s="5"/>
      <c r="C35" s="5">
        <v>2</v>
      </c>
      <c r="D35" s="6">
        <v>6.1749999999999998</v>
      </c>
      <c r="E35" s="3">
        <v>0</v>
      </c>
      <c r="F35" s="6">
        <v>6.1749999999999998</v>
      </c>
      <c r="G35" s="12">
        <f t="shared" si="0"/>
        <v>533520</v>
      </c>
      <c r="H35" s="14">
        <f t="shared" si="1"/>
        <v>0.53351999999999999</v>
      </c>
      <c r="I35" s="13">
        <f t="shared" si="2"/>
        <v>24008.399999999998</v>
      </c>
      <c r="J35" s="24">
        <f t="shared" si="3"/>
        <v>2.4008399999999999E-2</v>
      </c>
      <c r="K35" s="13">
        <f t="shared" si="4"/>
        <v>2881.0079999999998</v>
      </c>
      <c r="L35" s="13">
        <f t="shared" si="5"/>
        <v>2.881008E-3</v>
      </c>
      <c r="M35" s="46">
        <f t="shared" si="6"/>
        <v>2.6889408E-2</v>
      </c>
      <c r="N35" s="51">
        <f t="shared" si="7"/>
        <v>5.3352000000000004E-2</v>
      </c>
      <c r="O35" s="49">
        <f t="shared" si="8"/>
        <v>0.45327859200000004</v>
      </c>
    </row>
    <row r="36" spans="1:15" x14ac:dyDescent="0.7">
      <c r="A36" s="5"/>
      <c r="B36" s="5"/>
      <c r="C36" s="5">
        <v>3</v>
      </c>
      <c r="D36" s="6">
        <v>6.0739999999999998</v>
      </c>
      <c r="E36" s="3">
        <v>0</v>
      </c>
      <c r="F36" s="6">
        <v>6.0739999999999998</v>
      </c>
      <c r="G36" s="12">
        <f t="shared" si="0"/>
        <v>524793.59999999998</v>
      </c>
      <c r="H36" s="14">
        <f t="shared" si="1"/>
        <v>0.52479359999999997</v>
      </c>
      <c r="I36" s="13">
        <f t="shared" si="2"/>
        <v>23615.712</v>
      </c>
      <c r="J36" s="24">
        <f t="shared" si="3"/>
        <v>2.3615712000000001E-2</v>
      </c>
      <c r="K36" s="13">
        <f t="shared" si="4"/>
        <v>2833.88544</v>
      </c>
      <c r="L36" s="13">
        <f t="shared" si="5"/>
        <v>2.8338854399999999E-3</v>
      </c>
      <c r="M36" s="46">
        <f t="shared" si="6"/>
        <v>2.644959744E-2</v>
      </c>
      <c r="N36" s="51">
        <f t="shared" si="7"/>
        <v>5.2479360000000003E-2</v>
      </c>
      <c r="O36" s="49">
        <f t="shared" si="8"/>
        <v>0.44586464256000002</v>
      </c>
    </row>
    <row r="37" spans="1:15" x14ac:dyDescent="0.7">
      <c r="A37" s="5"/>
      <c r="B37" s="5"/>
      <c r="C37" s="5">
        <v>4</v>
      </c>
      <c r="D37" s="6">
        <v>5.9649999999999999</v>
      </c>
      <c r="E37" s="3">
        <v>0</v>
      </c>
      <c r="F37" s="6">
        <v>5.9649999999999999</v>
      </c>
      <c r="G37" s="12">
        <f t="shared" si="0"/>
        <v>515376</v>
      </c>
      <c r="H37" s="14">
        <f t="shared" si="1"/>
        <v>0.51537599999999995</v>
      </c>
      <c r="I37" s="13">
        <f t="shared" si="2"/>
        <v>23191.919999999998</v>
      </c>
      <c r="J37" s="24">
        <f t="shared" si="3"/>
        <v>2.3191919999999998E-2</v>
      </c>
      <c r="K37" s="13">
        <f t="shared" si="4"/>
        <v>2783.0303999999996</v>
      </c>
      <c r="L37" s="13">
        <f t="shared" si="5"/>
        <v>2.7830303999999998E-3</v>
      </c>
      <c r="M37" s="46">
        <f t="shared" si="6"/>
        <v>2.5974950399999999E-2</v>
      </c>
      <c r="N37" s="51">
        <f t="shared" si="7"/>
        <v>5.1537599999999996E-2</v>
      </c>
      <c r="O37" s="49">
        <f t="shared" si="8"/>
        <v>0.43786344959999995</v>
      </c>
    </row>
    <row r="38" spans="1:15" x14ac:dyDescent="0.7">
      <c r="A38" s="5"/>
      <c r="B38" s="5"/>
      <c r="C38" s="5">
        <v>5</v>
      </c>
      <c r="D38" s="6">
        <v>5.9649999999999999</v>
      </c>
      <c r="E38" s="3">
        <v>0</v>
      </c>
      <c r="F38" s="6">
        <v>5.9649999999999999</v>
      </c>
      <c r="G38" s="12">
        <f t="shared" si="0"/>
        <v>515376</v>
      </c>
      <c r="H38" s="14">
        <f t="shared" si="1"/>
        <v>0.51537599999999995</v>
      </c>
      <c r="I38" s="13">
        <f t="shared" si="2"/>
        <v>23191.919999999998</v>
      </c>
      <c r="J38" s="24">
        <f t="shared" si="3"/>
        <v>2.3191919999999998E-2</v>
      </c>
      <c r="K38" s="13">
        <f t="shared" si="4"/>
        <v>2783.0303999999996</v>
      </c>
      <c r="L38" s="13">
        <f t="shared" si="5"/>
        <v>2.7830303999999998E-3</v>
      </c>
      <c r="M38" s="46">
        <f t="shared" si="6"/>
        <v>2.5974950399999999E-2</v>
      </c>
      <c r="N38" s="51">
        <f t="shared" si="7"/>
        <v>5.1537599999999996E-2</v>
      </c>
      <c r="O38" s="49">
        <f t="shared" si="8"/>
        <v>0.43786344959999995</v>
      </c>
    </row>
    <row r="39" spans="1:15" x14ac:dyDescent="0.7">
      <c r="A39" s="5"/>
      <c r="B39" s="5"/>
      <c r="C39" s="5">
        <v>6</v>
      </c>
      <c r="D39" s="6">
        <v>5.9649999999999999</v>
      </c>
      <c r="E39" s="3">
        <v>0</v>
      </c>
      <c r="F39" s="6">
        <v>5.9649999999999999</v>
      </c>
      <c r="G39" s="12">
        <f t="shared" si="0"/>
        <v>515376</v>
      </c>
      <c r="H39" s="14">
        <f t="shared" si="1"/>
        <v>0.51537599999999995</v>
      </c>
      <c r="I39" s="13">
        <f t="shared" si="2"/>
        <v>23191.919999999998</v>
      </c>
      <c r="J39" s="24">
        <f t="shared" si="3"/>
        <v>2.3191919999999998E-2</v>
      </c>
      <c r="K39" s="13">
        <f t="shared" si="4"/>
        <v>2783.0303999999996</v>
      </c>
      <c r="L39" s="13">
        <f t="shared" si="5"/>
        <v>2.7830303999999998E-3</v>
      </c>
      <c r="M39" s="46">
        <f t="shared" si="6"/>
        <v>2.5974950399999999E-2</v>
      </c>
      <c r="N39" s="51">
        <f t="shared" si="7"/>
        <v>5.1537599999999996E-2</v>
      </c>
      <c r="O39" s="49">
        <f t="shared" si="8"/>
        <v>0.43786344959999995</v>
      </c>
    </row>
    <row r="40" spans="1:15" x14ac:dyDescent="0.7">
      <c r="A40" s="5"/>
      <c r="B40" s="5"/>
      <c r="C40" s="5">
        <v>7</v>
      </c>
      <c r="D40" s="6">
        <v>5.9649999999999999</v>
      </c>
      <c r="E40" s="3">
        <v>0</v>
      </c>
      <c r="F40" s="6">
        <v>5.9649999999999999</v>
      </c>
      <c r="G40" s="12">
        <f t="shared" si="0"/>
        <v>515376</v>
      </c>
      <c r="H40" s="14">
        <f t="shared" si="1"/>
        <v>0.51537599999999995</v>
      </c>
      <c r="I40" s="13">
        <f t="shared" si="2"/>
        <v>23191.919999999998</v>
      </c>
      <c r="J40" s="24">
        <f t="shared" si="3"/>
        <v>2.3191919999999998E-2</v>
      </c>
      <c r="K40" s="13">
        <f t="shared" si="4"/>
        <v>2783.0303999999996</v>
      </c>
      <c r="L40" s="13">
        <f t="shared" si="5"/>
        <v>2.7830303999999998E-3</v>
      </c>
      <c r="M40" s="46">
        <f t="shared" si="6"/>
        <v>2.5974950399999999E-2</v>
      </c>
      <c r="N40" s="51">
        <f t="shared" si="7"/>
        <v>5.1537599999999996E-2</v>
      </c>
      <c r="O40" s="49">
        <f t="shared" si="8"/>
        <v>0.43786344959999995</v>
      </c>
    </row>
    <row r="41" spans="1:15" x14ac:dyDescent="0.7">
      <c r="A41" s="5"/>
      <c r="B41" s="5"/>
      <c r="C41" s="5">
        <v>8</v>
      </c>
      <c r="D41" s="6">
        <v>5.8719999999999999</v>
      </c>
      <c r="E41" s="3">
        <v>0</v>
      </c>
      <c r="F41" s="6">
        <v>5.8719999999999999</v>
      </c>
      <c r="G41" s="12">
        <f t="shared" si="0"/>
        <v>507340.79999999999</v>
      </c>
      <c r="H41" s="14">
        <f t="shared" si="1"/>
        <v>0.50734080000000004</v>
      </c>
      <c r="I41" s="13">
        <f t="shared" si="2"/>
        <v>22830.336000000003</v>
      </c>
      <c r="J41" s="24">
        <f t="shared" si="3"/>
        <v>2.2830336000000003E-2</v>
      </c>
      <c r="K41" s="13">
        <f t="shared" si="4"/>
        <v>2739.6403200000004</v>
      </c>
      <c r="L41" s="13">
        <f t="shared" si="5"/>
        <v>2.7396403200000002E-3</v>
      </c>
      <c r="M41" s="46">
        <f t="shared" si="6"/>
        <v>2.5569976320000003E-2</v>
      </c>
      <c r="N41" s="51">
        <f t="shared" si="7"/>
        <v>5.0734080000000008E-2</v>
      </c>
      <c r="O41" s="49">
        <f t="shared" si="8"/>
        <v>0.43103674368</v>
      </c>
    </row>
    <row r="42" spans="1:15" x14ac:dyDescent="0.7">
      <c r="A42" s="5"/>
      <c r="B42" s="5"/>
      <c r="C42" s="5">
        <v>9</v>
      </c>
      <c r="D42" s="6">
        <v>5.8719999999999999</v>
      </c>
      <c r="E42" s="3">
        <v>0</v>
      </c>
      <c r="F42" s="6">
        <v>5.8719999999999999</v>
      </c>
      <c r="G42" s="12">
        <f t="shared" si="0"/>
        <v>507340.79999999999</v>
      </c>
      <c r="H42" s="14">
        <f t="shared" si="1"/>
        <v>0.50734080000000004</v>
      </c>
      <c r="I42" s="13">
        <f t="shared" si="2"/>
        <v>22830.336000000003</v>
      </c>
      <c r="J42" s="24">
        <f t="shared" si="3"/>
        <v>2.2830336000000003E-2</v>
      </c>
      <c r="K42" s="13">
        <f t="shared" si="4"/>
        <v>2739.6403200000004</v>
      </c>
      <c r="L42" s="13">
        <f t="shared" si="5"/>
        <v>2.7396403200000002E-3</v>
      </c>
      <c r="M42" s="46">
        <f t="shared" si="6"/>
        <v>2.5569976320000003E-2</v>
      </c>
      <c r="N42" s="51">
        <f t="shared" si="7"/>
        <v>5.0734080000000008E-2</v>
      </c>
      <c r="O42" s="49">
        <f t="shared" si="8"/>
        <v>0.43103674368</v>
      </c>
    </row>
    <row r="43" spans="1:15" x14ac:dyDescent="0.7">
      <c r="A43" s="5"/>
      <c r="B43" s="5"/>
      <c r="C43" s="5">
        <v>10</v>
      </c>
      <c r="D43" s="6">
        <v>5.5279999999999996</v>
      </c>
      <c r="E43" s="3">
        <v>0</v>
      </c>
      <c r="F43" s="6">
        <v>5.5279999999999996</v>
      </c>
      <c r="G43" s="12">
        <f t="shared" si="0"/>
        <v>477619.19999999995</v>
      </c>
      <c r="H43" s="14">
        <f t="shared" si="1"/>
        <v>0.47761919999999997</v>
      </c>
      <c r="I43" s="13">
        <f t="shared" si="2"/>
        <v>21492.863999999998</v>
      </c>
      <c r="J43" s="24">
        <f t="shared" si="3"/>
        <v>2.1492863999999997E-2</v>
      </c>
      <c r="K43" s="13">
        <f t="shared" si="4"/>
        <v>2579.1436799999997</v>
      </c>
      <c r="L43" s="13">
        <f t="shared" si="5"/>
        <v>2.5791436799999998E-3</v>
      </c>
      <c r="M43" s="46">
        <f t="shared" si="6"/>
        <v>2.4072007679999997E-2</v>
      </c>
      <c r="N43" s="51">
        <f t="shared" si="7"/>
        <v>4.7761919999999999E-2</v>
      </c>
      <c r="O43" s="49">
        <f t="shared" si="8"/>
        <v>0.40578527231999995</v>
      </c>
    </row>
    <row r="44" spans="1:15" x14ac:dyDescent="0.7">
      <c r="A44" s="5"/>
      <c r="B44" s="5"/>
      <c r="C44" s="5">
        <v>11</v>
      </c>
      <c r="D44" s="6">
        <v>5.5279999999999996</v>
      </c>
      <c r="E44" s="3">
        <v>0</v>
      </c>
      <c r="F44" s="6">
        <v>5.5279999999999996</v>
      </c>
      <c r="G44" s="12">
        <f t="shared" si="0"/>
        <v>477619.19999999995</v>
      </c>
      <c r="H44" s="14">
        <f t="shared" si="1"/>
        <v>0.47761919999999997</v>
      </c>
      <c r="I44" s="13">
        <f t="shared" si="2"/>
        <v>21492.863999999998</v>
      </c>
      <c r="J44" s="24">
        <f t="shared" si="3"/>
        <v>2.1492863999999997E-2</v>
      </c>
      <c r="K44" s="13">
        <f t="shared" si="4"/>
        <v>2579.1436799999997</v>
      </c>
      <c r="L44" s="13">
        <f t="shared" si="5"/>
        <v>2.5791436799999998E-3</v>
      </c>
      <c r="M44" s="46">
        <f t="shared" si="6"/>
        <v>2.4072007679999997E-2</v>
      </c>
      <c r="N44" s="51">
        <f t="shared" si="7"/>
        <v>4.7761919999999999E-2</v>
      </c>
      <c r="O44" s="49">
        <f t="shared" si="8"/>
        <v>0.40578527231999995</v>
      </c>
    </row>
    <row r="45" spans="1:15" x14ac:dyDescent="0.7">
      <c r="A45" s="5"/>
      <c r="B45" s="5"/>
      <c r="C45" s="5">
        <v>12</v>
      </c>
      <c r="D45" s="6">
        <v>5.0439999999999996</v>
      </c>
      <c r="E45" s="3">
        <v>0</v>
      </c>
      <c r="F45" s="6">
        <v>5.0439999999999996</v>
      </c>
      <c r="G45" s="12">
        <f t="shared" si="0"/>
        <v>435801.59999999998</v>
      </c>
      <c r="H45" s="14">
        <f t="shared" si="1"/>
        <v>0.43580159999999996</v>
      </c>
      <c r="I45" s="13">
        <f t="shared" si="2"/>
        <v>19611.071999999996</v>
      </c>
      <c r="J45" s="24">
        <f t="shared" si="3"/>
        <v>1.9611071999999997E-2</v>
      </c>
      <c r="K45" s="13">
        <f t="shared" si="4"/>
        <v>2353.3286399999993</v>
      </c>
      <c r="L45" s="13">
        <f t="shared" si="5"/>
        <v>2.3533286399999992E-3</v>
      </c>
      <c r="M45" s="46">
        <f t="shared" si="6"/>
        <v>2.1964400639999996E-2</v>
      </c>
      <c r="N45" s="51">
        <f t="shared" si="7"/>
        <v>4.358016E-2</v>
      </c>
      <c r="O45" s="49">
        <f t="shared" si="8"/>
        <v>0.37025703935999998</v>
      </c>
    </row>
    <row r="46" spans="1:15" x14ac:dyDescent="0.7">
      <c r="A46" s="5"/>
      <c r="B46" s="5"/>
      <c r="C46" s="5">
        <v>13</v>
      </c>
      <c r="D46" s="6">
        <v>5.0439999999999996</v>
      </c>
      <c r="E46" s="3">
        <v>0</v>
      </c>
      <c r="F46" s="6">
        <v>5.0439999999999996</v>
      </c>
      <c r="G46" s="12">
        <f t="shared" si="0"/>
        <v>435801.59999999998</v>
      </c>
      <c r="H46" s="14">
        <f t="shared" si="1"/>
        <v>0.43580159999999996</v>
      </c>
      <c r="I46" s="13">
        <f t="shared" si="2"/>
        <v>19611.071999999996</v>
      </c>
      <c r="J46" s="24">
        <f t="shared" si="3"/>
        <v>1.9611071999999997E-2</v>
      </c>
      <c r="K46" s="13">
        <f t="shared" si="4"/>
        <v>2353.3286399999993</v>
      </c>
      <c r="L46" s="13">
        <f t="shared" si="5"/>
        <v>2.3533286399999992E-3</v>
      </c>
      <c r="M46" s="46">
        <f t="shared" si="6"/>
        <v>2.1964400639999996E-2</v>
      </c>
      <c r="N46" s="51">
        <f t="shared" si="7"/>
        <v>4.358016E-2</v>
      </c>
      <c r="O46" s="49">
        <f t="shared" si="8"/>
        <v>0.37025703935999998</v>
      </c>
    </row>
    <row r="47" spans="1:15" x14ac:dyDescent="0.7">
      <c r="A47" s="5"/>
      <c r="B47" s="5"/>
      <c r="C47" s="5">
        <v>14</v>
      </c>
      <c r="D47" s="6">
        <v>4.7160000000000002</v>
      </c>
      <c r="E47" s="3">
        <v>0</v>
      </c>
      <c r="F47" s="6">
        <v>4.7160000000000002</v>
      </c>
      <c r="G47" s="12">
        <f t="shared" si="0"/>
        <v>407462.40000000002</v>
      </c>
      <c r="H47" s="14">
        <f t="shared" si="1"/>
        <v>0.4074624</v>
      </c>
      <c r="I47" s="13">
        <f t="shared" si="2"/>
        <v>18335.808000000001</v>
      </c>
      <c r="J47" s="24">
        <f t="shared" si="3"/>
        <v>1.8335808000000002E-2</v>
      </c>
      <c r="K47" s="13">
        <f t="shared" si="4"/>
        <v>2200.2969600000001</v>
      </c>
      <c r="L47" s="13">
        <f t="shared" si="5"/>
        <v>2.2002969600000001E-3</v>
      </c>
      <c r="M47" s="46">
        <f t="shared" si="6"/>
        <v>2.0536104960000003E-2</v>
      </c>
      <c r="N47" s="51">
        <f t="shared" si="7"/>
        <v>4.0746240000000003E-2</v>
      </c>
      <c r="O47" s="49">
        <f t="shared" si="8"/>
        <v>0.34618005503999999</v>
      </c>
    </row>
    <row r="48" spans="1:15" x14ac:dyDescent="0.7">
      <c r="A48" s="5"/>
      <c r="B48" s="5"/>
      <c r="C48" s="5">
        <v>15</v>
      </c>
      <c r="D48" s="6">
        <v>4.7160000000000002</v>
      </c>
      <c r="E48" s="3">
        <v>0</v>
      </c>
      <c r="F48" s="6">
        <v>4.7160000000000002</v>
      </c>
      <c r="G48" s="12">
        <f t="shared" si="0"/>
        <v>407462.40000000002</v>
      </c>
      <c r="H48" s="14">
        <f t="shared" si="1"/>
        <v>0.4074624</v>
      </c>
      <c r="I48" s="13">
        <f t="shared" si="2"/>
        <v>18335.808000000001</v>
      </c>
      <c r="J48" s="24">
        <f t="shared" si="3"/>
        <v>1.8335808000000002E-2</v>
      </c>
      <c r="K48" s="13">
        <f t="shared" si="4"/>
        <v>2200.2969600000001</v>
      </c>
      <c r="L48" s="13">
        <f t="shared" si="5"/>
        <v>2.2002969600000001E-3</v>
      </c>
      <c r="M48" s="46">
        <f t="shared" si="6"/>
        <v>2.0536104960000003E-2</v>
      </c>
      <c r="N48" s="51">
        <f t="shared" si="7"/>
        <v>4.0746240000000003E-2</v>
      </c>
      <c r="O48" s="49">
        <f t="shared" si="8"/>
        <v>0.34618005503999999</v>
      </c>
    </row>
    <row r="49" spans="1:15" x14ac:dyDescent="0.7">
      <c r="A49" s="5"/>
      <c r="B49" s="5"/>
      <c r="C49" s="5">
        <v>16</v>
      </c>
      <c r="D49" s="6">
        <v>4.7160000000000002</v>
      </c>
      <c r="E49" s="3">
        <v>0</v>
      </c>
      <c r="F49" s="6">
        <v>4.7160000000000002</v>
      </c>
      <c r="G49" s="12">
        <f t="shared" si="0"/>
        <v>407462.40000000002</v>
      </c>
      <c r="H49" s="14">
        <f t="shared" si="1"/>
        <v>0.4074624</v>
      </c>
      <c r="I49" s="13">
        <f t="shared" si="2"/>
        <v>18335.808000000001</v>
      </c>
      <c r="J49" s="24">
        <f t="shared" si="3"/>
        <v>1.8335808000000002E-2</v>
      </c>
      <c r="K49" s="13">
        <f t="shared" si="4"/>
        <v>2200.2969600000001</v>
      </c>
      <c r="L49" s="13">
        <f t="shared" si="5"/>
        <v>2.2002969600000001E-3</v>
      </c>
      <c r="M49" s="46">
        <f t="shared" si="6"/>
        <v>2.0536104960000003E-2</v>
      </c>
      <c r="N49" s="51">
        <f t="shared" si="7"/>
        <v>4.0746240000000003E-2</v>
      </c>
      <c r="O49" s="49">
        <f t="shared" si="8"/>
        <v>0.34618005503999999</v>
      </c>
    </row>
    <row r="50" spans="1:15" x14ac:dyDescent="0.7">
      <c r="A50" s="5"/>
      <c r="B50" s="5"/>
      <c r="C50" s="5">
        <v>17</v>
      </c>
      <c r="D50" s="6">
        <v>4.7160000000000002</v>
      </c>
      <c r="E50" s="3">
        <v>0</v>
      </c>
      <c r="F50" s="6">
        <v>4.7160000000000002</v>
      </c>
      <c r="G50" s="12">
        <f t="shared" si="0"/>
        <v>407462.40000000002</v>
      </c>
      <c r="H50" s="14">
        <f t="shared" si="1"/>
        <v>0.4074624</v>
      </c>
      <c r="I50" s="13">
        <f t="shared" si="2"/>
        <v>18335.808000000001</v>
      </c>
      <c r="J50" s="24">
        <f t="shared" si="3"/>
        <v>1.8335808000000002E-2</v>
      </c>
      <c r="K50" s="13">
        <f t="shared" si="4"/>
        <v>2200.2969600000001</v>
      </c>
      <c r="L50" s="13">
        <f t="shared" si="5"/>
        <v>2.2002969600000001E-3</v>
      </c>
      <c r="M50" s="46">
        <f t="shared" si="6"/>
        <v>2.0536104960000003E-2</v>
      </c>
      <c r="N50" s="51">
        <f t="shared" si="7"/>
        <v>4.0746240000000003E-2</v>
      </c>
      <c r="O50" s="49">
        <f t="shared" si="8"/>
        <v>0.34618005503999999</v>
      </c>
    </row>
    <row r="51" spans="1:15" x14ac:dyDescent="0.7">
      <c r="A51" s="5"/>
      <c r="B51" s="5"/>
      <c r="C51" s="5">
        <v>18</v>
      </c>
      <c r="D51" s="6">
        <v>4.7160000000000002</v>
      </c>
      <c r="E51" s="3">
        <v>0</v>
      </c>
      <c r="F51" s="6">
        <v>4.7160000000000002</v>
      </c>
      <c r="G51" s="12">
        <f t="shared" si="0"/>
        <v>407462.40000000002</v>
      </c>
      <c r="H51" s="14">
        <f t="shared" si="1"/>
        <v>0.4074624</v>
      </c>
      <c r="I51" s="13">
        <f t="shared" si="2"/>
        <v>18335.808000000001</v>
      </c>
      <c r="J51" s="24">
        <f t="shared" si="3"/>
        <v>1.8335808000000002E-2</v>
      </c>
      <c r="K51" s="13">
        <f t="shared" si="4"/>
        <v>2200.2969600000001</v>
      </c>
      <c r="L51" s="13">
        <f t="shared" si="5"/>
        <v>2.2002969600000001E-3</v>
      </c>
      <c r="M51" s="46">
        <f t="shared" si="6"/>
        <v>2.0536104960000003E-2</v>
      </c>
      <c r="N51" s="51">
        <f t="shared" si="7"/>
        <v>4.0746240000000003E-2</v>
      </c>
      <c r="O51" s="49">
        <f t="shared" si="8"/>
        <v>0.34618005503999999</v>
      </c>
    </row>
    <row r="52" spans="1:15" x14ac:dyDescent="0.7">
      <c r="A52" s="5"/>
      <c r="B52" s="5"/>
      <c r="C52" s="5">
        <v>19</v>
      </c>
      <c r="D52" s="6">
        <v>4.681</v>
      </c>
      <c r="E52" s="3">
        <v>0</v>
      </c>
      <c r="F52" s="6">
        <v>4.681</v>
      </c>
      <c r="G52" s="12">
        <f t="shared" si="0"/>
        <v>404438.4</v>
      </c>
      <c r="H52" s="14">
        <f t="shared" si="1"/>
        <v>0.40443840000000003</v>
      </c>
      <c r="I52" s="13">
        <f t="shared" si="2"/>
        <v>18199.727999999999</v>
      </c>
      <c r="J52" s="24">
        <f t="shared" si="3"/>
        <v>1.8199727999999998E-2</v>
      </c>
      <c r="K52" s="13">
        <f t="shared" si="4"/>
        <v>2183.9673599999996</v>
      </c>
      <c r="L52" s="13">
        <f t="shared" si="5"/>
        <v>2.1839673599999996E-3</v>
      </c>
      <c r="M52" s="46">
        <f t="shared" si="6"/>
        <v>2.0383695359999999E-2</v>
      </c>
      <c r="N52" s="51">
        <f t="shared" si="7"/>
        <v>4.0443840000000009E-2</v>
      </c>
      <c r="O52" s="49">
        <f t="shared" si="8"/>
        <v>0.34361086464000001</v>
      </c>
    </row>
    <row r="53" spans="1:15" x14ac:dyDescent="0.7">
      <c r="A53" s="5"/>
      <c r="B53" s="5"/>
      <c r="C53" s="5">
        <v>20</v>
      </c>
      <c r="D53" s="6">
        <v>4.681</v>
      </c>
      <c r="E53" s="3">
        <v>0</v>
      </c>
      <c r="F53" s="6">
        <v>4.681</v>
      </c>
      <c r="G53" s="12">
        <f t="shared" si="0"/>
        <v>404438.4</v>
      </c>
      <c r="H53" s="14">
        <f t="shared" si="1"/>
        <v>0.40443840000000003</v>
      </c>
      <c r="I53" s="13">
        <f t="shared" si="2"/>
        <v>18199.727999999999</v>
      </c>
      <c r="J53" s="24">
        <f t="shared" si="3"/>
        <v>1.8199727999999998E-2</v>
      </c>
      <c r="K53" s="13">
        <f t="shared" si="4"/>
        <v>2183.9673599999996</v>
      </c>
      <c r="L53" s="13">
        <f t="shared" si="5"/>
        <v>2.1839673599999996E-3</v>
      </c>
      <c r="M53" s="46">
        <f t="shared" si="6"/>
        <v>2.0383695359999999E-2</v>
      </c>
      <c r="N53" s="51">
        <f t="shared" si="7"/>
        <v>4.0443840000000009E-2</v>
      </c>
      <c r="O53" s="49">
        <f t="shared" si="8"/>
        <v>0.34361086464000001</v>
      </c>
    </row>
    <row r="54" spans="1:15" x14ac:dyDescent="0.7">
      <c r="A54" s="5"/>
      <c r="B54" s="5"/>
      <c r="C54" s="5">
        <v>21</v>
      </c>
      <c r="D54" s="6">
        <v>4.681</v>
      </c>
      <c r="E54" s="3">
        <v>0</v>
      </c>
      <c r="F54" s="6">
        <v>4.681</v>
      </c>
      <c r="G54" s="12">
        <f t="shared" si="0"/>
        <v>404438.4</v>
      </c>
      <c r="H54" s="14">
        <f t="shared" si="1"/>
        <v>0.40443840000000003</v>
      </c>
      <c r="I54" s="13">
        <f t="shared" si="2"/>
        <v>18199.727999999999</v>
      </c>
      <c r="J54" s="24">
        <f t="shared" si="3"/>
        <v>1.8199727999999998E-2</v>
      </c>
      <c r="K54" s="13">
        <f t="shared" si="4"/>
        <v>2183.9673599999996</v>
      </c>
      <c r="L54" s="13">
        <f t="shared" si="5"/>
        <v>2.1839673599999996E-3</v>
      </c>
      <c r="M54" s="46">
        <f t="shared" si="6"/>
        <v>2.0383695359999999E-2</v>
      </c>
      <c r="N54" s="51">
        <f t="shared" si="7"/>
        <v>4.0443840000000009E-2</v>
      </c>
      <c r="O54" s="49">
        <f t="shared" si="8"/>
        <v>0.34361086464000001</v>
      </c>
    </row>
    <row r="55" spans="1:15" x14ac:dyDescent="0.7">
      <c r="A55" s="5"/>
      <c r="B55" s="5"/>
      <c r="C55" s="5">
        <v>22</v>
      </c>
      <c r="D55" s="6">
        <v>4.681</v>
      </c>
      <c r="E55" s="3">
        <v>0</v>
      </c>
      <c r="F55" s="6">
        <v>4.681</v>
      </c>
      <c r="G55" s="12">
        <f t="shared" si="0"/>
        <v>404438.4</v>
      </c>
      <c r="H55" s="14">
        <f t="shared" si="1"/>
        <v>0.40443840000000003</v>
      </c>
      <c r="I55" s="13">
        <f t="shared" si="2"/>
        <v>18199.727999999999</v>
      </c>
      <c r="J55" s="24">
        <f t="shared" si="3"/>
        <v>1.8199727999999998E-2</v>
      </c>
      <c r="K55" s="13">
        <f t="shared" si="4"/>
        <v>2183.9673599999996</v>
      </c>
      <c r="L55" s="13">
        <f t="shared" si="5"/>
        <v>2.1839673599999996E-3</v>
      </c>
      <c r="M55" s="46">
        <f t="shared" si="6"/>
        <v>2.0383695359999999E-2</v>
      </c>
      <c r="N55" s="51">
        <f t="shared" si="7"/>
        <v>4.0443840000000009E-2</v>
      </c>
      <c r="O55" s="49">
        <f t="shared" si="8"/>
        <v>0.34361086464000001</v>
      </c>
    </row>
    <row r="56" spans="1:15" x14ac:dyDescent="0.7">
      <c r="A56" s="5"/>
      <c r="B56" s="5"/>
      <c r="C56" s="5">
        <v>23</v>
      </c>
      <c r="D56" s="6">
        <v>4.6639999999999997</v>
      </c>
      <c r="E56" s="3">
        <v>0</v>
      </c>
      <c r="F56" s="6">
        <v>4.6639999999999997</v>
      </c>
      <c r="G56" s="12">
        <f t="shared" si="0"/>
        <v>402969.59999999998</v>
      </c>
      <c r="H56" s="14">
        <f t="shared" si="1"/>
        <v>0.40296959999999998</v>
      </c>
      <c r="I56" s="13">
        <f t="shared" si="2"/>
        <v>18133.631999999998</v>
      </c>
      <c r="J56" s="24">
        <f t="shared" si="3"/>
        <v>1.8133631999999997E-2</v>
      </c>
      <c r="K56" s="13">
        <f t="shared" si="4"/>
        <v>2176.0358399999996</v>
      </c>
      <c r="L56" s="13">
        <f t="shared" si="5"/>
        <v>2.1760358399999995E-3</v>
      </c>
      <c r="M56" s="46">
        <f t="shared" si="6"/>
        <v>2.0309667839999997E-2</v>
      </c>
      <c r="N56" s="51">
        <f t="shared" si="7"/>
        <v>4.029696E-2</v>
      </c>
      <c r="O56" s="49">
        <f t="shared" si="8"/>
        <v>0.34236297216</v>
      </c>
    </row>
    <row r="57" spans="1:15" x14ac:dyDescent="0.7">
      <c r="A57" s="5"/>
      <c r="B57" s="5"/>
      <c r="C57" s="5">
        <v>24</v>
      </c>
      <c r="D57" s="6">
        <v>4.4749999999999996</v>
      </c>
      <c r="E57" s="3">
        <v>0</v>
      </c>
      <c r="F57" s="6">
        <v>4.4749999999999996</v>
      </c>
      <c r="G57" s="12">
        <f t="shared" si="0"/>
        <v>386639.99999999994</v>
      </c>
      <c r="H57" s="14">
        <f t="shared" si="1"/>
        <v>0.38663999999999993</v>
      </c>
      <c r="I57" s="13">
        <f t="shared" si="2"/>
        <v>17398.799999999996</v>
      </c>
      <c r="J57" s="24">
        <f t="shared" si="3"/>
        <v>1.7398799999999996E-2</v>
      </c>
      <c r="K57" s="13">
        <f t="shared" si="4"/>
        <v>2087.8559999999993</v>
      </c>
      <c r="L57" s="13">
        <f t="shared" si="5"/>
        <v>2.0878559999999995E-3</v>
      </c>
      <c r="M57" s="46">
        <f t="shared" si="6"/>
        <v>1.9486655999999995E-2</v>
      </c>
      <c r="N57" s="51">
        <f t="shared" si="7"/>
        <v>3.8663999999999997E-2</v>
      </c>
      <c r="O57" s="49">
        <f t="shared" si="8"/>
        <v>0.32848934399999996</v>
      </c>
    </row>
    <row r="58" spans="1:15" x14ac:dyDescent="0.7">
      <c r="A58" s="5"/>
      <c r="B58" s="5"/>
      <c r="C58" s="5">
        <v>25</v>
      </c>
      <c r="D58" s="6">
        <v>4.1900000000000004</v>
      </c>
      <c r="E58" s="3">
        <v>0</v>
      </c>
      <c r="F58" s="6">
        <v>4.1900000000000004</v>
      </c>
      <c r="G58" s="12">
        <f t="shared" si="0"/>
        <v>362016.00000000006</v>
      </c>
      <c r="H58" s="14">
        <f t="shared" si="1"/>
        <v>0.36201600000000006</v>
      </c>
      <c r="I58" s="13">
        <f t="shared" si="2"/>
        <v>16290.720000000001</v>
      </c>
      <c r="J58" s="24">
        <f t="shared" si="3"/>
        <v>1.6290720000000002E-2</v>
      </c>
      <c r="K58" s="13">
        <f t="shared" si="4"/>
        <v>1954.8864000000001</v>
      </c>
      <c r="L58" s="13">
        <f t="shared" si="5"/>
        <v>1.9548864E-3</v>
      </c>
      <c r="M58" s="46">
        <f t="shared" si="6"/>
        <v>1.8245606400000003E-2</v>
      </c>
      <c r="N58" s="51">
        <f t="shared" si="7"/>
        <v>3.6201600000000007E-2</v>
      </c>
      <c r="O58" s="49">
        <f t="shared" si="8"/>
        <v>0.30756879360000006</v>
      </c>
    </row>
    <row r="59" spans="1:15" x14ac:dyDescent="0.7">
      <c r="A59" s="5"/>
      <c r="B59" s="5"/>
      <c r="C59" s="5">
        <v>26</v>
      </c>
      <c r="D59" s="6">
        <v>3.855</v>
      </c>
      <c r="E59" s="3">
        <v>0</v>
      </c>
      <c r="F59" s="6">
        <v>3.855</v>
      </c>
      <c r="G59" s="12">
        <f t="shared" si="0"/>
        <v>333072</v>
      </c>
      <c r="H59" s="14">
        <f t="shared" si="1"/>
        <v>0.33307199999999998</v>
      </c>
      <c r="I59" s="13">
        <f t="shared" si="2"/>
        <v>14988.24</v>
      </c>
      <c r="J59" s="24">
        <f t="shared" si="3"/>
        <v>1.498824E-2</v>
      </c>
      <c r="K59" s="13">
        <f t="shared" si="4"/>
        <v>1798.5888</v>
      </c>
      <c r="L59" s="13">
        <f t="shared" si="5"/>
        <v>1.7985887999999999E-3</v>
      </c>
      <c r="M59" s="46">
        <f t="shared" si="6"/>
        <v>1.67868288E-2</v>
      </c>
      <c r="N59" s="51">
        <f t="shared" si="7"/>
        <v>3.3307200000000002E-2</v>
      </c>
      <c r="O59" s="49">
        <f t="shared" si="8"/>
        <v>0.28297797120000001</v>
      </c>
    </row>
    <row r="60" spans="1:15" x14ac:dyDescent="0.7">
      <c r="A60" s="10"/>
      <c r="B60" s="10"/>
      <c r="C60" s="10">
        <v>27</v>
      </c>
      <c r="D60" s="18">
        <v>3.8109999999999999</v>
      </c>
      <c r="E60" s="19">
        <v>0</v>
      </c>
      <c r="F60" s="18">
        <v>3.8109999999999999</v>
      </c>
      <c r="G60" s="20">
        <f t="shared" si="0"/>
        <v>329270.40000000002</v>
      </c>
      <c r="H60" s="21">
        <f t="shared" si="1"/>
        <v>0.32927040000000002</v>
      </c>
      <c r="I60" s="60">
        <f t="shared" si="2"/>
        <v>14817.168</v>
      </c>
      <c r="J60" s="61">
        <f t="shared" si="3"/>
        <v>1.4817168E-2</v>
      </c>
      <c r="K60" s="60">
        <f t="shared" si="4"/>
        <v>1778.06016</v>
      </c>
      <c r="L60" s="60">
        <f t="shared" si="5"/>
        <v>1.7780601599999999E-3</v>
      </c>
      <c r="M60" s="62">
        <f t="shared" si="6"/>
        <v>1.6595228159999999E-2</v>
      </c>
      <c r="N60" s="63">
        <f t="shared" si="7"/>
        <v>3.2927040000000005E-2</v>
      </c>
      <c r="O60" s="64">
        <f t="shared" si="8"/>
        <v>0.27974813184000002</v>
      </c>
    </row>
    <row r="61" spans="1:15" s="59" customFormat="1" ht="25.2" thickBot="1" x14ac:dyDescent="0.75">
      <c r="A61" s="8"/>
      <c r="B61" s="8" t="s">
        <v>16</v>
      </c>
      <c r="C61" s="8">
        <v>28</v>
      </c>
      <c r="D61" s="9">
        <v>3.8109999999999999</v>
      </c>
      <c r="E61" s="9">
        <v>0</v>
      </c>
      <c r="F61" s="9">
        <v>3.8109999999999999</v>
      </c>
      <c r="G61" s="22">
        <f t="shared" si="0"/>
        <v>329270.40000000002</v>
      </c>
      <c r="H61" s="15">
        <f t="shared" si="1"/>
        <v>0.32927040000000002</v>
      </c>
      <c r="I61" s="15">
        <f t="shared" si="2"/>
        <v>14817.168</v>
      </c>
      <c r="J61" s="25">
        <f t="shared" si="3"/>
        <v>1.4817168E-2</v>
      </c>
      <c r="K61" s="15">
        <f t="shared" si="4"/>
        <v>1778.06016</v>
      </c>
      <c r="L61" s="15">
        <f t="shared" si="5"/>
        <v>1.7780601599999999E-3</v>
      </c>
      <c r="M61" s="56">
        <f t="shared" si="6"/>
        <v>1.6595228159999999E-2</v>
      </c>
      <c r="N61" s="57">
        <f t="shared" si="7"/>
        <v>3.2927040000000005E-2</v>
      </c>
      <c r="O61" s="58">
        <f t="shared" si="8"/>
        <v>0.27974813184000002</v>
      </c>
    </row>
    <row r="62" spans="1:15" x14ac:dyDescent="0.7">
      <c r="A62" s="2"/>
      <c r="B62" s="2" t="s">
        <v>17</v>
      </c>
      <c r="C62" s="2">
        <v>1</v>
      </c>
      <c r="D62" s="3">
        <v>4.1580000000000004</v>
      </c>
      <c r="E62" s="3">
        <v>0</v>
      </c>
      <c r="F62" s="3">
        <v>4.1580000000000004</v>
      </c>
      <c r="G62" s="12">
        <f t="shared" ref="G62" si="9">F62*86400</f>
        <v>359251.20000000001</v>
      </c>
      <c r="H62" s="14">
        <f t="shared" ref="H62" si="10">G62/1000000</f>
        <v>0.35925119999999999</v>
      </c>
      <c r="I62" s="14">
        <f t="shared" si="2"/>
        <v>16166.304</v>
      </c>
      <c r="J62" s="43">
        <f t="shared" si="3"/>
        <v>1.6166303999999999E-2</v>
      </c>
      <c r="K62" s="14">
        <f t="shared" si="4"/>
        <v>1939.9564799999998</v>
      </c>
      <c r="L62" s="14">
        <f t="shared" si="5"/>
        <v>1.9399564799999999E-3</v>
      </c>
      <c r="M62" s="52">
        <f t="shared" si="6"/>
        <v>1.8106260480000001E-2</v>
      </c>
      <c r="N62" s="53">
        <f t="shared" si="7"/>
        <v>3.5925119999999998E-2</v>
      </c>
      <c r="O62" s="54">
        <f t="shared" si="8"/>
        <v>0.30521981951999999</v>
      </c>
    </row>
    <row r="63" spans="1:15" x14ac:dyDescent="0.7">
      <c r="A63" s="5"/>
      <c r="B63" s="5"/>
      <c r="C63" s="5">
        <v>2</v>
      </c>
      <c r="D63" s="6">
        <v>3.6779999999999999</v>
      </c>
      <c r="E63" s="3">
        <v>0</v>
      </c>
      <c r="F63" s="6">
        <v>3.6779999999999999</v>
      </c>
      <c r="G63" s="12">
        <f t="shared" ref="G63" si="11">F63*86400</f>
        <v>317779.20000000001</v>
      </c>
      <c r="H63" s="14">
        <f t="shared" ref="H63" si="12">G63/1000000</f>
        <v>0.31777919999999998</v>
      </c>
      <c r="I63" s="13">
        <f t="shared" si="2"/>
        <v>14300.064</v>
      </c>
      <c r="J63" s="24">
        <f t="shared" si="3"/>
        <v>1.4300063999999999E-2</v>
      </c>
      <c r="K63" s="13">
        <f t="shared" si="4"/>
        <v>1716.0076799999999</v>
      </c>
      <c r="L63" s="13">
        <f t="shared" si="5"/>
        <v>1.71600768E-3</v>
      </c>
      <c r="M63" s="46">
        <f t="shared" si="6"/>
        <v>1.6016071680000001E-2</v>
      </c>
      <c r="N63" s="51">
        <f t="shared" si="7"/>
        <v>3.1777920000000001E-2</v>
      </c>
      <c r="O63" s="49">
        <f t="shared" si="8"/>
        <v>0.26998520831999995</v>
      </c>
    </row>
    <row r="64" spans="1:15" x14ac:dyDescent="0.7">
      <c r="A64" s="5"/>
      <c r="B64" s="5"/>
      <c r="C64" s="5">
        <v>3</v>
      </c>
      <c r="D64" s="6">
        <v>3.6779999999999999</v>
      </c>
      <c r="E64" s="3">
        <v>0</v>
      </c>
      <c r="F64" s="6">
        <v>3.6779999999999999</v>
      </c>
      <c r="G64" s="12">
        <f t="shared" ref="G64" si="13">F64*86400</f>
        <v>317779.20000000001</v>
      </c>
      <c r="H64" s="14">
        <f t="shared" ref="H64" si="14">G64/1000000</f>
        <v>0.31777919999999998</v>
      </c>
      <c r="I64" s="13">
        <f t="shared" si="2"/>
        <v>14300.064</v>
      </c>
      <c r="J64" s="24">
        <f t="shared" si="3"/>
        <v>1.4300063999999999E-2</v>
      </c>
      <c r="K64" s="13">
        <f t="shared" si="4"/>
        <v>1716.0076799999999</v>
      </c>
      <c r="L64" s="13">
        <f t="shared" si="5"/>
        <v>1.71600768E-3</v>
      </c>
      <c r="M64" s="46">
        <f t="shared" si="6"/>
        <v>1.6016071680000001E-2</v>
      </c>
      <c r="N64" s="51">
        <f t="shared" si="7"/>
        <v>3.1777920000000001E-2</v>
      </c>
      <c r="O64" s="49">
        <f t="shared" si="8"/>
        <v>0.26998520831999995</v>
      </c>
    </row>
    <row r="65" spans="1:15" x14ac:dyDescent="0.7">
      <c r="A65" s="5"/>
      <c r="B65" s="5"/>
      <c r="C65" s="5">
        <v>4</v>
      </c>
      <c r="D65" s="6">
        <v>3.6779999999999999</v>
      </c>
      <c r="E65" s="3">
        <v>0</v>
      </c>
      <c r="F65" s="6">
        <v>3.6779999999999999</v>
      </c>
      <c r="G65" s="12">
        <f t="shared" ref="G65" si="15">F65*86400</f>
        <v>317779.20000000001</v>
      </c>
      <c r="H65" s="14">
        <f t="shared" ref="H65" si="16">G65/1000000</f>
        <v>0.31777919999999998</v>
      </c>
      <c r="I65" s="13">
        <f t="shared" si="2"/>
        <v>14300.064</v>
      </c>
      <c r="J65" s="24">
        <f t="shared" si="3"/>
        <v>1.4300063999999999E-2</v>
      </c>
      <c r="K65" s="13">
        <f t="shared" si="4"/>
        <v>1716.0076799999999</v>
      </c>
      <c r="L65" s="13">
        <f t="shared" si="5"/>
        <v>1.71600768E-3</v>
      </c>
      <c r="M65" s="46">
        <f t="shared" si="6"/>
        <v>1.6016071680000001E-2</v>
      </c>
      <c r="N65" s="51">
        <f t="shared" si="7"/>
        <v>3.1777920000000001E-2</v>
      </c>
      <c r="O65" s="49">
        <f t="shared" si="8"/>
        <v>0.26998520831999995</v>
      </c>
    </row>
    <row r="66" spans="1:15" x14ac:dyDescent="0.7">
      <c r="A66" s="5"/>
      <c r="B66" s="5"/>
      <c r="C66" s="5">
        <v>5</v>
      </c>
      <c r="D66" s="6">
        <v>3.6779999999999999</v>
      </c>
      <c r="E66" s="3">
        <v>0</v>
      </c>
      <c r="F66" s="6">
        <v>3.6779999999999999</v>
      </c>
      <c r="G66" s="12">
        <f t="shared" ref="G66" si="17">F66*86400</f>
        <v>317779.20000000001</v>
      </c>
      <c r="H66" s="14">
        <f t="shared" ref="H66" si="18">G66/1000000</f>
        <v>0.31777919999999998</v>
      </c>
      <c r="I66" s="13">
        <f t="shared" si="2"/>
        <v>14300.064</v>
      </c>
      <c r="J66" s="24">
        <f t="shared" si="3"/>
        <v>1.4300063999999999E-2</v>
      </c>
      <c r="K66" s="13">
        <f t="shared" si="4"/>
        <v>1716.0076799999999</v>
      </c>
      <c r="L66" s="13">
        <f t="shared" si="5"/>
        <v>1.71600768E-3</v>
      </c>
      <c r="M66" s="46">
        <f t="shared" si="6"/>
        <v>1.6016071680000001E-2</v>
      </c>
      <c r="N66" s="51">
        <f t="shared" si="7"/>
        <v>3.1777920000000001E-2</v>
      </c>
      <c r="O66" s="49">
        <f t="shared" si="8"/>
        <v>0.26998520831999995</v>
      </c>
    </row>
    <row r="67" spans="1:15" x14ac:dyDescent="0.7">
      <c r="A67" s="5"/>
      <c r="B67" s="5"/>
      <c r="C67" s="5">
        <v>6</v>
      </c>
      <c r="D67" s="6">
        <v>3.6779999999999999</v>
      </c>
      <c r="E67" s="3">
        <v>0</v>
      </c>
      <c r="F67" s="6">
        <v>3.6779999999999999</v>
      </c>
      <c r="G67" s="12">
        <f t="shared" ref="G67" si="19">F67*86400</f>
        <v>317779.20000000001</v>
      </c>
      <c r="H67" s="14">
        <f t="shared" ref="H67" si="20">G67/1000000</f>
        <v>0.31777919999999998</v>
      </c>
      <c r="I67" s="13">
        <f t="shared" si="2"/>
        <v>14300.064</v>
      </c>
      <c r="J67" s="24">
        <f t="shared" si="3"/>
        <v>1.4300063999999999E-2</v>
      </c>
      <c r="K67" s="13">
        <f t="shared" si="4"/>
        <v>1716.0076799999999</v>
      </c>
      <c r="L67" s="13">
        <f t="shared" si="5"/>
        <v>1.71600768E-3</v>
      </c>
      <c r="M67" s="46">
        <f t="shared" si="6"/>
        <v>1.6016071680000001E-2</v>
      </c>
      <c r="N67" s="51">
        <f t="shared" si="7"/>
        <v>3.1777920000000001E-2</v>
      </c>
      <c r="O67" s="49">
        <f t="shared" si="8"/>
        <v>0.26998520831999995</v>
      </c>
    </row>
    <row r="68" spans="1:15" x14ac:dyDescent="0.7">
      <c r="A68" s="5"/>
      <c r="B68" s="5"/>
      <c r="C68" s="5">
        <v>7</v>
      </c>
      <c r="D68" s="6">
        <v>3.6320000000000001</v>
      </c>
      <c r="E68" s="3">
        <v>0</v>
      </c>
      <c r="F68" s="6">
        <v>3.6320000000000001</v>
      </c>
      <c r="G68" s="12">
        <f t="shared" ref="G68" si="21">F68*86400</f>
        <v>313804.79999999999</v>
      </c>
      <c r="H68" s="14">
        <f t="shared" ref="H68" si="22">G68/1000000</f>
        <v>0.31380479999999999</v>
      </c>
      <c r="I68" s="13">
        <f t="shared" ref="I68:I131" si="23">H68*1000000*0.045</f>
        <v>14121.215999999999</v>
      </c>
      <c r="J68" s="24">
        <f t="shared" ref="J68:J131" si="24">I68/1000000</f>
        <v>1.4121215999999999E-2</v>
      </c>
      <c r="K68" s="13">
        <f t="shared" ref="K68:K131" si="25">I68*0.12</f>
        <v>1694.5459199999998</v>
      </c>
      <c r="L68" s="13">
        <f t="shared" ref="L68:L131" si="26">K68/1000000</f>
        <v>1.6945459199999998E-3</v>
      </c>
      <c r="M68" s="46">
        <f t="shared" ref="M68:M131" si="27">J68+L68</f>
        <v>1.5815761919999997E-2</v>
      </c>
      <c r="N68" s="51">
        <f t="shared" ref="N68:N131" si="28">H68*0.1</f>
        <v>3.1380480000000002E-2</v>
      </c>
      <c r="O68" s="49">
        <f t="shared" ref="O68:O131" si="29">H68-M68-N68</f>
        <v>0.26660855808</v>
      </c>
    </row>
    <row r="69" spans="1:15" x14ac:dyDescent="0.7">
      <c r="A69" s="5"/>
      <c r="B69" s="5"/>
      <c r="C69" s="5">
        <v>8</v>
      </c>
      <c r="D69" s="6">
        <v>3.6320000000000001</v>
      </c>
      <c r="E69" s="3">
        <v>0</v>
      </c>
      <c r="F69" s="6">
        <v>3.6320000000000001</v>
      </c>
      <c r="G69" s="12">
        <f t="shared" ref="G69" si="30">F69*86400</f>
        <v>313804.79999999999</v>
      </c>
      <c r="H69" s="14">
        <f t="shared" ref="H69" si="31">G69/1000000</f>
        <v>0.31380479999999999</v>
      </c>
      <c r="I69" s="13">
        <f t="shared" si="23"/>
        <v>14121.215999999999</v>
      </c>
      <c r="J69" s="24">
        <f t="shared" si="24"/>
        <v>1.4121215999999999E-2</v>
      </c>
      <c r="K69" s="13">
        <f t="shared" si="25"/>
        <v>1694.5459199999998</v>
      </c>
      <c r="L69" s="13">
        <f t="shared" si="26"/>
        <v>1.6945459199999998E-3</v>
      </c>
      <c r="M69" s="46">
        <f t="shared" si="27"/>
        <v>1.5815761919999997E-2</v>
      </c>
      <c r="N69" s="51">
        <f t="shared" si="28"/>
        <v>3.1380480000000002E-2</v>
      </c>
      <c r="O69" s="49">
        <f t="shared" si="29"/>
        <v>0.26660855808</v>
      </c>
    </row>
    <row r="70" spans="1:15" x14ac:dyDescent="0.7">
      <c r="A70" s="5"/>
      <c r="B70" s="5"/>
      <c r="C70" s="5">
        <v>9</v>
      </c>
      <c r="D70" s="6">
        <v>3.5419999999999998</v>
      </c>
      <c r="E70" s="3">
        <v>0</v>
      </c>
      <c r="F70" s="6">
        <v>3.5419999999999998</v>
      </c>
      <c r="G70" s="12">
        <f t="shared" ref="G70" si="32">F70*86400</f>
        <v>306028.79999999999</v>
      </c>
      <c r="H70" s="14">
        <f t="shared" ref="H70" si="33">G70/1000000</f>
        <v>0.30602879999999999</v>
      </c>
      <c r="I70" s="13">
        <f t="shared" si="23"/>
        <v>13771.295999999998</v>
      </c>
      <c r="J70" s="24">
        <f t="shared" si="24"/>
        <v>1.3771295999999999E-2</v>
      </c>
      <c r="K70" s="13">
        <f t="shared" si="25"/>
        <v>1652.5555199999997</v>
      </c>
      <c r="L70" s="13">
        <f t="shared" si="26"/>
        <v>1.6525555199999997E-3</v>
      </c>
      <c r="M70" s="46">
        <f t="shared" si="27"/>
        <v>1.5423851519999998E-2</v>
      </c>
      <c r="N70" s="51">
        <f t="shared" si="28"/>
        <v>3.0602879999999999E-2</v>
      </c>
      <c r="O70" s="49">
        <f t="shared" si="29"/>
        <v>0.26000206848000001</v>
      </c>
    </row>
    <row r="71" spans="1:15" x14ac:dyDescent="0.7">
      <c r="A71" s="5"/>
      <c r="B71" s="5"/>
      <c r="C71" s="5">
        <v>10</v>
      </c>
      <c r="D71" s="6">
        <v>3.4729999999999999</v>
      </c>
      <c r="E71" s="3">
        <v>0</v>
      </c>
      <c r="F71" s="6">
        <v>3.4729999999999999</v>
      </c>
      <c r="G71" s="12">
        <f t="shared" ref="G71" si="34">F71*86400</f>
        <v>300067.20000000001</v>
      </c>
      <c r="H71" s="14">
        <f t="shared" ref="H71" si="35">G71/1000000</f>
        <v>0.30006720000000003</v>
      </c>
      <c r="I71" s="13">
        <f t="shared" si="23"/>
        <v>13503.023999999999</v>
      </c>
      <c r="J71" s="24">
        <f t="shared" si="24"/>
        <v>1.3503023999999999E-2</v>
      </c>
      <c r="K71" s="13">
        <f t="shared" si="25"/>
        <v>1620.3628799999999</v>
      </c>
      <c r="L71" s="13">
        <f t="shared" si="26"/>
        <v>1.6203628799999999E-3</v>
      </c>
      <c r="M71" s="46">
        <f t="shared" si="27"/>
        <v>1.5123386879999999E-2</v>
      </c>
      <c r="N71" s="51">
        <f t="shared" si="28"/>
        <v>3.0006720000000004E-2</v>
      </c>
      <c r="O71" s="49">
        <f t="shared" si="29"/>
        <v>0.25493709312000007</v>
      </c>
    </row>
    <row r="72" spans="1:15" x14ac:dyDescent="0.7">
      <c r="A72" s="5"/>
      <c r="B72" s="5"/>
      <c r="C72" s="5">
        <v>11</v>
      </c>
      <c r="D72" s="6">
        <v>3.278</v>
      </c>
      <c r="E72" s="3">
        <v>0</v>
      </c>
      <c r="F72" s="6">
        <v>3.278</v>
      </c>
      <c r="G72" s="12">
        <f t="shared" ref="G72" si="36">F72*86400</f>
        <v>283219.20000000001</v>
      </c>
      <c r="H72" s="14">
        <f t="shared" ref="H72" si="37">G72/1000000</f>
        <v>0.2832192</v>
      </c>
      <c r="I72" s="13">
        <f t="shared" si="23"/>
        <v>12744.864</v>
      </c>
      <c r="J72" s="24">
        <f t="shared" si="24"/>
        <v>1.2744864E-2</v>
      </c>
      <c r="K72" s="13">
        <f t="shared" si="25"/>
        <v>1529.3836799999999</v>
      </c>
      <c r="L72" s="13">
        <f t="shared" si="26"/>
        <v>1.5293836799999999E-3</v>
      </c>
      <c r="M72" s="46">
        <f t="shared" si="27"/>
        <v>1.4274247679999999E-2</v>
      </c>
      <c r="N72" s="51">
        <f t="shared" si="28"/>
        <v>2.832192E-2</v>
      </c>
      <c r="O72" s="49">
        <f t="shared" si="29"/>
        <v>0.24062303231999999</v>
      </c>
    </row>
    <row r="73" spans="1:15" x14ac:dyDescent="0.7">
      <c r="A73" s="5"/>
      <c r="B73" s="5"/>
      <c r="C73" s="5">
        <v>12</v>
      </c>
      <c r="D73" s="6">
        <v>3.1240000000000001</v>
      </c>
      <c r="E73" s="3">
        <v>0</v>
      </c>
      <c r="F73" s="6">
        <v>3.1240000000000001</v>
      </c>
      <c r="G73" s="12">
        <f t="shared" ref="G73" si="38">F73*86400</f>
        <v>269913.60000000003</v>
      </c>
      <c r="H73" s="14">
        <f t="shared" ref="H73" si="39">G73/1000000</f>
        <v>0.26991360000000003</v>
      </c>
      <c r="I73" s="13">
        <f t="shared" si="23"/>
        <v>12146.112000000001</v>
      </c>
      <c r="J73" s="24">
        <f t="shared" si="24"/>
        <v>1.2146112000000001E-2</v>
      </c>
      <c r="K73" s="13">
        <f t="shared" si="25"/>
        <v>1457.5334400000002</v>
      </c>
      <c r="L73" s="13">
        <f t="shared" si="26"/>
        <v>1.4575334400000002E-3</v>
      </c>
      <c r="M73" s="46">
        <f t="shared" si="27"/>
        <v>1.3603645440000001E-2</v>
      </c>
      <c r="N73" s="51">
        <f t="shared" si="28"/>
        <v>2.6991360000000006E-2</v>
      </c>
      <c r="O73" s="49">
        <f t="shared" si="29"/>
        <v>0.22931859456000003</v>
      </c>
    </row>
    <row r="74" spans="1:15" x14ac:dyDescent="0.7">
      <c r="A74" s="5"/>
      <c r="B74" s="5"/>
      <c r="C74" s="5">
        <v>13</v>
      </c>
      <c r="D74" s="6">
        <v>3.1240000000000001</v>
      </c>
      <c r="E74" s="3">
        <v>0</v>
      </c>
      <c r="F74" s="6">
        <v>3.1240000000000001</v>
      </c>
      <c r="G74" s="12">
        <f t="shared" ref="G74" si="40">F74*86400</f>
        <v>269913.60000000003</v>
      </c>
      <c r="H74" s="14">
        <f t="shared" ref="H74" si="41">G74/1000000</f>
        <v>0.26991360000000003</v>
      </c>
      <c r="I74" s="13">
        <f t="shared" si="23"/>
        <v>12146.112000000001</v>
      </c>
      <c r="J74" s="24">
        <f t="shared" si="24"/>
        <v>1.2146112000000001E-2</v>
      </c>
      <c r="K74" s="13">
        <f t="shared" si="25"/>
        <v>1457.5334400000002</v>
      </c>
      <c r="L74" s="13">
        <f t="shared" si="26"/>
        <v>1.4575334400000002E-3</v>
      </c>
      <c r="M74" s="46">
        <f t="shared" si="27"/>
        <v>1.3603645440000001E-2</v>
      </c>
      <c r="N74" s="51">
        <f t="shared" si="28"/>
        <v>2.6991360000000006E-2</v>
      </c>
      <c r="O74" s="49">
        <f t="shared" si="29"/>
        <v>0.22931859456000003</v>
      </c>
    </row>
    <row r="75" spans="1:15" x14ac:dyDescent="0.7">
      <c r="A75" s="5"/>
      <c r="B75" s="5"/>
      <c r="C75" s="5">
        <v>14</v>
      </c>
      <c r="D75" s="6">
        <v>2.9140000000000001</v>
      </c>
      <c r="E75" s="3">
        <v>0</v>
      </c>
      <c r="F75" s="6">
        <v>2.9140000000000001</v>
      </c>
      <c r="G75" s="12">
        <f t="shared" ref="G75" si="42">F75*86400</f>
        <v>251769.60000000001</v>
      </c>
      <c r="H75" s="14">
        <f t="shared" ref="H75" si="43">G75/1000000</f>
        <v>0.25176959999999998</v>
      </c>
      <c r="I75" s="13">
        <f t="shared" si="23"/>
        <v>11329.631999999998</v>
      </c>
      <c r="J75" s="24">
        <f t="shared" si="24"/>
        <v>1.1329631999999997E-2</v>
      </c>
      <c r="K75" s="13">
        <f t="shared" si="25"/>
        <v>1359.5558399999998</v>
      </c>
      <c r="L75" s="13">
        <f t="shared" si="26"/>
        <v>1.3595558399999998E-3</v>
      </c>
      <c r="M75" s="46">
        <f t="shared" si="27"/>
        <v>1.2689187839999998E-2</v>
      </c>
      <c r="N75" s="51">
        <f t="shared" si="28"/>
        <v>2.5176959999999998E-2</v>
      </c>
      <c r="O75" s="49">
        <f t="shared" si="29"/>
        <v>0.21390345215999998</v>
      </c>
    </row>
    <row r="76" spans="1:15" x14ac:dyDescent="0.7">
      <c r="A76" s="5"/>
      <c r="B76" s="5"/>
      <c r="C76" s="5">
        <v>15</v>
      </c>
      <c r="D76" s="6">
        <v>2.8780000000000001</v>
      </c>
      <c r="E76" s="3">
        <v>0</v>
      </c>
      <c r="F76" s="6">
        <v>2.8780000000000001</v>
      </c>
      <c r="G76" s="12">
        <f t="shared" ref="G76" si="44">F76*86400</f>
        <v>248659.20000000001</v>
      </c>
      <c r="H76" s="14">
        <f t="shared" ref="H76" si="45">G76/1000000</f>
        <v>0.24865920000000002</v>
      </c>
      <c r="I76" s="13">
        <f t="shared" si="23"/>
        <v>11189.664000000001</v>
      </c>
      <c r="J76" s="24">
        <f t="shared" si="24"/>
        <v>1.1189664E-2</v>
      </c>
      <c r="K76" s="13">
        <f t="shared" si="25"/>
        <v>1342.7596800000001</v>
      </c>
      <c r="L76" s="13">
        <f t="shared" si="26"/>
        <v>1.3427596800000001E-3</v>
      </c>
      <c r="M76" s="46">
        <f t="shared" si="27"/>
        <v>1.253242368E-2</v>
      </c>
      <c r="N76" s="51">
        <f t="shared" si="28"/>
        <v>2.4865920000000003E-2</v>
      </c>
      <c r="O76" s="49">
        <f t="shared" si="29"/>
        <v>0.21126085632000002</v>
      </c>
    </row>
    <row r="77" spans="1:15" x14ac:dyDescent="0.7">
      <c r="A77" s="5"/>
      <c r="B77" s="5"/>
      <c r="C77" s="5">
        <v>16</v>
      </c>
      <c r="D77" s="6">
        <v>2.8420000000000001</v>
      </c>
      <c r="E77" s="3">
        <v>0</v>
      </c>
      <c r="F77" s="6">
        <v>2.8420000000000001</v>
      </c>
      <c r="G77" s="12">
        <f t="shared" ref="G77" si="46">F77*86400</f>
        <v>245548.80000000002</v>
      </c>
      <c r="H77" s="14">
        <f t="shared" ref="H77" si="47">G77/1000000</f>
        <v>0.24554880000000001</v>
      </c>
      <c r="I77" s="13">
        <f t="shared" si="23"/>
        <v>11049.696</v>
      </c>
      <c r="J77" s="24">
        <f t="shared" si="24"/>
        <v>1.1049695999999999E-2</v>
      </c>
      <c r="K77" s="13">
        <f t="shared" si="25"/>
        <v>1325.96352</v>
      </c>
      <c r="L77" s="13">
        <f t="shared" si="26"/>
        <v>1.32596352E-3</v>
      </c>
      <c r="M77" s="46">
        <f t="shared" si="27"/>
        <v>1.2375659519999999E-2</v>
      </c>
      <c r="N77" s="51">
        <f t="shared" si="28"/>
        <v>2.4554880000000001E-2</v>
      </c>
      <c r="O77" s="49">
        <f t="shared" si="29"/>
        <v>0.20861826048000001</v>
      </c>
    </row>
    <row r="78" spans="1:15" x14ac:dyDescent="0.7">
      <c r="A78" s="5"/>
      <c r="B78" s="5"/>
      <c r="C78" s="5">
        <v>17</v>
      </c>
      <c r="D78" s="6">
        <v>2.7679999999999998</v>
      </c>
      <c r="E78" s="3">
        <v>0</v>
      </c>
      <c r="F78" s="6">
        <v>2.7679999999999998</v>
      </c>
      <c r="G78" s="12">
        <f t="shared" ref="G78" si="48">F78*86400</f>
        <v>239155.19999999998</v>
      </c>
      <c r="H78" s="14">
        <f t="shared" ref="H78" si="49">G78/1000000</f>
        <v>0.23915519999999998</v>
      </c>
      <c r="I78" s="13">
        <f t="shared" si="23"/>
        <v>10761.983999999999</v>
      </c>
      <c r="J78" s="24">
        <f t="shared" si="24"/>
        <v>1.0761983999999999E-2</v>
      </c>
      <c r="K78" s="13">
        <f t="shared" si="25"/>
        <v>1291.4380799999997</v>
      </c>
      <c r="L78" s="13">
        <f t="shared" si="26"/>
        <v>1.2914380799999997E-3</v>
      </c>
      <c r="M78" s="46">
        <f t="shared" si="27"/>
        <v>1.2053422079999999E-2</v>
      </c>
      <c r="N78" s="51">
        <f t="shared" si="28"/>
        <v>2.3915519999999999E-2</v>
      </c>
      <c r="O78" s="49">
        <f t="shared" si="29"/>
        <v>0.20318625792</v>
      </c>
    </row>
    <row r="79" spans="1:15" x14ac:dyDescent="0.7">
      <c r="A79" s="5"/>
      <c r="B79" s="5"/>
      <c r="C79" s="5">
        <v>18</v>
      </c>
      <c r="D79" s="6">
        <v>2.7349999999999999</v>
      </c>
      <c r="E79" s="3">
        <v>0</v>
      </c>
      <c r="F79" s="6">
        <v>2.7349999999999999</v>
      </c>
      <c r="G79" s="12">
        <f t="shared" ref="G79" si="50">F79*86400</f>
        <v>236304</v>
      </c>
      <c r="H79" s="14">
        <f t="shared" ref="H79" si="51">G79/1000000</f>
        <v>0.23630399999999999</v>
      </c>
      <c r="I79" s="13">
        <f t="shared" si="23"/>
        <v>10633.68</v>
      </c>
      <c r="J79" s="24">
        <f t="shared" si="24"/>
        <v>1.063368E-2</v>
      </c>
      <c r="K79" s="13">
        <f t="shared" si="25"/>
        <v>1276.0416</v>
      </c>
      <c r="L79" s="13">
        <f t="shared" si="26"/>
        <v>1.2760416000000001E-3</v>
      </c>
      <c r="M79" s="46">
        <f t="shared" si="27"/>
        <v>1.1909721599999999E-2</v>
      </c>
      <c r="N79" s="51">
        <f t="shared" si="28"/>
        <v>2.3630399999999999E-2</v>
      </c>
      <c r="O79" s="49">
        <f t="shared" si="29"/>
        <v>0.20076387839999998</v>
      </c>
    </row>
    <row r="80" spans="1:15" x14ac:dyDescent="0.7">
      <c r="A80" s="5"/>
      <c r="B80" s="5"/>
      <c r="C80" s="5">
        <v>19</v>
      </c>
      <c r="D80" s="6">
        <v>2.6589999999999998</v>
      </c>
      <c r="E80" s="3">
        <v>0</v>
      </c>
      <c r="F80" s="6">
        <v>2.6589999999999998</v>
      </c>
      <c r="G80" s="12">
        <f t="shared" ref="G80" si="52">F80*86400</f>
        <v>229737.59999999998</v>
      </c>
      <c r="H80" s="14">
        <f t="shared" ref="H80" si="53">G80/1000000</f>
        <v>0.22973759999999999</v>
      </c>
      <c r="I80" s="13">
        <f t="shared" si="23"/>
        <v>10338.191999999999</v>
      </c>
      <c r="J80" s="24">
        <f t="shared" si="24"/>
        <v>1.0338192E-2</v>
      </c>
      <c r="K80" s="13">
        <f t="shared" si="25"/>
        <v>1240.5830399999998</v>
      </c>
      <c r="L80" s="13">
        <f t="shared" si="26"/>
        <v>1.2405830399999998E-3</v>
      </c>
      <c r="M80" s="46">
        <f t="shared" si="27"/>
        <v>1.1578775039999999E-2</v>
      </c>
      <c r="N80" s="51">
        <f t="shared" si="28"/>
        <v>2.2973759999999999E-2</v>
      </c>
      <c r="O80" s="49">
        <f t="shared" si="29"/>
        <v>0.19518506495999999</v>
      </c>
    </row>
    <row r="81" spans="1:15" x14ac:dyDescent="0.7">
      <c r="A81" s="5"/>
      <c r="B81" s="5"/>
      <c r="C81" s="5">
        <v>20</v>
      </c>
      <c r="D81" s="6">
        <v>2.6589999999999998</v>
      </c>
      <c r="E81" s="3">
        <v>0</v>
      </c>
      <c r="F81" s="6">
        <v>2.6589999999999998</v>
      </c>
      <c r="G81" s="12">
        <f t="shared" ref="G81" si="54">F81*86400</f>
        <v>229737.59999999998</v>
      </c>
      <c r="H81" s="14">
        <f t="shared" ref="H81" si="55">G81/1000000</f>
        <v>0.22973759999999999</v>
      </c>
      <c r="I81" s="13">
        <f t="shared" si="23"/>
        <v>10338.191999999999</v>
      </c>
      <c r="J81" s="24">
        <f t="shared" si="24"/>
        <v>1.0338192E-2</v>
      </c>
      <c r="K81" s="13">
        <f t="shared" si="25"/>
        <v>1240.5830399999998</v>
      </c>
      <c r="L81" s="13">
        <f t="shared" si="26"/>
        <v>1.2405830399999998E-3</v>
      </c>
      <c r="M81" s="46">
        <f t="shared" si="27"/>
        <v>1.1578775039999999E-2</v>
      </c>
      <c r="N81" s="51">
        <f t="shared" si="28"/>
        <v>2.2973759999999999E-2</v>
      </c>
      <c r="O81" s="49">
        <f t="shared" si="29"/>
        <v>0.19518506495999999</v>
      </c>
    </row>
    <row r="82" spans="1:15" x14ac:dyDescent="0.7">
      <c r="A82" s="5"/>
      <c r="B82" s="5"/>
      <c r="C82" s="5">
        <v>21</v>
      </c>
      <c r="D82" s="6">
        <v>2.6589999999999998</v>
      </c>
      <c r="E82" s="3">
        <v>0</v>
      </c>
      <c r="F82" s="6">
        <v>2.6589999999999998</v>
      </c>
      <c r="G82" s="12">
        <f t="shared" ref="G82" si="56">F82*86400</f>
        <v>229737.59999999998</v>
      </c>
      <c r="H82" s="14">
        <f t="shared" ref="H82" si="57">G82/1000000</f>
        <v>0.22973759999999999</v>
      </c>
      <c r="I82" s="13">
        <f t="shared" si="23"/>
        <v>10338.191999999999</v>
      </c>
      <c r="J82" s="24">
        <f t="shared" si="24"/>
        <v>1.0338192E-2</v>
      </c>
      <c r="K82" s="13">
        <f t="shared" si="25"/>
        <v>1240.5830399999998</v>
      </c>
      <c r="L82" s="13">
        <f t="shared" si="26"/>
        <v>1.2405830399999998E-3</v>
      </c>
      <c r="M82" s="46">
        <f t="shared" si="27"/>
        <v>1.1578775039999999E-2</v>
      </c>
      <c r="N82" s="51">
        <f t="shared" si="28"/>
        <v>2.2973759999999999E-2</v>
      </c>
      <c r="O82" s="49">
        <f t="shared" si="29"/>
        <v>0.19518506495999999</v>
      </c>
    </row>
    <row r="83" spans="1:15" x14ac:dyDescent="0.7">
      <c r="A83" s="5"/>
      <c r="B83" s="5"/>
      <c r="C83" s="5">
        <v>22</v>
      </c>
      <c r="D83" s="6">
        <v>2.6589999999999998</v>
      </c>
      <c r="E83" s="3">
        <v>0</v>
      </c>
      <c r="F83" s="6">
        <v>2.6589999999999998</v>
      </c>
      <c r="G83" s="12">
        <f t="shared" ref="G83" si="58">F83*86400</f>
        <v>229737.59999999998</v>
      </c>
      <c r="H83" s="14">
        <f t="shared" ref="H83" si="59">G83/1000000</f>
        <v>0.22973759999999999</v>
      </c>
      <c r="I83" s="13">
        <f t="shared" si="23"/>
        <v>10338.191999999999</v>
      </c>
      <c r="J83" s="24">
        <f t="shared" si="24"/>
        <v>1.0338192E-2</v>
      </c>
      <c r="K83" s="13">
        <f t="shared" si="25"/>
        <v>1240.5830399999998</v>
      </c>
      <c r="L83" s="13">
        <f t="shared" si="26"/>
        <v>1.2405830399999998E-3</v>
      </c>
      <c r="M83" s="46">
        <f t="shared" si="27"/>
        <v>1.1578775039999999E-2</v>
      </c>
      <c r="N83" s="51">
        <f t="shared" si="28"/>
        <v>2.2973759999999999E-2</v>
      </c>
      <c r="O83" s="49">
        <f t="shared" si="29"/>
        <v>0.19518506495999999</v>
      </c>
    </row>
    <row r="84" spans="1:15" x14ac:dyDescent="0.7">
      <c r="A84" s="5"/>
      <c r="B84" s="5"/>
      <c r="C84" s="5">
        <v>23</v>
      </c>
      <c r="D84" s="6">
        <v>2.621</v>
      </c>
      <c r="E84" s="3">
        <v>0</v>
      </c>
      <c r="F84" s="6">
        <v>2.621</v>
      </c>
      <c r="G84" s="12">
        <f t="shared" ref="G84" si="60">F84*86400</f>
        <v>226454.39999999999</v>
      </c>
      <c r="H84" s="14">
        <f t="shared" ref="H84" si="61">G84/1000000</f>
        <v>0.2264544</v>
      </c>
      <c r="I84" s="13">
        <f t="shared" si="23"/>
        <v>10190.447999999999</v>
      </c>
      <c r="J84" s="24">
        <f t="shared" si="24"/>
        <v>1.0190447999999998E-2</v>
      </c>
      <c r="K84" s="13">
        <f t="shared" si="25"/>
        <v>1222.8537599999997</v>
      </c>
      <c r="L84" s="13">
        <f t="shared" si="26"/>
        <v>1.2228537599999997E-3</v>
      </c>
      <c r="M84" s="46">
        <f t="shared" si="27"/>
        <v>1.1413301759999998E-2</v>
      </c>
      <c r="N84" s="51">
        <f t="shared" si="28"/>
        <v>2.2645440000000003E-2</v>
      </c>
      <c r="O84" s="49">
        <f t="shared" si="29"/>
        <v>0.19239565823999999</v>
      </c>
    </row>
    <row r="85" spans="1:15" x14ac:dyDescent="0.7">
      <c r="A85" s="5"/>
      <c r="B85" s="5"/>
      <c r="C85" s="5">
        <v>24</v>
      </c>
      <c r="D85" s="6">
        <v>2.621</v>
      </c>
      <c r="E85" s="3">
        <v>0</v>
      </c>
      <c r="F85" s="6">
        <v>2.621</v>
      </c>
      <c r="G85" s="12">
        <f t="shared" ref="G85" si="62">F85*86400</f>
        <v>226454.39999999999</v>
      </c>
      <c r="H85" s="14">
        <f t="shared" ref="H85" si="63">G85/1000000</f>
        <v>0.2264544</v>
      </c>
      <c r="I85" s="13">
        <f t="shared" si="23"/>
        <v>10190.447999999999</v>
      </c>
      <c r="J85" s="24">
        <f t="shared" si="24"/>
        <v>1.0190447999999998E-2</v>
      </c>
      <c r="K85" s="13">
        <f t="shared" si="25"/>
        <v>1222.8537599999997</v>
      </c>
      <c r="L85" s="13">
        <f t="shared" si="26"/>
        <v>1.2228537599999997E-3</v>
      </c>
      <c r="M85" s="46">
        <f t="shared" si="27"/>
        <v>1.1413301759999998E-2</v>
      </c>
      <c r="N85" s="51">
        <f t="shared" si="28"/>
        <v>2.2645440000000003E-2</v>
      </c>
      <c r="O85" s="49">
        <f t="shared" si="29"/>
        <v>0.19239565823999999</v>
      </c>
    </row>
    <row r="86" spans="1:15" x14ac:dyDescent="0.7">
      <c r="A86" s="5"/>
      <c r="B86" s="5"/>
      <c r="C86" s="5">
        <v>25</v>
      </c>
      <c r="D86" s="6">
        <v>2.621</v>
      </c>
      <c r="E86" s="3">
        <v>0</v>
      </c>
      <c r="F86" s="6">
        <v>2.621</v>
      </c>
      <c r="G86" s="12">
        <f t="shared" ref="G86" si="64">F86*86400</f>
        <v>226454.39999999999</v>
      </c>
      <c r="H86" s="14">
        <f t="shared" ref="H86" si="65">G86/1000000</f>
        <v>0.2264544</v>
      </c>
      <c r="I86" s="13">
        <f t="shared" si="23"/>
        <v>10190.447999999999</v>
      </c>
      <c r="J86" s="24">
        <f t="shared" si="24"/>
        <v>1.0190447999999998E-2</v>
      </c>
      <c r="K86" s="13">
        <f t="shared" si="25"/>
        <v>1222.8537599999997</v>
      </c>
      <c r="L86" s="13">
        <f t="shared" si="26"/>
        <v>1.2228537599999997E-3</v>
      </c>
      <c r="M86" s="46">
        <f t="shared" si="27"/>
        <v>1.1413301759999998E-2</v>
      </c>
      <c r="N86" s="51">
        <f t="shared" si="28"/>
        <v>2.2645440000000003E-2</v>
      </c>
      <c r="O86" s="49">
        <f t="shared" si="29"/>
        <v>0.19239565823999999</v>
      </c>
    </row>
    <row r="87" spans="1:15" x14ac:dyDescent="0.7">
      <c r="A87" s="5"/>
      <c r="B87" s="5"/>
      <c r="C87" s="5">
        <v>26</v>
      </c>
      <c r="D87" s="6">
        <v>2.548</v>
      </c>
      <c r="E87" s="3">
        <v>0</v>
      </c>
      <c r="F87" s="6">
        <v>2.548</v>
      </c>
      <c r="G87" s="12">
        <f t="shared" ref="G87" si="66">F87*86400</f>
        <v>220147.20000000001</v>
      </c>
      <c r="H87" s="14">
        <f t="shared" ref="H87" si="67">G87/1000000</f>
        <v>0.22014720000000002</v>
      </c>
      <c r="I87" s="13">
        <f t="shared" si="23"/>
        <v>9906.6239999999998</v>
      </c>
      <c r="J87" s="24">
        <f t="shared" si="24"/>
        <v>9.9066239999999993E-3</v>
      </c>
      <c r="K87" s="13">
        <f t="shared" si="25"/>
        <v>1188.7948799999999</v>
      </c>
      <c r="L87" s="13">
        <f t="shared" si="26"/>
        <v>1.1887948799999999E-3</v>
      </c>
      <c r="M87" s="46">
        <f t="shared" si="27"/>
        <v>1.1095418879999999E-2</v>
      </c>
      <c r="N87" s="51">
        <f t="shared" si="28"/>
        <v>2.2014720000000002E-2</v>
      </c>
      <c r="O87" s="49">
        <f t="shared" si="29"/>
        <v>0.18703706112000001</v>
      </c>
    </row>
    <row r="88" spans="1:15" x14ac:dyDescent="0.7">
      <c r="A88" s="5"/>
      <c r="B88" s="5"/>
      <c r="C88" s="5">
        <v>27</v>
      </c>
      <c r="D88" s="6">
        <v>2.548</v>
      </c>
      <c r="E88" s="3">
        <v>27</v>
      </c>
      <c r="F88" s="6">
        <v>2.548</v>
      </c>
      <c r="G88" s="12">
        <f t="shared" ref="G88" si="68">F88*86400</f>
        <v>220147.20000000001</v>
      </c>
      <c r="H88" s="14">
        <f t="shared" ref="H88" si="69">G88/1000000</f>
        <v>0.22014720000000002</v>
      </c>
      <c r="I88" s="13">
        <f t="shared" si="23"/>
        <v>9906.6239999999998</v>
      </c>
      <c r="J88" s="24">
        <f t="shared" si="24"/>
        <v>9.9066239999999993E-3</v>
      </c>
      <c r="K88" s="13">
        <f t="shared" si="25"/>
        <v>1188.7948799999999</v>
      </c>
      <c r="L88" s="13">
        <f t="shared" si="26"/>
        <v>1.1887948799999999E-3</v>
      </c>
      <c r="M88" s="46">
        <f t="shared" si="27"/>
        <v>1.1095418879999999E-2</v>
      </c>
      <c r="N88" s="51">
        <f t="shared" si="28"/>
        <v>2.2014720000000002E-2</v>
      </c>
      <c r="O88" s="49">
        <f t="shared" si="29"/>
        <v>0.18703706112000001</v>
      </c>
    </row>
    <row r="89" spans="1:15" x14ac:dyDescent="0.7">
      <c r="A89" s="5"/>
      <c r="B89" s="5"/>
      <c r="C89" s="5">
        <v>28</v>
      </c>
      <c r="D89" s="6">
        <v>2.8780000000000001</v>
      </c>
      <c r="E89" s="3">
        <v>0</v>
      </c>
      <c r="F89" s="6">
        <v>2.8780000000000001</v>
      </c>
      <c r="G89" s="12">
        <f t="shared" ref="G89" si="70">F89*86400</f>
        <v>248659.20000000001</v>
      </c>
      <c r="H89" s="14">
        <f t="shared" ref="H89" si="71">G89/1000000</f>
        <v>0.24865920000000002</v>
      </c>
      <c r="I89" s="13">
        <f t="shared" si="23"/>
        <v>11189.664000000001</v>
      </c>
      <c r="J89" s="24">
        <f t="shared" si="24"/>
        <v>1.1189664E-2</v>
      </c>
      <c r="K89" s="13">
        <f t="shared" si="25"/>
        <v>1342.7596800000001</v>
      </c>
      <c r="L89" s="13">
        <f t="shared" si="26"/>
        <v>1.3427596800000001E-3</v>
      </c>
      <c r="M89" s="46">
        <f t="shared" si="27"/>
        <v>1.253242368E-2</v>
      </c>
      <c r="N89" s="51">
        <f t="shared" si="28"/>
        <v>2.4865920000000003E-2</v>
      </c>
      <c r="O89" s="49">
        <f t="shared" si="29"/>
        <v>0.21126085632000002</v>
      </c>
    </row>
    <row r="90" spans="1:15" x14ac:dyDescent="0.7">
      <c r="A90" s="10"/>
      <c r="B90" s="10"/>
      <c r="C90" s="10">
        <v>29</v>
      </c>
      <c r="D90" s="18">
        <v>2.6589999999999998</v>
      </c>
      <c r="E90" s="3">
        <v>0</v>
      </c>
      <c r="F90" s="18">
        <v>2.6589999999999998</v>
      </c>
      <c r="G90" s="20">
        <f t="shared" ref="G90" si="72">F90*86400</f>
        <v>229737.59999999998</v>
      </c>
      <c r="H90" s="21">
        <f t="shared" ref="H90" si="73">G90/1000000</f>
        <v>0.22973759999999999</v>
      </c>
      <c r="I90" s="13">
        <f t="shared" si="23"/>
        <v>10338.191999999999</v>
      </c>
      <c r="J90" s="24">
        <f t="shared" si="24"/>
        <v>1.0338192E-2</v>
      </c>
      <c r="K90" s="13">
        <f t="shared" si="25"/>
        <v>1240.5830399999998</v>
      </c>
      <c r="L90" s="13">
        <f t="shared" si="26"/>
        <v>1.2405830399999998E-3</v>
      </c>
      <c r="M90" s="46">
        <f t="shared" si="27"/>
        <v>1.1578775039999999E-2</v>
      </c>
      <c r="N90" s="51">
        <f t="shared" si="28"/>
        <v>2.2973759999999999E-2</v>
      </c>
      <c r="O90" s="49">
        <f t="shared" si="29"/>
        <v>0.19518506495999999</v>
      </c>
    </row>
    <row r="91" spans="1:15" s="23" customFormat="1" x14ac:dyDescent="0.7">
      <c r="A91" s="10"/>
      <c r="B91" s="10"/>
      <c r="C91" s="10">
        <v>30</v>
      </c>
      <c r="D91" s="18">
        <v>2.6589999999999998</v>
      </c>
      <c r="E91" s="19">
        <v>0</v>
      </c>
      <c r="F91" s="18">
        <v>2.6589999999999998</v>
      </c>
      <c r="G91" s="65">
        <f t="shared" ref="G91" si="74">F91*86400</f>
        <v>229737.59999999998</v>
      </c>
      <c r="H91" s="60">
        <f t="shared" ref="H91" si="75">G91/1000000</f>
        <v>0.22973759999999999</v>
      </c>
      <c r="I91" s="60">
        <f t="shared" si="23"/>
        <v>10338.191999999999</v>
      </c>
      <c r="J91" s="61">
        <f t="shared" si="24"/>
        <v>1.0338192E-2</v>
      </c>
      <c r="K91" s="60">
        <f t="shared" si="25"/>
        <v>1240.5830399999998</v>
      </c>
      <c r="L91" s="60">
        <f t="shared" si="26"/>
        <v>1.2405830399999998E-3</v>
      </c>
      <c r="M91" s="62">
        <f t="shared" si="27"/>
        <v>1.1578775039999999E-2</v>
      </c>
      <c r="N91" s="63">
        <f t="shared" si="28"/>
        <v>2.2973759999999999E-2</v>
      </c>
      <c r="O91" s="64">
        <f t="shared" si="29"/>
        <v>0.19518506495999999</v>
      </c>
    </row>
    <row r="92" spans="1:15" s="59" customFormat="1" ht="25.2" thickBot="1" x14ac:dyDescent="0.75">
      <c r="A92" s="8"/>
      <c r="B92" s="8" t="s">
        <v>17</v>
      </c>
      <c r="C92" s="8">
        <v>31</v>
      </c>
      <c r="D92" s="9">
        <v>2.4</v>
      </c>
      <c r="E92" s="9">
        <v>0</v>
      </c>
      <c r="F92" s="9">
        <v>2.4</v>
      </c>
      <c r="G92" s="22">
        <f t="shared" ref="G92" si="76">F92*86400</f>
        <v>207360</v>
      </c>
      <c r="H92" s="15">
        <f t="shared" ref="H92" si="77">G92/1000000</f>
        <v>0.20735999999999999</v>
      </c>
      <c r="I92" s="15">
        <f t="shared" si="23"/>
        <v>9331.1999999999989</v>
      </c>
      <c r="J92" s="25">
        <f t="shared" si="24"/>
        <v>9.3311999999999996E-3</v>
      </c>
      <c r="K92" s="15">
        <f t="shared" si="25"/>
        <v>1119.7439999999999</v>
      </c>
      <c r="L92" s="15">
        <f t="shared" si="26"/>
        <v>1.119744E-3</v>
      </c>
      <c r="M92" s="56">
        <f t="shared" si="27"/>
        <v>1.0450944E-2</v>
      </c>
      <c r="N92" s="57">
        <f t="shared" si="28"/>
        <v>2.0736000000000001E-2</v>
      </c>
      <c r="O92" s="58">
        <f t="shared" si="29"/>
        <v>0.17617305599999999</v>
      </c>
    </row>
    <row r="93" spans="1:15" x14ac:dyDescent="0.7">
      <c r="A93" s="2"/>
      <c r="B93" s="2" t="s">
        <v>18</v>
      </c>
      <c r="C93" s="2">
        <v>1</v>
      </c>
      <c r="D93" s="3">
        <v>2.34</v>
      </c>
      <c r="E93" s="3">
        <v>12.8</v>
      </c>
      <c r="F93" s="3">
        <v>2.34</v>
      </c>
      <c r="G93" s="12">
        <f t="shared" ref="G93" si="78">F93*86400</f>
        <v>202176</v>
      </c>
      <c r="H93" s="14">
        <f t="shared" ref="H93" si="79">G93/1000000</f>
        <v>0.20217599999999999</v>
      </c>
      <c r="I93" s="14">
        <f t="shared" si="23"/>
        <v>9097.92</v>
      </c>
      <c r="J93" s="43">
        <f t="shared" si="24"/>
        <v>9.0979200000000007E-3</v>
      </c>
      <c r="K93" s="14">
        <f t="shared" si="25"/>
        <v>1091.7503999999999</v>
      </c>
      <c r="L93" s="14">
        <f t="shared" si="26"/>
        <v>1.0917504E-3</v>
      </c>
      <c r="M93" s="52">
        <f t="shared" si="27"/>
        <v>1.01896704E-2</v>
      </c>
      <c r="N93" s="53">
        <f t="shared" si="28"/>
        <v>2.0217600000000002E-2</v>
      </c>
      <c r="O93" s="54">
        <f t="shared" si="29"/>
        <v>0.1717687296</v>
      </c>
    </row>
    <row r="94" spans="1:15" x14ac:dyDescent="0.7">
      <c r="A94" s="5"/>
      <c r="B94" s="5"/>
      <c r="C94" s="5">
        <v>2</v>
      </c>
      <c r="D94" s="6">
        <v>2.6949999999999998</v>
      </c>
      <c r="E94" s="3">
        <v>0</v>
      </c>
      <c r="F94" s="6">
        <v>2.6949999999999998</v>
      </c>
      <c r="G94" s="12">
        <f t="shared" ref="G94" si="80">F94*86400</f>
        <v>232848</v>
      </c>
      <c r="H94" s="14">
        <f t="shared" ref="H94" si="81">G94/1000000</f>
        <v>0.232848</v>
      </c>
      <c r="I94" s="13">
        <f t="shared" si="23"/>
        <v>10478.16</v>
      </c>
      <c r="J94" s="24">
        <f t="shared" si="24"/>
        <v>1.047816E-2</v>
      </c>
      <c r="K94" s="13">
        <f t="shared" si="25"/>
        <v>1257.3791999999999</v>
      </c>
      <c r="L94" s="13">
        <f t="shared" si="26"/>
        <v>1.2573791999999999E-3</v>
      </c>
      <c r="M94" s="46">
        <f t="shared" si="27"/>
        <v>1.1735539200000001E-2</v>
      </c>
      <c r="N94" s="51">
        <f t="shared" si="28"/>
        <v>2.3284800000000001E-2</v>
      </c>
      <c r="O94" s="49">
        <f t="shared" si="29"/>
        <v>0.1978276608</v>
      </c>
    </row>
    <row r="95" spans="1:15" x14ac:dyDescent="0.7">
      <c r="A95" s="5"/>
      <c r="B95" s="5"/>
      <c r="C95" s="5">
        <v>3</v>
      </c>
      <c r="D95" s="6">
        <v>4.0220000000000002</v>
      </c>
      <c r="E95" s="3">
        <v>7</v>
      </c>
      <c r="F95" s="6">
        <v>4.0220000000000002</v>
      </c>
      <c r="G95" s="12">
        <f t="shared" ref="G95" si="82">F95*86400</f>
        <v>347500.80000000005</v>
      </c>
      <c r="H95" s="14">
        <f t="shared" ref="H95" si="83">G95/1000000</f>
        <v>0.34750080000000005</v>
      </c>
      <c r="I95" s="13">
        <f t="shared" si="23"/>
        <v>15637.536000000002</v>
      </c>
      <c r="J95" s="24">
        <f t="shared" si="24"/>
        <v>1.5637536E-2</v>
      </c>
      <c r="K95" s="13">
        <f t="shared" si="25"/>
        <v>1876.5043200000002</v>
      </c>
      <c r="L95" s="13">
        <f t="shared" si="26"/>
        <v>1.8765043200000002E-3</v>
      </c>
      <c r="M95" s="46">
        <f t="shared" si="27"/>
        <v>1.751404032E-2</v>
      </c>
      <c r="N95" s="51">
        <f t="shared" si="28"/>
        <v>3.475008000000001E-2</v>
      </c>
      <c r="O95" s="49">
        <f t="shared" si="29"/>
        <v>0.29523667968000006</v>
      </c>
    </row>
    <row r="96" spans="1:15" x14ac:dyDescent="0.7">
      <c r="A96" s="5"/>
      <c r="B96" s="5"/>
      <c r="C96" s="5">
        <v>4</v>
      </c>
      <c r="D96" s="6">
        <v>3.35</v>
      </c>
      <c r="E96" s="3">
        <v>1.2</v>
      </c>
      <c r="F96" s="6">
        <v>3.35</v>
      </c>
      <c r="G96" s="12">
        <f t="shared" ref="G96" si="84">F96*86400</f>
        <v>289440</v>
      </c>
      <c r="H96" s="14">
        <f t="shared" ref="H96" si="85">G96/1000000</f>
        <v>0.28943999999999998</v>
      </c>
      <c r="I96" s="13">
        <f t="shared" si="23"/>
        <v>13024.8</v>
      </c>
      <c r="J96" s="24">
        <f t="shared" si="24"/>
        <v>1.30248E-2</v>
      </c>
      <c r="K96" s="13">
        <f t="shared" si="25"/>
        <v>1562.9759999999999</v>
      </c>
      <c r="L96" s="13">
        <f t="shared" si="26"/>
        <v>1.562976E-3</v>
      </c>
      <c r="M96" s="46">
        <f t="shared" si="27"/>
        <v>1.4587776E-2</v>
      </c>
      <c r="N96" s="51">
        <f t="shared" si="28"/>
        <v>2.8943999999999998E-2</v>
      </c>
      <c r="O96" s="49">
        <f t="shared" si="29"/>
        <v>0.24590822399999998</v>
      </c>
    </row>
    <row r="97" spans="1:15" x14ac:dyDescent="0.7">
      <c r="A97" s="5"/>
      <c r="B97" s="5"/>
      <c r="C97" s="5">
        <v>5</v>
      </c>
      <c r="D97" s="6">
        <v>3.5579999999999998</v>
      </c>
      <c r="E97" s="3">
        <v>0</v>
      </c>
      <c r="F97" s="6">
        <v>3.5579999999999998</v>
      </c>
      <c r="G97" s="12">
        <f t="shared" ref="G97" si="86">F97*86400</f>
        <v>307411.20000000001</v>
      </c>
      <c r="H97" s="14">
        <f t="shared" ref="H97" si="87">G97/1000000</f>
        <v>0.3074112</v>
      </c>
      <c r="I97" s="13">
        <f t="shared" si="23"/>
        <v>13833.504000000001</v>
      </c>
      <c r="J97" s="24">
        <f t="shared" si="24"/>
        <v>1.3833504000000002E-2</v>
      </c>
      <c r="K97" s="13">
        <f t="shared" si="25"/>
        <v>1660.0204800000001</v>
      </c>
      <c r="L97" s="13">
        <f t="shared" si="26"/>
        <v>1.6600204800000001E-3</v>
      </c>
      <c r="M97" s="46">
        <f t="shared" si="27"/>
        <v>1.5493524480000001E-2</v>
      </c>
      <c r="N97" s="51">
        <f t="shared" si="28"/>
        <v>3.074112E-2</v>
      </c>
      <c r="O97" s="49">
        <f t="shared" si="29"/>
        <v>0.26117655551999996</v>
      </c>
    </row>
    <row r="98" spans="1:15" x14ac:dyDescent="0.7">
      <c r="A98" s="5"/>
      <c r="B98" s="5"/>
      <c r="C98" s="5">
        <v>6</v>
      </c>
      <c r="D98" s="6">
        <v>3.35</v>
      </c>
      <c r="E98" s="3">
        <v>0</v>
      </c>
      <c r="F98" s="6">
        <v>3.35</v>
      </c>
      <c r="G98" s="12">
        <f t="shared" ref="G98" si="88">F98*86400</f>
        <v>289440</v>
      </c>
      <c r="H98" s="14">
        <f t="shared" ref="H98" si="89">G98/1000000</f>
        <v>0.28943999999999998</v>
      </c>
      <c r="I98" s="13">
        <f t="shared" si="23"/>
        <v>13024.8</v>
      </c>
      <c r="J98" s="24">
        <f t="shared" si="24"/>
        <v>1.30248E-2</v>
      </c>
      <c r="K98" s="13">
        <f t="shared" si="25"/>
        <v>1562.9759999999999</v>
      </c>
      <c r="L98" s="13">
        <f t="shared" si="26"/>
        <v>1.562976E-3</v>
      </c>
      <c r="M98" s="46">
        <f t="shared" si="27"/>
        <v>1.4587776E-2</v>
      </c>
      <c r="N98" s="51">
        <f t="shared" si="28"/>
        <v>2.8943999999999998E-2</v>
      </c>
      <c r="O98" s="49">
        <f t="shared" si="29"/>
        <v>0.24590822399999998</v>
      </c>
    </row>
    <row r="99" spans="1:15" x14ac:dyDescent="0.7">
      <c r="A99" s="5"/>
      <c r="B99" s="5"/>
      <c r="C99" s="5">
        <v>7</v>
      </c>
      <c r="D99" s="6">
        <v>3.266</v>
      </c>
      <c r="E99" s="3">
        <v>0</v>
      </c>
      <c r="F99" s="6">
        <v>3.266</v>
      </c>
      <c r="G99" s="12">
        <f t="shared" ref="G99" si="90">F99*86400</f>
        <v>282182.40000000002</v>
      </c>
      <c r="H99" s="14">
        <f t="shared" ref="H99" si="91">G99/1000000</f>
        <v>0.2821824</v>
      </c>
      <c r="I99" s="13">
        <f t="shared" si="23"/>
        <v>12698.208000000001</v>
      </c>
      <c r="J99" s="24">
        <f t="shared" si="24"/>
        <v>1.2698208000000001E-2</v>
      </c>
      <c r="K99" s="13">
        <f t="shared" si="25"/>
        <v>1523.78496</v>
      </c>
      <c r="L99" s="13">
        <f t="shared" si="26"/>
        <v>1.5237849599999999E-3</v>
      </c>
      <c r="M99" s="46">
        <f t="shared" si="27"/>
        <v>1.4221992960000001E-2</v>
      </c>
      <c r="N99" s="51">
        <f t="shared" si="28"/>
        <v>2.8218240000000002E-2</v>
      </c>
      <c r="O99" s="49">
        <f t="shared" si="29"/>
        <v>0.23974216704000001</v>
      </c>
    </row>
    <row r="100" spans="1:15" x14ac:dyDescent="0.7">
      <c r="A100" s="5"/>
      <c r="B100" s="5"/>
      <c r="C100" s="5">
        <v>8</v>
      </c>
      <c r="D100" s="6">
        <v>3.0590000000000002</v>
      </c>
      <c r="E100" s="3">
        <v>0</v>
      </c>
      <c r="F100" s="6">
        <v>3.0590000000000002</v>
      </c>
      <c r="G100" s="12">
        <f t="shared" ref="G100" si="92">F100*86400</f>
        <v>264297.60000000003</v>
      </c>
      <c r="H100" s="14">
        <f t="shared" ref="H100" si="93">G100/1000000</f>
        <v>0.26429760000000002</v>
      </c>
      <c r="I100" s="13">
        <f t="shared" si="23"/>
        <v>11893.392000000002</v>
      </c>
      <c r="J100" s="24">
        <f t="shared" si="24"/>
        <v>1.1893392000000001E-2</v>
      </c>
      <c r="K100" s="13">
        <f t="shared" si="25"/>
        <v>1427.2070400000002</v>
      </c>
      <c r="L100" s="13">
        <f t="shared" si="26"/>
        <v>1.4272070400000003E-3</v>
      </c>
      <c r="M100" s="46">
        <f t="shared" si="27"/>
        <v>1.3320599040000001E-2</v>
      </c>
      <c r="N100" s="51">
        <f t="shared" si="28"/>
        <v>2.6429760000000004E-2</v>
      </c>
      <c r="O100" s="49">
        <f t="shared" si="29"/>
        <v>0.22454724096000003</v>
      </c>
    </row>
    <row r="101" spans="1:15" x14ac:dyDescent="0.7">
      <c r="A101" s="5"/>
      <c r="B101" s="5"/>
      <c r="C101" s="5">
        <v>9</v>
      </c>
      <c r="D101" s="6">
        <v>3.016</v>
      </c>
      <c r="E101" s="3">
        <v>0</v>
      </c>
      <c r="F101" s="6">
        <v>3.016</v>
      </c>
      <c r="G101" s="12">
        <f t="shared" ref="G101" si="94">F101*86400</f>
        <v>260582.39999999999</v>
      </c>
      <c r="H101" s="14">
        <f t="shared" ref="H101" si="95">G101/1000000</f>
        <v>0.26058239999999999</v>
      </c>
      <c r="I101" s="13">
        <f t="shared" si="23"/>
        <v>11726.207999999999</v>
      </c>
      <c r="J101" s="24">
        <f t="shared" si="24"/>
        <v>1.1726207999999998E-2</v>
      </c>
      <c r="K101" s="13">
        <f t="shared" si="25"/>
        <v>1407.1449599999999</v>
      </c>
      <c r="L101" s="13">
        <f t="shared" si="26"/>
        <v>1.4071449599999998E-3</v>
      </c>
      <c r="M101" s="46">
        <f t="shared" si="27"/>
        <v>1.3133352959999999E-2</v>
      </c>
      <c r="N101" s="51">
        <f t="shared" si="28"/>
        <v>2.605824E-2</v>
      </c>
      <c r="O101" s="49">
        <f t="shared" si="29"/>
        <v>0.22139080703999997</v>
      </c>
    </row>
    <row r="102" spans="1:15" x14ac:dyDescent="0.7">
      <c r="A102" s="5"/>
      <c r="B102" s="5"/>
      <c r="C102" s="5">
        <v>10</v>
      </c>
      <c r="D102" s="6">
        <v>2.9329999999999998</v>
      </c>
      <c r="E102" s="3">
        <v>0</v>
      </c>
      <c r="F102" s="6">
        <v>2.9329999999999998</v>
      </c>
      <c r="G102" s="12">
        <f t="shared" ref="G102" si="96">F102*86400</f>
        <v>253411.19999999998</v>
      </c>
      <c r="H102" s="14">
        <f t="shared" ref="H102" si="97">G102/1000000</f>
        <v>0.2534112</v>
      </c>
      <c r="I102" s="13">
        <f t="shared" si="23"/>
        <v>11403.504000000001</v>
      </c>
      <c r="J102" s="24">
        <f t="shared" si="24"/>
        <v>1.1403504E-2</v>
      </c>
      <c r="K102" s="13">
        <f t="shared" si="25"/>
        <v>1368.42048</v>
      </c>
      <c r="L102" s="13">
        <f t="shared" si="26"/>
        <v>1.36842048E-3</v>
      </c>
      <c r="M102" s="46">
        <f t="shared" si="27"/>
        <v>1.277192448E-2</v>
      </c>
      <c r="N102" s="51">
        <f t="shared" si="28"/>
        <v>2.5341120000000002E-2</v>
      </c>
      <c r="O102" s="49">
        <f t="shared" si="29"/>
        <v>0.21529815552000001</v>
      </c>
    </row>
    <row r="103" spans="1:15" x14ac:dyDescent="0.7">
      <c r="A103" s="5"/>
      <c r="B103" s="5"/>
      <c r="C103" s="5">
        <v>11</v>
      </c>
      <c r="D103" s="6">
        <v>2.9329999999999998</v>
      </c>
      <c r="E103" s="3">
        <v>0</v>
      </c>
      <c r="F103" s="6">
        <v>2.9329999999999998</v>
      </c>
      <c r="G103" s="12">
        <f t="shared" ref="G103" si="98">F103*86400</f>
        <v>253411.19999999998</v>
      </c>
      <c r="H103" s="14">
        <f t="shared" ref="H103" si="99">G103/1000000</f>
        <v>0.2534112</v>
      </c>
      <c r="I103" s="13">
        <f t="shared" si="23"/>
        <v>11403.504000000001</v>
      </c>
      <c r="J103" s="24">
        <f t="shared" si="24"/>
        <v>1.1403504E-2</v>
      </c>
      <c r="K103" s="13">
        <f t="shared" si="25"/>
        <v>1368.42048</v>
      </c>
      <c r="L103" s="13">
        <f t="shared" si="26"/>
        <v>1.36842048E-3</v>
      </c>
      <c r="M103" s="46">
        <f t="shared" si="27"/>
        <v>1.277192448E-2</v>
      </c>
      <c r="N103" s="51">
        <f t="shared" si="28"/>
        <v>2.5341120000000002E-2</v>
      </c>
      <c r="O103" s="49">
        <f t="shared" si="29"/>
        <v>0.21529815552000001</v>
      </c>
    </row>
    <row r="104" spans="1:15" x14ac:dyDescent="0.7">
      <c r="A104" s="5"/>
      <c r="B104" s="5"/>
      <c r="C104" s="5">
        <v>12</v>
      </c>
      <c r="D104" s="6">
        <v>2.85</v>
      </c>
      <c r="E104" s="3">
        <v>0</v>
      </c>
      <c r="F104" s="6">
        <v>2.85</v>
      </c>
      <c r="G104" s="12">
        <f t="shared" ref="G104" si="100">F104*86400</f>
        <v>246240</v>
      </c>
      <c r="H104" s="14">
        <f t="shared" ref="H104" si="101">G104/1000000</f>
        <v>0.24623999999999999</v>
      </c>
      <c r="I104" s="13">
        <f t="shared" si="23"/>
        <v>11080.8</v>
      </c>
      <c r="J104" s="24">
        <f t="shared" si="24"/>
        <v>1.10808E-2</v>
      </c>
      <c r="K104" s="13">
        <f t="shared" si="25"/>
        <v>1329.6959999999999</v>
      </c>
      <c r="L104" s="13">
        <f t="shared" si="26"/>
        <v>1.329696E-3</v>
      </c>
      <c r="M104" s="46">
        <f t="shared" si="27"/>
        <v>1.2410496E-2</v>
      </c>
      <c r="N104" s="51">
        <f t="shared" si="28"/>
        <v>2.4624E-2</v>
      </c>
      <c r="O104" s="49">
        <f t="shared" si="29"/>
        <v>0.20920550399999999</v>
      </c>
    </row>
    <row r="105" spans="1:15" x14ac:dyDescent="0.7">
      <c r="A105" s="5"/>
      <c r="B105" s="5"/>
      <c r="C105" s="5">
        <v>13</v>
      </c>
      <c r="D105" s="6">
        <v>2.7669999999999999</v>
      </c>
      <c r="E105" s="3">
        <v>0</v>
      </c>
      <c r="F105" s="6">
        <v>2.7669999999999999</v>
      </c>
      <c r="G105" s="12">
        <f t="shared" ref="G105" si="102">F105*86400</f>
        <v>239068.79999999999</v>
      </c>
      <c r="H105" s="14">
        <f t="shared" ref="H105" si="103">G105/1000000</f>
        <v>0.2390688</v>
      </c>
      <c r="I105" s="13">
        <f t="shared" si="23"/>
        <v>10758.096</v>
      </c>
      <c r="J105" s="24">
        <f t="shared" si="24"/>
        <v>1.0758096E-2</v>
      </c>
      <c r="K105" s="13">
        <f t="shared" si="25"/>
        <v>1290.9715199999998</v>
      </c>
      <c r="L105" s="13">
        <f t="shared" si="26"/>
        <v>1.2909715199999998E-3</v>
      </c>
      <c r="M105" s="46">
        <f t="shared" si="27"/>
        <v>1.204906752E-2</v>
      </c>
      <c r="N105" s="51">
        <f t="shared" si="28"/>
        <v>2.3906880000000002E-2</v>
      </c>
      <c r="O105" s="49">
        <f t="shared" si="29"/>
        <v>0.20311285247999999</v>
      </c>
    </row>
    <row r="106" spans="1:15" x14ac:dyDescent="0.7">
      <c r="A106" s="5"/>
      <c r="B106" s="5"/>
      <c r="C106" s="5">
        <v>14</v>
      </c>
      <c r="D106" s="6">
        <v>3.0590000000000002</v>
      </c>
      <c r="E106" s="3">
        <v>0.5</v>
      </c>
      <c r="F106" s="6">
        <v>3.0590000000000002</v>
      </c>
      <c r="G106" s="12">
        <f t="shared" ref="G106" si="104">F106*86400</f>
        <v>264297.60000000003</v>
      </c>
      <c r="H106" s="14">
        <f t="shared" ref="H106" si="105">G106/1000000</f>
        <v>0.26429760000000002</v>
      </c>
      <c r="I106" s="13">
        <f t="shared" si="23"/>
        <v>11893.392000000002</v>
      </c>
      <c r="J106" s="24">
        <f t="shared" si="24"/>
        <v>1.1893392000000001E-2</v>
      </c>
      <c r="K106" s="13">
        <f t="shared" si="25"/>
        <v>1427.2070400000002</v>
      </c>
      <c r="L106" s="13">
        <f t="shared" si="26"/>
        <v>1.4272070400000003E-3</v>
      </c>
      <c r="M106" s="46">
        <f t="shared" si="27"/>
        <v>1.3320599040000001E-2</v>
      </c>
      <c r="N106" s="51">
        <f t="shared" si="28"/>
        <v>2.6429760000000004E-2</v>
      </c>
      <c r="O106" s="49">
        <f t="shared" si="29"/>
        <v>0.22454724096000003</v>
      </c>
    </row>
    <row r="107" spans="1:15" x14ac:dyDescent="0.7">
      <c r="A107" s="5"/>
      <c r="B107" s="5"/>
      <c r="C107" s="5">
        <v>15</v>
      </c>
      <c r="D107" s="6">
        <v>3.266</v>
      </c>
      <c r="E107" s="3">
        <v>0.6</v>
      </c>
      <c r="F107" s="6">
        <v>3.266</v>
      </c>
      <c r="G107" s="12">
        <f t="shared" ref="G107" si="106">F107*86400</f>
        <v>282182.40000000002</v>
      </c>
      <c r="H107" s="14">
        <f t="shared" ref="H107" si="107">G107/1000000</f>
        <v>0.2821824</v>
      </c>
      <c r="I107" s="13">
        <f t="shared" si="23"/>
        <v>12698.208000000001</v>
      </c>
      <c r="J107" s="24">
        <f t="shared" si="24"/>
        <v>1.2698208000000001E-2</v>
      </c>
      <c r="K107" s="13">
        <f t="shared" si="25"/>
        <v>1523.78496</v>
      </c>
      <c r="L107" s="13">
        <f t="shared" si="26"/>
        <v>1.5237849599999999E-3</v>
      </c>
      <c r="M107" s="46">
        <f t="shared" si="27"/>
        <v>1.4221992960000001E-2</v>
      </c>
      <c r="N107" s="51">
        <f t="shared" si="28"/>
        <v>2.8218240000000002E-2</v>
      </c>
      <c r="O107" s="49">
        <f t="shared" si="29"/>
        <v>0.23974216704000001</v>
      </c>
    </row>
    <row r="108" spans="1:15" x14ac:dyDescent="0.7">
      <c r="A108" s="5"/>
      <c r="B108" s="5"/>
      <c r="C108" s="5">
        <v>16</v>
      </c>
      <c r="D108" s="6">
        <v>3.5579999999999998</v>
      </c>
      <c r="E108" s="3">
        <v>4.8</v>
      </c>
      <c r="F108" s="6">
        <v>3.5579999999999998</v>
      </c>
      <c r="G108" s="12">
        <f t="shared" ref="G108" si="108">F108*86400</f>
        <v>307411.20000000001</v>
      </c>
      <c r="H108" s="14">
        <f t="shared" ref="H108" si="109">G108/1000000</f>
        <v>0.3074112</v>
      </c>
      <c r="I108" s="13">
        <f t="shared" si="23"/>
        <v>13833.504000000001</v>
      </c>
      <c r="J108" s="24">
        <f t="shared" si="24"/>
        <v>1.3833504000000002E-2</v>
      </c>
      <c r="K108" s="13">
        <f t="shared" si="25"/>
        <v>1660.0204800000001</v>
      </c>
      <c r="L108" s="13">
        <f t="shared" si="26"/>
        <v>1.6600204800000001E-3</v>
      </c>
      <c r="M108" s="46">
        <f t="shared" si="27"/>
        <v>1.5493524480000001E-2</v>
      </c>
      <c r="N108" s="51">
        <f t="shared" si="28"/>
        <v>3.074112E-2</v>
      </c>
      <c r="O108" s="49">
        <f t="shared" si="29"/>
        <v>0.26117655551999996</v>
      </c>
    </row>
    <row r="109" spans="1:15" x14ac:dyDescent="0.7">
      <c r="A109" s="5"/>
      <c r="B109" s="5"/>
      <c r="C109" s="5">
        <v>17</v>
      </c>
      <c r="D109" s="6">
        <v>3.64</v>
      </c>
      <c r="E109" s="3">
        <v>5.5</v>
      </c>
      <c r="F109" s="6">
        <v>3.64</v>
      </c>
      <c r="G109" s="12">
        <f t="shared" ref="G109" si="110">F109*86400</f>
        <v>314496</v>
      </c>
      <c r="H109" s="14">
        <f t="shared" ref="H109" si="111">G109/1000000</f>
        <v>0.314496</v>
      </c>
      <c r="I109" s="13">
        <f t="shared" si="23"/>
        <v>14152.32</v>
      </c>
      <c r="J109" s="24">
        <f t="shared" si="24"/>
        <v>1.4152319999999999E-2</v>
      </c>
      <c r="K109" s="13">
        <f t="shared" si="25"/>
        <v>1698.2783999999999</v>
      </c>
      <c r="L109" s="13">
        <f t="shared" si="26"/>
        <v>1.6982783999999998E-3</v>
      </c>
      <c r="M109" s="46">
        <f t="shared" si="27"/>
        <v>1.5850598399999999E-2</v>
      </c>
      <c r="N109" s="51">
        <f t="shared" si="28"/>
        <v>3.1449600000000001E-2</v>
      </c>
      <c r="O109" s="49">
        <f t="shared" si="29"/>
        <v>0.26719580159999995</v>
      </c>
    </row>
    <row r="110" spans="1:15" x14ac:dyDescent="0.7">
      <c r="A110" s="5"/>
      <c r="B110" s="5"/>
      <c r="C110" s="5">
        <v>18</v>
      </c>
      <c r="D110" s="6">
        <v>4.391</v>
      </c>
      <c r="E110" s="3">
        <v>0</v>
      </c>
      <c r="F110" s="6">
        <v>4.391</v>
      </c>
      <c r="G110" s="12">
        <f t="shared" ref="G110" si="112">F110*86400</f>
        <v>379382.4</v>
      </c>
      <c r="H110" s="14">
        <f t="shared" ref="H110" si="113">G110/1000000</f>
        <v>0.37938240000000001</v>
      </c>
      <c r="I110" s="13">
        <f t="shared" si="23"/>
        <v>17072.207999999999</v>
      </c>
      <c r="J110" s="24">
        <f t="shared" si="24"/>
        <v>1.7072207999999998E-2</v>
      </c>
      <c r="K110" s="13">
        <f t="shared" si="25"/>
        <v>2048.6649599999996</v>
      </c>
      <c r="L110" s="13">
        <f t="shared" si="26"/>
        <v>2.0486649599999996E-3</v>
      </c>
      <c r="M110" s="46">
        <f t="shared" si="27"/>
        <v>1.9120872959999997E-2</v>
      </c>
      <c r="N110" s="51">
        <f t="shared" si="28"/>
        <v>3.7938240000000005E-2</v>
      </c>
      <c r="O110" s="49">
        <f t="shared" si="29"/>
        <v>0.32232328704000002</v>
      </c>
    </row>
    <row r="111" spans="1:15" x14ac:dyDescent="0.7">
      <c r="A111" s="5"/>
      <c r="B111" s="5"/>
      <c r="C111" s="5">
        <v>19</v>
      </c>
      <c r="D111" s="6">
        <v>4.5979999999999999</v>
      </c>
      <c r="E111" s="3">
        <v>0</v>
      </c>
      <c r="F111" s="6">
        <v>4.5979999999999999</v>
      </c>
      <c r="G111" s="12">
        <f t="shared" ref="G111" si="114">F111*86400</f>
        <v>397267.20000000001</v>
      </c>
      <c r="H111" s="14">
        <f t="shared" ref="H111" si="115">G111/1000000</f>
        <v>0.39726719999999999</v>
      </c>
      <c r="I111" s="13">
        <f t="shared" si="23"/>
        <v>17877.024000000001</v>
      </c>
      <c r="J111" s="24">
        <f t="shared" si="24"/>
        <v>1.7877024000000002E-2</v>
      </c>
      <c r="K111" s="13">
        <f t="shared" si="25"/>
        <v>2145.2428800000002</v>
      </c>
      <c r="L111" s="13">
        <f t="shared" si="26"/>
        <v>2.1452428800000003E-3</v>
      </c>
      <c r="M111" s="46">
        <f t="shared" si="27"/>
        <v>2.002226688E-2</v>
      </c>
      <c r="N111" s="51">
        <f t="shared" si="28"/>
        <v>3.972672E-2</v>
      </c>
      <c r="O111" s="49">
        <f t="shared" si="29"/>
        <v>0.33751821311999997</v>
      </c>
    </row>
    <row r="112" spans="1:15" x14ac:dyDescent="0.7">
      <c r="A112" s="5"/>
      <c r="B112" s="5"/>
      <c r="C112" s="5">
        <v>20</v>
      </c>
      <c r="D112" s="6">
        <v>4.2910000000000004</v>
      </c>
      <c r="E112" s="3">
        <v>0</v>
      </c>
      <c r="F112" s="6">
        <v>4.2910000000000004</v>
      </c>
      <c r="G112" s="12">
        <f t="shared" ref="G112" si="116">F112*86400</f>
        <v>370742.4</v>
      </c>
      <c r="H112" s="14">
        <f t="shared" ref="H112" si="117">G112/1000000</f>
        <v>0.37074240000000003</v>
      </c>
      <c r="I112" s="13">
        <f t="shared" si="23"/>
        <v>16683.407999999999</v>
      </c>
      <c r="J112" s="24">
        <f t="shared" si="24"/>
        <v>1.6683408E-2</v>
      </c>
      <c r="K112" s="13">
        <f t="shared" si="25"/>
        <v>2002.0089599999999</v>
      </c>
      <c r="L112" s="13">
        <f t="shared" si="26"/>
        <v>2.0020089600000001E-3</v>
      </c>
      <c r="M112" s="46">
        <f t="shared" si="27"/>
        <v>1.8685416959999999E-2</v>
      </c>
      <c r="N112" s="51">
        <f t="shared" si="28"/>
        <v>3.7074240000000001E-2</v>
      </c>
      <c r="O112" s="49">
        <f t="shared" si="29"/>
        <v>0.31498274304000007</v>
      </c>
    </row>
    <row r="113" spans="1:15" x14ac:dyDescent="0.7">
      <c r="A113" s="5"/>
      <c r="B113" s="5"/>
      <c r="C113" s="5">
        <v>21</v>
      </c>
      <c r="D113" s="6">
        <v>3.722</v>
      </c>
      <c r="E113" s="3">
        <v>0</v>
      </c>
      <c r="F113" s="6">
        <v>3.722</v>
      </c>
      <c r="G113" s="12">
        <f t="shared" ref="G113" si="118">F113*86400</f>
        <v>321580.79999999999</v>
      </c>
      <c r="H113" s="14">
        <f t="shared" ref="H113" si="119">G113/1000000</f>
        <v>0.3215808</v>
      </c>
      <c r="I113" s="13">
        <f t="shared" si="23"/>
        <v>14471.135999999999</v>
      </c>
      <c r="J113" s="24">
        <f t="shared" si="24"/>
        <v>1.4471135999999999E-2</v>
      </c>
      <c r="K113" s="13">
        <f t="shared" si="25"/>
        <v>1736.5363199999997</v>
      </c>
      <c r="L113" s="13">
        <f t="shared" si="26"/>
        <v>1.7365363199999997E-3</v>
      </c>
      <c r="M113" s="46">
        <f t="shared" si="27"/>
        <v>1.6207672319999998E-2</v>
      </c>
      <c r="N113" s="51">
        <f t="shared" si="28"/>
        <v>3.2158079999999999E-2</v>
      </c>
      <c r="O113" s="49">
        <f t="shared" si="29"/>
        <v>0.27321504768000004</v>
      </c>
    </row>
    <row r="114" spans="1:15" x14ac:dyDescent="0.7">
      <c r="A114" s="5"/>
      <c r="B114" s="5"/>
      <c r="C114" s="5">
        <v>22</v>
      </c>
      <c r="D114" s="6">
        <v>3.4990000000000001</v>
      </c>
      <c r="E114" s="3">
        <v>0</v>
      </c>
      <c r="F114" s="6">
        <v>3.4990000000000001</v>
      </c>
      <c r="G114" s="12">
        <f t="shared" ref="G114" si="120">F114*86400</f>
        <v>302313.60000000003</v>
      </c>
      <c r="H114" s="14">
        <f t="shared" ref="H114" si="121">G114/1000000</f>
        <v>0.30231360000000002</v>
      </c>
      <c r="I114" s="13">
        <f t="shared" si="23"/>
        <v>13604.112000000001</v>
      </c>
      <c r="J114" s="24">
        <f t="shared" si="24"/>
        <v>1.3604112000000002E-2</v>
      </c>
      <c r="K114" s="13">
        <f t="shared" si="25"/>
        <v>1632.49344</v>
      </c>
      <c r="L114" s="13">
        <f t="shared" si="26"/>
        <v>1.63249344E-3</v>
      </c>
      <c r="M114" s="46">
        <f t="shared" si="27"/>
        <v>1.5236605440000002E-2</v>
      </c>
      <c r="N114" s="51">
        <f t="shared" si="28"/>
        <v>3.0231360000000002E-2</v>
      </c>
      <c r="O114" s="49">
        <f t="shared" si="29"/>
        <v>0.25684563456000004</v>
      </c>
    </row>
    <row r="115" spans="1:15" x14ac:dyDescent="0.7">
      <c r="A115" s="5"/>
      <c r="B115" s="5"/>
      <c r="C115" s="5">
        <v>23</v>
      </c>
      <c r="D115" s="6">
        <v>3.2759999999999998</v>
      </c>
      <c r="E115" s="3">
        <v>1.7</v>
      </c>
      <c r="F115" s="6">
        <v>3.2759999999999998</v>
      </c>
      <c r="G115" s="12">
        <f t="shared" ref="G115" si="122">F115*86400</f>
        <v>283046.39999999997</v>
      </c>
      <c r="H115" s="14">
        <f t="shared" ref="H115" si="123">G115/1000000</f>
        <v>0.28304639999999998</v>
      </c>
      <c r="I115" s="13">
        <f t="shared" si="23"/>
        <v>12737.087999999998</v>
      </c>
      <c r="J115" s="24">
        <f t="shared" si="24"/>
        <v>1.2737087999999997E-2</v>
      </c>
      <c r="K115" s="13">
        <f t="shared" si="25"/>
        <v>1528.4505599999998</v>
      </c>
      <c r="L115" s="13">
        <f t="shared" si="26"/>
        <v>1.5284505599999997E-3</v>
      </c>
      <c r="M115" s="46">
        <f t="shared" si="27"/>
        <v>1.4265538559999997E-2</v>
      </c>
      <c r="N115" s="51">
        <f t="shared" si="28"/>
        <v>2.8304639999999999E-2</v>
      </c>
      <c r="O115" s="49">
        <f t="shared" si="29"/>
        <v>0.24047622143999997</v>
      </c>
    </row>
    <row r="116" spans="1:15" x14ac:dyDescent="0.7">
      <c r="A116" s="5"/>
      <c r="B116" s="5"/>
      <c r="C116" s="5">
        <v>24</v>
      </c>
      <c r="D116" s="6">
        <v>3.2759999999999998</v>
      </c>
      <c r="E116" s="3">
        <v>0</v>
      </c>
      <c r="F116" s="6">
        <v>3.2759999999999998</v>
      </c>
      <c r="G116" s="12">
        <f t="shared" ref="G116" si="124">F116*86400</f>
        <v>283046.39999999997</v>
      </c>
      <c r="H116" s="14">
        <f t="shared" ref="H116" si="125">G116/1000000</f>
        <v>0.28304639999999998</v>
      </c>
      <c r="I116" s="13">
        <f t="shared" si="23"/>
        <v>12737.087999999998</v>
      </c>
      <c r="J116" s="24">
        <f t="shared" si="24"/>
        <v>1.2737087999999997E-2</v>
      </c>
      <c r="K116" s="13">
        <f t="shared" si="25"/>
        <v>1528.4505599999998</v>
      </c>
      <c r="L116" s="13">
        <f t="shared" si="26"/>
        <v>1.5284505599999997E-3</v>
      </c>
      <c r="M116" s="46">
        <f t="shared" si="27"/>
        <v>1.4265538559999997E-2</v>
      </c>
      <c r="N116" s="51">
        <f t="shared" si="28"/>
        <v>2.8304639999999999E-2</v>
      </c>
      <c r="O116" s="49">
        <f t="shared" si="29"/>
        <v>0.24047622143999997</v>
      </c>
    </row>
    <row r="117" spans="1:15" x14ac:dyDescent="0.7">
      <c r="A117" s="5"/>
      <c r="B117" s="5"/>
      <c r="C117" s="5">
        <v>25</v>
      </c>
      <c r="D117" s="6">
        <v>3.2759999999999998</v>
      </c>
      <c r="E117" s="3">
        <v>0</v>
      </c>
      <c r="F117" s="6">
        <v>3.2759999999999998</v>
      </c>
      <c r="G117" s="12">
        <f t="shared" ref="G117" si="126">F117*86400</f>
        <v>283046.39999999997</v>
      </c>
      <c r="H117" s="14">
        <f t="shared" ref="H117" si="127">G117/1000000</f>
        <v>0.28304639999999998</v>
      </c>
      <c r="I117" s="13">
        <f t="shared" si="23"/>
        <v>12737.087999999998</v>
      </c>
      <c r="J117" s="24">
        <f t="shared" si="24"/>
        <v>1.2737087999999997E-2</v>
      </c>
      <c r="K117" s="13">
        <f t="shared" si="25"/>
        <v>1528.4505599999998</v>
      </c>
      <c r="L117" s="13">
        <f t="shared" si="26"/>
        <v>1.5284505599999997E-3</v>
      </c>
      <c r="M117" s="46">
        <f t="shared" si="27"/>
        <v>1.4265538559999997E-2</v>
      </c>
      <c r="N117" s="51">
        <f t="shared" si="28"/>
        <v>2.8304639999999999E-2</v>
      </c>
      <c r="O117" s="49">
        <f t="shared" si="29"/>
        <v>0.24047622143999997</v>
      </c>
    </row>
    <row r="118" spans="1:15" x14ac:dyDescent="0.7">
      <c r="A118" s="5"/>
      <c r="B118" s="5"/>
      <c r="C118" s="5">
        <v>26</v>
      </c>
      <c r="D118" s="6">
        <v>2.9750000000000001</v>
      </c>
      <c r="E118" s="3">
        <v>0</v>
      </c>
      <c r="F118" s="6">
        <v>2.9750000000000001</v>
      </c>
      <c r="G118" s="12">
        <f t="shared" ref="G118" si="128">F118*86400</f>
        <v>257040</v>
      </c>
      <c r="H118" s="14">
        <f t="shared" ref="H118" si="129">G118/1000000</f>
        <v>0.25703999999999999</v>
      </c>
      <c r="I118" s="13">
        <f t="shared" si="23"/>
        <v>11566.8</v>
      </c>
      <c r="J118" s="24">
        <f t="shared" si="24"/>
        <v>1.1566799999999999E-2</v>
      </c>
      <c r="K118" s="13">
        <f t="shared" si="25"/>
        <v>1388.0159999999998</v>
      </c>
      <c r="L118" s="13">
        <f t="shared" si="26"/>
        <v>1.3880159999999999E-3</v>
      </c>
      <c r="M118" s="46">
        <f t="shared" si="27"/>
        <v>1.2954815999999999E-2</v>
      </c>
      <c r="N118" s="51">
        <f t="shared" si="28"/>
        <v>2.5704000000000001E-2</v>
      </c>
      <c r="O118" s="49">
        <f t="shared" si="29"/>
        <v>0.21838118399999998</v>
      </c>
    </row>
    <row r="119" spans="1:15" x14ac:dyDescent="0.7">
      <c r="A119" s="5"/>
      <c r="B119" s="5"/>
      <c r="C119" s="5">
        <v>27</v>
      </c>
      <c r="D119" s="6">
        <v>2.85</v>
      </c>
      <c r="E119" s="3">
        <v>0</v>
      </c>
      <c r="F119" s="6">
        <v>2.85</v>
      </c>
      <c r="G119" s="12">
        <f t="shared" ref="G119" si="130">F119*86400</f>
        <v>246240</v>
      </c>
      <c r="H119" s="14">
        <f t="shared" ref="H119" si="131">G119/1000000</f>
        <v>0.24623999999999999</v>
      </c>
      <c r="I119" s="13">
        <f t="shared" si="23"/>
        <v>11080.8</v>
      </c>
      <c r="J119" s="24">
        <f t="shared" si="24"/>
        <v>1.10808E-2</v>
      </c>
      <c r="K119" s="13">
        <f t="shared" si="25"/>
        <v>1329.6959999999999</v>
      </c>
      <c r="L119" s="13">
        <f t="shared" si="26"/>
        <v>1.329696E-3</v>
      </c>
      <c r="M119" s="46">
        <f t="shared" si="27"/>
        <v>1.2410496E-2</v>
      </c>
      <c r="N119" s="51">
        <f t="shared" si="28"/>
        <v>2.4624E-2</v>
      </c>
      <c r="O119" s="49">
        <f t="shared" si="29"/>
        <v>0.20920550399999999</v>
      </c>
    </row>
    <row r="120" spans="1:15" x14ac:dyDescent="0.7">
      <c r="A120" s="10"/>
      <c r="B120" s="10"/>
      <c r="C120" s="10">
        <v>28</v>
      </c>
      <c r="D120" s="18">
        <v>2.85</v>
      </c>
      <c r="E120" s="3">
        <v>11.3</v>
      </c>
      <c r="F120" s="18">
        <v>2.85</v>
      </c>
      <c r="G120" s="20">
        <f t="shared" ref="G120" si="132">F120*86400</f>
        <v>246240</v>
      </c>
      <c r="H120" s="21">
        <f t="shared" ref="H120" si="133">G120/1000000</f>
        <v>0.24623999999999999</v>
      </c>
      <c r="I120" s="13">
        <f t="shared" si="23"/>
        <v>11080.8</v>
      </c>
      <c r="J120" s="24">
        <f t="shared" si="24"/>
        <v>1.10808E-2</v>
      </c>
      <c r="K120" s="13">
        <f t="shared" si="25"/>
        <v>1329.6959999999999</v>
      </c>
      <c r="L120" s="13">
        <f t="shared" si="26"/>
        <v>1.329696E-3</v>
      </c>
      <c r="M120" s="46">
        <f t="shared" si="27"/>
        <v>1.2410496E-2</v>
      </c>
      <c r="N120" s="51">
        <f t="shared" si="28"/>
        <v>2.4624E-2</v>
      </c>
      <c r="O120" s="49">
        <f t="shared" si="29"/>
        <v>0.20920550399999999</v>
      </c>
    </row>
    <row r="121" spans="1:15" s="23" customFormat="1" x14ac:dyDescent="0.7">
      <c r="A121" s="10"/>
      <c r="B121" s="10"/>
      <c r="C121" s="10">
        <v>29</v>
      </c>
      <c r="D121" s="18">
        <v>3.722</v>
      </c>
      <c r="E121" s="19">
        <v>12.5</v>
      </c>
      <c r="F121" s="18">
        <v>3.722</v>
      </c>
      <c r="G121" s="65">
        <f t="shared" ref="G121" si="134">F121*86400</f>
        <v>321580.79999999999</v>
      </c>
      <c r="H121" s="60">
        <f t="shared" ref="H121" si="135">G121/1000000</f>
        <v>0.3215808</v>
      </c>
      <c r="I121" s="60">
        <f t="shared" si="23"/>
        <v>14471.135999999999</v>
      </c>
      <c r="J121" s="61">
        <f t="shared" si="24"/>
        <v>1.4471135999999999E-2</v>
      </c>
      <c r="K121" s="60">
        <f t="shared" si="25"/>
        <v>1736.5363199999997</v>
      </c>
      <c r="L121" s="60">
        <f t="shared" si="26"/>
        <v>1.7365363199999997E-3</v>
      </c>
      <c r="M121" s="62">
        <f t="shared" si="27"/>
        <v>1.6207672319999998E-2</v>
      </c>
      <c r="N121" s="63">
        <f t="shared" si="28"/>
        <v>3.2158079999999999E-2</v>
      </c>
      <c r="O121" s="64">
        <f t="shared" si="29"/>
        <v>0.27321504768000004</v>
      </c>
    </row>
    <row r="122" spans="1:15" s="59" customFormat="1" ht="25.2" thickBot="1" x14ac:dyDescent="0.75">
      <c r="A122" s="8"/>
      <c r="B122" s="8" t="s">
        <v>18</v>
      </c>
      <c r="C122" s="8">
        <v>30</v>
      </c>
      <c r="D122" s="9">
        <v>4.6159999999999997</v>
      </c>
      <c r="E122" s="9">
        <v>0</v>
      </c>
      <c r="F122" s="9">
        <v>4.6159999999999997</v>
      </c>
      <c r="G122" s="22">
        <f t="shared" ref="G122" si="136">F122*86400</f>
        <v>398822.39999999997</v>
      </c>
      <c r="H122" s="15">
        <f t="shared" ref="H122" si="137">G122/1000000</f>
        <v>0.39882239999999997</v>
      </c>
      <c r="I122" s="15">
        <f t="shared" si="23"/>
        <v>17947.007999999998</v>
      </c>
      <c r="J122" s="25">
        <f t="shared" si="24"/>
        <v>1.7947007999999997E-2</v>
      </c>
      <c r="K122" s="15">
        <f t="shared" si="25"/>
        <v>2153.6409599999997</v>
      </c>
      <c r="L122" s="15">
        <f t="shared" si="26"/>
        <v>2.1536409599999997E-3</v>
      </c>
      <c r="M122" s="56">
        <f t="shared" si="27"/>
        <v>2.0100648959999995E-2</v>
      </c>
      <c r="N122" s="57">
        <f t="shared" si="28"/>
        <v>3.9882239999999999E-2</v>
      </c>
      <c r="O122" s="58">
        <f t="shared" si="29"/>
        <v>0.33883951103999993</v>
      </c>
    </row>
    <row r="123" spans="1:15" x14ac:dyDescent="0.7">
      <c r="A123" s="2"/>
      <c r="B123" s="2" t="s">
        <v>19</v>
      </c>
      <c r="C123" s="2">
        <v>1</v>
      </c>
      <c r="D123" s="3">
        <v>5.2869999999999999</v>
      </c>
      <c r="E123" s="3">
        <v>0</v>
      </c>
      <c r="F123" s="3">
        <v>5.2869999999999999</v>
      </c>
      <c r="G123" s="12">
        <f t="shared" ref="G123" si="138">F123*86400</f>
        <v>456796.8</v>
      </c>
      <c r="H123" s="14">
        <f t="shared" ref="H123" si="139">G123/1000000</f>
        <v>0.4567968</v>
      </c>
      <c r="I123" s="14">
        <f t="shared" si="23"/>
        <v>20555.856</v>
      </c>
      <c r="J123" s="43">
        <f t="shared" si="24"/>
        <v>2.0555856000000001E-2</v>
      </c>
      <c r="K123" s="14">
        <f t="shared" si="25"/>
        <v>2466.7027199999998</v>
      </c>
      <c r="L123" s="14">
        <f t="shared" si="26"/>
        <v>2.4667027199999996E-3</v>
      </c>
      <c r="M123" s="52">
        <f t="shared" si="27"/>
        <v>2.3022558719999999E-2</v>
      </c>
      <c r="N123" s="53">
        <f t="shared" si="28"/>
        <v>4.567968E-2</v>
      </c>
      <c r="O123" s="54">
        <f t="shared" si="29"/>
        <v>0.38809456128000003</v>
      </c>
    </row>
    <row r="124" spans="1:15" x14ac:dyDescent="0.7">
      <c r="A124" s="5"/>
      <c r="B124" s="2"/>
      <c r="C124" s="5">
        <v>2</v>
      </c>
      <c r="D124" s="6">
        <v>4.391</v>
      </c>
      <c r="E124" s="3">
        <v>0</v>
      </c>
      <c r="F124" s="6">
        <v>4.391</v>
      </c>
      <c r="G124" s="12">
        <f t="shared" ref="G124" si="140">F124*86400</f>
        <v>379382.4</v>
      </c>
      <c r="H124" s="14">
        <f t="shared" ref="H124" si="141">G124/1000000</f>
        <v>0.37938240000000001</v>
      </c>
      <c r="I124" s="13">
        <f t="shared" si="23"/>
        <v>17072.207999999999</v>
      </c>
      <c r="J124" s="24">
        <f t="shared" si="24"/>
        <v>1.7072207999999998E-2</v>
      </c>
      <c r="K124" s="13">
        <f t="shared" si="25"/>
        <v>2048.6649599999996</v>
      </c>
      <c r="L124" s="13">
        <f t="shared" si="26"/>
        <v>2.0486649599999996E-3</v>
      </c>
      <c r="M124" s="46">
        <f t="shared" si="27"/>
        <v>1.9120872959999997E-2</v>
      </c>
      <c r="N124" s="51">
        <f t="shared" si="28"/>
        <v>3.7938240000000005E-2</v>
      </c>
      <c r="O124" s="49">
        <f t="shared" si="29"/>
        <v>0.32232328704000002</v>
      </c>
    </row>
    <row r="125" spans="1:15" x14ac:dyDescent="0.7">
      <c r="A125" s="5"/>
      <c r="B125" s="5"/>
      <c r="C125" s="5">
        <v>3</v>
      </c>
      <c r="D125" s="6">
        <v>3.4620000000000002</v>
      </c>
      <c r="E125" s="3">
        <v>0</v>
      </c>
      <c r="F125" s="6">
        <v>3.4620000000000002</v>
      </c>
      <c r="G125" s="12">
        <f t="shared" ref="G125" si="142">F125*86400</f>
        <v>299116.79999999999</v>
      </c>
      <c r="H125" s="14">
        <f t="shared" ref="H125" si="143">G125/1000000</f>
        <v>0.29911680000000002</v>
      </c>
      <c r="I125" s="13">
        <f t="shared" si="23"/>
        <v>13460.255999999999</v>
      </c>
      <c r="J125" s="24">
        <f t="shared" si="24"/>
        <v>1.3460255999999999E-2</v>
      </c>
      <c r="K125" s="13">
        <f t="shared" si="25"/>
        <v>1615.2307199999998</v>
      </c>
      <c r="L125" s="13">
        <f t="shared" si="26"/>
        <v>1.6152307199999998E-3</v>
      </c>
      <c r="M125" s="46">
        <f t="shared" si="27"/>
        <v>1.5075486719999998E-2</v>
      </c>
      <c r="N125" s="51">
        <f t="shared" si="28"/>
        <v>2.9911680000000003E-2</v>
      </c>
      <c r="O125" s="49">
        <f t="shared" si="29"/>
        <v>0.25412963328000004</v>
      </c>
    </row>
    <row r="126" spans="1:15" x14ac:dyDescent="0.7">
      <c r="A126" s="5"/>
      <c r="B126" s="5"/>
      <c r="C126" s="5">
        <v>4</v>
      </c>
      <c r="D126" s="6">
        <v>3.4990000000000001</v>
      </c>
      <c r="E126" s="3">
        <v>1.9</v>
      </c>
      <c r="F126" s="6">
        <v>3.4990000000000001</v>
      </c>
      <c r="G126" s="12">
        <f t="shared" ref="G126" si="144">F126*86400</f>
        <v>302313.60000000003</v>
      </c>
      <c r="H126" s="14">
        <f t="shared" ref="H126" si="145">G126/1000000</f>
        <v>0.30231360000000002</v>
      </c>
      <c r="I126" s="13">
        <f t="shared" si="23"/>
        <v>13604.112000000001</v>
      </c>
      <c r="J126" s="24">
        <f t="shared" si="24"/>
        <v>1.3604112000000002E-2</v>
      </c>
      <c r="K126" s="13">
        <f t="shared" si="25"/>
        <v>1632.49344</v>
      </c>
      <c r="L126" s="13">
        <f t="shared" si="26"/>
        <v>1.63249344E-3</v>
      </c>
      <c r="M126" s="46">
        <f t="shared" si="27"/>
        <v>1.5236605440000002E-2</v>
      </c>
      <c r="N126" s="51">
        <f t="shared" si="28"/>
        <v>3.0231360000000002E-2</v>
      </c>
      <c r="O126" s="49">
        <f t="shared" si="29"/>
        <v>0.25684563456000004</v>
      </c>
    </row>
    <row r="127" spans="1:15" x14ac:dyDescent="0.7">
      <c r="A127" s="5"/>
      <c r="B127" s="5"/>
      <c r="C127" s="5">
        <v>5</v>
      </c>
      <c r="D127" s="6">
        <v>4.391</v>
      </c>
      <c r="E127" s="3">
        <v>1</v>
      </c>
      <c r="F127" s="6">
        <v>4.391</v>
      </c>
      <c r="G127" s="12">
        <f t="shared" ref="G127" si="146">F127*86400</f>
        <v>379382.4</v>
      </c>
      <c r="H127" s="14">
        <f t="shared" ref="H127" si="147">G127/1000000</f>
        <v>0.37938240000000001</v>
      </c>
      <c r="I127" s="13">
        <f t="shared" si="23"/>
        <v>17072.207999999999</v>
      </c>
      <c r="J127" s="24">
        <f t="shared" si="24"/>
        <v>1.7072207999999998E-2</v>
      </c>
      <c r="K127" s="13">
        <f t="shared" si="25"/>
        <v>2048.6649599999996</v>
      </c>
      <c r="L127" s="13">
        <f t="shared" si="26"/>
        <v>2.0486649599999996E-3</v>
      </c>
      <c r="M127" s="46">
        <f t="shared" si="27"/>
        <v>1.9120872959999997E-2</v>
      </c>
      <c r="N127" s="51">
        <f t="shared" si="28"/>
        <v>3.7938240000000005E-2</v>
      </c>
      <c r="O127" s="49">
        <f t="shared" si="29"/>
        <v>0.32232328704000002</v>
      </c>
    </row>
    <row r="128" spans="1:15" x14ac:dyDescent="0.7">
      <c r="A128" s="5"/>
      <c r="B128" s="5"/>
      <c r="C128" s="5">
        <v>6</v>
      </c>
      <c r="D128" s="6">
        <v>10.917</v>
      </c>
      <c r="E128" s="3">
        <v>0</v>
      </c>
      <c r="F128" s="6">
        <v>10.917</v>
      </c>
      <c r="G128" s="12">
        <f t="shared" ref="G128" si="148">F128*86400</f>
        <v>943228.79999999993</v>
      </c>
      <c r="H128" s="14">
        <f t="shared" ref="H128" si="149">G128/1000000</f>
        <v>0.94322879999999998</v>
      </c>
      <c r="I128" s="13">
        <f t="shared" si="23"/>
        <v>42445.295999999995</v>
      </c>
      <c r="J128" s="24">
        <f t="shared" si="24"/>
        <v>4.2445295999999993E-2</v>
      </c>
      <c r="K128" s="13">
        <f t="shared" si="25"/>
        <v>5093.4355199999991</v>
      </c>
      <c r="L128" s="13">
        <f t="shared" si="26"/>
        <v>5.0934355199999991E-3</v>
      </c>
      <c r="M128" s="46">
        <f t="shared" si="27"/>
        <v>4.7538731519999995E-2</v>
      </c>
      <c r="N128" s="51">
        <f t="shared" si="28"/>
        <v>9.4322879999999998E-2</v>
      </c>
      <c r="O128" s="49">
        <f t="shared" si="29"/>
        <v>0.80136718847999999</v>
      </c>
    </row>
    <row r="129" spans="1:15" x14ac:dyDescent="0.7">
      <c r="A129" s="5"/>
      <c r="B129" s="5"/>
      <c r="C129" s="5">
        <v>7</v>
      </c>
      <c r="D129" s="6">
        <v>7.1310000000000002</v>
      </c>
      <c r="E129" s="3">
        <v>2.2999999999999998</v>
      </c>
      <c r="F129" s="6">
        <v>7.1310000000000002</v>
      </c>
      <c r="G129" s="12">
        <f t="shared" ref="G129" si="150">F129*86400</f>
        <v>616118.4</v>
      </c>
      <c r="H129" s="14">
        <f t="shared" ref="H129" si="151">G129/1000000</f>
        <v>0.61611840000000007</v>
      </c>
      <c r="I129" s="13">
        <f t="shared" si="23"/>
        <v>27725.328000000001</v>
      </c>
      <c r="J129" s="24">
        <f t="shared" si="24"/>
        <v>2.7725328E-2</v>
      </c>
      <c r="K129" s="13">
        <f t="shared" si="25"/>
        <v>3327.0393600000002</v>
      </c>
      <c r="L129" s="13">
        <f t="shared" si="26"/>
        <v>3.3270393600000002E-3</v>
      </c>
      <c r="M129" s="46">
        <f t="shared" si="27"/>
        <v>3.1052367359999999E-2</v>
      </c>
      <c r="N129" s="51">
        <f t="shared" si="28"/>
        <v>6.1611840000000008E-2</v>
      </c>
      <c r="O129" s="49">
        <f t="shared" si="29"/>
        <v>0.52345419264000015</v>
      </c>
    </row>
    <row r="130" spans="1:15" x14ac:dyDescent="0.7">
      <c r="A130" s="5"/>
      <c r="B130" s="5"/>
      <c r="C130" s="5">
        <v>8</v>
      </c>
      <c r="D130" s="6">
        <v>6.3780000000000001</v>
      </c>
      <c r="E130" s="3">
        <v>0</v>
      </c>
      <c r="F130" s="6">
        <v>6.3780000000000001</v>
      </c>
      <c r="G130" s="12">
        <f t="shared" ref="G130" si="152">F130*86400</f>
        <v>551059.19999999995</v>
      </c>
      <c r="H130" s="14">
        <f t="shared" ref="H130" si="153">G130/1000000</f>
        <v>0.55105919999999997</v>
      </c>
      <c r="I130" s="13">
        <f t="shared" si="23"/>
        <v>24797.663999999997</v>
      </c>
      <c r="J130" s="24">
        <f t="shared" si="24"/>
        <v>2.4797663999999997E-2</v>
      </c>
      <c r="K130" s="13">
        <f t="shared" si="25"/>
        <v>2975.7196799999997</v>
      </c>
      <c r="L130" s="13">
        <f t="shared" si="26"/>
        <v>2.9757196799999998E-3</v>
      </c>
      <c r="M130" s="46">
        <f t="shared" si="27"/>
        <v>2.7773383679999996E-2</v>
      </c>
      <c r="N130" s="51">
        <f t="shared" si="28"/>
        <v>5.5105920000000003E-2</v>
      </c>
      <c r="O130" s="49">
        <f t="shared" si="29"/>
        <v>0.4681798963199999</v>
      </c>
    </row>
    <row r="131" spans="1:15" x14ac:dyDescent="0.7">
      <c r="A131" s="5"/>
      <c r="B131" s="5"/>
      <c r="C131" s="5">
        <v>9</v>
      </c>
      <c r="D131" s="6">
        <v>5.9660000000000002</v>
      </c>
      <c r="E131" s="3">
        <v>0.2</v>
      </c>
      <c r="F131" s="6">
        <v>5.9660000000000002</v>
      </c>
      <c r="G131" s="12">
        <f t="shared" ref="G131" si="154">F131*86400</f>
        <v>515462.40000000002</v>
      </c>
      <c r="H131" s="14">
        <f t="shared" ref="H131" si="155">G131/1000000</f>
        <v>0.51546239999999999</v>
      </c>
      <c r="I131" s="13">
        <f t="shared" si="23"/>
        <v>23195.807999999997</v>
      </c>
      <c r="J131" s="24">
        <f t="shared" si="24"/>
        <v>2.3195807999999998E-2</v>
      </c>
      <c r="K131" s="13">
        <f t="shared" si="25"/>
        <v>2783.4969599999995</v>
      </c>
      <c r="L131" s="13">
        <f t="shared" si="26"/>
        <v>2.7834969599999995E-3</v>
      </c>
      <c r="M131" s="46">
        <f t="shared" si="27"/>
        <v>2.5979304959999998E-2</v>
      </c>
      <c r="N131" s="51">
        <f t="shared" si="28"/>
        <v>5.154624E-2</v>
      </c>
      <c r="O131" s="49">
        <f t="shared" si="29"/>
        <v>0.43793685503999996</v>
      </c>
    </row>
    <row r="132" spans="1:15" x14ac:dyDescent="0.7">
      <c r="A132" s="5"/>
      <c r="B132" s="5"/>
      <c r="C132" s="5">
        <v>10</v>
      </c>
      <c r="D132" s="6">
        <v>5.6120000000000001</v>
      </c>
      <c r="E132" s="3">
        <v>0</v>
      </c>
      <c r="F132" s="6">
        <v>5.6120000000000001</v>
      </c>
      <c r="G132" s="12">
        <f t="shared" ref="G132" si="156">F132*86400</f>
        <v>484876.79999999999</v>
      </c>
      <c r="H132" s="14">
        <f t="shared" ref="H132" si="157">G132/1000000</f>
        <v>0.4848768</v>
      </c>
      <c r="I132" s="13">
        <f t="shared" ref="I132:I195" si="158">H132*1000000*0.045</f>
        <v>21819.455999999998</v>
      </c>
      <c r="J132" s="24">
        <f t="shared" ref="J132:J195" si="159">I132/1000000</f>
        <v>2.1819455999999997E-2</v>
      </c>
      <c r="K132" s="13">
        <f t="shared" ref="K132:K195" si="160">I132*0.12</f>
        <v>2618.3347199999998</v>
      </c>
      <c r="L132" s="13">
        <f t="shared" ref="L132:L195" si="161">K132/1000000</f>
        <v>2.6183347199999997E-3</v>
      </c>
      <c r="M132" s="46">
        <f t="shared" ref="M132:M195" si="162">J132+L132</f>
        <v>2.4437790719999998E-2</v>
      </c>
      <c r="N132" s="51">
        <f t="shared" ref="N132:N195" si="163">H132*0.1</f>
        <v>4.8487680000000005E-2</v>
      </c>
      <c r="O132" s="49">
        <f t="shared" ref="O132:O195" si="164">H132-M132-N132</f>
        <v>0.41195132928</v>
      </c>
    </row>
    <row r="133" spans="1:15" x14ac:dyDescent="0.7">
      <c r="A133" s="5"/>
      <c r="B133" s="5"/>
      <c r="C133" s="5">
        <v>11</v>
      </c>
      <c r="D133" s="6">
        <v>4.0750000000000002</v>
      </c>
      <c r="E133" s="3">
        <v>1.1000000000000001</v>
      </c>
      <c r="F133" s="6">
        <v>4.0750000000000002</v>
      </c>
      <c r="G133" s="12">
        <f t="shared" ref="G133" si="165">F133*86400</f>
        <v>352080</v>
      </c>
      <c r="H133" s="14">
        <f t="shared" ref="H133" si="166">G133/1000000</f>
        <v>0.35208</v>
      </c>
      <c r="I133" s="13">
        <f t="shared" si="158"/>
        <v>15843.599999999999</v>
      </c>
      <c r="J133" s="24">
        <f t="shared" si="159"/>
        <v>1.5843599999999999E-2</v>
      </c>
      <c r="K133" s="13">
        <f t="shared" si="160"/>
        <v>1901.2319999999997</v>
      </c>
      <c r="L133" s="13">
        <f t="shared" si="161"/>
        <v>1.9012319999999997E-3</v>
      </c>
      <c r="M133" s="46">
        <f t="shared" si="162"/>
        <v>1.7744831999999999E-2</v>
      </c>
      <c r="N133" s="51">
        <f t="shared" si="163"/>
        <v>3.5208000000000003E-2</v>
      </c>
      <c r="O133" s="49">
        <f t="shared" si="164"/>
        <v>0.299127168</v>
      </c>
    </row>
    <row r="134" spans="1:15" x14ac:dyDescent="0.7">
      <c r="A134" s="5"/>
      <c r="B134" s="5"/>
      <c r="C134" s="5">
        <v>12</v>
      </c>
      <c r="D134" s="6">
        <v>10.917</v>
      </c>
      <c r="E134" s="3">
        <v>8.4</v>
      </c>
      <c r="F134" s="6">
        <v>10.917</v>
      </c>
      <c r="G134" s="12">
        <f t="shared" ref="G134" si="167">F134*86400</f>
        <v>943228.79999999993</v>
      </c>
      <c r="H134" s="14">
        <f t="shared" ref="H134" si="168">G134/1000000</f>
        <v>0.94322879999999998</v>
      </c>
      <c r="I134" s="13">
        <f t="shared" si="158"/>
        <v>42445.295999999995</v>
      </c>
      <c r="J134" s="24">
        <f t="shared" si="159"/>
        <v>4.2445295999999993E-2</v>
      </c>
      <c r="K134" s="13">
        <f t="shared" si="160"/>
        <v>5093.4355199999991</v>
      </c>
      <c r="L134" s="13">
        <f t="shared" si="161"/>
        <v>5.0934355199999991E-3</v>
      </c>
      <c r="M134" s="46">
        <f t="shared" si="162"/>
        <v>4.7538731519999995E-2</v>
      </c>
      <c r="N134" s="51">
        <f t="shared" si="163"/>
        <v>9.4322879999999998E-2</v>
      </c>
      <c r="O134" s="49">
        <f t="shared" si="164"/>
        <v>0.80136718847999999</v>
      </c>
    </row>
    <row r="135" spans="1:15" x14ac:dyDescent="0.7">
      <c r="A135" s="5"/>
      <c r="B135" s="5"/>
      <c r="C135" s="5">
        <v>13</v>
      </c>
      <c r="D135" s="6">
        <v>8.0020000000000007</v>
      </c>
      <c r="E135" s="3">
        <v>0.8</v>
      </c>
      <c r="F135" s="6">
        <v>8.0020000000000007</v>
      </c>
      <c r="G135" s="12">
        <f t="shared" ref="G135" si="169">F135*86400</f>
        <v>691372.8</v>
      </c>
      <c r="H135" s="14">
        <f t="shared" ref="H135" si="170">G135/1000000</f>
        <v>0.69137280000000001</v>
      </c>
      <c r="I135" s="13">
        <f t="shared" si="158"/>
        <v>31111.776000000002</v>
      </c>
      <c r="J135" s="24">
        <f t="shared" si="159"/>
        <v>3.1111776000000001E-2</v>
      </c>
      <c r="K135" s="13">
        <f t="shared" si="160"/>
        <v>3733.4131200000002</v>
      </c>
      <c r="L135" s="13">
        <f t="shared" si="161"/>
        <v>3.7334131200000001E-3</v>
      </c>
      <c r="M135" s="46">
        <f t="shared" si="162"/>
        <v>3.4845189120000002E-2</v>
      </c>
      <c r="N135" s="51">
        <f t="shared" si="163"/>
        <v>6.9137280000000009E-2</v>
      </c>
      <c r="O135" s="49">
        <f t="shared" si="164"/>
        <v>0.58739033088000003</v>
      </c>
    </row>
    <row r="136" spans="1:15" x14ac:dyDescent="0.7">
      <c r="A136" s="5"/>
      <c r="B136" s="5"/>
      <c r="C136" s="5">
        <v>14</v>
      </c>
      <c r="D136" s="6">
        <v>7.1310000000000002</v>
      </c>
      <c r="E136" s="3">
        <v>1.2</v>
      </c>
      <c r="F136" s="6">
        <v>7.1310000000000002</v>
      </c>
      <c r="G136" s="12">
        <f t="shared" ref="G136" si="171">F136*86400</f>
        <v>616118.4</v>
      </c>
      <c r="H136" s="14">
        <f t="shared" ref="H136" si="172">G136/1000000</f>
        <v>0.61611840000000007</v>
      </c>
      <c r="I136" s="13">
        <f t="shared" si="158"/>
        <v>27725.328000000001</v>
      </c>
      <c r="J136" s="24">
        <f t="shared" si="159"/>
        <v>2.7725328E-2</v>
      </c>
      <c r="K136" s="13">
        <f t="shared" si="160"/>
        <v>3327.0393600000002</v>
      </c>
      <c r="L136" s="13">
        <f t="shared" si="161"/>
        <v>3.3270393600000002E-3</v>
      </c>
      <c r="M136" s="46">
        <f t="shared" si="162"/>
        <v>3.1052367359999999E-2</v>
      </c>
      <c r="N136" s="51">
        <f t="shared" si="163"/>
        <v>6.1611840000000008E-2</v>
      </c>
      <c r="O136" s="49">
        <f t="shared" si="164"/>
        <v>0.52345419264000015</v>
      </c>
    </row>
    <row r="137" spans="1:15" x14ac:dyDescent="0.7">
      <c r="A137" s="5"/>
      <c r="B137" s="5"/>
      <c r="C137" s="5">
        <v>15</v>
      </c>
      <c r="D137" s="6">
        <v>4.3419999999999996</v>
      </c>
      <c r="E137" s="3">
        <v>0.3</v>
      </c>
      <c r="F137" s="6">
        <v>4.3419999999999996</v>
      </c>
      <c r="G137" s="12">
        <f t="shared" ref="G137" si="173">F137*86400</f>
        <v>375148.79999999999</v>
      </c>
      <c r="H137" s="14">
        <f t="shared" ref="H137" si="174">G137/1000000</f>
        <v>0.3751488</v>
      </c>
      <c r="I137" s="13">
        <f t="shared" si="158"/>
        <v>16881.696</v>
      </c>
      <c r="J137" s="24">
        <f t="shared" si="159"/>
        <v>1.6881696000000002E-2</v>
      </c>
      <c r="K137" s="13">
        <f t="shared" si="160"/>
        <v>2025.8035199999999</v>
      </c>
      <c r="L137" s="13">
        <f t="shared" si="161"/>
        <v>2.0258035199999997E-3</v>
      </c>
      <c r="M137" s="46">
        <f t="shared" si="162"/>
        <v>1.8907499520000003E-2</v>
      </c>
      <c r="N137" s="51">
        <f t="shared" si="163"/>
        <v>3.751488E-2</v>
      </c>
      <c r="O137" s="49">
        <f t="shared" si="164"/>
        <v>0.31872642047999999</v>
      </c>
    </row>
    <row r="138" spans="1:15" x14ac:dyDescent="0.7">
      <c r="A138" s="5"/>
      <c r="B138" s="5"/>
      <c r="C138" s="5">
        <v>16</v>
      </c>
      <c r="D138" s="6">
        <v>5.7350000000000003</v>
      </c>
      <c r="E138" s="3">
        <v>12.5</v>
      </c>
      <c r="F138" s="6">
        <v>5.7350000000000003</v>
      </c>
      <c r="G138" s="12">
        <f t="shared" ref="G138" si="175">F138*86400</f>
        <v>495504</v>
      </c>
      <c r="H138" s="14">
        <f t="shared" ref="H138" si="176">G138/1000000</f>
        <v>0.495504</v>
      </c>
      <c r="I138" s="13">
        <f t="shared" si="158"/>
        <v>22297.68</v>
      </c>
      <c r="J138" s="24">
        <f t="shared" si="159"/>
        <v>2.229768E-2</v>
      </c>
      <c r="K138" s="13">
        <f t="shared" si="160"/>
        <v>2675.7215999999999</v>
      </c>
      <c r="L138" s="13">
        <f t="shared" si="161"/>
        <v>2.6757216E-3</v>
      </c>
      <c r="M138" s="46">
        <f t="shared" si="162"/>
        <v>2.49734016E-2</v>
      </c>
      <c r="N138" s="51">
        <f t="shared" si="163"/>
        <v>4.9550400000000001E-2</v>
      </c>
      <c r="O138" s="49">
        <f t="shared" si="164"/>
        <v>0.42098019840000001</v>
      </c>
    </row>
    <row r="139" spans="1:15" x14ac:dyDescent="0.7">
      <c r="A139" s="5"/>
      <c r="B139" s="5"/>
      <c r="C139" s="5">
        <v>17</v>
      </c>
      <c r="D139" s="6">
        <v>8.2850000000000001</v>
      </c>
      <c r="E139" s="3">
        <v>64.3</v>
      </c>
      <c r="F139" s="6">
        <v>8.2850000000000001</v>
      </c>
      <c r="G139" s="12">
        <f t="shared" ref="G139" si="177">F139*86400</f>
        <v>715824</v>
      </c>
      <c r="H139" s="14">
        <f t="shared" ref="H139" si="178">G139/1000000</f>
        <v>0.71582400000000002</v>
      </c>
      <c r="I139" s="13">
        <f t="shared" si="158"/>
        <v>32212.079999999998</v>
      </c>
      <c r="J139" s="24">
        <f t="shared" si="159"/>
        <v>3.2212079999999997E-2</v>
      </c>
      <c r="K139" s="13">
        <f t="shared" si="160"/>
        <v>3865.4495999999995</v>
      </c>
      <c r="L139" s="13">
        <f t="shared" si="161"/>
        <v>3.8654495999999993E-3</v>
      </c>
      <c r="M139" s="46">
        <f t="shared" si="162"/>
        <v>3.6077529599999998E-2</v>
      </c>
      <c r="N139" s="51">
        <f t="shared" si="163"/>
        <v>7.1582400000000004E-2</v>
      </c>
      <c r="O139" s="49">
        <f t="shared" si="164"/>
        <v>0.60816407039999998</v>
      </c>
    </row>
    <row r="140" spans="1:15" x14ac:dyDescent="0.7">
      <c r="A140" s="5"/>
      <c r="B140" s="5"/>
      <c r="C140" s="5">
        <v>18</v>
      </c>
      <c r="D140" s="6">
        <v>33.430999999999997</v>
      </c>
      <c r="E140" s="3">
        <v>28.1</v>
      </c>
      <c r="F140" s="6">
        <v>33.430999999999997</v>
      </c>
      <c r="G140" s="12">
        <f t="shared" ref="G140" si="179">F140*86400</f>
        <v>2888438.4</v>
      </c>
      <c r="H140" s="14">
        <f t="shared" ref="H140" si="180">G140/1000000</f>
        <v>2.8884384000000001</v>
      </c>
      <c r="I140" s="13">
        <f t="shared" si="158"/>
        <v>129979.72799999999</v>
      </c>
      <c r="J140" s="24">
        <f t="shared" si="159"/>
        <v>0.12997972799999999</v>
      </c>
      <c r="K140" s="13">
        <f t="shared" si="160"/>
        <v>15597.567359999997</v>
      </c>
      <c r="L140" s="13">
        <f t="shared" si="161"/>
        <v>1.5597567359999997E-2</v>
      </c>
      <c r="M140" s="46">
        <f t="shared" si="162"/>
        <v>0.14557729536</v>
      </c>
      <c r="N140" s="51">
        <f t="shared" si="163"/>
        <v>0.28884384000000002</v>
      </c>
      <c r="O140" s="49">
        <f t="shared" si="164"/>
        <v>2.45401726464</v>
      </c>
    </row>
    <row r="141" spans="1:15" x14ac:dyDescent="0.7">
      <c r="A141" s="5"/>
      <c r="B141" s="5"/>
      <c r="C141" s="5">
        <v>19</v>
      </c>
      <c r="D141" s="6">
        <v>27.791</v>
      </c>
      <c r="E141" s="3">
        <v>0</v>
      </c>
      <c r="F141" s="6">
        <v>27.791</v>
      </c>
      <c r="G141" s="12">
        <f t="shared" ref="G141" si="181">F141*86400</f>
        <v>2401142.4</v>
      </c>
      <c r="H141" s="14">
        <f t="shared" ref="H141" si="182">G141/1000000</f>
        <v>2.4011423999999999</v>
      </c>
      <c r="I141" s="13">
        <f t="shared" si="158"/>
        <v>108051.408</v>
      </c>
      <c r="J141" s="24">
        <f t="shared" si="159"/>
        <v>0.108051408</v>
      </c>
      <c r="K141" s="13">
        <f t="shared" si="160"/>
        <v>12966.168959999999</v>
      </c>
      <c r="L141" s="13">
        <f t="shared" si="161"/>
        <v>1.296616896E-2</v>
      </c>
      <c r="M141" s="46">
        <f t="shared" si="162"/>
        <v>0.12101757696</v>
      </c>
      <c r="N141" s="51">
        <f t="shared" si="163"/>
        <v>0.24011424000000001</v>
      </c>
      <c r="O141" s="49">
        <f t="shared" si="164"/>
        <v>2.0400105830399999</v>
      </c>
    </row>
    <row r="142" spans="1:15" x14ac:dyDescent="0.7">
      <c r="A142" s="5"/>
      <c r="B142" s="5"/>
      <c r="C142" s="5">
        <v>20</v>
      </c>
      <c r="D142" s="6">
        <v>7.2559999999999993</v>
      </c>
      <c r="E142" s="3">
        <v>0</v>
      </c>
      <c r="F142" s="6">
        <v>7.2559999999999993</v>
      </c>
      <c r="G142" s="12">
        <f t="shared" ref="G142" si="183">F142*86400</f>
        <v>626918.39999999991</v>
      </c>
      <c r="H142" s="14">
        <f t="shared" ref="H142" si="184">G142/1000000</f>
        <v>0.62691839999999988</v>
      </c>
      <c r="I142" s="13">
        <f t="shared" si="158"/>
        <v>28211.327999999994</v>
      </c>
      <c r="J142" s="24">
        <f t="shared" si="159"/>
        <v>2.8211327999999994E-2</v>
      </c>
      <c r="K142" s="13">
        <f t="shared" si="160"/>
        <v>3385.359359999999</v>
      </c>
      <c r="L142" s="13">
        <f t="shared" si="161"/>
        <v>3.3853593599999991E-3</v>
      </c>
      <c r="M142" s="46">
        <f t="shared" si="162"/>
        <v>3.1596687359999993E-2</v>
      </c>
      <c r="N142" s="51">
        <f t="shared" si="163"/>
        <v>6.2691839999999985E-2</v>
      </c>
      <c r="O142" s="49">
        <f t="shared" si="164"/>
        <v>0.53262987263999995</v>
      </c>
    </row>
    <row r="143" spans="1:15" x14ac:dyDescent="0.7">
      <c r="A143" s="5"/>
      <c r="B143" s="5"/>
      <c r="C143" s="5">
        <v>21</v>
      </c>
      <c r="D143" s="6">
        <v>7.2559999999999993</v>
      </c>
      <c r="E143" s="3">
        <v>0</v>
      </c>
      <c r="F143" s="6">
        <v>7.2559999999999993</v>
      </c>
      <c r="G143" s="12">
        <f t="shared" ref="G143" si="185">F143*86400</f>
        <v>626918.39999999991</v>
      </c>
      <c r="H143" s="14">
        <f t="shared" ref="H143" si="186">G143/1000000</f>
        <v>0.62691839999999988</v>
      </c>
      <c r="I143" s="13">
        <f t="shared" si="158"/>
        <v>28211.327999999994</v>
      </c>
      <c r="J143" s="24">
        <f t="shared" si="159"/>
        <v>2.8211327999999994E-2</v>
      </c>
      <c r="K143" s="13">
        <f t="shared" si="160"/>
        <v>3385.359359999999</v>
      </c>
      <c r="L143" s="13">
        <f t="shared" si="161"/>
        <v>3.3853593599999991E-3</v>
      </c>
      <c r="M143" s="46">
        <f t="shared" si="162"/>
        <v>3.1596687359999993E-2</v>
      </c>
      <c r="N143" s="51">
        <f t="shared" si="163"/>
        <v>6.2691839999999985E-2</v>
      </c>
      <c r="O143" s="49">
        <f t="shared" si="164"/>
        <v>0.53262987263999995</v>
      </c>
    </row>
    <row r="144" spans="1:15" x14ac:dyDescent="0.7">
      <c r="A144" s="5"/>
      <c r="B144" s="5"/>
      <c r="C144" s="5">
        <v>22</v>
      </c>
      <c r="D144" s="6">
        <v>5.2919999999999998</v>
      </c>
      <c r="E144" s="3">
        <v>21</v>
      </c>
      <c r="F144" s="6">
        <v>5.2919999999999998</v>
      </c>
      <c r="G144" s="12">
        <f t="shared" ref="G144" si="187">F144*86400</f>
        <v>457228.79999999999</v>
      </c>
      <c r="H144" s="14">
        <f t="shared" ref="H144" si="188">G144/1000000</f>
        <v>0.45722879999999999</v>
      </c>
      <c r="I144" s="13">
        <f t="shared" si="158"/>
        <v>20575.295999999998</v>
      </c>
      <c r="J144" s="24">
        <f t="shared" si="159"/>
        <v>2.0575296E-2</v>
      </c>
      <c r="K144" s="13">
        <f t="shared" si="160"/>
        <v>2469.0355199999999</v>
      </c>
      <c r="L144" s="13">
        <f t="shared" si="161"/>
        <v>2.4690355199999997E-3</v>
      </c>
      <c r="M144" s="46">
        <f t="shared" si="162"/>
        <v>2.3044331519999999E-2</v>
      </c>
      <c r="N144" s="51">
        <f t="shared" si="163"/>
        <v>4.572288E-2</v>
      </c>
      <c r="O144" s="49">
        <f t="shared" si="164"/>
        <v>0.38846158847999995</v>
      </c>
    </row>
    <row r="145" spans="1:15" x14ac:dyDescent="0.7">
      <c r="A145" s="5"/>
      <c r="B145" s="5"/>
      <c r="C145" s="5">
        <v>23</v>
      </c>
      <c r="D145" s="6">
        <v>3.8629999999999995</v>
      </c>
      <c r="E145" s="3">
        <v>0</v>
      </c>
      <c r="F145" s="6">
        <v>3.8629999999999995</v>
      </c>
      <c r="G145" s="12">
        <f t="shared" ref="G145" si="189">F145*86400</f>
        <v>333763.19999999995</v>
      </c>
      <c r="H145" s="14">
        <f t="shared" ref="H145" si="190">G145/1000000</f>
        <v>0.33376319999999993</v>
      </c>
      <c r="I145" s="13">
        <f t="shared" si="158"/>
        <v>15019.343999999997</v>
      </c>
      <c r="J145" s="24">
        <f t="shared" si="159"/>
        <v>1.5019343999999997E-2</v>
      </c>
      <c r="K145" s="13">
        <f t="shared" si="160"/>
        <v>1802.3212799999997</v>
      </c>
      <c r="L145" s="13">
        <f t="shared" si="161"/>
        <v>1.8023212799999997E-3</v>
      </c>
      <c r="M145" s="46">
        <f t="shared" si="162"/>
        <v>1.6821665279999995E-2</v>
      </c>
      <c r="N145" s="51">
        <f t="shared" si="163"/>
        <v>3.3376319999999994E-2</v>
      </c>
      <c r="O145" s="49">
        <f t="shared" si="164"/>
        <v>0.2835652147199999</v>
      </c>
    </row>
    <row r="146" spans="1:15" x14ac:dyDescent="0.7">
      <c r="A146" s="5"/>
      <c r="B146" s="5"/>
      <c r="C146" s="5">
        <v>24</v>
      </c>
      <c r="D146" s="6">
        <v>3.8629999999999995</v>
      </c>
      <c r="E146" s="3">
        <v>0</v>
      </c>
      <c r="F146" s="6">
        <v>3.8629999999999995</v>
      </c>
      <c r="G146" s="12">
        <f t="shared" ref="G146" si="191">F146*86400</f>
        <v>333763.19999999995</v>
      </c>
      <c r="H146" s="14">
        <f t="shared" ref="H146" si="192">G146/1000000</f>
        <v>0.33376319999999993</v>
      </c>
      <c r="I146" s="13">
        <f t="shared" si="158"/>
        <v>15019.343999999997</v>
      </c>
      <c r="J146" s="24">
        <f t="shared" si="159"/>
        <v>1.5019343999999997E-2</v>
      </c>
      <c r="K146" s="13">
        <f t="shared" si="160"/>
        <v>1802.3212799999997</v>
      </c>
      <c r="L146" s="13">
        <f t="shared" si="161"/>
        <v>1.8023212799999997E-3</v>
      </c>
      <c r="M146" s="46">
        <f t="shared" si="162"/>
        <v>1.6821665279999995E-2</v>
      </c>
      <c r="N146" s="51">
        <f t="shared" si="163"/>
        <v>3.3376319999999994E-2</v>
      </c>
      <c r="O146" s="49">
        <f t="shared" si="164"/>
        <v>0.2835652147199999</v>
      </c>
    </row>
    <row r="147" spans="1:15" x14ac:dyDescent="0.7">
      <c r="A147" s="5"/>
      <c r="B147" s="5"/>
      <c r="C147" s="5">
        <v>25</v>
      </c>
      <c r="D147" s="6">
        <v>13.556999999999999</v>
      </c>
      <c r="E147" s="3">
        <v>2.6</v>
      </c>
      <c r="F147" s="6">
        <v>13.556999999999999</v>
      </c>
      <c r="G147" s="12">
        <f t="shared" ref="G147" si="193">F147*86400</f>
        <v>1171324.7999999998</v>
      </c>
      <c r="H147" s="14">
        <f t="shared" ref="H147" si="194">G147/1000000</f>
        <v>1.1713247999999998</v>
      </c>
      <c r="I147" s="13">
        <f t="shared" si="158"/>
        <v>52709.615999999987</v>
      </c>
      <c r="J147" s="24">
        <f t="shared" si="159"/>
        <v>5.2709615999999987E-2</v>
      </c>
      <c r="K147" s="13">
        <f t="shared" si="160"/>
        <v>6325.1539199999979</v>
      </c>
      <c r="L147" s="13">
        <f t="shared" si="161"/>
        <v>6.3251539199999981E-3</v>
      </c>
      <c r="M147" s="46">
        <f t="shared" si="162"/>
        <v>5.9034769919999987E-2</v>
      </c>
      <c r="N147" s="51">
        <f t="shared" si="163"/>
        <v>0.11713247999999998</v>
      </c>
      <c r="O147" s="49">
        <f t="shared" si="164"/>
        <v>0.99515755007999984</v>
      </c>
    </row>
    <row r="148" spans="1:15" x14ac:dyDescent="0.7">
      <c r="A148" s="5"/>
      <c r="B148" s="5"/>
      <c r="C148" s="5">
        <v>26</v>
      </c>
      <c r="D148" s="6">
        <v>10.611000000000001</v>
      </c>
      <c r="E148" s="3">
        <v>8.9</v>
      </c>
      <c r="F148" s="6">
        <v>10.611000000000001</v>
      </c>
      <c r="G148" s="12">
        <f t="shared" ref="G148" si="195">F148*86400</f>
        <v>916790.4</v>
      </c>
      <c r="H148" s="14">
        <f t="shared" ref="H148" si="196">G148/1000000</f>
        <v>0.91679040000000001</v>
      </c>
      <c r="I148" s="13">
        <f t="shared" si="158"/>
        <v>41255.567999999999</v>
      </c>
      <c r="J148" s="24">
        <f t="shared" si="159"/>
        <v>4.1255567999999999E-2</v>
      </c>
      <c r="K148" s="13">
        <f t="shared" si="160"/>
        <v>4950.6681600000002</v>
      </c>
      <c r="L148" s="13">
        <f t="shared" si="161"/>
        <v>4.9506681600000003E-3</v>
      </c>
      <c r="M148" s="46">
        <f t="shared" si="162"/>
        <v>4.6206236159999997E-2</v>
      </c>
      <c r="N148" s="51">
        <f t="shared" si="163"/>
        <v>9.1679040000000003E-2</v>
      </c>
      <c r="O148" s="49">
        <f t="shared" si="164"/>
        <v>0.77890512383999999</v>
      </c>
    </row>
    <row r="149" spans="1:15" x14ac:dyDescent="0.7">
      <c r="A149" s="5"/>
      <c r="B149" s="5"/>
      <c r="C149" s="5">
        <v>27</v>
      </c>
      <c r="D149" s="6">
        <v>20.170000000000002</v>
      </c>
      <c r="E149" s="3">
        <v>0.5</v>
      </c>
      <c r="F149" s="6">
        <v>20.170000000000002</v>
      </c>
      <c r="G149" s="12">
        <f t="shared" ref="G149" si="197">F149*86400</f>
        <v>1742688.0000000002</v>
      </c>
      <c r="H149" s="14">
        <f t="shared" ref="H149" si="198">G149/1000000</f>
        <v>1.7426880000000002</v>
      </c>
      <c r="I149" s="13">
        <f t="shared" si="158"/>
        <v>78420.960000000006</v>
      </c>
      <c r="J149" s="24">
        <f t="shared" si="159"/>
        <v>7.8420960000000012E-2</v>
      </c>
      <c r="K149" s="13">
        <f t="shared" si="160"/>
        <v>9410.5151999999998</v>
      </c>
      <c r="L149" s="13">
        <f t="shared" si="161"/>
        <v>9.4105152000000004E-3</v>
      </c>
      <c r="M149" s="46">
        <f t="shared" si="162"/>
        <v>8.7831475200000009E-2</v>
      </c>
      <c r="N149" s="51">
        <f t="shared" si="163"/>
        <v>0.17426880000000003</v>
      </c>
      <c r="O149" s="49">
        <f t="shared" si="164"/>
        <v>1.4805877248000001</v>
      </c>
    </row>
    <row r="150" spans="1:15" x14ac:dyDescent="0.7">
      <c r="A150" s="5"/>
      <c r="B150" s="5"/>
      <c r="C150" s="5">
        <v>28</v>
      </c>
      <c r="D150" s="6">
        <v>20.921000000000003</v>
      </c>
      <c r="E150" s="3">
        <v>15.9</v>
      </c>
      <c r="F150" s="6">
        <v>20.921000000000003</v>
      </c>
      <c r="G150" s="12">
        <f t="shared" ref="G150" si="199">F150*86400</f>
        <v>1807574.4000000001</v>
      </c>
      <c r="H150" s="14">
        <f t="shared" ref="H150" si="200">G150/1000000</f>
        <v>1.8075744000000002</v>
      </c>
      <c r="I150" s="13">
        <f t="shared" si="158"/>
        <v>81340.847999999998</v>
      </c>
      <c r="J150" s="24">
        <f t="shared" si="159"/>
        <v>8.1340847999999993E-2</v>
      </c>
      <c r="K150" s="13">
        <f t="shared" si="160"/>
        <v>9760.9017599999988</v>
      </c>
      <c r="L150" s="13">
        <f t="shared" si="161"/>
        <v>9.7609017599999993E-3</v>
      </c>
      <c r="M150" s="46">
        <f t="shared" si="162"/>
        <v>9.1101749759999989E-2</v>
      </c>
      <c r="N150" s="51">
        <f t="shared" si="163"/>
        <v>0.18075744000000005</v>
      </c>
      <c r="O150" s="49">
        <f t="shared" si="164"/>
        <v>1.5357152102400002</v>
      </c>
    </row>
    <row r="151" spans="1:15" x14ac:dyDescent="0.7">
      <c r="A151" s="10"/>
      <c r="B151" s="10"/>
      <c r="C151" s="10">
        <v>29</v>
      </c>
      <c r="D151" s="18">
        <v>14.92</v>
      </c>
      <c r="E151" s="3">
        <v>5.5</v>
      </c>
      <c r="F151" s="18">
        <v>14.92</v>
      </c>
      <c r="G151" s="20">
        <f t="shared" ref="G151" si="201">F151*86400</f>
        <v>1289088</v>
      </c>
      <c r="H151" s="21">
        <f t="shared" ref="H151" si="202">G151/1000000</f>
        <v>1.289088</v>
      </c>
      <c r="I151" s="13">
        <f t="shared" si="158"/>
        <v>58008.959999999999</v>
      </c>
      <c r="J151" s="24">
        <f t="shared" si="159"/>
        <v>5.8008959999999998E-2</v>
      </c>
      <c r="K151" s="13">
        <f t="shared" si="160"/>
        <v>6961.0751999999993</v>
      </c>
      <c r="L151" s="13">
        <f t="shared" si="161"/>
        <v>6.9610751999999989E-3</v>
      </c>
      <c r="M151" s="46">
        <f t="shared" si="162"/>
        <v>6.4970035199999998E-2</v>
      </c>
      <c r="N151" s="51">
        <f t="shared" si="163"/>
        <v>0.12890880000000002</v>
      </c>
      <c r="O151" s="49">
        <f t="shared" si="164"/>
        <v>1.0952091648</v>
      </c>
    </row>
    <row r="152" spans="1:15" s="23" customFormat="1" x14ac:dyDescent="0.7">
      <c r="A152" s="10"/>
      <c r="B152" s="10"/>
      <c r="C152" s="10">
        <v>30</v>
      </c>
      <c r="D152" s="18">
        <v>17.945</v>
      </c>
      <c r="E152" s="19">
        <v>5.3</v>
      </c>
      <c r="F152" s="18">
        <v>17.945</v>
      </c>
      <c r="G152" s="65">
        <f t="shared" ref="G152" si="203">F152*86400</f>
        <v>1550448</v>
      </c>
      <c r="H152" s="60">
        <f t="shared" ref="H152" si="204">G152/1000000</f>
        <v>1.550448</v>
      </c>
      <c r="I152" s="60">
        <f t="shared" si="158"/>
        <v>69770.16</v>
      </c>
      <c r="J152" s="61">
        <f t="shared" si="159"/>
        <v>6.9770159999999998E-2</v>
      </c>
      <c r="K152" s="60">
        <f t="shared" si="160"/>
        <v>8372.4192000000003</v>
      </c>
      <c r="L152" s="60">
        <f t="shared" si="161"/>
        <v>8.3724191999999999E-3</v>
      </c>
      <c r="M152" s="62">
        <f t="shared" si="162"/>
        <v>7.8142579199999992E-2</v>
      </c>
      <c r="N152" s="63">
        <f t="shared" si="163"/>
        <v>0.15504480000000001</v>
      </c>
      <c r="O152" s="64">
        <f t="shared" si="164"/>
        <v>1.3172606208000002</v>
      </c>
    </row>
    <row r="153" spans="1:15" s="59" customFormat="1" ht="25.2" thickBot="1" x14ac:dyDescent="0.75">
      <c r="A153" s="8"/>
      <c r="B153" s="8" t="s">
        <v>19</v>
      </c>
      <c r="C153" s="8">
        <v>31</v>
      </c>
      <c r="D153" s="9">
        <v>38.539000000000001</v>
      </c>
      <c r="E153" s="9">
        <v>13.7</v>
      </c>
      <c r="F153" s="9">
        <v>38.539000000000001</v>
      </c>
      <c r="G153" s="22">
        <f t="shared" ref="G153" si="205">F153*86400</f>
        <v>3329769.6</v>
      </c>
      <c r="H153" s="15">
        <f t="shared" ref="H153" si="206">G153/1000000</f>
        <v>3.3297696000000001</v>
      </c>
      <c r="I153" s="15">
        <f t="shared" si="158"/>
        <v>149839.63200000001</v>
      </c>
      <c r="J153" s="25">
        <f t="shared" si="159"/>
        <v>0.149839632</v>
      </c>
      <c r="K153" s="15">
        <f t="shared" si="160"/>
        <v>17980.755840000002</v>
      </c>
      <c r="L153" s="15">
        <f t="shared" si="161"/>
        <v>1.7980755840000001E-2</v>
      </c>
      <c r="M153" s="56">
        <f t="shared" si="162"/>
        <v>0.16782038784</v>
      </c>
      <c r="N153" s="57">
        <f t="shared" si="163"/>
        <v>0.33297696000000004</v>
      </c>
      <c r="O153" s="58">
        <f t="shared" si="164"/>
        <v>2.8289722521600003</v>
      </c>
    </row>
    <row r="154" spans="1:15" x14ac:dyDescent="0.7">
      <c r="A154" s="2"/>
      <c r="B154" s="2" t="s">
        <v>20</v>
      </c>
      <c r="C154" s="2">
        <v>1</v>
      </c>
      <c r="D154" s="3">
        <v>27.867000000000001</v>
      </c>
      <c r="E154" s="3">
        <v>0</v>
      </c>
      <c r="F154" s="3">
        <v>27.867000000000001</v>
      </c>
      <c r="G154" s="12">
        <f t="shared" ref="G154" si="207">F154*86400</f>
        <v>2407708.8000000003</v>
      </c>
      <c r="H154" s="14">
        <f t="shared" ref="H154" si="208">G154/1000000</f>
        <v>2.4077088000000004</v>
      </c>
      <c r="I154" s="14">
        <f t="shared" si="158"/>
        <v>108346.89600000001</v>
      </c>
      <c r="J154" s="43">
        <f t="shared" si="159"/>
        <v>0.10834689600000001</v>
      </c>
      <c r="K154" s="14">
        <f t="shared" si="160"/>
        <v>13001.62752</v>
      </c>
      <c r="L154" s="14">
        <f t="shared" si="161"/>
        <v>1.300162752E-2</v>
      </c>
      <c r="M154" s="52">
        <f t="shared" si="162"/>
        <v>0.12134852352000002</v>
      </c>
      <c r="N154" s="53">
        <f t="shared" si="163"/>
        <v>0.24077088000000005</v>
      </c>
      <c r="O154" s="54">
        <f t="shared" si="164"/>
        <v>2.0455893964800005</v>
      </c>
    </row>
    <row r="155" spans="1:15" x14ac:dyDescent="0.7">
      <c r="A155" s="5"/>
      <c r="B155" s="5"/>
      <c r="C155" s="5">
        <v>2</v>
      </c>
      <c r="D155" s="6">
        <v>23.77</v>
      </c>
      <c r="E155" s="3">
        <v>0</v>
      </c>
      <c r="F155" s="6">
        <v>23.77</v>
      </c>
      <c r="G155" s="12">
        <f t="shared" ref="G155" si="209">F155*86400</f>
        <v>2053728</v>
      </c>
      <c r="H155" s="14">
        <f t="shared" ref="H155" si="210">G155/1000000</f>
        <v>2.053728</v>
      </c>
      <c r="I155" s="13">
        <f t="shared" si="158"/>
        <v>92417.76</v>
      </c>
      <c r="J155" s="24">
        <f t="shared" si="159"/>
        <v>9.2417760000000002E-2</v>
      </c>
      <c r="K155" s="13">
        <f t="shared" si="160"/>
        <v>11090.1312</v>
      </c>
      <c r="L155" s="13">
        <f t="shared" si="161"/>
        <v>1.1090131200000001E-2</v>
      </c>
      <c r="M155" s="46">
        <f t="shared" si="162"/>
        <v>0.10350789120000001</v>
      </c>
      <c r="N155" s="51">
        <f t="shared" si="163"/>
        <v>0.20537280000000002</v>
      </c>
      <c r="O155" s="49">
        <f t="shared" si="164"/>
        <v>1.7448473087999998</v>
      </c>
    </row>
    <row r="156" spans="1:15" x14ac:dyDescent="0.7">
      <c r="A156" s="5"/>
      <c r="B156" s="5"/>
      <c r="C156" s="5">
        <v>3</v>
      </c>
      <c r="D156" s="6">
        <v>14.164999999999999</v>
      </c>
      <c r="E156" s="3">
        <v>0</v>
      </c>
      <c r="F156" s="6">
        <v>14.164999999999999</v>
      </c>
      <c r="G156" s="12">
        <f t="shared" ref="G156" si="211">F156*86400</f>
        <v>1223856</v>
      </c>
      <c r="H156" s="14">
        <f t="shared" ref="H156" si="212">G156/1000000</f>
        <v>1.2238560000000001</v>
      </c>
      <c r="I156" s="13">
        <f t="shared" si="158"/>
        <v>55073.52</v>
      </c>
      <c r="J156" s="24">
        <f t="shared" si="159"/>
        <v>5.5073519999999994E-2</v>
      </c>
      <c r="K156" s="13">
        <f t="shared" si="160"/>
        <v>6608.8223999999991</v>
      </c>
      <c r="L156" s="13">
        <f t="shared" si="161"/>
        <v>6.6088223999999987E-3</v>
      </c>
      <c r="M156" s="46">
        <f t="shared" si="162"/>
        <v>6.1682342399999993E-2</v>
      </c>
      <c r="N156" s="51">
        <f t="shared" si="163"/>
        <v>0.12238560000000001</v>
      </c>
      <c r="O156" s="49">
        <f t="shared" si="164"/>
        <v>1.0397880576</v>
      </c>
    </row>
    <row r="157" spans="1:15" x14ac:dyDescent="0.7">
      <c r="A157" s="5"/>
      <c r="B157" s="5"/>
      <c r="C157" s="2">
        <v>4</v>
      </c>
      <c r="D157" s="6">
        <v>10.317</v>
      </c>
      <c r="E157" s="3">
        <v>13.3</v>
      </c>
      <c r="F157" s="6">
        <v>10.317</v>
      </c>
      <c r="G157" s="12">
        <f t="shared" ref="G157" si="213">F157*86400</f>
        <v>891388.8</v>
      </c>
      <c r="H157" s="14">
        <f t="shared" ref="H157" si="214">G157/1000000</f>
        <v>0.89138880000000009</v>
      </c>
      <c r="I157" s="13">
        <f t="shared" si="158"/>
        <v>40112.495999999999</v>
      </c>
      <c r="J157" s="24">
        <f t="shared" si="159"/>
        <v>4.0112495999999997E-2</v>
      </c>
      <c r="K157" s="13">
        <f t="shared" si="160"/>
        <v>4813.4995199999994</v>
      </c>
      <c r="L157" s="13">
        <f t="shared" si="161"/>
        <v>4.8134995199999994E-3</v>
      </c>
      <c r="M157" s="46">
        <f t="shared" si="162"/>
        <v>4.4925995519999998E-2</v>
      </c>
      <c r="N157" s="51">
        <f t="shared" si="163"/>
        <v>8.9138880000000018E-2</v>
      </c>
      <c r="O157" s="49">
        <f t="shared" si="164"/>
        <v>0.75732392448000008</v>
      </c>
    </row>
    <row r="158" spans="1:15" x14ac:dyDescent="0.7">
      <c r="A158" s="5"/>
      <c r="B158" s="5"/>
      <c r="C158" s="5">
        <v>5</v>
      </c>
      <c r="D158" s="6">
        <v>13.164999999999999</v>
      </c>
      <c r="E158" s="3">
        <v>5.2</v>
      </c>
      <c r="F158" s="6">
        <v>13.164999999999999</v>
      </c>
      <c r="G158" s="12">
        <f t="shared" ref="G158" si="215">F158*86400</f>
        <v>1137456</v>
      </c>
      <c r="H158" s="14">
        <f t="shared" ref="H158" si="216">G158/1000000</f>
        <v>1.137456</v>
      </c>
      <c r="I158" s="13">
        <f t="shared" si="158"/>
        <v>51185.52</v>
      </c>
      <c r="J158" s="24">
        <f t="shared" si="159"/>
        <v>5.1185519999999998E-2</v>
      </c>
      <c r="K158" s="13">
        <f t="shared" si="160"/>
        <v>6142.2623999999996</v>
      </c>
      <c r="L158" s="13">
        <f t="shared" si="161"/>
        <v>6.1422624E-3</v>
      </c>
      <c r="M158" s="46">
        <f t="shared" si="162"/>
        <v>5.7327782399999999E-2</v>
      </c>
      <c r="N158" s="51">
        <f t="shared" si="163"/>
        <v>0.1137456</v>
      </c>
      <c r="O158" s="49">
        <f t="shared" si="164"/>
        <v>0.96638261759999999</v>
      </c>
    </row>
    <row r="159" spans="1:15" x14ac:dyDescent="0.7">
      <c r="A159" s="5"/>
      <c r="B159" s="5"/>
      <c r="C159" s="5">
        <v>6</v>
      </c>
      <c r="D159" s="6">
        <v>4.8239999999999998</v>
      </c>
      <c r="E159" s="3">
        <v>1.8</v>
      </c>
      <c r="F159" s="6">
        <v>4.8239999999999998</v>
      </c>
      <c r="G159" s="12">
        <f t="shared" ref="G159" si="217">F159*86400</f>
        <v>416793.59999999998</v>
      </c>
      <c r="H159" s="14">
        <f t="shared" ref="H159" si="218">G159/1000000</f>
        <v>0.41679359999999999</v>
      </c>
      <c r="I159" s="13">
        <f t="shared" si="158"/>
        <v>18755.712</v>
      </c>
      <c r="J159" s="24">
        <f t="shared" si="159"/>
        <v>1.8755712000000001E-2</v>
      </c>
      <c r="K159" s="13">
        <f t="shared" si="160"/>
        <v>2250.6854399999997</v>
      </c>
      <c r="L159" s="13">
        <f t="shared" si="161"/>
        <v>2.2506854399999996E-3</v>
      </c>
      <c r="M159" s="46">
        <f t="shared" si="162"/>
        <v>2.1006397440000001E-2</v>
      </c>
      <c r="N159" s="51">
        <f t="shared" si="163"/>
        <v>4.1679359999999999E-2</v>
      </c>
      <c r="O159" s="49">
        <f t="shared" si="164"/>
        <v>0.35410784256</v>
      </c>
    </row>
    <row r="160" spans="1:15" x14ac:dyDescent="0.7">
      <c r="A160" s="5"/>
      <c r="B160" s="5"/>
      <c r="C160" s="2">
        <v>7</v>
      </c>
      <c r="D160" s="6">
        <v>6.0990000000000002</v>
      </c>
      <c r="E160" s="3">
        <v>0</v>
      </c>
      <c r="F160" s="6">
        <v>6.0990000000000002</v>
      </c>
      <c r="G160" s="12">
        <f t="shared" ref="G160" si="219">F160*86400</f>
        <v>526953.6</v>
      </c>
      <c r="H160" s="14">
        <f t="shared" ref="H160" si="220">G160/1000000</f>
        <v>0.52695360000000002</v>
      </c>
      <c r="I160" s="13">
        <f t="shared" si="158"/>
        <v>23712.911999999997</v>
      </c>
      <c r="J160" s="24">
        <f t="shared" si="159"/>
        <v>2.3712911999999996E-2</v>
      </c>
      <c r="K160" s="13">
        <f t="shared" si="160"/>
        <v>2845.5494399999993</v>
      </c>
      <c r="L160" s="13">
        <f t="shared" si="161"/>
        <v>2.8455494399999993E-3</v>
      </c>
      <c r="M160" s="46">
        <f t="shared" si="162"/>
        <v>2.6558461439999993E-2</v>
      </c>
      <c r="N160" s="51">
        <f t="shared" si="163"/>
        <v>5.2695360000000004E-2</v>
      </c>
      <c r="O160" s="49">
        <f t="shared" si="164"/>
        <v>0.44769977856000004</v>
      </c>
    </row>
    <row r="161" spans="1:15" x14ac:dyDescent="0.7">
      <c r="A161" s="5"/>
      <c r="B161" s="5"/>
      <c r="C161" s="5">
        <v>8</v>
      </c>
      <c r="D161" s="6">
        <v>4.8239999999999998</v>
      </c>
      <c r="E161" s="3">
        <v>17</v>
      </c>
      <c r="F161" s="6">
        <v>4.8239999999999998</v>
      </c>
      <c r="G161" s="12">
        <f t="shared" ref="G161" si="221">F161*86400</f>
        <v>416793.59999999998</v>
      </c>
      <c r="H161" s="14">
        <f t="shared" ref="H161" si="222">G161/1000000</f>
        <v>0.41679359999999999</v>
      </c>
      <c r="I161" s="13">
        <f t="shared" si="158"/>
        <v>18755.712</v>
      </c>
      <c r="J161" s="24">
        <f t="shared" si="159"/>
        <v>1.8755712000000001E-2</v>
      </c>
      <c r="K161" s="13">
        <f t="shared" si="160"/>
        <v>2250.6854399999997</v>
      </c>
      <c r="L161" s="13">
        <f t="shared" si="161"/>
        <v>2.2506854399999996E-3</v>
      </c>
      <c r="M161" s="46">
        <f t="shared" si="162"/>
        <v>2.1006397440000001E-2</v>
      </c>
      <c r="N161" s="51">
        <f t="shared" si="163"/>
        <v>4.1679359999999999E-2</v>
      </c>
      <c r="O161" s="49">
        <f t="shared" si="164"/>
        <v>0.35410784256</v>
      </c>
    </row>
    <row r="162" spans="1:15" x14ac:dyDescent="0.7">
      <c r="A162" s="5"/>
      <c r="B162" s="5"/>
      <c r="C162" s="5">
        <v>9</v>
      </c>
      <c r="D162" s="6">
        <v>15.023</v>
      </c>
      <c r="E162" s="3">
        <v>8.4</v>
      </c>
      <c r="F162" s="6">
        <v>15.023</v>
      </c>
      <c r="G162" s="12">
        <f t="shared" ref="G162" si="223">F162*86400</f>
        <v>1297987.2</v>
      </c>
      <c r="H162" s="14">
        <f t="shared" ref="H162" si="224">G162/1000000</f>
        <v>1.2979871999999999</v>
      </c>
      <c r="I162" s="13">
        <f t="shared" si="158"/>
        <v>58409.423999999999</v>
      </c>
      <c r="J162" s="24">
        <f t="shared" si="159"/>
        <v>5.8409424000000001E-2</v>
      </c>
      <c r="K162" s="13">
        <f t="shared" si="160"/>
        <v>7009.1308799999997</v>
      </c>
      <c r="L162" s="13">
        <f t="shared" si="161"/>
        <v>7.0091308799999997E-3</v>
      </c>
      <c r="M162" s="46">
        <f t="shared" si="162"/>
        <v>6.5418554880000007E-2</v>
      </c>
      <c r="N162" s="51">
        <f t="shared" si="163"/>
        <v>0.12979872000000001</v>
      </c>
      <c r="O162" s="49">
        <f t="shared" si="164"/>
        <v>1.10276992512</v>
      </c>
    </row>
    <row r="163" spans="1:15" x14ac:dyDescent="0.7">
      <c r="A163" s="5"/>
      <c r="B163" s="5"/>
      <c r="C163" s="2">
        <v>10</v>
      </c>
      <c r="D163" s="6">
        <v>31.920999999999999</v>
      </c>
      <c r="E163" s="3">
        <v>0.5</v>
      </c>
      <c r="F163" s="6">
        <v>31.920999999999999</v>
      </c>
      <c r="G163" s="12">
        <f t="shared" ref="G163" si="225">F163*86400</f>
        <v>2757974.4</v>
      </c>
      <c r="H163" s="14">
        <f t="shared" ref="H163" si="226">G163/1000000</f>
        <v>2.7579743999999997</v>
      </c>
      <c r="I163" s="13">
        <f t="shared" si="158"/>
        <v>124108.848</v>
      </c>
      <c r="J163" s="24">
        <f t="shared" si="159"/>
        <v>0.12410884799999999</v>
      </c>
      <c r="K163" s="13">
        <f t="shared" si="160"/>
        <v>14893.061759999999</v>
      </c>
      <c r="L163" s="13">
        <f t="shared" si="161"/>
        <v>1.489306176E-2</v>
      </c>
      <c r="M163" s="46">
        <f t="shared" si="162"/>
        <v>0.13900190975999999</v>
      </c>
      <c r="N163" s="51">
        <f t="shared" si="163"/>
        <v>0.27579744</v>
      </c>
      <c r="O163" s="49">
        <f t="shared" si="164"/>
        <v>2.3431750502399997</v>
      </c>
    </row>
    <row r="164" spans="1:15" x14ac:dyDescent="0.7">
      <c r="A164" s="5"/>
      <c r="B164" s="5"/>
      <c r="C164" s="5">
        <v>11</v>
      </c>
      <c r="D164" s="6">
        <v>29.807000000000002</v>
      </c>
      <c r="E164" s="3">
        <v>0.3</v>
      </c>
      <c r="F164" s="6">
        <v>29.807000000000002</v>
      </c>
      <c r="G164" s="12">
        <f t="shared" ref="G164" si="227">F164*86400</f>
        <v>2575324.8000000003</v>
      </c>
      <c r="H164" s="14">
        <f t="shared" ref="H164" si="228">G164/1000000</f>
        <v>2.5753248000000002</v>
      </c>
      <c r="I164" s="13">
        <f t="shared" si="158"/>
        <v>115889.61600000001</v>
      </c>
      <c r="J164" s="24">
        <f t="shared" si="159"/>
        <v>0.11588961600000001</v>
      </c>
      <c r="K164" s="13">
        <f t="shared" si="160"/>
        <v>13906.753920000001</v>
      </c>
      <c r="L164" s="13">
        <f t="shared" si="161"/>
        <v>1.3906753920000001E-2</v>
      </c>
      <c r="M164" s="46">
        <f t="shared" si="162"/>
        <v>0.12979636992000002</v>
      </c>
      <c r="N164" s="51">
        <f t="shared" si="163"/>
        <v>0.25753248000000001</v>
      </c>
      <c r="O164" s="49">
        <f t="shared" si="164"/>
        <v>2.1879959500799999</v>
      </c>
    </row>
    <row r="165" spans="1:15" x14ac:dyDescent="0.7">
      <c r="A165" s="5"/>
      <c r="B165" s="5"/>
      <c r="C165" s="5">
        <v>12</v>
      </c>
      <c r="D165" s="6">
        <v>16.081</v>
      </c>
      <c r="E165" s="3">
        <v>14.9</v>
      </c>
      <c r="F165" s="6">
        <v>16.081</v>
      </c>
      <c r="G165" s="12">
        <f t="shared" ref="G165" si="229">F165*86400</f>
        <v>1389398.4</v>
      </c>
      <c r="H165" s="14">
        <f t="shared" ref="H165" si="230">G165/1000000</f>
        <v>1.3893983999999999</v>
      </c>
      <c r="I165" s="13">
        <f t="shared" si="158"/>
        <v>62522.927999999993</v>
      </c>
      <c r="J165" s="24">
        <f t="shared" si="159"/>
        <v>6.2522927999999992E-2</v>
      </c>
      <c r="K165" s="13">
        <f t="shared" si="160"/>
        <v>7502.7513599999984</v>
      </c>
      <c r="L165" s="13">
        <f t="shared" si="161"/>
        <v>7.5027513599999988E-3</v>
      </c>
      <c r="M165" s="46">
        <f t="shared" si="162"/>
        <v>7.0025679359999995E-2</v>
      </c>
      <c r="N165" s="51">
        <f t="shared" si="163"/>
        <v>0.13893984000000001</v>
      </c>
      <c r="O165" s="49">
        <f t="shared" si="164"/>
        <v>1.18043288064</v>
      </c>
    </row>
    <row r="166" spans="1:15" x14ac:dyDescent="0.7">
      <c r="A166" s="5"/>
      <c r="B166" s="5"/>
      <c r="C166" s="2">
        <v>13</v>
      </c>
      <c r="D166" s="6">
        <v>12.639000000000001</v>
      </c>
      <c r="E166" s="3">
        <v>25.5</v>
      </c>
      <c r="F166" s="6">
        <v>12.639000000000001</v>
      </c>
      <c r="G166" s="12">
        <f t="shared" ref="G166" si="231">F166*86400</f>
        <v>1092009.6000000001</v>
      </c>
      <c r="H166" s="14">
        <f t="shared" ref="H166" si="232">G166/1000000</f>
        <v>1.0920096000000001</v>
      </c>
      <c r="I166" s="13">
        <f t="shared" si="158"/>
        <v>49140.432000000001</v>
      </c>
      <c r="J166" s="24">
        <f t="shared" si="159"/>
        <v>4.9140431999999998E-2</v>
      </c>
      <c r="K166" s="13">
        <f t="shared" si="160"/>
        <v>5896.8518400000003</v>
      </c>
      <c r="L166" s="13">
        <f t="shared" si="161"/>
        <v>5.8968518399999999E-3</v>
      </c>
      <c r="M166" s="46">
        <f t="shared" si="162"/>
        <v>5.5037283839999999E-2</v>
      </c>
      <c r="N166" s="51">
        <f t="shared" si="163"/>
        <v>0.10920096000000001</v>
      </c>
      <c r="O166" s="49">
        <f t="shared" si="164"/>
        <v>0.92777135616000017</v>
      </c>
    </row>
    <row r="167" spans="1:15" x14ac:dyDescent="0.7">
      <c r="A167" s="5"/>
      <c r="B167" s="5"/>
      <c r="C167" s="5">
        <v>14</v>
      </c>
      <c r="D167" s="6">
        <v>13.16</v>
      </c>
      <c r="E167" s="3">
        <v>0.2</v>
      </c>
      <c r="F167" s="6">
        <v>13.16</v>
      </c>
      <c r="G167" s="12">
        <f t="shared" ref="G167" si="233">F167*86400</f>
        <v>1137024</v>
      </c>
      <c r="H167" s="14">
        <f t="shared" ref="H167" si="234">G167/1000000</f>
        <v>1.137024</v>
      </c>
      <c r="I167" s="13">
        <f t="shared" si="158"/>
        <v>51166.080000000002</v>
      </c>
      <c r="J167" s="24">
        <f t="shared" si="159"/>
        <v>5.1166080000000003E-2</v>
      </c>
      <c r="K167" s="13">
        <f t="shared" si="160"/>
        <v>6139.9296000000004</v>
      </c>
      <c r="L167" s="13">
        <f t="shared" si="161"/>
        <v>6.1399296000000008E-3</v>
      </c>
      <c r="M167" s="46">
        <f t="shared" si="162"/>
        <v>5.7306009600000006E-2</v>
      </c>
      <c r="N167" s="51">
        <f t="shared" si="163"/>
        <v>0.11370240000000001</v>
      </c>
      <c r="O167" s="49">
        <f t="shared" si="164"/>
        <v>0.96601559040000007</v>
      </c>
    </row>
    <row r="168" spans="1:15" x14ac:dyDescent="0.7">
      <c r="A168" s="5"/>
      <c r="B168" s="5"/>
      <c r="C168" s="5">
        <v>15</v>
      </c>
      <c r="D168" s="6">
        <v>12.662999999999998</v>
      </c>
      <c r="E168" s="3">
        <v>0</v>
      </c>
      <c r="F168" s="6">
        <v>12.662999999999998</v>
      </c>
      <c r="G168" s="12">
        <f t="shared" ref="G168" si="235">F168*86400</f>
        <v>1094083.2</v>
      </c>
      <c r="H168" s="14">
        <f t="shared" ref="H168" si="236">G168/1000000</f>
        <v>1.0940832</v>
      </c>
      <c r="I168" s="13">
        <f t="shared" si="158"/>
        <v>49233.743999999999</v>
      </c>
      <c r="J168" s="24">
        <f t="shared" si="159"/>
        <v>4.9233743999999996E-2</v>
      </c>
      <c r="K168" s="13">
        <f t="shared" si="160"/>
        <v>5908.0492799999993</v>
      </c>
      <c r="L168" s="13">
        <f t="shared" si="161"/>
        <v>5.9080492799999992E-3</v>
      </c>
      <c r="M168" s="46">
        <f t="shared" si="162"/>
        <v>5.5141793279999997E-2</v>
      </c>
      <c r="N168" s="51">
        <f t="shared" si="163"/>
        <v>0.10940832</v>
      </c>
      <c r="O168" s="49">
        <f t="shared" si="164"/>
        <v>0.92953308672000001</v>
      </c>
    </row>
    <row r="169" spans="1:15" x14ac:dyDescent="0.7">
      <c r="A169" s="5"/>
      <c r="B169" s="5"/>
      <c r="C169" s="2">
        <v>16</v>
      </c>
      <c r="D169" s="6">
        <v>13.16</v>
      </c>
      <c r="E169" s="3">
        <v>0</v>
      </c>
      <c r="F169" s="6">
        <v>13.16</v>
      </c>
      <c r="G169" s="12">
        <f t="shared" ref="G169" si="237">F169*86400</f>
        <v>1137024</v>
      </c>
      <c r="H169" s="14">
        <f t="shared" ref="H169" si="238">G169/1000000</f>
        <v>1.137024</v>
      </c>
      <c r="I169" s="13">
        <f t="shared" si="158"/>
        <v>51166.080000000002</v>
      </c>
      <c r="J169" s="24">
        <f t="shared" si="159"/>
        <v>5.1166080000000003E-2</v>
      </c>
      <c r="K169" s="13">
        <f t="shared" si="160"/>
        <v>6139.9296000000004</v>
      </c>
      <c r="L169" s="13">
        <f t="shared" si="161"/>
        <v>6.1399296000000008E-3</v>
      </c>
      <c r="M169" s="46">
        <f t="shared" si="162"/>
        <v>5.7306009600000006E-2</v>
      </c>
      <c r="N169" s="51">
        <f t="shared" si="163"/>
        <v>0.11370240000000001</v>
      </c>
      <c r="O169" s="49">
        <f t="shared" si="164"/>
        <v>0.96601559040000007</v>
      </c>
    </row>
    <row r="170" spans="1:15" x14ac:dyDescent="0.7">
      <c r="A170" s="5"/>
      <c r="B170" s="5"/>
      <c r="C170" s="5">
        <v>17</v>
      </c>
      <c r="D170" s="6">
        <v>5.2130000000000001</v>
      </c>
      <c r="E170" s="3">
        <v>0.1</v>
      </c>
      <c r="F170" s="6">
        <v>5.2130000000000001</v>
      </c>
      <c r="G170" s="12">
        <f t="shared" ref="G170" si="239">F170*86400</f>
        <v>450403.2</v>
      </c>
      <c r="H170" s="14">
        <f t="shared" ref="H170" si="240">G170/1000000</f>
        <v>0.4504032</v>
      </c>
      <c r="I170" s="13">
        <f t="shared" si="158"/>
        <v>20268.144</v>
      </c>
      <c r="J170" s="24">
        <f t="shared" si="159"/>
        <v>2.0268144000000002E-2</v>
      </c>
      <c r="K170" s="13">
        <f t="shared" si="160"/>
        <v>2432.1772799999999</v>
      </c>
      <c r="L170" s="13">
        <f t="shared" si="161"/>
        <v>2.43217728E-3</v>
      </c>
      <c r="M170" s="46">
        <f t="shared" si="162"/>
        <v>2.2700321280000001E-2</v>
      </c>
      <c r="N170" s="51">
        <f t="shared" si="163"/>
        <v>4.5040320000000002E-2</v>
      </c>
      <c r="O170" s="49">
        <f t="shared" si="164"/>
        <v>0.38266255871999999</v>
      </c>
    </row>
    <row r="171" spans="1:15" x14ac:dyDescent="0.7">
      <c r="A171" s="5"/>
      <c r="B171" s="5"/>
      <c r="C171" s="5">
        <v>18</v>
      </c>
      <c r="D171" s="6">
        <v>4.7060000000000004</v>
      </c>
      <c r="E171" s="3">
        <v>8.5</v>
      </c>
      <c r="F171" s="6">
        <v>4.7060000000000004</v>
      </c>
      <c r="G171" s="12">
        <f t="shared" ref="G171" si="241">F171*86400</f>
        <v>406598.40000000002</v>
      </c>
      <c r="H171" s="14">
        <f t="shared" ref="H171" si="242">G171/1000000</f>
        <v>0.40659840000000003</v>
      </c>
      <c r="I171" s="13">
        <f t="shared" si="158"/>
        <v>18296.928</v>
      </c>
      <c r="J171" s="24">
        <f t="shared" si="159"/>
        <v>1.8296928E-2</v>
      </c>
      <c r="K171" s="13">
        <f t="shared" si="160"/>
        <v>2195.6313599999999</v>
      </c>
      <c r="L171" s="13">
        <f t="shared" si="161"/>
        <v>2.1956313599999998E-3</v>
      </c>
      <c r="M171" s="46">
        <f t="shared" si="162"/>
        <v>2.0492559359999999E-2</v>
      </c>
      <c r="N171" s="51">
        <f t="shared" si="163"/>
        <v>4.0659840000000003E-2</v>
      </c>
      <c r="O171" s="49">
        <f t="shared" si="164"/>
        <v>0.34544600064000003</v>
      </c>
    </row>
    <row r="172" spans="1:15" x14ac:dyDescent="0.7">
      <c r="A172" s="5"/>
      <c r="B172" s="5"/>
      <c r="C172" s="2">
        <v>19</v>
      </c>
      <c r="D172" s="6">
        <v>4.7060000000000004</v>
      </c>
      <c r="E172" s="3">
        <v>0.3</v>
      </c>
      <c r="F172" s="6">
        <v>4.7060000000000004</v>
      </c>
      <c r="G172" s="12">
        <f t="shared" ref="G172" si="243">F172*86400</f>
        <v>406598.40000000002</v>
      </c>
      <c r="H172" s="14">
        <f t="shared" ref="H172" si="244">G172/1000000</f>
        <v>0.40659840000000003</v>
      </c>
      <c r="I172" s="13">
        <f t="shared" si="158"/>
        <v>18296.928</v>
      </c>
      <c r="J172" s="24">
        <f t="shared" si="159"/>
        <v>1.8296928E-2</v>
      </c>
      <c r="K172" s="13">
        <f t="shared" si="160"/>
        <v>2195.6313599999999</v>
      </c>
      <c r="L172" s="13">
        <f t="shared" si="161"/>
        <v>2.1956313599999998E-3</v>
      </c>
      <c r="M172" s="46">
        <f t="shared" si="162"/>
        <v>2.0492559359999999E-2</v>
      </c>
      <c r="N172" s="51">
        <f t="shared" si="163"/>
        <v>4.0659840000000003E-2</v>
      </c>
      <c r="O172" s="49">
        <f t="shared" si="164"/>
        <v>0.34544600064000003</v>
      </c>
    </row>
    <row r="173" spans="1:15" x14ac:dyDescent="0.7">
      <c r="A173" s="5"/>
      <c r="B173" s="5"/>
      <c r="C173" s="5">
        <v>20</v>
      </c>
      <c r="D173" s="6">
        <v>5.2939999999999996</v>
      </c>
      <c r="E173" s="3">
        <v>0.8</v>
      </c>
      <c r="F173" s="6">
        <v>5.2939999999999996</v>
      </c>
      <c r="G173" s="12">
        <f t="shared" ref="G173" si="245">F173*86400</f>
        <v>457401.59999999998</v>
      </c>
      <c r="H173" s="14">
        <f t="shared" ref="H173" si="246">G173/1000000</f>
        <v>0.45740159999999996</v>
      </c>
      <c r="I173" s="13">
        <f t="shared" si="158"/>
        <v>20583.071999999996</v>
      </c>
      <c r="J173" s="24">
        <f t="shared" si="159"/>
        <v>2.0583071999999997E-2</v>
      </c>
      <c r="K173" s="13">
        <f t="shared" si="160"/>
        <v>2469.9686399999996</v>
      </c>
      <c r="L173" s="13">
        <f t="shared" si="161"/>
        <v>2.4699686399999995E-3</v>
      </c>
      <c r="M173" s="46">
        <f t="shared" si="162"/>
        <v>2.3053040639999998E-2</v>
      </c>
      <c r="N173" s="51">
        <f t="shared" si="163"/>
        <v>4.5740160000000002E-2</v>
      </c>
      <c r="O173" s="49">
        <f t="shared" si="164"/>
        <v>0.38860839935999991</v>
      </c>
    </row>
    <row r="174" spans="1:15" x14ac:dyDescent="0.7">
      <c r="A174" s="5"/>
      <c r="B174" s="5"/>
      <c r="C174" s="5">
        <v>21</v>
      </c>
      <c r="D174" s="6">
        <v>5.7050000000000001</v>
      </c>
      <c r="E174" s="3">
        <v>11.5</v>
      </c>
      <c r="F174" s="6">
        <v>5.7050000000000001</v>
      </c>
      <c r="G174" s="12">
        <f t="shared" ref="G174" si="247">F174*86400</f>
        <v>492912</v>
      </c>
      <c r="H174" s="14">
        <f t="shared" ref="H174" si="248">G174/1000000</f>
        <v>0.49291200000000002</v>
      </c>
      <c r="I174" s="13">
        <f t="shared" si="158"/>
        <v>22181.040000000001</v>
      </c>
      <c r="J174" s="24">
        <f t="shared" si="159"/>
        <v>2.2181040000000003E-2</v>
      </c>
      <c r="K174" s="13">
        <f t="shared" si="160"/>
        <v>2661.7248</v>
      </c>
      <c r="L174" s="13">
        <f t="shared" si="161"/>
        <v>2.6617248000000001E-3</v>
      </c>
      <c r="M174" s="46">
        <f t="shared" si="162"/>
        <v>2.4842764800000004E-2</v>
      </c>
      <c r="N174" s="51">
        <f t="shared" si="163"/>
        <v>4.9291200000000007E-2</v>
      </c>
      <c r="O174" s="49">
        <f t="shared" si="164"/>
        <v>0.41877803520000001</v>
      </c>
    </row>
    <row r="175" spans="1:15" x14ac:dyDescent="0.7">
      <c r="A175" s="5"/>
      <c r="B175" s="5"/>
      <c r="C175" s="2">
        <v>22</v>
      </c>
      <c r="D175" s="6">
        <v>5.7050000000000001</v>
      </c>
      <c r="E175" s="3">
        <v>0</v>
      </c>
      <c r="F175" s="6">
        <v>5.7050000000000001</v>
      </c>
      <c r="G175" s="12">
        <f t="shared" ref="G175" si="249">F175*86400</f>
        <v>492912</v>
      </c>
      <c r="H175" s="14">
        <f t="shared" ref="H175" si="250">G175/1000000</f>
        <v>0.49291200000000002</v>
      </c>
      <c r="I175" s="13">
        <f t="shared" si="158"/>
        <v>22181.040000000001</v>
      </c>
      <c r="J175" s="24">
        <f t="shared" si="159"/>
        <v>2.2181040000000003E-2</v>
      </c>
      <c r="K175" s="13">
        <f t="shared" si="160"/>
        <v>2661.7248</v>
      </c>
      <c r="L175" s="13">
        <f t="shared" si="161"/>
        <v>2.6617248000000001E-3</v>
      </c>
      <c r="M175" s="46">
        <f t="shared" si="162"/>
        <v>2.4842764800000004E-2</v>
      </c>
      <c r="N175" s="51">
        <f t="shared" si="163"/>
        <v>4.9291200000000007E-2</v>
      </c>
      <c r="O175" s="49">
        <f t="shared" si="164"/>
        <v>0.41877803520000001</v>
      </c>
    </row>
    <row r="176" spans="1:15" x14ac:dyDescent="0.7">
      <c r="A176" s="5"/>
      <c r="B176" s="5"/>
      <c r="C176" s="5">
        <v>23</v>
      </c>
      <c r="D176" s="6">
        <v>5.7050000000000001</v>
      </c>
      <c r="E176" s="3">
        <v>0</v>
      </c>
      <c r="F176" s="6">
        <v>5.7050000000000001</v>
      </c>
      <c r="G176" s="12">
        <f t="shared" ref="G176" si="251">F176*86400</f>
        <v>492912</v>
      </c>
      <c r="H176" s="14">
        <f t="shared" ref="H176" si="252">G176/1000000</f>
        <v>0.49291200000000002</v>
      </c>
      <c r="I176" s="13">
        <f t="shared" si="158"/>
        <v>22181.040000000001</v>
      </c>
      <c r="J176" s="24">
        <f t="shared" si="159"/>
        <v>2.2181040000000003E-2</v>
      </c>
      <c r="K176" s="13">
        <f t="shared" si="160"/>
        <v>2661.7248</v>
      </c>
      <c r="L176" s="13">
        <f t="shared" si="161"/>
        <v>2.6617248000000001E-3</v>
      </c>
      <c r="M176" s="46">
        <f t="shared" si="162"/>
        <v>2.4842764800000004E-2</v>
      </c>
      <c r="N176" s="51">
        <f t="shared" si="163"/>
        <v>4.9291200000000007E-2</v>
      </c>
      <c r="O176" s="49">
        <f t="shared" si="164"/>
        <v>0.41877803520000001</v>
      </c>
    </row>
    <row r="177" spans="1:15" x14ac:dyDescent="0.7">
      <c r="A177" s="5"/>
      <c r="B177" s="5"/>
      <c r="C177" s="5">
        <v>24</v>
      </c>
      <c r="D177" s="6">
        <v>4.9400000000000004</v>
      </c>
      <c r="E177" s="3">
        <v>0.3</v>
      </c>
      <c r="F177" s="6">
        <v>4.9400000000000004</v>
      </c>
      <c r="G177" s="12">
        <f t="shared" ref="G177" si="253">F177*86400</f>
        <v>426816.00000000006</v>
      </c>
      <c r="H177" s="14">
        <f t="shared" ref="H177" si="254">G177/1000000</f>
        <v>0.42681600000000008</v>
      </c>
      <c r="I177" s="13">
        <f t="shared" si="158"/>
        <v>19206.72</v>
      </c>
      <c r="J177" s="24">
        <f t="shared" si="159"/>
        <v>1.920672E-2</v>
      </c>
      <c r="K177" s="13">
        <f t="shared" si="160"/>
        <v>2304.8063999999999</v>
      </c>
      <c r="L177" s="13">
        <f t="shared" si="161"/>
        <v>2.3048064000000001E-3</v>
      </c>
      <c r="M177" s="46">
        <f t="shared" si="162"/>
        <v>2.1511526400000001E-2</v>
      </c>
      <c r="N177" s="51">
        <f t="shared" si="163"/>
        <v>4.2681600000000014E-2</v>
      </c>
      <c r="O177" s="49">
        <f t="shared" si="164"/>
        <v>0.36262287360000012</v>
      </c>
    </row>
    <row r="178" spans="1:15" x14ac:dyDescent="0.7">
      <c r="A178" s="5"/>
      <c r="B178" s="5"/>
      <c r="C178" s="2">
        <v>25</v>
      </c>
      <c r="D178" s="6">
        <v>4.9400000000000004</v>
      </c>
      <c r="E178" s="3">
        <v>25.5</v>
      </c>
      <c r="F178" s="6">
        <v>4.9400000000000004</v>
      </c>
      <c r="G178" s="12">
        <f t="shared" ref="G178" si="255">F178*86400</f>
        <v>426816.00000000006</v>
      </c>
      <c r="H178" s="14">
        <f t="shared" ref="H178" si="256">G178/1000000</f>
        <v>0.42681600000000008</v>
      </c>
      <c r="I178" s="13">
        <f t="shared" si="158"/>
        <v>19206.72</v>
      </c>
      <c r="J178" s="24">
        <f t="shared" si="159"/>
        <v>1.920672E-2</v>
      </c>
      <c r="K178" s="13">
        <f t="shared" si="160"/>
        <v>2304.8063999999999</v>
      </c>
      <c r="L178" s="13">
        <f t="shared" si="161"/>
        <v>2.3048064000000001E-3</v>
      </c>
      <c r="M178" s="46">
        <f t="shared" si="162"/>
        <v>2.1511526400000001E-2</v>
      </c>
      <c r="N178" s="51">
        <f t="shared" si="163"/>
        <v>4.2681600000000014E-2</v>
      </c>
      <c r="O178" s="49">
        <f t="shared" si="164"/>
        <v>0.36262287360000012</v>
      </c>
    </row>
    <row r="179" spans="1:15" x14ac:dyDescent="0.7">
      <c r="A179" s="5"/>
      <c r="B179" s="5"/>
      <c r="C179" s="5">
        <v>26</v>
      </c>
      <c r="D179" s="6">
        <v>6.4180000000000001</v>
      </c>
      <c r="E179" s="3">
        <v>0</v>
      </c>
      <c r="F179" s="6">
        <v>6.4180000000000001</v>
      </c>
      <c r="G179" s="12">
        <f t="shared" ref="G179" si="257">F179*86400</f>
        <v>554515.20000000007</v>
      </c>
      <c r="H179" s="14">
        <f t="shared" ref="H179" si="258">G179/1000000</f>
        <v>0.5545152000000001</v>
      </c>
      <c r="I179" s="13">
        <f t="shared" si="158"/>
        <v>24953.184000000001</v>
      </c>
      <c r="J179" s="24">
        <f t="shared" si="159"/>
        <v>2.4953184E-2</v>
      </c>
      <c r="K179" s="13">
        <f t="shared" si="160"/>
        <v>2994.3820799999999</v>
      </c>
      <c r="L179" s="13">
        <f t="shared" si="161"/>
        <v>2.99438208E-3</v>
      </c>
      <c r="M179" s="46">
        <f t="shared" si="162"/>
        <v>2.794756608E-2</v>
      </c>
      <c r="N179" s="51">
        <f t="shared" si="163"/>
        <v>5.5451520000000011E-2</v>
      </c>
      <c r="O179" s="49">
        <f t="shared" si="164"/>
        <v>0.47111611392000002</v>
      </c>
    </row>
    <row r="180" spans="1:15" x14ac:dyDescent="0.7">
      <c r="A180" s="5"/>
      <c r="B180" s="5"/>
      <c r="C180" s="5">
        <v>27</v>
      </c>
      <c r="D180" s="6">
        <v>7.3170000000000002</v>
      </c>
      <c r="E180" s="3">
        <v>9.4</v>
      </c>
      <c r="F180" s="6">
        <v>7.3170000000000002</v>
      </c>
      <c r="G180" s="12">
        <f t="shared" ref="G180" si="259">F180*86400</f>
        <v>632188.80000000005</v>
      </c>
      <c r="H180" s="14">
        <f t="shared" ref="H180" si="260">G180/1000000</f>
        <v>0.6321888</v>
      </c>
      <c r="I180" s="13">
        <f t="shared" si="158"/>
        <v>28448.496000000003</v>
      </c>
      <c r="J180" s="24">
        <f t="shared" si="159"/>
        <v>2.8448496000000004E-2</v>
      </c>
      <c r="K180" s="13">
        <f t="shared" si="160"/>
        <v>3413.81952</v>
      </c>
      <c r="L180" s="13">
        <f t="shared" si="161"/>
        <v>3.4138195199999999E-3</v>
      </c>
      <c r="M180" s="46">
        <f t="shared" si="162"/>
        <v>3.1862315520000004E-2</v>
      </c>
      <c r="N180" s="51">
        <f t="shared" si="163"/>
        <v>6.3218880000000005E-2</v>
      </c>
      <c r="O180" s="49">
        <f t="shared" si="164"/>
        <v>0.53710760448000006</v>
      </c>
    </row>
    <row r="181" spans="1:15" x14ac:dyDescent="0.7">
      <c r="A181" s="10"/>
      <c r="B181" s="10"/>
      <c r="C181" s="27">
        <v>28</v>
      </c>
      <c r="D181" s="18">
        <v>12.102</v>
      </c>
      <c r="E181" s="3">
        <v>15.8</v>
      </c>
      <c r="F181" s="18">
        <v>12.102</v>
      </c>
      <c r="G181" s="20">
        <f t="shared" ref="G181" si="261">F181*86400</f>
        <v>1045612.8</v>
      </c>
      <c r="H181" s="21">
        <f t="shared" ref="H181" si="262">G181/1000000</f>
        <v>1.0456128</v>
      </c>
      <c r="I181" s="13">
        <f t="shared" si="158"/>
        <v>47052.576000000001</v>
      </c>
      <c r="J181" s="24">
        <f t="shared" si="159"/>
        <v>4.7052575999999999E-2</v>
      </c>
      <c r="K181" s="13">
        <f t="shared" si="160"/>
        <v>5646.3091199999999</v>
      </c>
      <c r="L181" s="13">
        <f t="shared" si="161"/>
        <v>5.6463091199999999E-3</v>
      </c>
      <c r="M181" s="46">
        <f t="shared" si="162"/>
        <v>5.2698885119999997E-2</v>
      </c>
      <c r="N181" s="51">
        <f t="shared" si="163"/>
        <v>0.10456128000000001</v>
      </c>
      <c r="O181" s="49">
        <f t="shared" si="164"/>
        <v>0.88835263488000005</v>
      </c>
    </row>
    <row r="182" spans="1:15" s="23" customFormat="1" x14ac:dyDescent="0.7">
      <c r="A182" s="10"/>
      <c r="B182" s="10"/>
      <c r="C182" s="10">
        <v>29</v>
      </c>
      <c r="D182" s="18">
        <v>44.004999999999995</v>
      </c>
      <c r="E182" s="19">
        <v>1.1000000000000001</v>
      </c>
      <c r="F182" s="18">
        <v>44.004999999999995</v>
      </c>
      <c r="G182" s="65">
        <f t="shared" ref="G182" si="263">F182*86400</f>
        <v>3802031.9999999995</v>
      </c>
      <c r="H182" s="60">
        <f t="shared" ref="H182" si="264">G182/1000000</f>
        <v>3.8020319999999996</v>
      </c>
      <c r="I182" s="60">
        <f t="shared" si="158"/>
        <v>171091.43999999997</v>
      </c>
      <c r="J182" s="61">
        <f t="shared" si="159"/>
        <v>0.17109143999999998</v>
      </c>
      <c r="K182" s="60">
        <f t="shared" si="160"/>
        <v>20530.972799999996</v>
      </c>
      <c r="L182" s="60">
        <f t="shared" si="161"/>
        <v>2.0530972799999995E-2</v>
      </c>
      <c r="M182" s="62">
        <f t="shared" si="162"/>
        <v>0.19162241279999997</v>
      </c>
      <c r="N182" s="63">
        <f t="shared" si="163"/>
        <v>0.38020319999999996</v>
      </c>
      <c r="O182" s="64">
        <f t="shared" si="164"/>
        <v>3.2302063871999995</v>
      </c>
    </row>
    <row r="183" spans="1:15" s="59" customFormat="1" ht="25.2" thickBot="1" x14ac:dyDescent="0.75">
      <c r="A183" s="8"/>
      <c r="B183" s="8" t="s">
        <v>20</v>
      </c>
      <c r="C183" s="8">
        <v>30</v>
      </c>
      <c r="D183" s="9">
        <v>15.877000000000001</v>
      </c>
      <c r="E183" s="9">
        <v>3.5</v>
      </c>
      <c r="F183" s="9">
        <v>15.877000000000001</v>
      </c>
      <c r="G183" s="22">
        <f t="shared" ref="G183" si="265">F183*86400</f>
        <v>1371772.8</v>
      </c>
      <c r="H183" s="15">
        <f t="shared" ref="H183" si="266">G183/1000000</f>
        <v>1.3717728</v>
      </c>
      <c r="I183" s="15">
        <f t="shared" si="158"/>
        <v>61729.775999999998</v>
      </c>
      <c r="J183" s="25">
        <f t="shared" si="159"/>
        <v>6.1729776E-2</v>
      </c>
      <c r="K183" s="15">
        <f t="shared" si="160"/>
        <v>7407.5731199999991</v>
      </c>
      <c r="L183" s="15">
        <f t="shared" si="161"/>
        <v>7.4075731199999993E-3</v>
      </c>
      <c r="M183" s="56">
        <f t="shared" si="162"/>
        <v>6.9137349119999997E-2</v>
      </c>
      <c r="N183" s="57">
        <f t="shared" si="163"/>
        <v>0.13717728000000001</v>
      </c>
      <c r="O183" s="58">
        <f t="shared" si="164"/>
        <v>1.16545817088</v>
      </c>
    </row>
    <row r="184" spans="1:15" x14ac:dyDescent="0.7">
      <c r="A184" s="2"/>
      <c r="B184" s="2" t="s">
        <v>21</v>
      </c>
      <c r="C184" s="2">
        <v>1</v>
      </c>
      <c r="D184" s="3">
        <v>15.784000000000001</v>
      </c>
      <c r="E184" s="3">
        <v>3.5</v>
      </c>
      <c r="F184" s="3">
        <v>15.784000000000001</v>
      </c>
      <c r="G184" s="12">
        <f t="shared" ref="G184" si="267">F184*86400</f>
        <v>1363737.6000000001</v>
      </c>
      <c r="H184" s="14">
        <f t="shared" ref="H184" si="268">G184/1000000</f>
        <v>1.3637376000000001</v>
      </c>
      <c r="I184" s="14">
        <f t="shared" si="158"/>
        <v>61368.192000000003</v>
      </c>
      <c r="J184" s="43">
        <f t="shared" si="159"/>
        <v>6.1368192000000002E-2</v>
      </c>
      <c r="K184" s="14">
        <f t="shared" si="160"/>
        <v>7364.1830399999999</v>
      </c>
      <c r="L184" s="14">
        <f t="shared" si="161"/>
        <v>7.3641830399999997E-3</v>
      </c>
      <c r="M184" s="52">
        <f t="shared" si="162"/>
        <v>6.8732375040000002E-2</v>
      </c>
      <c r="N184" s="53">
        <f t="shared" si="163"/>
        <v>0.13637376000000001</v>
      </c>
      <c r="O184" s="54">
        <f t="shared" si="164"/>
        <v>1.15863146496</v>
      </c>
    </row>
    <row r="185" spans="1:15" x14ac:dyDescent="0.7">
      <c r="A185" s="5"/>
      <c r="B185" s="5"/>
      <c r="C185" s="5">
        <v>2</v>
      </c>
      <c r="D185" s="6">
        <v>12.102</v>
      </c>
      <c r="E185" s="3">
        <v>0.9</v>
      </c>
      <c r="F185" s="6">
        <v>12.102</v>
      </c>
      <c r="G185" s="12">
        <f t="shared" ref="G185" si="269">F185*86400</f>
        <v>1045612.8</v>
      </c>
      <c r="H185" s="14">
        <f t="shared" ref="H185" si="270">G185/1000000</f>
        <v>1.0456128</v>
      </c>
      <c r="I185" s="13">
        <f t="shared" si="158"/>
        <v>47052.576000000001</v>
      </c>
      <c r="J185" s="24">
        <f t="shared" si="159"/>
        <v>4.7052575999999999E-2</v>
      </c>
      <c r="K185" s="13">
        <f t="shared" si="160"/>
        <v>5646.3091199999999</v>
      </c>
      <c r="L185" s="13">
        <f t="shared" si="161"/>
        <v>5.6463091199999999E-3</v>
      </c>
      <c r="M185" s="46">
        <f t="shared" si="162"/>
        <v>5.2698885119999997E-2</v>
      </c>
      <c r="N185" s="51">
        <f t="shared" si="163"/>
        <v>0.10456128000000001</v>
      </c>
      <c r="O185" s="49">
        <f t="shared" si="164"/>
        <v>0.88835263488000005</v>
      </c>
    </row>
    <row r="186" spans="1:15" x14ac:dyDescent="0.7">
      <c r="A186" s="5"/>
      <c r="B186" s="5"/>
      <c r="C186" s="5">
        <v>3</v>
      </c>
      <c r="D186" s="6">
        <v>8.4570000000000007</v>
      </c>
      <c r="E186" s="3">
        <v>0.5</v>
      </c>
      <c r="F186" s="6">
        <v>8.4570000000000007</v>
      </c>
      <c r="G186" s="12">
        <f t="shared" ref="G186" si="271">F186*86400</f>
        <v>730684.8</v>
      </c>
      <c r="H186" s="14">
        <f t="shared" ref="H186" si="272">G186/1000000</f>
        <v>0.73068480000000002</v>
      </c>
      <c r="I186" s="13">
        <f t="shared" si="158"/>
        <v>32880.815999999999</v>
      </c>
      <c r="J186" s="24">
        <f t="shared" si="159"/>
        <v>3.2880816E-2</v>
      </c>
      <c r="K186" s="13">
        <f t="shared" si="160"/>
        <v>3945.6979199999996</v>
      </c>
      <c r="L186" s="13">
        <f t="shared" si="161"/>
        <v>3.9456979199999995E-3</v>
      </c>
      <c r="M186" s="46">
        <f t="shared" si="162"/>
        <v>3.6826513919999998E-2</v>
      </c>
      <c r="N186" s="51">
        <f t="shared" si="163"/>
        <v>7.3068480000000005E-2</v>
      </c>
      <c r="O186" s="49">
        <f t="shared" si="164"/>
        <v>0.62078980608000001</v>
      </c>
    </row>
    <row r="187" spans="1:15" x14ac:dyDescent="0.7">
      <c r="A187" s="5"/>
      <c r="B187" s="5"/>
      <c r="C187" s="2">
        <v>4</v>
      </c>
      <c r="D187" s="6">
        <v>9.6059999999999999</v>
      </c>
      <c r="E187" s="3">
        <v>2.5</v>
      </c>
      <c r="F187" s="6">
        <v>9.6059999999999999</v>
      </c>
      <c r="G187" s="12">
        <f t="shared" ref="G187" si="273">F187*86400</f>
        <v>829958.4</v>
      </c>
      <c r="H187" s="14">
        <f t="shared" ref="H187" si="274">G187/1000000</f>
        <v>0.82995839999999999</v>
      </c>
      <c r="I187" s="13">
        <f t="shared" si="158"/>
        <v>37348.127999999997</v>
      </c>
      <c r="J187" s="24">
        <f t="shared" si="159"/>
        <v>3.7348127999999994E-2</v>
      </c>
      <c r="K187" s="13">
        <f t="shared" si="160"/>
        <v>4481.7753599999996</v>
      </c>
      <c r="L187" s="13">
        <f t="shared" si="161"/>
        <v>4.4817753599999998E-3</v>
      </c>
      <c r="M187" s="46">
        <f t="shared" si="162"/>
        <v>4.1829903359999997E-2</v>
      </c>
      <c r="N187" s="51">
        <f t="shared" si="163"/>
        <v>8.2995840000000001E-2</v>
      </c>
      <c r="O187" s="49">
        <f t="shared" si="164"/>
        <v>0.70513265663999991</v>
      </c>
    </row>
    <row r="188" spans="1:15" x14ac:dyDescent="0.7">
      <c r="A188" s="5"/>
      <c r="B188" s="5"/>
      <c r="C188" s="5">
        <v>5</v>
      </c>
      <c r="D188" s="6">
        <v>9.6059999999999999</v>
      </c>
      <c r="E188" s="3">
        <v>0</v>
      </c>
      <c r="F188" s="6">
        <v>9.6059999999999999</v>
      </c>
      <c r="G188" s="12">
        <f t="shared" ref="G188" si="275">F188*86400</f>
        <v>829958.4</v>
      </c>
      <c r="H188" s="14">
        <f t="shared" ref="H188" si="276">G188/1000000</f>
        <v>0.82995839999999999</v>
      </c>
      <c r="I188" s="13">
        <f t="shared" si="158"/>
        <v>37348.127999999997</v>
      </c>
      <c r="J188" s="24">
        <f t="shared" si="159"/>
        <v>3.7348127999999994E-2</v>
      </c>
      <c r="K188" s="13">
        <f t="shared" si="160"/>
        <v>4481.7753599999996</v>
      </c>
      <c r="L188" s="13">
        <f t="shared" si="161"/>
        <v>4.4817753599999998E-3</v>
      </c>
      <c r="M188" s="46">
        <f t="shared" si="162"/>
        <v>4.1829903359999997E-2</v>
      </c>
      <c r="N188" s="51">
        <f t="shared" si="163"/>
        <v>8.2995840000000001E-2</v>
      </c>
      <c r="O188" s="49">
        <f t="shared" si="164"/>
        <v>0.70513265663999991</v>
      </c>
    </row>
    <row r="189" spans="1:15" x14ac:dyDescent="0.7">
      <c r="A189" s="5"/>
      <c r="B189" s="5"/>
      <c r="C189" s="5">
        <v>6</v>
      </c>
      <c r="D189" s="6">
        <v>9.2680000000000007</v>
      </c>
      <c r="E189" s="3">
        <v>0</v>
      </c>
      <c r="F189" s="6">
        <v>9.2680000000000007</v>
      </c>
      <c r="G189" s="12">
        <f t="shared" ref="G189" si="277">F189*86400</f>
        <v>800755.20000000007</v>
      </c>
      <c r="H189" s="14">
        <f t="shared" ref="H189" si="278">G189/1000000</f>
        <v>0.80075520000000011</v>
      </c>
      <c r="I189" s="13">
        <f t="shared" si="158"/>
        <v>36033.984000000004</v>
      </c>
      <c r="J189" s="24">
        <f t="shared" si="159"/>
        <v>3.6033984000000005E-2</v>
      </c>
      <c r="K189" s="13">
        <f t="shared" si="160"/>
        <v>4324.0780800000002</v>
      </c>
      <c r="L189" s="13">
        <f t="shared" si="161"/>
        <v>4.32407808E-3</v>
      </c>
      <c r="M189" s="46">
        <f t="shared" si="162"/>
        <v>4.0358062080000007E-2</v>
      </c>
      <c r="N189" s="51">
        <f t="shared" si="163"/>
        <v>8.0075520000000011E-2</v>
      </c>
      <c r="O189" s="49">
        <f t="shared" si="164"/>
        <v>0.68032161792000001</v>
      </c>
    </row>
    <row r="190" spans="1:15" x14ac:dyDescent="0.7">
      <c r="A190" s="5"/>
      <c r="B190" s="5"/>
      <c r="C190" s="2">
        <v>7</v>
      </c>
      <c r="D190" s="6">
        <v>9.6059999999999999</v>
      </c>
      <c r="E190" s="3">
        <v>3.3</v>
      </c>
      <c r="F190" s="6">
        <v>9.6059999999999999</v>
      </c>
      <c r="G190" s="12">
        <f t="shared" ref="G190" si="279">F190*86400</f>
        <v>829958.4</v>
      </c>
      <c r="H190" s="14">
        <f t="shared" ref="H190" si="280">G190/1000000</f>
        <v>0.82995839999999999</v>
      </c>
      <c r="I190" s="13">
        <f t="shared" si="158"/>
        <v>37348.127999999997</v>
      </c>
      <c r="J190" s="24">
        <f t="shared" si="159"/>
        <v>3.7348127999999994E-2</v>
      </c>
      <c r="K190" s="13">
        <f t="shared" si="160"/>
        <v>4481.7753599999996</v>
      </c>
      <c r="L190" s="13">
        <f t="shared" si="161"/>
        <v>4.4817753599999998E-3</v>
      </c>
      <c r="M190" s="46">
        <f t="shared" si="162"/>
        <v>4.1829903359999997E-2</v>
      </c>
      <c r="N190" s="51">
        <f t="shared" si="163"/>
        <v>8.2995840000000001E-2</v>
      </c>
      <c r="O190" s="49">
        <f t="shared" si="164"/>
        <v>0.70513265663999991</v>
      </c>
    </row>
    <row r="191" spans="1:15" x14ac:dyDescent="0.7">
      <c r="A191" s="5"/>
      <c r="B191" s="5"/>
      <c r="C191" s="5">
        <v>8</v>
      </c>
      <c r="D191" s="6">
        <v>10.098000000000001</v>
      </c>
      <c r="E191" s="3">
        <v>2.4</v>
      </c>
      <c r="F191" s="6">
        <v>10.098000000000001</v>
      </c>
      <c r="G191" s="12">
        <f t="shared" ref="G191" si="281">F191*86400</f>
        <v>872467.20000000007</v>
      </c>
      <c r="H191" s="14">
        <f t="shared" ref="H191" si="282">G191/1000000</f>
        <v>0.87246720000000011</v>
      </c>
      <c r="I191" s="13">
        <f t="shared" si="158"/>
        <v>39261.024000000005</v>
      </c>
      <c r="J191" s="24">
        <f t="shared" si="159"/>
        <v>3.9261024000000005E-2</v>
      </c>
      <c r="K191" s="13">
        <f t="shared" si="160"/>
        <v>4711.3228800000006</v>
      </c>
      <c r="L191" s="13">
        <f t="shared" si="161"/>
        <v>4.7113228800000004E-3</v>
      </c>
      <c r="M191" s="46">
        <f t="shared" si="162"/>
        <v>4.3972346880000006E-2</v>
      </c>
      <c r="N191" s="51">
        <f t="shared" si="163"/>
        <v>8.7246720000000014E-2</v>
      </c>
      <c r="O191" s="49">
        <f t="shared" si="164"/>
        <v>0.74124813312000015</v>
      </c>
    </row>
    <row r="192" spans="1:15" x14ac:dyDescent="0.7">
      <c r="A192" s="5"/>
      <c r="B192" s="5"/>
      <c r="C192" s="5">
        <v>9</v>
      </c>
      <c r="D192" s="6">
        <v>8.7910000000000004</v>
      </c>
      <c r="E192" s="3">
        <v>7.2</v>
      </c>
      <c r="F192" s="6">
        <v>8.7910000000000004</v>
      </c>
      <c r="G192" s="12">
        <f t="shared" ref="G192" si="283">F192*86400</f>
        <v>759542.4</v>
      </c>
      <c r="H192" s="14">
        <f t="shared" ref="H192" si="284">G192/1000000</f>
        <v>0.75954240000000006</v>
      </c>
      <c r="I192" s="13">
        <f t="shared" si="158"/>
        <v>34179.408000000003</v>
      </c>
      <c r="J192" s="24">
        <f t="shared" si="159"/>
        <v>3.4179408000000001E-2</v>
      </c>
      <c r="K192" s="13">
        <f t="shared" si="160"/>
        <v>4101.5289600000006</v>
      </c>
      <c r="L192" s="13">
        <f t="shared" si="161"/>
        <v>4.1015289600000006E-3</v>
      </c>
      <c r="M192" s="46">
        <f t="shared" si="162"/>
        <v>3.8280936960000005E-2</v>
      </c>
      <c r="N192" s="51">
        <f t="shared" si="163"/>
        <v>7.5954240000000006E-2</v>
      </c>
      <c r="O192" s="49">
        <f t="shared" si="164"/>
        <v>0.6453072230400001</v>
      </c>
    </row>
    <row r="193" spans="1:15" x14ac:dyDescent="0.7">
      <c r="A193" s="5"/>
      <c r="B193" s="5"/>
      <c r="C193" s="2">
        <v>10</v>
      </c>
      <c r="D193" s="6">
        <v>12.012</v>
      </c>
      <c r="E193" s="3">
        <v>19.5</v>
      </c>
      <c r="F193" s="6">
        <v>12.012</v>
      </c>
      <c r="G193" s="12">
        <f t="shared" ref="G193" si="285">F193*86400</f>
        <v>1037836.8</v>
      </c>
      <c r="H193" s="14">
        <f t="shared" ref="H193" si="286">G193/1000000</f>
        <v>1.0378368</v>
      </c>
      <c r="I193" s="13">
        <f t="shared" si="158"/>
        <v>46702.656000000003</v>
      </c>
      <c r="J193" s="24">
        <f t="shared" si="159"/>
        <v>4.6702656000000002E-2</v>
      </c>
      <c r="K193" s="13">
        <f t="shared" si="160"/>
        <v>5604.3187200000002</v>
      </c>
      <c r="L193" s="13">
        <f t="shared" si="161"/>
        <v>5.6043187200000002E-3</v>
      </c>
      <c r="M193" s="46">
        <f t="shared" si="162"/>
        <v>5.2306974720000003E-2</v>
      </c>
      <c r="N193" s="51">
        <f t="shared" si="163"/>
        <v>0.10378368</v>
      </c>
      <c r="O193" s="49">
        <f t="shared" si="164"/>
        <v>0.88174614527999995</v>
      </c>
    </row>
    <row r="194" spans="1:15" x14ac:dyDescent="0.7">
      <c r="A194" s="5"/>
      <c r="B194" s="5"/>
      <c r="C194" s="5">
        <v>11</v>
      </c>
      <c r="D194" s="6">
        <v>12.012</v>
      </c>
      <c r="E194" s="3">
        <v>0.6</v>
      </c>
      <c r="F194" s="6">
        <v>12.012</v>
      </c>
      <c r="G194" s="12">
        <f t="shared" ref="G194" si="287">F194*86400</f>
        <v>1037836.8</v>
      </c>
      <c r="H194" s="14">
        <f t="shared" ref="H194" si="288">G194/1000000</f>
        <v>1.0378368</v>
      </c>
      <c r="I194" s="13">
        <f t="shared" si="158"/>
        <v>46702.656000000003</v>
      </c>
      <c r="J194" s="24">
        <f t="shared" si="159"/>
        <v>4.6702656000000002E-2</v>
      </c>
      <c r="K194" s="13">
        <f t="shared" si="160"/>
        <v>5604.3187200000002</v>
      </c>
      <c r="L194" s="13">
        <f t="shared" si="161"/>
        <v>5.6043187200000002E-3</v>
      </c>
      <c r="M194" s="46">
        <f t="shared" si="162"/>
        <v>5.2306974720000003E-2</v>
      </c>
      <c r="N194" s="51">
        <f t="shared" si="163"/>
        <v>0.10378368</v>
      </c>
      <c r="O194" s="49">
        <f t="shared" si="164"/>
        <v>0.88174614527999995</v>
      </c>
    </row>
    <row r="195" spans="1:15" x14ac:dyDescent="0.7">
      <c r="A195" s="5"/>
      <c r="B195" s="5"/>
      <c r="C195" s="5">
        <v>12</v>
      </c>
      <c r="D195" s="6">
        <v>18.872</v>
      </c>
      <c r="E195" s="3">
        <v>17.7</v>
      </c>
      <c r="F195" s="6">
        <v>18.872</v>
      </c>
      <c r="G195" s="12">
        <f t="shared" ref="G195" si="289">F195*86400</f>
        <v>1630540.8</v>
      </c>
      <c r="H195" s="14">
        <f t="shared" ref="H195" si="290">G195/1000000</f>
        <v>1.6305408000000001</v>
      </c>
      <c r="I195" s="13">
        <f t="shared" si="158"/>
        <v>73374.335999999996</v>
      </c>
      <c r="J195" s="24">
        <f t="shared" si="159"/>
        <v>7.3374335999999998E-2</v>
      </c>
      <c r="K195" s="13">
        <f t="shared" si="160"/>
        <v>8804.9203199999993</v>
      </c>
      <c r="L195" s="13">
        <f t="shared" si="161"/>
        <v>8.8049203199999995E-3</v>
      </c>
      <c r="M195" s="46">
        <f t="shared" si="162"/>
        <v>8.2179256320000005E-2</v>
      </c>
      <c r="N195" s="51">
        <f t="shared" si="163"/>
        <v>0.16305408000000002</v>
      </c>
      <c r="O195" s="49">
        <f t="shared" si="164"/>
        <v>1.38530746368</v>
      </c>
    </row>
    <row r="196" spans="1:15" x14ac:dyDescent="0.7">
      <c r="A196" s="5"/>
      <c r="B196" s="5"/>
      <c r="C196" s="2">
        <v>13</v>
      </c>
      <c r="D196" s="6">
        <v>23.882999999999999</v>
      </c>
      <c r="E196" s="3">
        <v>16</v>
      </c>
      <c r="F196" s="6">
        <v>23.882999999999999</v>
      </c>
      <c r="G196" s="12">
        <f t="shared" ref="G196" si="291">F196*86400</f>
        <v>2063491.2</v>
      </c>
      <c r="H196" s="14">
        <f t="shared" ref="H196" si="292">G196/1000000</f>
        <v>2.0634912000000001</v>
      </c>
      <c r="I196" s="13">
        <f t="shared" ref="I196:I259" si="293">H196*1000000*0.045</f>
        <v>92857.104000000007</v>
      </c>
      <c r="J196" s="24">
        <f t="shared" ref="J196:J259" si="294">I196/1000000</f>
        <v>9.285710400000001E-2</v>
      </c>
      <c r="K196" s="13">
        <f t="shared" ref="K196:K259" si="295">I196*0.12</f>
        <v>11142.85248</v>
      </c>
      <c r="L196" s="13">
        <f t="shared" ref="L196:L259" si="296">K196/1000000</f>
        <v>1.114285248E-2</v>
      </c>
      <c r="M196" s="46">
        <f t="shared" ref="M196:M259" si="297">J196+L196</f>
        <v>0.10399995648000002</v>
      </c>
      <c r="N196" s="51">
        <f t="shared" ref="N196:N259" si="298">H196*0.1</f>
        <v>0.20634912000000002</v>
      </c>
      <c r="O196" s="49">
        <f t="shared" ref="O196:O259" si="299">H196-M196-N196</f>
        <v>1.75314212352</v>
      </c>
    </row>
    <row r="197" spans="1:15" x14ac:dyDescent="0.7">
      <c r="A197" s="5"/>
      <c r="B197" s="5"/>
      <c r="C197" s="5">
        <v>14</v>
      </c>
      <c r="D197" s="6">
        <v>37.993000000000002</v>
      </c>
      <c r="E197" s="3">
        <v>10</v>
      </c>
      <c r="F197" s="6">
        <v>37.993000000000002</v>
      </c>
      <c r="G197" s="12">
        <f t="shared" ref="G197" si="300">F197*86400</f>
        <v>3282595.2</v>
      </c>
      <c r="H197" s="14">
        <f t="shared" ref="H197" si="301">G197/1000000</f>
        <v>3.2825952000000003</v>
      </c>
      <c r="I197" s="13">
        <f t="shared" si="293"/>
        <v>147716.78400000001</v>
      </c>
      <c r="J197" s="24">
        <f t="shared" si="294"/>
        <v>0.14771678400000002</v>
      </c>
      <c r="K197" s="13">
        <f t="shared" si="295"/>
        <v>17726.014080000001</v>
      </c>
      <c r="L197" s="13">
        <f t="shared" si="296"/>
        <v>1.7726014080000001E-2</v>
      </c>
      <c r="M197" s="46">
        <f t="shared" si="297"/>
        <v>0.16544279808000001</v>
      </c>
      <c r="N197" s="51">
        <f t="shared" si="298"/>
        <v>0.32825952000000003</v>
      </c>
      <c r="O197" s="49">
        <f t="shared" si="299"/>
        <v>2.7888928819200003</v>
      </c>
    </row>
    <row r="198" spans="1:15" x14ac:dyDescent="0.7">
      <c r="A198" s="5"/>
      <c r="B198" s="5"/>
      <c r="C198" s="5">
        <v>15</v>
      </c>
      <c r="D198" s="6">
        <v>23.012999999999998</v>
      </c>
      <c r="E198" s="3">
        <v>27.3</v>
      </c>
      <c r="F198" s="6">
        <v>23.012999999999998</v>
      </c>
      <c r="G198" s="12">
        <f t="shared" ref="G198" si="302">F198*86400</f>
        <v>1988323.2</v>
      </c>
      <c r="H198" s="14">
        <f t="shared" ref="H198" si="303">G198/1000000</f>
        <v>1.9883232</v>
      </c>
      <c r="I198" s="13">
        <f t="shared" si="293"/>
        <v>89474.543999999994</v>
      </c>
      <c r="J198" s="24">
        <f t="shared" si="294"/>
        <v>8.9474543999999989E-2</v>
      </c>
      <c r="K198" s="13">
        <f t="shared" si="295"/>
        <v>10736.945279999998</v>
      </c>
      <c r="L198" s="13">
        <f t="shared" si="296"/>
        <v>1.0736945279999998E-2</v>
      </c>
      <c r="M198" s="46">
        <f t="shared" si="297"/>
        <v>0.10021148927999998</v>
      </c>
      <c r="N198" s="51">
        <f t="shared" si="298"/>
        <v>0.19883232000000001</v>
      </c>
      <c r="O198" s="49">
        <f t="shared" si="299"/>
        <v>1.6892793907200001</v>
      </c>
    </row>
    <row r="199" spans="1:15" x14ac:dyDescent="0.7">
      <c r="A199" s="5"/>
      <c r="B199" s="5"/>
      <c r="C199" s="2">
        <v>16</v>
      </c>
      <c r="D199" s="6">
        <v>22.646999999999998</v>
      </c>
      <c r="E199" s="3">
        <v>0</v>
      </c>
      <c r="F199" s="6">
        <v>22.646999999999998</v>
      </c>
      <c r="G199" s="12">
        <f t="shared" ref="G199" si="304">F199*86400</f>
        <v>1956700.7999999998</v>
      </c>
      <c r="H199" s="14">
        <f t="shared" ref="H199" si="305">G199/1000000</f>
        <v>1.9567007999999999</v>
      </c>
      <c r="I199" s="13">
        <f t="shared" si="293"/>
        <v>88051.535999999993</v>
      </c>
      <c r="J199" s="24">
        <f t="shared" si="294"/>
        <v>8.8051536E-2</v>
      </c>
      <c r="K199" s="13">
        <f t="shared" si="295"/>
        <v>10566.184319999998</v>
      </c>
      <c r="L199" s="13">
        <f t="shared" si="296"/>
        <v>1.0566184319999998E-2</v>
      </c>
      <c r="M199" s="46">
        <f t="shared" si="297"/>
        <v>9.8617720319999991E-2</v>
      </c>
      <c r="N199" s="51">
        <f t="shared" si="298"/>
        <v>0.19567008</v>
      </c>
      <c r="O199" s="49">
        <f t="shared" si="299"/>
        <v>1.6624129996799999</v>
      </c>
    </row>
    <row r="200" spans="1:15" x14ac:dyDescent="0.7">
      <c r="A200" s="5"/>
      <c r="B200" s="5"/>
      <c r="C200" s="5">
        <v>17</v>
      </c>
      <c r="D200" s="6">
        <v>23.012999999999998</v>
      </c>
      <c r="E200" s="3">
        <v>26.3</v>
      </c>
      <c r="F200" s="6">
        <v>23.012999999999998</v>
      </c>
      <c r="G200" s="12">
        <f t="shared" ref="G200" si="306">F200*86400</f>
        <v>1988323.2</v>
      </c>
      <c r="H200" s="14">
        <f t="shared" ref="H200" si="307">G200/1000000</f>
        <v>1.9883232</v>
      </c>
      <c r="I200" s="13">
        <f t="shared" si="293"/>
        <v>89474.543999999994</v>
      </c>
      <c r="J200" s="24">
        <f t="shared" si="294"/>
        <v>8.9474543999999989E-2</v>
      </c>
      <c r="K200" s="13">
        <f t="shared" si="295"/>
        <v>10736.945279999998</v>
      </c>
      <c r="L200" s="13">
        <f t="shared" si="296"/>
        <v>1.0736945279999998E-2</v>
      </c>
      <c r="M200" s="46">
        <f t="shared" si="297"/>
        <v>0.10021148927999998</v>
      </c>
      <c r="N200" s="51">
        <f t="shared" si="298"/>
        <v>0.19883232000000001</v>
      </c>
      <c r="O200" s="49">
        <f t="shared" si="299"/>
        <v>1.6892793907200001</v>
      </c>
    </row>
    <row r="201" spans="1:15" x14ac:dyDescent="0.7">
      <c r="A201" s="5"/>
      <c r="B201" s="5"/>
      <c r="C201" s="5">
        <v>18</v>
      </c>
      <c r="D201" s="6">
        <v>129.95099999999999</v>
      </c>
      <c r="E201" s="3">
        <v>11.6</v>
      </c>
      <c r="F201" s="6">
        <v>129.95099999999999</v>
      </c>
      <c r="G201" s="12">
        <f t="shared" ref="G201" si="308">F201*86400</f>
        <v>11227766.399999999</v>
      </c>
      <c r="H201" s="14">
        <f t="shared" ref="H201" si="309">G201/1000000</f>
        <v>11.227766399999998</v>
      </c>
      <c r="I201" s="13">
        <f t="shared" si="293"/>
        <v>505249.4879999999</v>
      </c>
      <c r="J201" s="24">
        <f t="shared" si="294"/>
        <v>0.50524948799999991</v>
      </c>
      <c r="K201" s="13">
        <f t="shared" si="295"/>
        <v>60629.938559999988</v>
      </c>
      <c r="L201" s="13">
        <f t="shared" si="296"/>
        <v>6.0629938559999985E-2</v>
      </c>
      <c r="M201" s="46">
        <f t="shared" si="297"/>
        <v>0.5658794265599999</v>
      </c>
      <c r="N201" s="51">
        <f t="shared" si="298"/>
        <v>1.1227766399999999</v>
      </c>
      <c r="O201" s="49">
        <f t="shared" si="299"/>
        <v>9.5391103334399983</v>
      </c>
    </row>
    <row r="202" spans="1:15" x14ac:dyDescent="0.7">
      <c r="A202" s="5"/>
      <c r="B202" s="5"/>
      <c r="C202" s="2">
        <v>19</v>
      </c>
      <c r="D202" s="6">
        <v>83.307000000000002</v>
      </c>
      <c r="E202" s="3">
        <v>23.9</v>
      </c>
      <c r="F202" s="6">
        <v>83.307000000000002</v>
      </c>
      <c r="G202" s="12">
        <f t="shared" ref="G202" si="310">F202*86400</f>
        <v>7197724.7999999998</v>
      </c>
      <c r="H202" s="14">
        <f t="shared" ref="H202" si="311">G202/1000000</f>
        <v>7.1977247999999996</v>
      </c>
      <c r="I202" s="13">
        <f t="shared" si="293"/>
        <v>323897.61599999998</v>
      </c>
      <c r="J202" s="24">
        <f t="shared" si="294"/>
        <v>0.323897616</v>
      </c>
      <c r="K202" s="13">
        <f t="shared" si="295"/>
        <v>38867.713919999995</v>
      </c>
      <c r="L202" s="13">
        <f t="shared" si="296"/>
        <v>3.8867713919999998E-2</v>
      </c>
      <c r="M202" s="46">
        <f t="shared" si="297"/>
        <v>0.36276532991999999</v>
      </c>
      <c r="N202" s="51">
        <f t="shared" si="298"/>
        <v>0.71977248000000005</v>
      </c>
      <c r="O202" s="49">
        <f t="shared" si="299"/>
        <v>6.1151869900799998</v>
      </c>
    </row>
    <row r="203" spans="1:15" x14ac:dyDescent="0.7">
      <c r="A203" s="5"/>
      <c r="B203" s="5"/>
      <c r="C203" s="5">
        <v>20</v>
      </c>
      <c r="D203" s="6">
        <v>39.736000000000004</v>
      </c>
      <c r="E203" s="3">
        <v>34.5</v>
      </c>
      <c r="F203" s="6">
        <v>39.736000000000004</v>
      </c>
      <c r="G203" s="12">
        <f t="shared" ref="G203" si="312">F203*86400</f>
        <v>3433190.4000000004</v>
      </c>
      <c r="H203" s="14">
        <f t="shared" ref="H203" si="313">G203/1000000</f>
        <v>3.4331904000000004</v>
      </c>
      <c r="I203" s="13">
        <f t="shared" si="293"/>
        <v>154493.568</v>
      </c>
      <c r="J203" s="24">
        <f t="shared" si="294"/>
        <v>0.154493568</v>
      </c>
      <c r="K203" s="13">
        <f t="shared" si="295"/>
        <v>18539.228159999999</v>
      </c>
      <c r="L203" s="13">
        <f t="shared" si="296"/>
        <v>1.8539228159999997E-2</v>
      </c>
      <c r="M203" s="46">
        <f t="shared" si="297"/>
        <v>0.17303279616</v>
      </c>
      <c r="N203" s="51">
        <f t="shared" si="298"/>
        <v>0.34331904000000008</v>
      </c>
      <c r="O203" s="49">
        <f t="shared" si="299"/>
        <v>2.9168385638400007</v>
      </c>
    </row>
    <row r="204" spans="1:15" x14ac:dyDescent="0.7">
      <c r="A204" s="5"/>
      <c r="B204" s="5"/>
      <c r="C204" s="5">
        <v>21</v>
      </c>
      <c r="D204" s="6">
        <v>35.338999999999999</v>
      </c>
      <c r="E204" s="3">
        <v>16.2</v>
      </c>
      <c r="F204" s="6">
        <v>35.338999999999999</v>
      </c>
      <c r="G204" s="12">
        <f t="shared" ref="G204" si="314">F204*86400</f>
        <v>3053289.6</v>
      </c>
      <c r="H204" s="14">
        <f t="shared" ref="H204" si="315">G204/1000000</f>
        <v>3.0532896000000003</v>
      </c>
      <c r="I204" s="13">
        <f t="shared" si="293"/>
        <v>137398.03200000001</v>
      </c>
      <c r="J204" s="24">
        <f t="shared" si="294"/>
        <v>0.137398032</v>
      </c>
      <c r="K204" s="13">
        <f t="shared" si="295"/>
        <v>16487.76384</v>
      </c>
      <c r="L204" s="13">
        <f t="shared" si="296"/>
        <v>1.6487763839999999E-2</v>
      </c>
      <c r="M204" s="46">
        <f t="shared" si="297"/>
        <v>0.15388579584000001</v>
      </c>
      <c r="N204" s="51">
        <f t="shared" si="298"/>
        <v>0.30532896000000004</v>
      </c>
      <c r="O204" s="49">
        <f t="shared" si="299"/>
        <v>2.5940748441600001</v>
      </c>
    </row>
    <row r="205" spans="1:15" x14ac:dyDescent="0.7">
      <c r="A205" s="5"/>
      <c r="B205" s="5"/>
      <c r="C205" s="2">
        <v>22</v>
      </c>
      <c r="D205" s="6">
        <v>75.72</v>
      </c>
      <c r="E205" s="3">
        <v>23.4</v>
      </c>
      <c r="F205" s="6">
        <v>75.72</v>
      </c>
      <c r="G205" s="12">
        <f t="shared" ref="G205" si="316">F205*86400</f>
        <v>6542208</v>
      </c>
      <c r="H205" s="14">
        <f t="shared" ref="H205" si="317">G205/1000000</f>
        <v>6.5422079999999996</v>
      </c>
      <c r="I205" s="13">
        <f t="shared" si="293"/>
        <v>294399.35999999999</v>
      </c>
      <c r="J205" s="24">
        <f t="shared" si="294"/>
        <v>0.29439936</v>
      </c>
      <c r="K205" s="13">
        <f t="shared" si="295"/>
        <v>35327.923199999997</v>
      </c>
      <c r="L205" s="13">
        <f t="shared" si="296"/>
        <v>3.53279232E-2</v>
      </c>
      <c r="M205" s="46">
        <f t="shared" si="297"/>
        <v>0.3297272832</v>
      </c>
      <c r="N205" s="51">
        <f t="shared" si="298"/>
        <v>0.65422080000000005</v>
      </c>
      <c r="O205" s="49">
        <f t="shared" si="299"/>
        <v>5.5582599168</v>
      </c>
    </row>
    <row r="206" spans="1:15" x14ac:dyDescent="0.7">
      <c r="A206" s="5"/>
      <c r="B206" s="5"/>
      <c r="C206" s="5">
        <v>23</v>
      </c>
      <c r="D206" s="6">
        <v>168.53200000000001</v>
      </c>
      <c r="E206" s="3">
        <v>3.3</v>
      </c>
      <c r="F206" s="6">
        <v>168.53200000000001</v>
      </c>
      <c r="G206" s="12">
        <f t="shared" ref="G206" si="318">F206*86400</f>
        <v>14561164.800000001</v>
      </c>
      <c r="H206" s="14">
        <f t="shared" ref="H206" si="319">G206/1000000</f>
        <v>14.5611648</v>
      </c>
      <c r="I206" s="13">
        <f t="shared" si="293"/>
        <v>655252.41599999997</v>
      </c>
      <c r="J206" s="24">
        <f t="shared" si="294"/>
        <v>0.65525241599999995</v>
      </c>
      <c r="K206" s="13">
        <f t="shared" si="295"/>
        <v>78630.289919999996</v>
      </c>
      <c r="L206" s="13">
        <f t="shared" si="296"/>
        <v>7.8630289919999999E-2</v>
      </c>
      <c r="M206" s="46">
        <f t="shared" si="297"/>
        <v>0.73388270591999993</v>
      </c>
      <c r="N206" s="51">
        <f t="shared" si="298"/>
        <v>1.4561164800000002</v>
      </c>
      <c r="O206" s="49">
        <f t="shared" si="299"/>
        <v>12.371165614080001</v>
      </c>
    </row>
    <row r="207" spans="1:15" x14ac:dyDescent="0.7">
      <c r="A207" s="5"/>
      <c r="B207" s="5"/>
      <c r="C207" s="5">
        <v>24</v>
      </c>
      <c r="D207" s="6">
        <v>101.21799999999999</v>
      </c>
      <c r="E207" s="3">
        <v>0.4</v>
      </c>
      <c r="F207" s="6">
        <v>101.21799999999999</v>
      </c>
      <c r="G207" s="12">
        <f t="shared" ref="G207" si="320">F207*86400</f>
        <v>8745235.1999999993</v>
      </c>
      <c r="H207" s="14">
        <f t="shared" ref="H207" si="321">G207/1000000</f>
        <v>8.7452351999999998</v>
      </c>
      <c r="I207" s="13">
        <f t="shared" si="293"/>
        <v>393535.58399999997</v>
      </c>
      <c r="J207" s="24">
        <f t="shared" si="294"/>
        <v>0.39353558399999999</v>
      </c>
      <c r="K207" s="13">
        <f t="shared" si="295"/>
        <v>47224.270079999995</v>
      </c>
      <c r="L207" s="13">
        <f t="shared" si="296"/>
        <v>4.7224270079999991E-2</v>
      </c>
      <c r="M207" s="46">
        <f t="shared" si="297"/>
        <v>0.44075985407999996</v>
      </c>
      <c r="N207" s="51">
        <f t="shared" si="298"/>
        <v>0.87452352</v>
      </c>
      <c r="O207" s="49">
        <f t="shared" si="299"/>
        <v>7.4299518259199999</v>
      </c>
    </row>
    <row r="208" spans="1:15" x14ac:dyDescent="0.7">
      <c r="A208" s="5"/>
      <c r="B208" s="5"/>
      <c r="C208" s="2">
        <v>25</v>
      </c>
      <c r="D208" s="6">
        <v>54.56</v>
      </c>
      <c r="E208" s="3">
        <v>3.5</v>
      </c>
      <c r="F208" s="6">
        <v>54.56</v>
      </c>
      <c r="G208" s="12">
        <f t="shared" ref="G208" si="322">F208*86400</f>
        <v>4713984</v>
      </c>
      <c r="H208" s="14">
        <f t="shared" ref="H208" si="323">G208/1000000</f>
        <v>4.713984</v>
      </c>
      <c r="I208" s="13">
        <f t="shared" si="293"/>
        <v>212129.28</v>
      </c>
      <c r="J208" s="24">
        <f t="shared" si="294"/>
        <v>0.21212928</v>
      </c>
      <c r="K208" s="13">
        <f t="shared" si="295"/>
        <v>25455.513599999998</v>
      </c>
      <c r="L208" s="13">
        <f t="shared" si="296"/>
        <v>2.54555136E-2</v>
      </c>
      <c r="M208" s="46">
        <f t="shared" si="297"/>
        <v>0.23758479360000001</v>
      </c>
      <c r="N208" s="51">
        <f t="shared" si="298"/>
        <v>0.4713984</v>
      </c>
      <c r="O208" s="49">
        <f t="shared" si="299"/>
        <v>4.0050008064</v>
      </c>
    </row>
    <row r="209" spans="1:15" x14ac:dyDescent="0.7">
      <c r="A209" s="5"/>
      <c r="B209" s="5"/>
      <c r="C209" s="5">
        <v>26</v>
      </c>
      <c r="D209" s="6">
        <v>57.132999999999996</v>
      </c>
      <c r="E209" s="3">
        <v>28.9</v>
      </c>
      <c r="F209" s="6">
        <v>57.132999999999996</v>
      </c>
      <c r="G209" s="12">
        <f t="shared" ref="G209" si="324">F209*86400</f>
        <v>4936291.1999999993</v>
      </c>
      <c r="H209" s="14">
        <f t="shared" ref="H209" si="325">G209/1000000</f>
        <v>4.9362911999999994</v>
      </c>
      <c r="I209" s="13">
        <f t="shared" si="293"/>
        <v>222133.10399999996</v>
      </c>
      <c r="J209" s="24">
        <f t="shared" si="294"/>
        <v>0.22213310399999997</v>
      </c>
      <c r="K209" s="13">
        <f t="shared" si="295"/>
        <v>26655.972479999993</v>
      </c>
      <c r="L209" s="13">
        <f t="shared" si="296"/>
        <v>2.6655972479999995E-2</v>
      </c>
      <c r="M209" s="46">
        <f t="shared" si="297"/>
        <v>0.24878907647999995</v>
      </c>
      <c r="N209" s="51">
        <f t="shared" si="298"/>
        <v>0.49362911999999998</v>
      </c>
      <c r="O209" s="49">
        <f t="shared" si="299"/>
        <v>4.1938730035200003</v>
      </c>
    </row>
    <row r="210" spans="1:15" x14ac:dyDescent="0.7">
      <c r="A210" s="5"/>
      <c r="B210" s="5"/>
      <c r="C210" s="5">
        <v>27</v>
      </c>
      <c r="D210" s="6">
        <v>98.793000000000006</v>
      </c>
      <c r="E210" s="3">
        <v>4.5</v>
      </c>
      <c r="F210" s="6">
        <v>98.793000000000006</v>
      </c>
      <c r="G210" s="12">
        <f t="shared" ref="G210" si="326">F210*86400</f>
        <v>8535715.2000000011</v>
      </c>
      <c r="H210" s="14">
        <f t="shared" ref="H210" si="327">G210/1000000</f>
        <v>8.5357152000000003</v>
      </c>
      <c r="I210" s="13">
        <f t="shared" si="293"/>
        <v>384107.18400000001</v>
      </c>
      <c r="J210" s="24">
        <f t="shared" si="294"/>
        <v>0.38410718399999999</v>
      </c>
      <c r="K210" s="13">
        <f t="shared" si="295"/>
        <v>46092.862079999999</v>
      </c>
      <c r="L210" s="13">
        <f t="shared" si="296"/>
        <v>4.6092862079999998E-2</v>
      </c>
      <c r="M210" s="46">
        <f t="shared" si="297"/>
        <v>0.43020004608000001</v>
      </c>
      <c r="N210" s="51">
        <f t="shared" si="298"/>
        <v>0.85357152000000003</v>
      </c>
      <c r="O210" s="49">
        <f t="shared" si="299"/>
        <v>7.2519436339200007</v>
      </c>
    </row>
    <row r="211" spans="1:15" x14ac:dyDescent="0.7">
      <c r="A211" s="5"/>
      <c r="B211" s="5"/>
      <c r="C211" s="2">
        <v>28</v>
      </c>
      <c r="D211" s="6">
        <v>52.519999999999996</v>
      </c>
      <c r="E211" s="3">
        <v>0</v>
      </c>
      <c r="F211" s="6">
        <v>52.519999999999996</v>
      </c>
      <c r="G211" s="12">
        <f t="shared" ref="G211" si="328">F211*86400</f>
        <v>4537728</v>
      </c>
      <c r="H211" s="14">
        <f t="shared" ref="H211" si="329">G211/1000000</f>
        <v>4.5377280000000004</v>
      </c>
      <c r="I211" s="13">
        <f t="shared" si="293"/>
        <v>204197.75999999998</v>
      </c>
      <c r="J211" s="24">
        <f t="shared" si="294"/>
        <v>0.20419775999999998</v>
      </c>
      <c r="K211" s="13">
        <f t="shared" si="295"/>
        <v>24503.731199999998</v>
      </c>
      <c r="L211" s="13">
        <f t="shared" si="296"/>
        <v>2.45037312E-2</v>
      </c>
      <c r="M211" s="46">
        <f t="shared" si="297"/>
        <v>0.22870149119999997</v>
      </c>
      <c r="N211" s="51">
        <f t="shared" si="298"/>
        <v>0.45377280000000009</v>
      </c>
      <c r="O211" s="49">
        <f t="shared" si="299"/>
        <v>3.8552537088000003</v>
      </c>
    </row>
    <row r="212" spans="1:15" x14ac:dyDescent="0.7">
      <c r="A212" s="10"/>
      <c r="B212" s="10"/>
      <c r="C212" s="10">
        <v>29</v>
      </c>
      <c r="D212" s="18">
        <v>44.442999999999998</v>
      </c>
      <c r="E212" s="3">
        <v>0</v>
      </c>
      <c r="F212" s="18">
        <v>44.442999999999998</v>
      </c>
      <c r="G212" s="20">
        <f t="shared" ref="G212" si="330">F212*86400</f>
        <v>3839875.1999999997</v>
      </c>
      <c r="H212" s="21">
        <f t="shared" ref="H212" si="331">G212/1000000</f>
        <v>3.8398751999999998</v>
      </c>
      <c r="I212" s="13">
        <f t="shared" si="293"/>
        <v>172794.38399999999</v>
      </c>
      <c r="J212" s="24">
        <f t="shared" si="294"/>
        <v>0.172794384</v>
      </c>
      <c r="K212" s="13">
        <f t="shared" si="295"/>
        <v>20735.326079999999</v>
      </c>
      <c r="L212" s="13">
        <f t="shared" si="296"/>
        <v>2.0735326079999998E-2</v>
      </c>
      <c r="M212" s="46">
        <f t="shared" si="297"/>
        <v>0.19352971008</v>
      </c>
      <c r="N212" s="51">
        <f t="shared" si="298"/>
        <v>0.38398752000000003</v>
      </c>
      <c r="O212" s="49">
        <f t="shared" si="299"/>
        <v>3.26235796992</v>
      </c>
    </row>
    <row r="213" spans="1:15" s="23" customFormat="1" x14ac:dyDescent="0.7">
      <c r="A213" s="10"/>
      <c r="B213" s="10"/>
      <c r="C213" s="10">
        <v>30</v>
      </c>
      <c r="D213" s="18">
        <v>28.431999999999999</v>
      </c>
      <c r="E213" s="19">
        <v>0</v>
      </c>
      <c r="F213" s="18">
        <v>28.431999999999999</v>
      </c>
      <c r="G213" s="65">
        <f t="shared" ref="G213" si="332">F213*86400</f>
        <v>2456524.7999999998</v>
      </c>
      <c r="H213" s="60">
        <f t="shared" ref="H213" si="333">G213/1000000</f>
        <v>2.4565248</v>
      </c>
      <c r="I213" s="60">
        <f t="shared" si="293"/>
        <v>110543.61599999999</v>
      </c>
      <c r="J213" s="61">
        <f t="shared" si="294"/>
        <v>0.110543616</v>
      </c>
      <c r="K213" s="60">
        <f t="shared" si="295"/>
        <v>13265.233919999999</v>
      </c>
      <c r="L213" s="60">
        <f t="shared" si="296"/>
        <v>1.3265233919999999E-2</v>
      </c>
      <c r="M213" s="62">
        <f t="shared" si="297"/>
        <v>0.12380884991999999</v>
      </c>
      <c r="N213" s="63">
        <f t="shared" si="298"/>
        <v>0.24565248000000001</v>
      </c>
      <c r="O213" s="64">
        <f t="shared" si="299"/>
        <v>2.0870634700799999</v>
      </c>
    </row>
    <row r="214" spans="1:15" s="59" customFormat="1" ht="25.2" thickBot="1" x14ac:dyDescent="0.75">
      <c r="A214" s="8"/>
      <c r="B214" s="8" t="s">
        <v>21</v>
      </c>
      <c r="C214" s="8">
        <v>31</v>
      </c>
      <c r="D214" s="9">
        <v>25.221</v>
      </c>
      <c r="E214" s="9">
        <v>5.5</v>
      </c>
      <c r="F214" s="9">
        <v>25.221</v>
      </c>
      <c r="G214" s="22">
        <f t="shared" ref="G214" si="334">F214*86400</f>
        <v>2179094.4</v>
      </c>
      <c r="H214" s="15">
        <f t="shared" ref="H214" si="335">G214/1000000</f>
        <v>2.1790943999999999</v>
      </c>
      <c r="I214" s="15">
        <f t="shared" si="293"/>
        <v>98059.247999999992</v>
      </c>
      <c r="J214" s="25">
        <f t="shared" si="294"/>
        <v>9.8059247999999988E-2</v>
      </c>
      <c r="K214" s="15">
        <f t="shared" si="295"/>
        <v>11767.109759999999</v>
      </c>
      <c r="L214" s="15">
        <f t="shared" si="296"/>
        <v>1.176710976E-2</v>
      </c>
      <c r="M214" s="56">
        <f t="shared" si="297"/>
        <v>0.10982635775999999</v>
      </c>
      <c r="N214" s="57">
        <f t="shared" si="298"/>
        <v>0.21790944000000001</v>
      </c>
      <c r="O214" s="58">
        <f t="shared" si="299"/>
        <v>1.8513586022399999</v>
      </c>
    </row>
    <row r="215" spans="1:15" x14ac:dyDescent="0.7">
      <c r="A215" s="2"/>
      <c r="B215" s="2" t="s">
        <v>22</v>
      </c>
      <c r="C215" s="2">
        <v>1</v>
      </c>
      <c r="D215" s="3">
        <v>18.582999999999998</v>
      </c>
      <c r="E215" s="3">
        <v>1.7</v>
      </c>
      <c r="F215" s="3">
        <v>18.582999999999998</v>
      </c>
      <c r="G215" s="12">
        <f t="shared" ref="G215" si="336">F215*86400</f>
        <v>1605571.2</v>
      </c>
      <c r="H215" s="14">
        <f t="shared" ref="H215" si="337">G215/1000000</f>
        <v>1.6055712</v>
      </c>
      <c r="I215" s="14">
        <f t="shared" si="293"/>
        <v>72250.703999999998</v>
      </c>
      <c r="J215" s="43">
        <f t="shared" si="294"/>
        <v>7.2250703999999999E-2</v>
      </c>
      <c r="K215" s="14">
        <f t="shared" si="295"/>
        <v>8670.0844799999995</v>
      </c>
      <c r="L215" s="14">
        <f t="shared" si="296"/>
        <v>8.6700844799999996E-3</v>
      </c>
      <c r="M215" s="52">
        <f t="shared" si="297"/>
        <v>8.0920788480000005E-2</v>
      </c>
      <c r="N215" s="53">
        <f t="shared" si="298"/>
        <v>0.16055712</v>
      </c>
      <c r="O215" s="54">
        <f t="shared" si="299"/>
        <v>1.3640932915199999</v>
      </c>
    </row>
    <row r="216" spans="1:15" x14ac:dyDescent="0.7">
      <c r="A216" s="5"/>
      <c r="B216" s="5"/>
      <c r="C216" s="5">
        <v>2</v>
      </c>
      <c r="D216" s="6">
        <v>16.325000000000003</v>
      </c>
      <c r="E216" s="3">
        <v>0.8</v>
      </c>
      <c r="F216" s="6">
        <v>16.325000000000003</v>
      </c>
      <c r="G216" s="12">
        <f t="shared" ref="G216" si="338">F216*86400</f>
        <v>1410480.0000000002</v>
      </c>
      <c r="H216" s="14">
        <f t="shared" ref="H216" si="339">G216/1000000</f>
        <v>1.4104800000000002</v>
      </c>
      <c r="I216" s="13">
        <f t="shared" si="293"/>
        <v>63471.600000000006</v>
      </c>
      <c r="J216" s="24">
        <f t="shared" si="294"/>
        <v>6.3471600000000003E-2</v>
      </c>
      <c r="K216" s="13">
        <f t="shared" si="295"/>
        <v>7616.5920000000006</v>
      </c>
      <c r="L216" s="13">
        <f t="shared" si="296"/>
        <v>7.6165920000000002E-3</v>
      </c>
      <c r="M216" s="46">
        <f t="shared" si="297"/>
        <v>7.1088192000000008E-2</v>
      </c>
      <c r="N216" s="51">
        <f t="shared" si="298"/>
        <v>0.14104800000000003</v>
      </c>
      <c r="O216" s="49">
        <f t="shared" si="299"/>
        <v>1.1983438080000002</v>
      </c>
    </row>
    <row r="217" spans="1:15" x14ac:dyDescent="0.7">
      <c r="A217" s="5"/>
      <c r="B217" s="5"/>
      <c r="C217" s="5">
        <v>3</v>
      </c>
      <c r="D217" s="6">
        <v>15.077000000000002</v>
      </c>
      <c r="E217" s="3">
        <v>0.3</v>
      </c>
      <c r="F217" s="6">
        <v>15.077000000000002</v>
      </c>
      <c r="G217" s="12">
        <f t="shared" ref="G217" si="340">F217*86400</f>
        <v>1302652.8</v>
      </c>
      <c r="H217" s="14">
        <f t="shared" ref="H217" si="341">G217/1000000</f>
        <v>1.3026527999999999</v>
      </c>
      <c r="I217" s="13">
        <f t="shared" si="293"/>
        <v>58619.375999999997</v>
      </c>
      <c r="J217" s="24">
        <f t="shared" si="294"/>
        <v>5.8619375999999994E-2</v>
      </c>
      <c r="K217" s="13">
        <f t="shared" si="295"/>
        <v>7034.3251199999995</v>
      </c>
      <c r="L217" s="13">
        <f t="shared" si="296"/>
        <v>7.0343251199999996E-3</v>
      </c>
      <c r="M217" s="46">
        <f t="shared" si="297"/>
        <v>6.5653701119999991E-2</v>
      </c>
      <c r="N217" s="51">
        <f t="shared" si="298"/>
        <v>0.13026528000000001</v>
      </c>
      <c r="O217" s="49">
        <f t="shared" si="299"/>
        <v>1.10673381888</v>
      </c>
    </row>
    <row r="218" spans="1:15" x14ac:dyDescent="0.7">
      <c r="A218" s="5"/>
      <c r="B218" s="5"/>
      <c r="C218" s="2">
        <v>4</v>
      </c>
      <c r="D218" s="6">
        <v>13.996</v>
      </c>
      <c r="E218" s="3">
        <v>3.9</v>
      </c>
      <c r="F218" s="6">
        <v>13.996</v>
      </c>
      <c r="G218" s="12">
        <f t="shared" ref="G218" si="342">F218*86400</f>
        <v>1209254.4000000001</v>
      </c>
      <c r="H218" s="14">
        <f t="shared" ref="H218" si="343">G218/1000000</f>
        <v>1.2092544000000001</v>
      </c>
      <c r="I218" s="13">
        <f t="shared" si="293"/>
        <v>54416.448000000004</v>
      </c>
      <c r="J218" s="24">
        <f t="shared" si="294"/>
        <v>5.4416448000000006E-2</v>
      </c>
      <c r="K218" s="13">
        <f t="shared" si="295"/>
        <v>6529.9737599999999</v>
      </c>
      <c r="L218" s="13">
        <f t="shared" si="296"/>
        <v>6.5299737600000001E-3</v>
      </c>
      <c r="M218" s="46">
        <f t="shared" si="297"/>
        <v>6.0946421760000008E-2</v>
      </c>
      <c r="N218" s="51">
        <f t="shared" si="298"/>
        <v>0.12092544000000001</v>
      </c>
      <c r="O218" s="49">
        <f t="shared" si="299"/>
        <v>1.0273825382400001</v>
      </c>
    </row>
    <row r="219" spans="1:15" x14ac:dyDescent="0.7">
      <c r="A219" s="5"/>
      <c r="B219" s="5"/>
      <c r="C219" s="5">
        <v>5</v>
      </c>
      <c r="D219" s="6">
        <v>14.006</v>
      </c>
      <c r="E219" s="3">
        <v>12.9</v>
      </c>
      <c r="F219" s="6">
        <v>14.006</v>
      </c>
      <c r="G219" s="12">
        <f t="shared" ref="G219" si="344">F219*86400</f>
        <v>1210118.3999999999</v>
      </c>
      <c r="H219" s="14">
        <f t="shared" ref="H219" si="345">G219/1000000</f>
        <v>1.2101183999999998</v>
      </c>
      <c r="I219" s="13">
        <f t="shared" si="293"/>
        <v>54455.327999999994</v>
      </c>
      <c r="J219" s="24">
        <f t="shared" si="294"/>
        <v>5.4455327999999997E-2</v>
      </c>
      <c r="K219" s="13">
        <f t="shared" si="295"/>
        <v>6534.6393599999992</v>
      </c>
      <c r="L219" s="13">
        <f t="shared" si="296"/>
        <v>6.5346393599999995E-3</v>
      </c>
      <c r="M219" s="46">
        <f t="shared" si="297"/>
        <v>6.0989967359999994E-2</v>
      </c>
      <c r="N219" s="51">
        <f t="shared" si="298"/>
        <v>0.12101183999999998</v>
      </c>
      <c r="O219" s="49">
        <f t="shared" si="299"/>
        <v>1.0281165926399998</v>
      </c>
    </row>
    <row r="220" spans="1:15" x14ac:dyDescent="0.7">
      <c r="A220" s="5"/>
      <c r="B220" s="5"/>
      <c r="C220" s="5">
        <v>6</v>
      </c>
      <c r="D220" s="6">
        <v>11.677</v>
      </c>
      <c r="E220" s="3">
        <v>14</v>
      </c>
      <c r="F220" s="6">
        <v>11.677</v>
      </c>
      <c r="G220" s="12">
        <f t="shared" ref="G220" si="346">F220*86400</f>
        <v>1008892.7999999999</v>
      </c>
      <c r="H220" s="14">
        <f t="shared" ref="H220" si="347">G220/1000000</f>
        <v>1.0088927999999999</v>
      </c>
      <c r="I220" s="13">
        <f t="shared" si="293"/>
        <v>45400.175999999992</v>
      </c>
      <c r="J220" s="24">
        <f t="shared" si="294"/>
        <v>4.5400175999999993E-2</v>
      </c>
      <c r="K220" s="13">
        <f t="shared" si="295"/>
        <v>5448.0211199999985</v>
      </c>
      <c r="L220" s="13">
        <f t="shared" si="296"/>
        <v>5.4480211199999986E-3</v>
      </c>
      <c r="M220" s="46">
        <f t="shared" si="297"/>
        <v>5.0848197119999994E-2</v>
      </c>
      <c r="N220" s="51">
        <f t="shared" si="298"/>
        <v>0.10088928</v>
      </c>
      <c r="O220" s="49">
        <f t="shared" si="299"/>
        <v>0.85715532287999996</v>
      </c>
    </row>
    <row r="221" spans="1:15" x14ac:dyDescent="0.7">
      <c r="A221" s="5"/>
      <c r="B221" s="5"/>
      <c r="C221" s="2">
        <v>7</v>
      </c>
      <c r="D221" s="6">
        <v>23.196999999999999</v>
      </c>
      <c r="E221" s="3">
        <v>11.1</v>
      </c>
      <c r="F221" s="6">
        <v>23.196999999999999</v>
      </c>
      <c r="G221" s="12">
        <f t="shared" ref="G221" si="348">F221*86400</f>
        <v>2004220.7999999998</v>
      </c>
      <c r="H221" s="14">
        <f t="shared" ref="H221" si="349">G221/1000000</f>
        <v>2.0042207999999997</v>
      </c>
      <c r="I221" s="13">
        <f t="shared" si="293"/>
        <v>90189.935999999972</v>
      </c>
      <c r="J221" s="24">
        <f t="shared" si="294"/>
        <v>9.0189935999999971E-2</v>
      </c>
      <c r="K221" s="13">
        <f t="shared" si="295"/>
        <v>10822.792319999997</v>
      </c>
      <c r="L221" s="13">
        <f t="shared" si="296"/>
        <v>1.0822792319999996E-2</v>
      </c>
      <c r="M221" s="46">
        <f t="shared" si="297"/>
        <v>0.10101272831999997</v>
      </c>
      <c r="N221" s="51">
        <f t="shared" si="298"/>
        <v>0.20042207999999997</v>
      </c>
      <c r="O221" s="49">
        <f t="shared" si="299"/>
        <v>1.7027859916799997</v>
      </c>
    </row>
    <row r="222" spans="1:15" x14ac:dyDescent="0.7">
      <c r="A222" s="5"/>
      <c r="B222" s="5"/>
      <c r="C222" s="5">
        <v>8</v>
      </c>
      <c r="D222" s="6">
        <v>21.277999999999999</v>
      </c>
      <c r="E222" s="3">
        <v>12.9</v>
      </c>
      <c r="F222" s="6">
        <v>21.277999999999999</v>
      </c>
      <c r="G222" s="12">
        <f t="shared" ref="G222" si="350">F222*86400</f>
        <v>1838419.2</v>
      </c>
      <c r="H222" s="14">
        <f t="shared" ref="H222" si="351">G222/1000000</f>
        <v>1.8384191999999999</v>
      </c>
      <c r="I222" s="13">
        <f t="shared" si="293"/>
        <v>82728.864000000001</v>
      </c>
      <c r="J222" s="24">
        <f t="shared" si="294"/>
        <v>8.2728863999999999E-2</v>
      </c>
      <c r="K222" s="13">
        <f t="shared" si="295"/>
        <v>9927.4636799999989</v>
      </c>
      <c r="L222" s="13">
        <f t="shared" si="296"/>
        <v>9.9274636799999982E-3</v>
      </c>
      <c r="M222" s="46">
        <f t="shared" si="297"/>
        <v>9.2656327679999997E-2</v>
      </c>
      <c r="N222" s="51">
        <f t="shared" si="298"/>
        <v>0.18384191999999999</v>
      </c>
      <c r="O222" s="49">
        <f t="shared" si="299"/>
        <v>1.5619209523199999</v>
      </c>
    </row>
    <row r="223" spans="1:15" x14ac:dyDescent="0.7">
      <c r="A223" s="5"/>
      <c r="B223" s="5"/>
      <c r="C223" s="5">
        <v>9</v>
      </c>
      <c r="D223" s="6">
        <v>16.931000000000001</v>
      </c>
      <c r="E223" s="3">
        <v>8.1</v>
      </c>
      <c r="F223" s="6">
        <v>16.931000000000001</v>
      </c>
      <c r="G223" s="12">
        <f t="shared" ref="G223" si="352">F223*86400</f>
        <v>1462838.4000000001</v>
      </c>
      <c r="H223" s="14">
        <f t="shared" ref="H223" si="353">G223/1000000</f>
        <v>1.4628384000000001</v>
      </c>
      <c r="I223" s="13">
        <f t="shared" si="293"/>
        <v>65827.728000000003</v>
      </c>
      <c r="J223" s="24">
        <f t="shared" si="294"/>
        <v>6.5827728000000002E-2</v>
      </c>
      <c r="K223" s="13">
        <f t="shared" si="295"/>
        <v>7899.3273600000002</v>
      </c>
      <c r="L223" s="13">
        <f t="shared" si="296"/>
        <v>7.8993273599999997E-3</v>
      </c>
      <c r="M223" s="46">
        <f t="shared" si="297"/>
        <v>7.3727055360000002E-2</v>
      </c>
      <c r="N223" s="51">
        <f t="shared" si="298"/>
        <v>0.14628384000000003</v>
      </c>
      <c r="O223" s="49">
        <f t="shared" si="299"/>
        <v>1.2428275046400001</v>
      </c>
    </row>
    <row r="224" spans="1:15" x14ac:dyDescent="0.7">
      <c r="A224" s="5"/>
      <c r="B224" s="5"/>
      <c r="C224" s="2">
        <v>10</v>
      </c>
      <c r="D224" s="6">
        <v>0</v>
      </c>
      <c r="E224" s="3">
        <v>5.3</v>
      </c>
      <c r="F224" s="6">
        <v>0</v>
      </c>
      <c r="G224" s="12">
        <f t="shared" ref="G224" si="354">F224*86400</f>
        <v>0</v>
      </c>
      <c r="H224" s="14">
        <f t="shared" ref="H224" si="355">G224/1000000</f>
        <v>0</v>
      </c>
      <c r="I224" s="13">
        <f t="shared" si="293"/>
        <v>0</v>
      </c>
      <c r="J224" s="24">
        <f t="shared" si="294"/>
        <v>0</v>
      </c>
      <c r="K224" s="13">
        <f t="shared" si="295"/>
        <v>0</v>
      </c>
      <c r="L224" s="13">
        <f t="shared" si="296"/>
        <v>0</v>
      </c>
      <c r="M224" s="46">
        <f t="shared" si="297"/>
        <v>0</v>
      </c>
      <c r="N224" s="51">
        <f t="shared" si="298"/>
        <v>0</v>
      </c>
      <c r="O224" s="49">
        <f t="shared" si="299"/>
        <v>0</v>
      </c>
    </row>
    <row r="225" spans="1:15" x14ac:dyDescent="0.7">
      <c r="A225" s="5"/>
      <c r="B225" s="5"/>
      <c r="C225" s="5">
        <v>11</v>
      </c>
      <c r="D225" s="6">
        <v>0</v>
      </c>
      <c r="E225" s="3">
        <v>1.6</v>
      </c>
      <c r="F225" s="6">
        <v>0</v>
      </c>
      <c r="G225" s="12">
        <f t="shared" ref="G225" si="356">F225*86400</f>
        <v>0</v>
      </c>
      <c r="H225" s="14">
        <f t="shared" ref="H225" si="357">G225/1000000</f>
        <v>0</v>
      </c>
      <c r="I225" s="13">
        <f t="shared" si="293"/>
        <v>0</v>
      </c>
      <c r="J225" s="24">
        <f t="shared" si="294"/>
        <v>0</v>
      </c>
      <c r="K225" s="13">
        <f t="shared" si="295"/>
        <v>0</v>
      </c>
      <c r="L225" s="13">
        <f t="shared" si="296"/>
        <v>0</v>
      </c>
      <c r="M225" s="46">
        <f t="shared" si="297"/>
        <v>0</v>
      </c>
      <c r="N225" s="51">
        <f t="shared" si="298"/>
        <v>0</v>
      </c>
      <c r="O225" s="49">
        <f t="shared" si="299"/>
        <v>0</v>
      </c>
    </row>
    <row r="226" spans="1:15" x14ac:dyDescent="0.7">
      <c r="A226" s="5"/>
      <c r="B226" s="5"/>
      <c r="C226" s="5">
        <v>12</v>
      </c>
      <c r="D226" s="6">
        <v>12.757999999999999</v>
      </c>
      <c r="E226" s="3">
        <v>0</v>
      </c>
      <c r="F226" s="6">
        <v>12.757999999999999</v>
      </c>
      <c r="G226" s="12">
        <f t="shared" ref="G226" si="358">F226*86400</f>
        <v>1102291.2</v>
      </c>
      <c r="H226" s="14">
        <f t="shared" ref="H226" si="359">G226/1000000</f>
        <v>1.1022912</v>
      </c>
      <c r="I226" s="13">
        <f t="shared" si="293"/>
        <v>49603.103999999999</v>
      </c>
      <c r="J226" s="24">
        <f t="shared" si="294"/>
        <v>4.9603104000000002E-2</v>
      </c>
      <c r="K226" s="13">
        <f t="shared" si="295"/>
        <v>5952.37248</v>
      </c>
      <c r="L226" s="13">
        <f t="shared" si="296"/>
        <v>5.9523724799999999E-3</v>
      </c>
      <c r="M226" s="46">
        <f t="shared" si="297"/>
        <v>5.5555476480000004E-2</v>
      </c>
      <c r="N226" s="51">
        <f t="shared" si="298"/>
        <v>0.11022912000000001</v>
      </c>
      <c r="O226" s="49">
        <f t="shared" si="299"/>
        <v>0.93650660352000004</v>
      </c>
    </row>
    <row r="227" spans="1:15" x14ac:dyDescent="0.7">
      <c r="A227" s="5"/>
      <c r="B227" s="5"/>
      <c r="C227" s="2">
        <v>13</v>
      </c>
      <c r="D227" s="6">
        <v>11.677</v>
      </c>
      <c r="E227" s="3">
        <v>0</v>
      </c>
      <c r="F227" s="6">
        <v>11.677</v>
      </c>
      <c r="G227" s="12">
        <f t="shared" ref="G227" si="360">F227*86400</f>
        <v>1008892.7999999999</v>
      </c>
      <c r="H227" s="14">
        <f t="shared" ref="H227" si="361">G227/1000000</f>
        <v>1.0088927999999999</v>
      </c>
      <c r="I227" s="13">
        <f t="shared" si="293"/>
        <v>45400.175999999992</v>
      </c>
      <c r="J227" s="24">
        <f t="shared" si="294"/>
        <v>4.5400175999999993E-2</v>
      </c>
      <c r="K227" s="13">
        <f t="shared" si="295"/>
        <v>5448.0211199999985</v>
      </c>
      <c r="L227" s="13">
        <f t="shared" si="296"/>
        <v>5.4480211199999986E-3</v>
      </c>
      <c r="M227" s="46">
        <f t="shared" si="297"/>
        <v>5.0848197119999994E-2</v>
      </c>
      <c r="N227" s="51">
        <f t="shared" si="298"/>
        <v>0.10088928</v>
      </c>
      <c r="O227" s="49">
        <f t="shared" si="299"/>
        <v>0.85715532287999996</v>
      </c>
    </row>
    <row r="228" spans="1:15" x14ac:dyDescent="0.7">
      <c r="A228" s="5"/>
      <c r="B228" s="5"/>
      <c r="C228" s="5">
        <v>14</v>
      </c>
      <c r="D228" s="6">
        <v>9.3960000000000008</v>
      </c>
      <c r="E228" s="3">
        <v>0.5</v>
      </c>
      <c r="F228" s="6">
        <v>9.3960000000000008</v>
      </c>
      <c r="G228" s="12">
        <f t="shared" ref="G228" si="362">F228*86400</f>
        <v>811814.40000000002</v>
      </c>
      <c r="H228" s="14">
        <f t="shared" ref="H228" si="363">G228/1000000</f>
        <v>0.81181440000000005</v>
      </c>
      <c r="I228" s="13">
        <f t="shared" si="293"/>
        <v>36531.648000000001</v>
      </c>
      <c r="J228" s="24">
        <f t="shared" si="294"/>
        <v>3.6531648E-2</v>
      </c>
      <c r="K228" s="13">
        <f t="shared" si="295"/>
        <v>4383.7977600000004</v>
      </c>
      <c r="L228" s="13">
        <f t="shared" si="296"/>
        <v>4.3837977600000005E-3</v>
      </c>
      <c r="M228" s="46">
        <f t="shared" si="297"/>
        <v>4.0915445760000002E-2</v>
      </c>
      <c r="N228" s="51">
        <f t="shared" si="298"/>
        <v>8.1181440000000007E-2</v>
      </c>
      <c r="O228" s="49">
        <f t="shared" si="299"/>
        <v>0.68971751423999994</v>
      </c>
    </row>
    <row r="229" spans="1:15" x14ac:dyDescent="0.7">
      <c r="A229" s="5"/>
      <c r="B229" s="5"/>
      <c r="C229" s="5">
        <v>15</v>
      </c>
      <c r="D229" s="6">
        <v>8.9139999999999997</v>
      </c>
      <c r="E229" s="3">
        <v>4.3</v>
      </c>
      <c r="F229" s="6">
        <v>8.9139999999999997</v>
      </c>
      <c r="G229" s="12">
        <f t="shared" ref="G229" si="364">F229*86400</f>
        <v>770169.6</v>
      </c>
      <c r="H229" s="14">
        <f t="shared" ref="H229" si="365">G229/1000000</f>
        <v>0.77016960000000001</v>
      </c>
      <c r="I229" s="13">
        <f t="shared" si="293"/>
        <v>34657.631999999998</v>
      </c>
      <c r="J229" s="24">
        <f t="shared" si="294"/>
        <v>3.4657632000000001E-2</v>
      </c>
      <c r="K229" s="13">
        <f t="shared" si="295"/>
        <v>4158.9158399999997</v>
      </c>
      <c r="L229" s="13">
        <f t="shared" si="296"/>
        <v>4.1589158399999993E-3</v>
      </c>
      <c r="M229" s="46">
        <f t="shared" si="297"/>
        <v>3.881654784E-2</v>
      </c>
      <c r="N229" s="51">
        <f t="shared" si="298"/>
        <v>7.7016960000000009E-2</v>
      </c>
      <c r="O229" s="49">
        <f t="shared" si="299"/>
        <v>0.65433609215999999</v>
      </c>
    </row>
    <row r="230" spans="1:15" x14ac:dyDescent="0.7">
      <c r="A230" s="5"/>
      <c r="B230" s="5"/>
      <c r="C230" s="2">
        <v>16</v>
      </c>
      <c r="D230" s="6">
        <v>9.4329999999999998</v>
      </c>
      <c r="E230" s="3">
        <v>7.6</v>
      </c>
      <c r="F230" s="6">
        <v>9.4329999999999998</v>
      </c>
      <c r="G230" s="12">
        <f t="shared" ref="G230" si="366">F230*86400</f>
        <v>815011.2</v>
      </c>
      <c r="H230" s="14">
        <f t="shared" ref="H230" si="367">G230/1000000</f>
        <v>0.81501119999999994</v>
      </c>
      <c r="I230" s="13">
        <f t="shared" si="293"/>
        <v>36675.503999999994</v>
      </c>
      <c r="J230" s="24">
        <f t="shared" si="294"/>
        <v>3.6675503999999991E-2</v>
      </c>
      <c r="K230" s="13">
        <f t="shared" si="295"/>
        <v>4401.0604799999992</v>
      </c>
      <c r="L230" s="13">
        <f t="shared" si="296"/>
        <v>4.401060479999999E-3</v>
      </c>
      <c r="M230" s="46">
        <f t="shared" si="297"/>
        <v>4.1076564479999987E-2</v>
      </c>
      <c r="N230" s="51">
        <f t="shared" si="298"/>
        <v>8.1501119999999996E-2</v>
      </c>
      <c r="O230" s="49">
        <f t="shared" si="299"/>
        <v>0.69243351551999999</v>
      </c>
    </row>
    <row r="231" spans="1:15" x14ac:dyDescent="0.7">
      <c r="A231" s="5"/>
      <c r="B231" s="5"/>
      <c r="C231" s="5">
        <v>17</v>
      </c>
      <c r="D231" s="6">
        <v>14.920999999999999</v>
      </c>
      <c r="E231" s="3">
        <v>4.4000000000000004</v>
      </c>
      <c r="F231" s="6">
        <v>14.920999999999999</v>
      </c>
      <c r="G231" s="12">
        <f t="shared" ref="G231" si="368">F231*86400</f>
        <v>1289174.3999999999</v>
      </c>
      <c r="H231" s="14">
        <f t="shared" ref="H231" si="369">G231/1000000</f>
        <v>1.2891743999999998</v>
      </c>
      <c r="I231" s="13">
        <f t="shared" si="293"/>
        <v>58012.847999999991</v>
      </c>
      <c r="J231" s="24">
        <f t="shared" si="294"/>
        <v>5.8012847999999992E-2</v>
      </c>
      <c r="K231" s="13">
        <f t="shared" si="295"/>
        <v>6961.5417599999982</v>
      </c>
      <c r="L231" s="13">
        <f t="shared" si="296"/>
        <v>6.9615417599999986E-3</v>
      </c>
      <c r="M231" s="46">
        <f t="shared" si="297"/>
        <v>6.4974389759999987E-2</v>
      </c>
      <c r="N231" s="51">
        <f t="shared" si="298"/>
        <v>0.12891743999999999</v>
      </c>
      <c r="O231" s="49">
        <f t="shared" si="299"/>
        <v>1.09528257024</v>
      </c>
    </row>
    <row r="232" spans="1:15" x14ac:dyDescent="0.7">
      <c r="A232" s="5"/>
      <c r="B232" s="5"/>
      <c r="C232" s="5">
        <v>18</v>
      </c>
      <c r="D232" s="6">
        <v>26.268999999999998</v>
      </c>
      <c r="E232" s="3">
        <v>0</v>
      </c>
      <c r="F232" s="6">
        <v>26.268999999999998</v>
      </c>
      <c r="G232" s="12">
        <f t="shared" ref="G232" si="370">F232*86400</f>
        <v>2269641.5999999996</v>
      </c>
      <c r="H232" s="14">
        <f t="shared" ref="H232" si="371">G232/1000000</f>
        <v>2.2696415999999995</v>
      </c>
      <c r="I232" s="13">
        <f t="shared" si="293"/>
        <v>102133.87199999997</v>
      </c>
      <c r="J232" s="24">
        <f t="shared" si="294"/>
        <v>0.10213387199999997</v>
      </c>
      <c r="K232" s="13">
        <f t="shared" si="295"/>
        <v>12256.064639999997</v>
      </c>
      <c r="L232" s="13">
        <f t="shared" si="296"/>
        <v>1.2256064639999996E-2</v>
      </c>
      <c r="M232" s="46">
        <f t="shared" si="297"/>
        <v>0.11438993663999997</v>
      </c>
      <c r="N232" s="51">
        <f t="shared" si="298"/>
        <v>0.22696415999999997</v>
      </c>
      <c r="O232" s="49">
        <f t="shared" si="299"/>
        <v>1.9282875033599995</v>
      </c>
    </row>
    <row r="233" spans="1:15" x14ac:dyDescent="0.7">
      <c r="A233" s="5"/>
      <c r="B233" s="5"/>
      <c r="C233" s="2">
        <v>19</v>
      </c>
      <c r="D233" s="6">
        <v>21.234000000000002</v>
      </c>
      <c r="E233" s="3">
        <v>0</v>
      </c>
      <c r="F233" s="6">
        <v>21.234000000000002</v>
      </c>
      <c r="G233" s="12">
        <f t="shared" ref="G233" si="372">F233*86400</f>
        <v>1834617.6</v>
      </c>
      <c r="H233" s="14">
        <f t="shared" ref="H233" si="373">G233/1000000</f>
        <v>1.8346176000000001</v>
      </c>
      <c r="I233" s="13">
        <f t="shared" si="293"/>
        <v>82557.792000000001</v>
      </c>
      <c r="J233" s="24">
        <f t="shared" si="294"/>
        <v>8.2557792000000005E-2</v>
      </c>
      <c r="K233" s="13">
        <f t="shared" si="295"/>
        <v>9906.9350400000003</v>
      </c>
      <c r="L233" s="13">
        <f t="shared" si="296"/>
        <v>9.9069350400000002E-3</v>
      </c>
      <c r="M233" s="46">
        <f t="shared" si="297"/>
        <v>9.246472704E-2</v>
      </c>
      <c r="N233" s="51">
        <f t="shared" si="298"/>
        <v>0.18346176000000003</v>
      </c>
      <c r="O233" s="49">
        <f t="shared" si="299"/>
        <v>1.5586911129600001</v>
      </c>
    </row>
    <row r="234" spans="1:15" x14ac:dyDescent="0.7">
      <c r="A234" s="5"/>
      <c r="B234" s="5"/>
      <c r="C234" s="5">
        <v>20</v>
      </c>
      <c r="D234" s="6">
        <v>22.234000000000002</v>
      </c>
      <c r="E234" s="3">
        <v>5.9</v>
      </c>
      <c r="F234" s="6">
        <v>22.234000000000002</v>
      </c>
      <c r="G234" s="12">
        <f t="shared" ref="G234" si="374">F234*86400</f>
        <v>1921017.6</v>
      </c>
      <c r="H234" s="14">
        <f t="shared" ref="H234" si="375">G234/1000000</f>
        <v>1.9210176000000001</v>
      </c>
      <c r="I234" s="13">
        <f t="shared" si="293"/>
        <v>86445.792000000001</v>
      </c>
      <c r="J234" s="24">
        <f t="shared" si="294"/>
        <v>8.6445792000000007E-2</v>
      </c>
      <c r="K234" s="13">
        <f t="shared" si="295"/>
        <v>10373.49504</v>
      </c>
      <c r="L234" s="13">
        <f t="shared" si="296"/>
        <v>1.037349504E-2</v>
      </c>
      <c r="M234" s="46">
        <f t="shared" si="297"/>
        <v>9.6819287040000007E-2</v>
      </c>
      <c r="N234" s="51">
        <f t="shared" si="298"/>
        <v>0.19210176000000001</v>
      </c>
      <c r="O234" s="49">
        <f t="shared" si="299"/>
        <v>1.6320965529600002</v>
      </c>
    </row>
    <row r="235" spans="1:15" x14ac:dyDescent="0.7">
      <c r="A235" s="5"/>
      <c r="B235" s="5"/>
      <c r="C235" s="5">
        <v>21</v>
      </c>
      <c r="D235" s="6">
        <v>26.469000000000001</v>
      </c>
      <c r="E235" s="3">
        <v>5.2</v>
      </c>
      <c r="F235" s="6">
        <v>26.469000000000001</v>
      </c>
      <c r="G235" s="12">
        <f t="shared" ref="G235" si="376">F235*86400</f>
        <v>2286921.6</v>
      </c>
      <c r="H235" s="14">
        <f t="shared" ref="H235" si="377">G235/1000000</f>
        <v>2.2869215999999999</v>
      </c>
      <c r="I235" s="13">
        <f t="shared" si="293"/>
        <v>102911.47199999999</v>
      </c>
      <c r="J235" s="24">
        <f t="shared" si="294"/>
        <v>0.10291147199999999</v>
      </c>
      <c r="K235" s="13">
        <f t="shared" si="295"/>
        <v>12349.376639999999</v>
      </c>
      <c r="L235" s="13">
        <f t="shared" si="296"/>
        <v>1.2349376639999998E-2</v>
      </c>
      <c r="M235" s="46">
        <f t="shared" si="297"/>
        <v>0.11526084863999998</v>
      </c>
      <c r="N235" s="51">
        <f t="shared" si="298"/>
        <v>0.22869216000000001</v>
      </c>
      <c r="O235" s="49">
        <f t="shared" si="299"/>
        <v>1.9429685913599997</v>
      </c>
    </row>
    <row r="236" spans="1:15" x14ac:dyDescent="0.7">
      <c r="A236" s="5"/>
      <c r="B236" s="5"/>
      <c r="C236" s="2">
        <v>22</v>
      </c>
      <c r="D236" s="6">
        <v>26.268000000000001</v>
      </c>
      <c r="E236" s="3">
        <v>0</v>
      </c>
      <c r="F236" s="6">
        <v>26.268000000000001</v>
      </c>
      <c r="G236" s="12">
        <f t="shared" ref="G236" si="378">F236*86400</f>
        <v>2269555.2000000002</v>
      </c>
      <c r="H236" s="14">
        <f t="shared" ref="H236" si="379">G236/1000000</f>
        <v>2.2695552000000001</v>
      </c>
      <c r="I236" s="13">
        <f t="shared" si="293"/>
        <v>102129.98400000001</v>
      </c>
      <c r="J236" s="24">
        <f t="shared" si="294"/>
        <v>0.10212998400000001</v>
      </c>
      <c r="K236" s="13">
        <f t="shared" si="295"/>
        <v>12255.598080000002</v>
      </c>
      <c r="L236" s="13">
        <f t="shared" si="296"/>
        <v>1.2255598080000001E-2</v>
      </c>
      <c r="M236" s="46">
        <f t="shared" si="297"/>
        <v>0.11438558208000001</v>
      </c>
      <c r="N236" s="51">
        <f t="shared" si="298"/>
        <v>0.22695552000000002</v>
      </c>
      <c r="O236" s="49">
        <f t="shared" si="299"/>
        <v>1.92821409792</v>
      </c>
    </row>
    <row r="237" spans="1:15" x14ac:dyDescent="0.7">
      <c r="A237" s="5"/>
      <c r="B237" s="5"/>
      <c r="C237" s="5">
        <v>23</v>
      </c>
      <c r="D237" s="6">
        <v>31.841000000000001</v>
      </c>
      <c r="E237" s="3">
        <v>0</v>
      </c>
      <c r="F237" s="6">
        <v>31.841000000000001</v>
      </c>
      <c r="G237" s="12">
        <f t="shared" ref="G237" si="380">F237*86400</f>
        <v>2751062.4</v>
      </c>
      <c r="H237" s="14">
        <f t="shared" ref="H237" si="381">G237/1000000</f>
        <v>2.7510623999999999</v>
      </c>
      <c r="I237" s="13">
        <f t="shared" si="293"/>
        <v>123797.80799999999</v>
      </c>
      <c r="J237" s="24">
        <f t="shared" si="294"/>
        <v>0.123797808</v>
      </c>
      <c r="K237" s="13">
        <f t="shared" si="295"/>
        <v>14855.736959999998</v>
      </c>
      <c r="L237" s="13">
        <f t="shared" si="296"/>
        <v>1.4855736959999999E-2</v>
      </c>
      <c r="M237" s="46">
        <f t="shared" si="297"/>
        <v>0.13865354495999999</v>
      </c>
      <c r="N237" s="51">
        <f t="shared" si="298"/>
        <v>0.27510624</v>
      </c>
      <c r="O237" s="49">
        <f t="shared" si="299"/>
        <v>2.33730261504</v>
      </c>
    </row>
    <row r="238" spans="1:15" x14ac:dyDescent="0.7">
      <c r="A238" s="5"/>
      <c r="B238" s="5"/>
      <c r="C238" s="5">
        <v>24</v>
      </c>
      <c r="D238" s="6">
        <v>18.582999999999998</v>
      </c>
      <c r="E238" s="3">
        <v>0.3</v>
      </c>
      <c r="F238" s="6">
        <v>18.582999999999998</v>
      </c>
      <c r="G238" s="12">
        <f t="shared" ref="G238" si="382">F238*86400</f>
        <v>1605571.2</v>
      </c>
      <c r="H238" s="14">
        <f t="shared" ref="H238" si="383">G238/1000000</f>
        <v>1.6055712</v>
      </c>
      <c r="I238" s="13">
        <f t="shared" si="293"/>
        <v>72250.703999999998</v>
      </c>
      <c r="J238" s="24">
        <f t="shared" si="294"/>
        <v>7.2250703999999999E-2</v>
      </c>
      <c r="K238" s="13">
        <f t="shared" si="295"/>
        <v>8670.0844799999995</v>
      </c>
      <c r="L238" s="13">
        <f t="shared" si="296"/>
        <v>8.6700844799999996E-3</v>
      </c>
      <c r="M238" s="46">
        <f t="shared" si="297"/>
        <v>8.0920788480000005E-2</v>
      </c>
      <c r="N238" s="51">
        <f t="shared" si="298"/>
        <v>0.16055712</v>
      </c>
      <c r="O238" s="49">
        <f t="shared" si="299"/>
        <v>1.3640932915199999</v>
      </c>
    </row>
    <row r="239" spans="1:15" x14ac:dyDescent="0.7">
      <c r="A239" s="5"/>
      <c r="B239" s="5"/>
      <c r="C239" s="2">
        <v>25</v>
      </c>
      <c r="D239" s="6">
        <v>39.864000000000004</v>
      </c>
      <c r="E239" s="3">
        <v>43.5</v>
      </c>
      <c r="F239" s="6">
        <v>39.864000000000004</v>
      </c>
      <c r="G239" s="12">
        <f t="shared" ref="G239" si="384">F239*86400</f>
        <v>3444249.6000000006</v>
      </c>
      <c r="H239" s="14">
        <f t="shared" ref="H239" si="385">G239/1000000</f>
        <v>3.4442496000000005</v>
      </c>
      <c r="I239" s="13">
        <f t="shared" si="293"/>
        <v>154991.23200000002</v>
      </c>
      <c r="J239" s="24">
        <f t="shared" si="294"/>
        <v>0.15499123200000001</v>
      </c>
      <c r="K239" s="13">
        <f t="shared" si="295"/>
        <v>18598.947840000001</v>
      </c>
      <c r="L239" s="13">
        <f t="shared" si="296"/>
        <v>1.8598947840000001E-2</v>
      </c>
      <c r="M239" s="46">
        <f t="shared" si="297"/>
        <v>0.17359017984</v>
      </c>
      <c r="N239" s="51">
        <f t="shared" si="298"/>
        <v>0.34442496000000006</v>
      </c>
      <c r="O239" s="49">
        <f t="shared" si="299"/>
        <v>2.9262344601600003</v>
      </c>
    </row>
    <row r="240" spans="1:15" x14ac:dyDescent="0.7">
      <c r="A240" s="5"/>
      <c r="B240" s="5"/>
      <c r="C240" s="5">
        <v>26</v>
      </c>
      <c r="D240" s="6">
        <v>29.228999999999999</v>
      </c>
      <c r="E240" s="3">
        <v>11.2</v>
      </c>
      <c r="F240" s="6">
        <v>29.228999999999999</v>
      </c>
      <c r="G240" s="12">
        <f t="shared" ref="G240" si="386">F240*86400</f>
        <v>2525385.6</v>
      </c>
      <c r="H240" s="14">
        <f t="shared" ref="H240" si="387">G240/1000000</f>
        <v>2.5253855999999999</v>
      </c>
      <c r="I240" s="13">
        <f t="shared" si="293"/>
        <v>113642.352</v>
      </c>
      <c r="J240" s="24">
        <f t="shared" si="294"/>
        <v>0.113642352</v>
      </c>
      <c r="K240" s="13">
        <f t="shared" si="295"/>
        <v>13637.08224</v>
      </c>
      <c r="L240" s="13">
        <f t="shared" si="296"/>
        <v>1.3637082239999999E-2</v>
      </c>
      <c r="M240" s="46">
        <f t="shared" si="297"/>
        <v>0.12727943423999999</v>
      </c>
      <c r="N240" s="51">
        <f t="shared" si="298"/>
        <v>0.25253856000000002</v>
      </c>
      <c r="O240" s="49">
        <f t="shared" si="299"/>
        <v>2.1455676057599997</v>
      </c>
    </row>
    <row r="241" spans="1:15" x14ac:dyDescent="0.7">
      <c r="A241" s="5"/>
      <c r="B241" s="5"/>
      <c r="C241" s="5">
        <v>27</v>
      </c>
      <c r="D241" s="6">
        <v>82.162999999999997</v>
      </c>
      <c r="E241" s="3">
        <v>2.1</v>
      </c>
      <c r="F241" s="6">
        <v>82.162999999999997</v>
      </c>
      <c r="G241" s="12">
        <f t="shared" ref="G241" si="388">F241*86400</f>
        <v>7098883.1999999993</v>
      </c>
      <c r="H241" s="14">
        <f t="shared" ref="H241" si="389">G241/1000000</f>
        <v>7.0988831999999995</v>
      </c>
      <c r="I241" s="13">
        <f t="shared" si="293"/>
        <v>319449.74399999995</v>
      </c>
      <c r="J241" s="24">
        <f t="shared" si="294"/>
        <v>0.31944974399999992</v>
      </c>
      <c r="K241" s="13">
        <f t="shared" si="295"/>
        <v>38333.96927999999</v>
      </c>
      <c r="L241" s="13">
        <f t="shared" si="296"/>
        <v>3.8333969279999991E-2</v>
      </c>
      <c r="M241" s="46">
        <f t="shared" si="297"/>
        <v>0.35778371327999992</v>
      </c>
      <c r="N241" s="51">
        <f t="shared" si="298"/>
        <v>0.70988832000000002</v>
      </c>
      <c r="O241" s="49">
        <f t="shared" si="299"/>
        <v>6.0312111667199995</v>
      </c>
    </row>
    <row r="242" spans="1:15" x14ac:dyDescent="0.7">
      <c r="A242" s="5"/>
      <c r="B242" s="5"/>
      <c r="C242" s="2">
        <v>28</v>
      </c>
      <c r="D242" s="6">
        <v>55.530999999999999</v>
      </c>
      <c r="E242" s="3">
        <v>0</v>
      </c>
      <c r="F242" s="6">
        <v>55.530999999999999</v>
      </c>
      <c r="G242" s="12">
        <f t="shared" ref="G242" si="390">F242*86400</f>
        <v>4797878.3999999994</v>
      </c>
      <c r="H242" s="14">
        <f t="shared" ref="H242" si="391">G242/1000000</f>
        <v>4.7978783999999992</v>
      </c>
      <c r="I242" s="13">
        <f t="shared" si="293"/>
        <v>215904.52799999996</v>
      </c>
      <c r="J242" s="24">
        <f t="shared" si="294"/>
        <v>0.21590452799999996</v>
      </c>
      <c r="K242" s="13">
        <f t="shared" si="295"/>
        <v>25908.543359999996</v>
      </c>
      <c r="L242" s="13">
        <f t="shared" si="296"/>
        <v>2.5908543359999998E-2</v>
      </c>
      <c r="M242" s="46">
        <f t="shared" si="297"/>
        <v>0.24181307135999996</v>
      </c>
      <c r="N242" s="51">
        <f t="shared" si="298"/>
        <v>0.47978783999999997</v>
      </c>
      <c r="O242" s="49">
        <f t="shared" si="299"/>
        <v>4.0762774886399988</v>
      </c>
    </row>
    <row r="243" spans="1:15" x14ac:dyDescent="0.7">
      <c r="A243" s="10"/>
      <c r="B243" s="10"/>
      <c r="C243" s="10">
        <v>29</v>
      </c>
      <c r="D243" s="18">
        <v>39.523000000000003</v>
      </c>
      <c r="E243" s="3">
        <v>3.5</v>
      </c>
      <c r="F243" s="18">
        <v>39.523000000000003</v>
      </c>
      <c r="G243" s="20">
        <f t="shared" ref="G243" si="392">F243*86400</f>
        <v>3414787.2</v>
      </c>
      <c r="H243" s="21">
        <f t="shared" ref="H243" si="393">G243/1000000</f>
        <v>3.4147872000000001</v>
      </c>
      <c r="I243" s="13">
        <f t="shared" si="293"/>
        <v>153665.424</v>
      </c>
      <c r="J243" s="24">
        <f t="shared" si="294"/>
        <v>0.15366542399999999</v>
      </c>
      <c r="K243" s="13">
        <f t="shared" si="295"/>
        <v>18439.850879999998</v>
      </c>
      <c r="L243" s="13">
        <f t="shared" si="296"/>
        <v>1.8439850879999997E-2</v>
      </c>
      <c r="M243" s="46">
        <f t="shared" si="297"/>
        <v>0.17210527487999999</v>
      </c>
      <c r="N243" s="51">
        <f t="shared" si="298"/>
        <v>0.34147872000000001</v>
      </c>
      <c r="O243" s="49">
        <f t="shared" si="299"/>
        <v>2.9012032051200003</v>
      </c>
    </row>
    <row r="244" spans="1:15" s="23" customFormat="1" x14ac:dyDescent="0.7">
      <c r="A244" s="10"/>
      <c r="B244" s="10"/>
      <c r="C244" s="10">
        <v>30</v>
      </c>
      <c r="D244" s="18">
        <v>32.945999999999998</v>
      </c>
      <c r="E244" s="19">
        <v>0.5</v>
      </c>
      <c r="F244" s="18">
        <v>32.945999999999998</v>
      </c>
      <c r="G244" s="65">
        <f t="shared" ref="G244" si="394">F244*86400</f>
        <v>2846534.4</v>
      </c>
      <c r="H244" s="60">
        <f t="shared" ref="H244" si="395">G244/1000000</f>
        <v>2.8465343999999999</v>
      </c>
      <c r="I244" s="60">
        <f t="shared" si="293"/>
        <v>128094.048</v>
      </c>
      <c r="J244" s="61">
        <f t="shared" si="294"/>
        <v>0.12809404799999999</v>
      </c>
      <c r="K244" s="60">
        <f t="shared" si="295"/>
        <v>15371.285759999999</v>
      </c>
      <c r="L244" s="60">
        <f t="shared" si="296"/>
        <v>1.5371285759999999E-2</v>
      </c>
      <c r="M244" s="62">
        <f t="shared" si="297"/>
        <v>0.14346533375999998</v>
      </c>
      <c r="N244" s="63">
        <f t="shared" si="298"/>
        <v>0.28465343999999998</v>
      </c>
      <c r="O244" s="64">
        <f t="shared" si="299"/>
        <v>2.4184156262399998</v>
      </c>
    </row>
    <row r="245" spans="1:15" s="59" customFormat="1" ht="25.2" thickBot="1" x14ac:dyDescent="0.75">
      <c r="A245" s="8"/>
      <c r="B245" s="8" t="s">
        <v>22</v>
      </c>
      <c r="C245" s="8">
        <v>31</v>
      </c>
      <c r="D245" s="9">
        <v>57.085000000000001</v>
      </c>
      <c r="E245" s="9">
        <v>10.6</v>
      </c>
      <c r="F245" s="9">
        <v>57.085000000000001</v>
      </c>
      <c r="G245" s="22">
        <f t="shared" ref="G245" si="396">F245*86400</f>
        <v>4932144</v>
      </c>
      <c r="H245" s="15">
        <f t="shared" ref="H245" si="397">G245/1000000</f>
        <v>4.9321440000000001</v>
      </c>
      <c r="I245" s="15">
        <f t="shared" si="293"/>
        <v>221946.47999999998</v>
      </c>
      <c r="J245" s="25">
        <f t="shared" si="294"/>
        <v>0.22194647999999997</v>
      </c>
      <c r="K245" s="15">
        <f t="shared" si="295"/>
        <v>26633.577599999997</v>
      </c>
      <c r="L245" s="15">
        <f t="shared" si="296"/>
        <v>2.6633577599999996E-2</v>
      </c>
      <c r="M245" s="56">
        <f t="shared" si="297"/>
        <v>0.24858005759999996</v>
      </c>
      <c r="N245" s="57">
        <f t="shared" si="298"/>
        <v>0.49321440000000005</v>
      </c>
      <c r="O245" s="58">
        <f t="shared" si="299"/>
        <v>4.1903495423999999</v>
      </c>
    </row>
    <row r="246" spans="1:15" x14ac:dyDescent="0.7">
      <c r="A246" s="2"/>
      <c r="B246" s="2" t="s">
        <v>23</v>
      </c>
      <c r="C246" s="2">
        <v>1</v>
      </c>
      <c r="D246" s="3">
        <v>52.472000000000001</v>
      </c>
      <c r="E246" s="3">
        <v>0.3</v>
      </c>
      <c r="F246" s="3">
        <v>52.472000000000001</v>
      </c>
      <c r="G246" s="12">
        <f t="shared" ref="G246" si="398">F246*86400</f>
        <v>4533580.8</v>
      </c>
      <c r="H246" s="14">
        <f t="shared" ref="H246" si="399">G246/1000000</f>
        <v>4.5335808000000002</v>
      </c>
      <c r="I246" s="14">
        <f t="shared" si="293"/>
        <v>204011.136</v>
      </c>
      <c r="J246" s="43">
        <f t="shared" si="294"/>
        <v>0.20401113600000001</v>
      </c>
      <c r="K246" s="14">
        <f t="shared" si="295"/>
        <v>24481.336319999999</v>
      </c>
      <c r="L246" s="14">
        <f t="shared" si="296"/>
        <v>2.4481336319999998E-2</v>
      </c>
      <c r="M246" s="52">
        <f t="shared" si="297"/>
        <v>0.22849247232</v>
      </c>
      <c r="N246" s="53">
        <f t="shared" si="298"/>
        <v>0.45335808000000005</v>
      </c>
      <c r="O246" s="54">
        <f t="shared" si="299"/>
        <v>3.8517302476799999</v>
      </c>
    </row>
    <row r="247" spans="1:15" x14ac:dyDescent="0.7">
      <c r="A247" s="5"/>
      <c r="B247" s="5"/>
      <c r="C247" s="5">
        <v>2</v>
      </c>
      <c r="D247" s="6">
        <v>52.472000000000001</v>
      </c>
      <c r="E247" s="3">
        <v>7.3</v>
      </c>
      <c r="F247" s="6">
        <v>52.472000000000001</v>
      </c>
      <c r="G247" s="12">
        <f t="shared" ref="G247" si="400">F247*86400</f>
        <v>4533580.8</v>
      </c>
      <c r="H247" s="14">
        <f t="shared" ref="H247" si="401">G247/1000000</f>
        <v>4.5335808000000002</v>
      </c>
      <c r="I247" s="13">
        <f t="shared" si="293"/>
        <v>204011.136</v>
      </c>
      <c r="J247" s="24">
        <f t="shared" si="294"/>
        <v>0.20401113600000001</v>
      </c>
      <c r="K247" s="13">
        <f t="shared" si="295"/>
        <v>24481.336319999999</v>
      </c>
      <c r="L247" s="13">
        <f t="shared" si="296"/>
        <v>2.4481336319999998E-2</v>
      </c>
      <c r="M247" s="46">
        <f t="shared" si="297"/>
        <v>0.22849247232</v>
      </c>
      <c r="N247" s="51">
        <f t="shared" si="298"/>
        <v>0.45335808000000005</v>
      </c>
      <c r="O247" s="49">
        <f t="shared" si="299"/>
        <v>3.8517302476799999</v>
      </c>
    </row>
    <row r="248" spans="1:15" x14ac:dyDescent="0.7">
      <c r="A248" s="5"/>
      <c r="B248" s="5"/>
      <c r="C248" s="5">
        <v>3</v>
      </c>
      <c r="D248" s="6">
        <v>39.523000000000003</v>
      </c>
      <c r="E248" s="3">
        <v>0</v>
      </c>
      <c r="F248" s="6">
        <v>39.523000000000003</v>
      </c>
      <c r="G248" s="12">
        <f t="shared" ref="G248" si="402">F248*86400</f>
        <v>3414787.2</v>
      </c>
      <c r="H248" s="14">
        <f t="shared" ref="H248" si="403">G248/1000000</f>
        <v>3.4147872000000001</v>
      </c>
      <c r="I248" s="13">
        <f t="shared" si="293"/>
        <v>153665.424</v>
      </c>
      <c r="J248" s="24">
        <f t="shared" si="294"/>
        <v>0.15366542399999999</v>
      </c>
      <c r="K248" s="13">
        <f t="shared" si="295"/>
        <v>18439.850879999998</v>
      </c>
      <c r="L248" s="13">
        <f t="shared" si="296"/>
        <v>1.8439850879999997E-2</v>
      </c>
      <c r="M248" s="46">
        <f t="shared" si="297"/>
        <v>0.17210527487999999</v>
      </c>
      <c r="N248" s="51">
        <f t="shared" si="298"/>
        <v>0.34147872000000001</v>
      </c>
      <c r="O248" s="49">
        <f t="shared" si="299"/>
        <v>2.9012032051200003</v>
      </c>
    </row>
    <row r="249" spans="1:15" x14ac:dyDescent="0.7">
      <c r="A249" s="5"/>
      <c r="B249" s="5"/>
      <c r="C249" s="2">
        <v>4</v>
      </c>
      <c r="D249" s="6">
        <v>30.448</v>
      </c>
      <c r="E249" s="3">
        <v>0</v>
      </c>
      <c r="F249" s="6">
        <v>30.448</v>
      </c>
      <c r="G249" s="12">
        <f t="shared" ref="G249" si="404">F249*86400</f>
        <v>2630707.2000000002</v>
      </c>
      <c r="H249" s="14">
        <f t="shared" ref="H249" si="405">G249/1000000</f>
        <v>2.6307072000000002</v>
      </c>
      <c r="I249" s="13">
        <f t="shared" si="293"/>
        <v>118381.82400000001</v>
      </c>
      <c r="J249" s="24">
        <f t="shared" si="294"/>
        <v>0.11838182400000001</v>
      </c>
      <c r="K249" s="13">
        <f t="shared" si="295"/>
        <v>14205.818880000001</v>
      </c>
      <c r="L249" s="13">
        <f t="shared" si="296"/>
        <v>1.420581888E-2</v>
      </c>
      <c r="M249" s="46">
        <f t="shared" si="297"/>
        <v>0.13258764288000002</v>
      </c>
      <c r="N249" s="51">
        <f t="shared" si="298"/>
        <v>0.26307072000000004</v>
      </c>
      <c r="O249" s="49">
        <f t="shared" si="299"/>
        <v>2.2350488371200004</v>
      </c>
    </row>
    <row r="250" spans="1:15" x14ac:dyDescent="0.7">
      <c r="A250" s="5"/>
      <c r="B250" s="5"/>
      <c r="C250" s="5">
        <v>5</v>
      </c>
      <c r="D250" s="6">
        <v>30.448</v>
      </c>
      <c r="E250" s="3">
        <v>22.2</v>
      </c>
      <c r="F250" s="6">
        <v>30.448</v>
      </c>
      <c r="G250" s="12">
        <f t="shared" ref="G250" si="406">F250*86400</f>
        <v>2630707.2000000002</v>
      </c>
      <c r="H250" s="14">
        <f t="shared" ref="H250" si="407">G250/1000000</f>
        <v>2.6307072000000002</v>
      </c>
      <c r="I250" s="13">
        <f t="shared" si="293"/>
        <v>118381.82400000001</v>
      </c>
      <c r="J250" s="24">
        <f t="shared" si="294"/>
        <v>0.11838182400000001</v>
      </c>
      <c r="K250" s="13">
        <f t="shared" si="295"/>
        <v>14205.818880000001</v>
      </c>
      <c r="L250" s="13">
        <f t="shared" si="296"/>
        <v>1.420581888E-2</v>
      </c>
      <c r="M250" s="46">
        <f t="shared" si="297"/>
        <v>0.13258764288000002</v>
      </c>
      <c r="N250" s="51">
        <f t="shared" si="298"/>
        <v>0.26307072000000004</v>
      </c>
      <c r="O250" s="49">
        <f t="shared" si="299"/>
        <v>2.2350488371200004</v>
      </c>
    </row>
    <row r="251" spans="1:15" x14ac:dyDescent="0.7">
      <c r="A251" s="5"/>
      <c r="B251" s="5"/>
      <c r="C251" s="5">
        <v>6</v>
      </c>
      <c r="D251" s="6">
        <v>43.213999999999999</v>
      </c>
      <c r="E251" s="3">
        <v>22.2</v>
      </c>
      <c r="F251" s="6">
        <v>43.213999999999999</v>
      </c>
      <c r="G251" s="12">
        <f t="shared" ref="G251" si="408">F251*86400</f>
        <v>3733689.6</v>
      </c>
      <c r="H251" s="14">
        <f t="shared" ref="H251" si="409">G251/1000000</f>
        <v>3.7336895999999999</v>
      </c>
      <c r="I251" s="13">
        <f t="shared" si="293"/>
        <v>168016.03200000001</v>
      </c>
      <c r="J251" s="24">
        <f t="shared" si="294"/>
        <v>0.16801603200000001</v>
      </c>
      <c r="K251" s="13">
        <f t="shared" si="295"/>
        <v>20161.923839999999</v>
      </c>
      <c r="L251" s="13">
        <f t="shared" si="296"/>
        <v>2.0161923839999998E-2</v>
      </c>
      <c r="M251" s="46">
        <f t="shared" si="297"/>
        <v>0.18817795584000002</v>
      </c>
      <c r="N251" s="51">
        <f t="shared" si="298"/>
        <v>0.37336896000000003</v>
      </c>
      <c r="O251" s="49">
        <f t="shared" si="299"/>
        <v>3.1721426841599998</v>
      </c>
    </row>
    <row r="252" spans="1:15" x14ac:dyDescent="0.7">
      <c r="A252" s="5"/>
      <c r="B252" s="5"/>
      <c r="C252" s="2">
        <v>7</v>
      </c>
      <c r="D252" s="6">
        <v>31.841000000000001</v>
      </c>
      <c r="E252" s="3">
        <v>4.0999999999999996</v>
      </c>
      <c r="F252" s="6">
        <v>31.841000000000001</v>
      </c>
      <c r="G252" s="12">
        <f t="shared" ref="G252" si="410">F252*86400</f>
        <v>2751062.4</v>
      </c>
      <c r="H252" s="14">
        <f t="shared" ref="H252" si="411">G252/1000000</f>
        <v>2.7510623999999999</v>
      </c>
      <c r="I252" s="13">
        <f t="shared" si="293"/>
        <v>123797.80799999999</v>
      </c>
      <c r="J252" s="24">
        <f t="shared" si="294"/>
        <v>0.123797808</v>
      </c>
      <c r="K252" s="13">
        <f t="shared" si="295"/>
        <v>14855.736959999998</v>
      </c>
      <c r="L252" s="13">
        <f t="shared" si="296"/>
        <v>1.4855736959999999E-2</v>
      </c>
      <c r="M252" s="46">
        <f t="shared" si="297"/>
        <v>0.13865354495999999</v>
      </c>
      <c r="N252" s="51">
        <f t="shared" si="298"/>
        <v>0.27510624</v>
      </c>
      <c r="O252" s="49">
        <f t="shared" si="299"/>
        <v>2.33730261504</v>
      </c>
    </row>
    <row r="253" spans="1:15" x14ac:dyDescent="0.7">
      <c r="A253" s="5"/>
      <c r="B253" s="5"/>
      <c r="C253" s="5">
        <v>8</v>
      </c>
      <c r="D253" s="6">
        <v>35.521000000000001</v>
      </c>
      <c r="E253" s="3">
        <v>8.5</v>
      </c>
      <c r="F253" s="6">
        <v>35.521000000000001</v>
      </c>
      <c r="G253" s="12">
        <f t="shared" ref="G253" si="412">F253*86400</f>
        <v>3069014.4</v>
      </c>
      <c r="H253" s="14">
        <f t="shared" ref="H253" si="413">G253/1000000</f>
        <v>3.0690143999999999</v>
      </c>
      <c r="I253" s="13">
        <f t="shared" si="293"/>
        <v>138105.64799999999</v>
      </c>
      <c r="J253" s="24">
        <f t="shared" si="294"/>
        <v>0.138105648</v>
      </c>
      <c r="K253" s="13">
        <f t="shared" si="295"/>
        <v>16572.677759999999</v>
      </c>
      <c r="L253" s="13">
        <f t="shared" si="296"/>
        <v>1.6572677759999998E-2</v>
      </c>
      <c r="M253" s="46">
        <f t="shared" si="297"/>
        <v>0.15467832575999999</v>
      </c>
      <c r="N253" s="51">
        <f t="shared" si="298"/>
        <v>0.30690144000000003</v>
      </c>
      <c r="O253" s="49">
        <f t="shared" si="299"/>
        <v>2.6074346342400001</v>
      </c>
    </row>
    <row r="254" spans="1:15" x14ac:dyDescent="0.7">
      <c r="A254" s="5"/>
      <c r="B254" s="5"/>
      <c r="C254" s="5">
        <v>9</v>
      </c>
      <c r="D254" s="6">
        <v>32.945999999999998</v>
      </c>
      <c r="E254" s="3">
        <v>9</v>
      </c>
      <c r="F254" s="6">
        <v>32.945999999999998</v>
      </c>
      <c r="G254" s="12">
        <f t="shared" ref="G254" si="414">F254*86400</f>
        <v>2846534.4</v>
      </c>
      <c r="H254" s="14">
        <f t="shared" ref="H254" si="415">G254/1000000</f>
        <v>2.8465343999999999</v>
      </c>
      <c r="I254" s="13">
        <f t="shared" si="293"/>
        <v>128094.048</v>
      </c>
      <c r="J254" s="24">
        <f t="shared" si="294"/>
        <v>0.12809404799999999</v>
      </c>
      <c r="K254" s="13">
        <f t="shared" si="295"/>
        <v>15371.285759999999</v>
      </c>
      <c r="L254" s="13">
        <f t="shared" si="296"/>
        <v>1.5371285759999999E-2</v>
      </c>
      <c r="M254" s="46">
        <f t="shared" si="297"/>
        <v>0.14346533375999998</v>
      </c>
      <c r="N254" s="51">
        <f t="shared" si="298"/>
        <v>0.28465343999999998</v>
      </c>
      <c r="O254" s="49">
        <f t="shared" si="299"/>
        <v>2.4184156262399998</v>
      </c>
    </row>
    <row r="255" spans="1:15" x14ac:dyDescent="0.7">
      <c r="A255" s="5"/>
      <c r="B255" s="5"/>
      <c r="C255" s="2">
        <v>10</v>
      </c>
      <c r="D255" s="6">
        <v>35.521000000000001</v>
      </c>
      <c r="E255" s="3">
        <v>0</v>
      </c>
      <c r="F255" s="6">
        <v>35.521000000000001</v>
      </c>
      <c r="G255" s="12">
        <f t="shared" ref="G255" si="416">F255*86400</f>
        <v>3069014.4</v>
      </c>
      <c r="H255" s="14">
        <f t="shared" ref="H255" si="417">G255/1000000</f>
        <v>3.0690143999999999</v>
      </c>
      <c r="I255" s="13">
        <f t="shared" si="293"/>
        <v>138105.64799999999</v>
      </c>
      <c r="J255" s="24">
        <f t="shared" si="294"/>
        <v>0.138105648</v>
      </c>
      <c r="K255" s="13">
        <f t="shared" si="295"/>
        <v>16572.677759999999</v>
      </c>
      <c r="L255" s="13">
        <f t="shared" si="296"/>
        <v>1.6572677759999998E-2</v>
      </c>
      <c r="M255" s="46">
        <f t="shared" si="297"/>
        <v>0.15467832575999999</v>
      </c>
      <c r="N255" s="51">
        <f t="shared" si="298"/>
        <v>0.30690144000000003</v>
      </c>
      <c r="O255" s="49">
        <f t="shared" si="299"/>
        <v>2.6074346342400001</v>
      </c>
    </row>
    <row r="256" spans="1:15" x14ac:dyDescent="0.7">
      <c r="A256" s="5"/>
      <c r="B256" s="5"/>
      <c r="C256" s="5">
        <v>11</v>
      </c>
      <c r="D256" s="6">
        <v>28.03</v>
      </c>
      <c r="E256" s="3">
        <v>24.7</v>
      </c>
      <c r="F256" s="6">
        <v>28.03</v>
      </c>
      <c r="G256" s="12">
        <f t="shared" ref="G256" si="418">F256*86400</f>
        <v>2421792</v>
      </c>
      <c r="H256" s="14">
        <f t="shared" ref="H256" si="419">G256/1000000</f>
        <v>2.4217919999999999</v>
      </c>
      <c r="I256" s="13">
        <f t="shared" si="293"/>
        <v>108980.64</v>
      </c>
      <c r="J256" s="24">
        <f t="shared" si="294"/>
        <v>0.10898064</v>
      </c>
      <c r="K256" s="13">
        <f t="shared" si="295"/>
        <v>13077.676799999999</v>
      </c>
      <c r="L256" s="13">
        <f t="shared" si="296"/>
        <v>1.3077676799999998E-2</v>
      </c>
      <c r="M256" s="46">
        <f t="shared" si="297"/>
        <v>0.1220583168</v>
      </c>
      <c r="N256" s="51">
        <f t="shared" si="298"/>
        <v>0.24217920000000001</v>
      </c>
      <c r="O256" s="49">
        <f t="shared" si="299"/>
        <v>2.0575544832000001</v>
      </c>
    </row>
    <row r="257" spans="1:15" x14ac:dyDescent="0.7">
      <c r="A257" s="5"/>
      <c r="B257" s="5"/>
      <c r="C257" s="5">
        <v>12</v>
      </c>
      <c r="D257" s="6">
        <v>24.555999999999997</v>
      </c>
      <c r="E257" s="3">
        <v>7.2</v>
      </c>
      <c r="F257" s="6">
        <v>24.555999999999997</v>
      </c>
      <c r="G257" s="12">
        <f t="shared" ref="G257" si="420">F257*86400</f>
        <v>2121638.4</v>
      </c>
      <c r="H257" s="14">
        <f t="shared" ref="H257" si="421">G257/1000000</f>
        <v>2.1216383999999997</v>
      </c>
      <c r="I257" s="13">
        <f t="shared" si="293"/>
        <v>95473.727999999988</v>
      </c>
      <c r="J257" s="24">
        <f t="shared" si="294"/>
        <v>9.5473727999999994E-2</v>
      </c>
      <c r="K257" s="13">
        <f t="shared" si="295"/>
        <v>11456.847359999998</v>
      </c>
      <c r="L257" s="13">
        <f t="shared" si="296"/>
        <v>1.1456847359999998E-2</v>
      </c>
      <c r="M257" s="46">
        <f t="shared" si="297"/>
        <v>0.10693057535999999</v>
      </c>
      <c r="N257" s="51">
        <f t="shared" si="298"/>
        <v>0.21216383999999999</v>
      </c>
      <c r="O257" s="49">
        <f t="shared" si="299"/>
        <v>1.8025439846399998</v>
      </c>
    </row>
    <row r="258" spans="1:15" x14ac:dyDescent="0.7">
      <c r="A258" s="5"/>
      <c r="B258" s="5"/>
      <c r="C258" s="2">
        <v>13</v>
      </c>
      <c r="D258" s="6">
        <v>25.692999999999998</v>
      </c>
      <c r="E258" s="3">
        <v>0</v>
      </c>
      <c r="F258" s="6">
        <v>25.692999999999998</v>
      </c>
      <c r="G258" s="12">
        <f t="shared" ref="G258" si="422">F258*86400</f>
        <v>2219875.1999999997</v>
      </c>
      <c r="H258" s="14">
        <f t="shared" ref="H258" si="423">G258/1000000</f>
        <v>2.2198751999999997</v>
      </c>
      <c r="I258" s="13">
        <f t="shared" si="293"/>
        <v>99894.383999999991</v>
      </c>
      <c r="J258" s="24">
        <f t="shared" si="294"/>
        <v>9.9894383999999989E-2</v>
      </c>
      <c r="K258" s="13">
        <f t="shared" si="295"/>
        <v>11987.326079999999</v>
      </c>
      <c r="L258" s="13">
        <f t="shared" si="296"/>
        <v>1.1987326079999999E-2</v>
      </c>
      <c r="M258" s="46">
        <f t="shared" si="297"/>
        <v>0.11188171007999999</v>
      </c>
      <c r="N258" s="51">
        <f t="shared" si="298"/>
        <v>0.22198751999999999</v>
      </c>
      <c r="O258" s="49">
        <f t="shared" si="299"/>
        <v>1.8860059699199998</v>
      </c>
    </row>
    <row r="259" spans="1:15" x14ac:dyDescent="0.7">
      <c r="A259" s="5"/>
      <c r="B259" s="5"/>
      <c r="C259" s="5">
        <v>14</v>
      </c>
      <c r="D259" s="6">
        <v>25.692999999999998</v>
      </c>
      <c r="E259" s="3">
        <v>0</v>
      </c>
      <c r="F259" s="6">
        <v>25.692999999999998</v>
      </c>
      <c r="G259" s="12">
        <f t="shared" ref="G259" si="424">F259*86400</f>
        <v>2219875.1999999997</v>
      </c>
      <c r="H259" s="14">
        <f t="shared" ref="H259" si="425">G259/1000000</f>
        <v>2.2198751999999997</v>
      </c>
      <c r="I259" s="13">
        <f t="shared" si="293"/>
        <v>99894.383999999991</v>
      </c>
      <c r="J259" s="24">
        <f t="shared" si="294"/>
        <v>9.9894383999999989E-2</v>
      </c>
      <c r="K259" s="13">
        <f t="shared" si="295"/>
        <v>11987.326079999999</v>
      </c>
      <c r="L259" s="13">
        <f t="shared" si="296"/>
        <v>1.1987326079999999E-2</v>
      </c>
      <c r="M259" s="46">
        <f t="shared" si="297"/>
        <v>0.11188171007999999</v>
      </c>
      <c r="N259" s="51">
        <f t="shared" si="298"/>
        <v>0.22198751999999999</v>
      </c>
      <c r="O259" s="49">
        <f t="shared" si="299"/>
        <v>1.8860059699199998</v>
      </c>
    </row>
    <row r="260" spans="1:15" x14ac:dyDescent="0.7">
      <c r="A260" s="5"/>
      <c r="B260" s="5"/>
      <c r="C260" s="5">
        <v>15</v>
      </c>
      <c r="D260" s="6">
        <v>20.591000000000001</v>
      </c>
      <c r="E260" s="3">
        <v>0.4</v>
      </c>
      <c r="F260" s="6">
        <v>20.591000000000001</v>
      </c>
      <c r="G260" s="12">
        <f t="shared" ref="G260" si="426">F260*86400</f>
        <v>1779062.4000000001</v>
      </c>
      <c r="H260" s="14">
        <f t="shared" ref="H260" si="427">G260/1000000</f>
        <v>1.7790624000000002</v>
      </c>
      <c r="I260" s="13">
        <f t="shared" ref="I260:I323" si="428">H260*1000000*0.045</f>
        <v>80057.808000000005</v>
      </c>
      <c r="J260" s="24">
        <f t="shared" ref="J260:J323" si="429">I260/1000000</f>
        <v>8.0057808000000008E-2</v>
      </c>
      <c r="K260" s="13">
        <f t="shared" ref="K260:K323" si="430">I260*0.12</f>
        <v>9606.9369600000009</v>
      </c>
      <c r="L260" s="13">
        <f t="shared" ref="L260:L323" si="431">K260/1000000</f>
        <v>9.6069369600000013E-3</v>
      </c>
      <c r="M260" s="46">
        <f t="shared" ref="M260:M323" si="432">J260+L260</f>
        <v>8.9664744960000015E-2</v>
      </c>
      <c r="N260" s="51">
        <f t="shared" ref="N260:N323" si="433">H260*0.1</f>
        <v>0.17790624000000002</v>
      </c>
      <c r="O260" s="49">
        <f t="shared" ref="O260:O323" si="434">H260-M260-N260</f>
        <v>1.5114914150400001</v>
      </c>
    </row>
    <row r="261" spans="1:15" x14ac:dyDescent="0.7">
      <c r="A261" s="5"/>
      <c r="B261" s="5"/>
      <c r="C261" s="2">
        <v>16</v>
      </c>
      <c r="D261" s="6">
        <v>25.692999999999998</v>
      </c>
      <c r="E261" s="3">
        <v>35.200000000000003</v>
      </c>
      <c r="F261" s="6">
        <v>25.692999999999998</v>
      </c>
      <c r="G261" s="12">
        <f t="shared" ref="G261" si="435">F261*86400</f>
        <v>2219875.1999999997</v>
      </c>
      <c r="H261" s="14">
        <f t="shared" ref="H261" si="436">G261/1000000</f>
        <v>2.2198751999999997</v>
      </c>
      <c r="I261" s="13">
        <f t="shared" si="428"/>
        <v>99894.383999999991</v>
      </c>
      <c r="J261" s="24">
        <f t="shared" si="429"/>
        <v>9.9894383999999989E-2</v>
      </c>
      <c r="K261" s="13">
        <f t="shared" si="430"/>
        <v>11987.326079999999</v>
      </c>
      <c r="L261" s="13">
        <f t="shared" si="431"/>
        <v>1.1987326079999999E-2</v>
      </c>
      <c r="M261" s="46">
        <f t="shared" si="432"/>
        <v>0.11188171007999999</v>
      </c>
      <c r="N261" s="51">
        <f t="shared" si="433"/>
        <v>0.22198751999999999</v>
      </c>
      <c r="O261" s="49">
        <f t="shared" si="434"/>
        <v>1.8860059699199998</v>
      </c>
    </row>
    <row r="262" spans="1:15" x14ac:dyDescent="0.7">
      <c r="A262" s="5"/>
      <c r="B262" s="5"/>
      <c r="C262" s="5">
        <v>17</v>
      </c>
      <c r="D262" s="6">
        <v>57.085000000000001</v>
      </c>
      <c r="E262" s="3">
        <v>13</v>
      </c>
      <c r="F262" s="6">
        <v>57.085000000000001</v>
      </c>
      <c r="G262" s="12">
        <f t="shared" ref="G262" si="437">F262*86400</f>
        <v>4932144</v>
      </c>
      <c r="H262" s="14">
        <f t="shared" ref="H262" si="438">G262/1000000</f>
        <v>4.9321440000000001</v>
      </c>
      <c r="I262" s="13">
        <f t="shared" si="428"/>
        <v>221946.47999999998</v>
      </c>
      <c r="J262" s="24">
        <f t="shared" si="429"/>
        <v>0.22194647999999997</v>
      </c>
      <c r="K262" s="13">
        <f t="shared" si="430"/>
        <v>26633.577599999997</v>
      </c>
      <c r="L262" s="13">
        <f t="shared" si="431"/>
        <v>2.6633577599999996E-2</v>
      </c>
      <c r="M262" s="46">
        <f t="shared" si="432"/>
        <v>0.24858005759999996</v>
      </c>
      <c r="N262" s="51">
        <f t="shared" si="433"/>
        <v>0.49321440000000005</v>
      </c>
      <c r="O262" s="49">
        <f t="shared" si="434"/>
        <v>4.1903495423999999</v>
      </c>
    </row>
    <row r="263" spans="1:15" x14ac:dyDescent="0.7">
      <c r="A263" s="5"/>
      <c r="B263" s="5"/>
      <c r="C263" s="5">
        <v>18</v>
      </c>
      <c r="D263" s="6">
        <v>150.524</v>
      </c>
      <c r="E263" s="3">
        <v>1.3</v>
      </c>
      <c r="F263" s="6">
        <v>150.524</v>
      </c>
      <c r="G263" s="12">
        <f t="shared" ref="G263" si="439">F263*86400</f>
        <v>13005273.6</v>
      </c>
      <c r="H263" s="14">
        <f t="shared" ref="H263" si="440">G263/1000000</f>
        <v>13.005273599999999</v>
      </c>
      <c r="I263" s="13">
        <f t="shared" si="428"/>
        <v>585237.31199999992</v>
      </c>
      <c r="J263" s="24">
        <f t="shared" si="429"/>
        <v>0.58523731199999995</v>
      </c>
      <c r="K263" s="13">
        <f t="shared" si="430"/>
        <v>70228.477439999988</v>
      </c>
      <c r="L263" s="13">
        <f t="shared" si="431"/>
        <v>7.0228477439999992E-2</v>
      </c>
      <c r="M263" s="46">
        <f t="shared" si="432"/>
        <v>0.65546578944</v>
      </c>
      <c r="N263" s="51">
        <f t="shared" si="433"/>
        <v>1.30052736</v>
      </c>
      <c r="O263" s="49">
        <f t="shared" si="434"/>
        <v>11.049280450559998</v>
      </c>
    </row>
    <row r="264" spans="1:15" x14ac:dyDescent="0.7">
      <c r="A264" s="5"/>
      <c r="B264" s="5"/>
      <c r="C264" s="2">
        <v>19</v>
      </c>
      <c r="D264" s="6">
        <v>80.727000000000004</v>
      </c>
      <c r="E264" s="3">
        <v>0</v>
      </c>
      <c r="F264" s="6">
        <v>80.727000000000004</v>
      </c>
      <c r="G264" s="12">
        <f t="shared" ref="G264" si="441">F264*86400</f>
        <v>6974812.8000000007</v>
      </c>
      <c r="H264" s="14">
        <f t="shared" ref="H264" si="442">G264/1000000</f>
        <v>6.9748128000000005</v>
      </c>
      <c r="I264" s="13">
        <f t="shared" si="428"/>
        <v>313866.576</v>
      </c>
      <c r="J264" s="24">
        <f t="shared" si="429"/>
        <v>0.31386657600000001</v>
      </c>
      <c r="K264" s="13">
        <f t="shared" si="430"/>
        <v>37663.989119999998</v>
      </c>
      <c r="L264" s="13">
        <f t="shared" si="431"/>
        <v>3.7663989119999998E-2</v>
      </c>
      <c r="M264" s="46">
        <f t="shared" si="432"/>
        <v>0.35153056512000003</v>
      </c>
      <c r="N264" s="51">
        <f t="shared" si="433"/>
        <v>0.69748128000000009</v>
      </c>
      <c r="O264" s="49">
        <f t="shared" si="434"/>
        <v>5.9258009548800006</v>
      </c>
    </row>
    <row r="265" spans="1:15" x14ac:dyDescent="0.7">
      <c r="A265" s="5"/>
      <c r="B265" s="5"/>
      <c r="C265" s="5">
        <v>20</v>
      </c>
      <c r="D265" s="6">
        <v>44.513000000000005</v>
      </c>
      <c r="E265" s="3">
        <v>0</v>
      </c>
      <c r="F265" s="6">
        <v>44.513000000000005</v>
      </c>
      <c r="G265" s="12">
        <f t="shared" ref="G265" si="443">F265*86400</f>
        <v>3845923.2000000007</v>
      </c>
      <c r="H265" s="14">
        <f t="shared" ref="H265" si="444">G265/1000000</f>
        <v>3.8459232000000005</v>
      </c>
      <c r="I265" s="13">
        <f t="shared" si="428"/>
        <v>173066.54400000002</v>
      </c>
      <c r="J265" s="24">
        <f t="shared" si="429"/>
        <v>0.17306654400000002</v>
      </c>
      <c r="K265" s="13">
        <f t="shared" si="430"/>
        <v>20767.985280000001</v>
      </c>
      <c r="L265" s="13">
        <f t="shared" si="431"/>
        <v>2.0767985280000002E-2</v>
      </c>
      <c r="M265" s="46">
        <f t="shared" si="432"/>
        <v>0.19383452928000003</v>
      </c>
      <c r="N265" s="51">
        <f t="shared" si="433"/>
        <v>0.3845923200000001</v>
      </c>
      <c r="O265" s="49">
        <f t="shared" si="434"/>
        <v>3.2674963507200001</v>
      </c>
    </row>
    <row r="266" spans="1:15" x14ac:dyDescent="0.7">
      <c r="A266" s="5"/>
      <c r="B266" s="5"/>
      <c r="C266" s="5">
        <v>21</v>
      </c>
      <c r="D266" s="6">
        <v>47.269999999999996</v>
      </c>
      <c r="E266" s="3">
        <v>0</v>
      </c>
      <c r="F266" s="6">
        <v>47.269999999999996</v>
      </c>
      <c r="G266" s="12">
        <f t="shared" ref="G266" si="445">F266*86400</f>
        <v>4084127.9999999995</v>
      </c>
      <c r="H266" s="14">
        <f t="shared" ref="H266" si="446">G266/1000000</f>
        <v>4.0841279999999998</v>
      </c>
      <c r="I266" s="13">
        <f t="shared" si="428"/>
        <v>183785.75999999998</v>
      </c>
      <c r="J266" s="24">
        <f t="shared" si="429"/>
        <v>0.18378575999999999</v>
      </c>
      <c r="K266" s="13">
        <f t="shared" si="430"/>
        <v>22054.291199999996</v>
      </c>
      <c r="L266" s="13">
        <f t="shared" si="431"/>
        <v>2.2054291199999996E-2</v>
      </c>
      <c r="M266" s="46">
        <f t="shared" si="432"/>
        <v>0.20584005119999998</v>
      </c>
      <c r="N266" s="51">
        <f t="shared" si="433"/>
        <v>0.40841280000000002</v>
      </c>
      <c r="O266" s="49">
        <f t="shared" si="434"/>
        <v>3.4698751487999999</v>
      </c>
    </row>
    <row r="267" spans="1:15" x14ac:dyDescent="0.7">
      <c r="A267" s="5"/>
      <c r="B267" s="5"/>
      <c r="C267" s="2">
        <v>22</v>
      </c>
      <c r="D267" s="6">
        <v>47.888999999999996</v>
      </c>
      <c r="E267" s="3">
        <v>0</v>
      </c>
      <c r="F267" s="6">
        <v>47.888999999999996</v>
      </c>
      <c r="G267" s="12">
        <f t="shared" ref="G267" si="447">F267*86400</f>
        <v>4137609.5999999996</v>
      </c>
      <c r="H267" s="14">
        <f t="shared" ref="H267" si="448">G267/1000000</f>
        <v>4.1376095999999993</v>
      </c>
      <c r="I267" s="13">
        <f t="shared" si="428"/>
        <v>186192.43199999994</v>
      </c>
      <c r="J267" s="24">
        <f t="shared" si="429"/>
        <v>0.18619243199999994</v>
      </c>
      <c r="K267" s="13">
        <f t="shared" si="430"/>
        <v>22343.091839999994</v>
      </c>
      <c r="L267" s="13">
        <f t="shared" si="431"/>
        <v>2.2343091839999992E-2</v>
      </c>
      <c r="M267" s="46">
        <f t="shared" si="432"/>
        <v>0.20853552383999993</v>
      </c>
      <c r="N267" s="51">
        <f t="shared" si="433"/>
        <v>0.41376095999999996</v>
      </c>
      <c r="O267" s="49">
        <f t="shared" si="434"/>
        <v>3.5153131161599998</v>
      </c>
    </row>
    <row r="268" spans="1:15" x14ac:dyDescent="0.7">
      <c r="A268" s="5"/>
      <c r="B268" s="5"/>
      <c r="C268" s="5">
        <v>23</v>
      </c>
      <c r="D268" s="6">
        <v>37.444000000000003</v>
      </c>
      <c r="E268" s="3">
        <v>0</v>
      </c>
      <c r="F268" s="6">
        <v>37.444000000000003</v>
      </c>
      <c r="G268" s="12">
        <f t="shared" ref="G268" si="449">F268*86400</f>
        <v>3235161.6</v>
      </c>
      <c r="H268" s="14">
        <f t="shared" ref="H268" si="450">G268/1000000</f>
        <v>3.2351616000000001</v>
      </c>
      <c r="I268" s="13">
        <f t="shared" si="428"/>
        <v>145582.272</v>
      </c>
      <c r="J268" s="24">
        <f t="shared" si="429"/>
        <v>0.14558227199999998</v>
      </c>
      <c r="K268" s="13">
        <f t="shared" si="430"/>
        <v>17469.872639999998</v>
      </c>
      <c r="L268" s="13">
        <f t="shared" si="431"/>
        <v>1.7469872639999998E-2</v>
      </c>
      <c r="M268" s="46">
        <f t="shared" si="432"/>
        <v>0.16305214463999998</v>
      </c>
      <c r="N268" s="51">
        <f t="shared" si="433"/>
        <v>0.32351616000000005</v>
      </c>
      <c r="O268" s="49">
        <f t="shared" si="434"/>
        <v>2.7485932953600001</v>
      </c>
    </row>
    <row r="269" spans="1:15" x14ac:dyDescent="0.7">
      <c r="A269" s="5"/>
      <c r="B269" s="5"/>
      <c r="C269" s="5">
        <v>24</v>
      </c>
      <c r="D269" s="6">
        <v>28.274000000000001</v>
      </c>
      <c r="E269" s="3">
        <v>0</v>
      </c>
      <c r="F269" s="6">
        <v>28.274000000000001</v>
      </c>
      <c r="G269" s="12">
        <f t="shared" ref="G269" si="451">F269*86400</f>
        <v>2442873.6</v>
      </c>
      <c r="H269" s="14">
        <f t="shared" ref="H269" si="452">G269/1000000</f>
        <v>2.4428736</v>
      </c>
      <c r="I269" s="13">
        <f t="shared" si="428"/>
        <v>109929.31200000001</v>
      </c>
      <c r="J269" s="24">
        <f t="shared" si="429"/>
        <v>0.109929312</v>
      </c>
      <c r="K269" s="13">
        <f t="shared" si="430"/>
        <v>13191.51744</v>
      </c>
      <c r="L269" s="13">
        <f t="shared" si="431"/>
        <v>1.319151744E-2</v>
      </c>
      <c r="M269" s="46">
        <f t="shared" si="432"/>
        <v>0.12312082944</v>
      </c>
      <c r="N269" s="51">
        <f t="shared" si="433"/>
        <v>0.24428736000000001</v>
      </c>
      <c r="O269" s="49">
        <f t="shared" si="434"/>
        <v>2.0754654105600001</v>
      </c>
    </row>
    <row r="270" spans="1:15" x14ac:dyDescent="0.7">
      <c r="A270" s="5"/>
      <c r="B270" s="5"/>
      <c r="C270" s="2">
        <v>25</v>
      </c>
      <c r="D270" s="6">
        <v>27.227</v>
      </c>
      <c r="E270" s="3">
        <v>0</v>
      </c>
      <c r="F270" s="6">
        <v>27.227</v>
      </c>
      <c r="G270" s="12">
        <f t="shared" ref="G270" si="453">F270*86400</f>
        <v>2352412.7999999998</v>
      </c>
      <c r="H270" s="14">
        <f t="shared" ref="H270" si="454">G270/1000000</f>
        <v>2.3524127999999997</v>
      </c>
      <c r="I270" s="13">
        <f t="shared" si="428"/>
        <v>105858.57599999999</v>
      </c>
      <c r="J270" s="24">
        <f t="shared" si="429"/>
        <v>0.10585857599999998</v>
      </c>
      <c r="K270" s="13">
        <f t="shared" si="430"/>
        <v>12703.029119999997</v>
      </c>
      <c r="L270" s="13">
        <f t="shared" si="431"/>
        <v>1.2703029119999997E-2</v>
      </c>
      <c r="M270" s="46">
        <f t="shared" si="432"/>
        <v>0.11856160511999998</v>
      </c>
      <c r="N270" s="51">
        <f t="shared" si="433"/>
        <v>0.23524128</v>
      </c>
      <c r="O270" s="49">
        <f t="shared" si="434"/>
        <v>1.9986099148799998</v>
      </c>
    </row>
    <row r="271" spans="1:15" x14ac:dyDescent="0.7">
      <c r="A271" s="5"/>
      <c r="B271" s="5"/>
      <c r="C271" s="5">
        <v>26</v>
      </c>
      <c r="D271" s="6">
        <v>27.227</v>
      </c>
      <c r="E271" s="3">
        <v>1.5</v>
      </c>
      <c r="F271" s="6">
        <v>27.227</v>
      </c>
      <c r="G271" s="12">
        <f t="shared" ref="G271" si="455">F271*86400</f>
        <v>2352412.7999999998</v>
      </c>
      <c r="H271" s="14">
        <f t="shared" ref="H271" si="456">G271/1000000</f>
        <v>2.3524127999999997</v>
      </c>
      <c r="I271" s="13">
        <f t="shared" si="428"/>
        <v>105858.57599999999</v>
      </c>
      <c r="J271" s="24">
        <f t="shared" si="429"/>
        <v>0.10585857599999998</v>
      </c>
      <c r="K271" s="13">
        <f t="shared" si="430"/>
        <v>12703.029119999997</v>
      </c>
      <c r="L271" s="13">
        <f t="shared" si="431"/>
        <v>1.2703029119999997E-2</v>
      </c>
      <c r="M271" s="46">
        <f t="shared" si="432"/>
        <v>0.11856160511999998</v>
      </c>
      <c r="N271" s="51">
        <f t="shared" si="433"/>
        <v>0.23524128</v>
      </c>
      <c r="O271" s="49">
        <f t="shared" si="434"/>
        <v>1.9986099148799998</v>
      </c>
    </row>
    <row r="272" spans="1:15" x14ac:dyDescent="0.7">
      <c r="A272" s="5"/>
      <c r="B272" s="5"/>
      <c r="C272" s="5">
        <v>27</v>
      </c>
      <c r="D272" s="6">
        <v>70.448999999999998</v>
      </c>
      <c r="E272" s="3">
        <v>1.3</v>
      </c>
      <c r="F272" s="6">
        <v>70.448999999999998</v>
      </c>
      <c r="G272" s="12">
        <f t="shared" ref="G272" si="457">F272*86400</f>
        <v>6086793.5999999996</v>
      </c>
      <c r="H272" s="14">
        <f t="shared" ref="H272" si="458">G272/1000000</f>
        <v>6.0867936</v>
      </c>
      <c r="I272" s="13">
        <f t="shared" si="428"/>
        <v>273905.712</v>
      </c>
      <c r="J272" s="24">
        <f t="shared" si="429"/>
        <v>0.27390571200000002</v>
      </c>
      <c r="K272" s="13">
        <f t="shared" si="430"/>
        <v>32868.685440000001</v>
      </c>
      <c r="L272" s="13">
        <f t="shared" si="431"/>
        <v>3.2868685440000003E-2</v>
      </c>
      <c r="M272" s="46">
        <f t="shared" si="432"/>
        <v>0.30677439744000001</v>
      </c>
      <c r="N272" s="51">
        <f t="shared" si="433"/>
        <v>0.60867936</v>
      </c>
      <c r="O272" s="49">
        <f t="shared" si="434"/>
        <v>5.1713398425600001</v>
      </c>
    </row>
    <row r="273" spans="1:15" x14ac:dyDescent="0.7">
      <c r="A273" s="10"/>
      <c r="B273" s="10"/>
      <c r="C273" s="27">
        <v>28</v>
      </c>
      <c r="D273" s="18">
        <v>36.677999999999997</v>
      </c>
      <c r="E273" s="3">
        <v>0</v>
      </c>
      <c r="F273" s="18">
        <v>36.677999999999997</v>
      </c>
      <c r="G273" s="20">
        <f t="shared" ref="G273" si="459">F273*86400</f>
        <v>3168979.1999999997</v>
      </c>
      <c r="H273" s="21">
        <f t="shared" ref="H273" si="460">G273/1000000</f>
        <v>3.1689791999999999</v>
      </c>
      <c r="I273" s="13">
        <f t="shared" si="428"/>
        <v>142604.06399999998</v>
      </c>
      <c r="J273" s="24">
        <f t="shared" si="429"/>
        <v>0.14260406399999997</v>
      </c>
      <c r="K273" s="13">
        <f t="shared" si="430"/>
        <v>17112.487679999998</v>
      </c>
      <c r="L273" s="13">
        <f t="shared" si="431"/>
        <v>1.711248768E-2</v>
      </c>
      <c r="M273" s="46">
        <f t="shared" si="432"/>
        <v>0.15971655167999999</v>
      </c>
      <c r="N273" s="51">
        <f t="shared" si="433"/>
        <v>0.31689792</v>
      </c>
      <c r="O273" s="49">
        <f t="shared" si="434"/>
        <v>2.6923647283199998</v>
      </c>
    </row>
    <row r="274" spans="1:15" s="23" customFormat="1" x14ac:dyDescent="0.7">
      <c r="A274" s="10"/>
      <c r="B274" s="10"/>
      <c r="C274" s="10">
        <v>29</v>
      </c>
      <c r="D274" s="18">
        <v>30.683</v>
      </c>
      <c r="E274" s="19">
        <v>8.8000000000000007</v>
      </c>
      <c r="F274" s="18">
        <v>30.683</v>
      </c>
      <c r="G274" s="65">
        <f t="shared" ref="G274" si="461">F274*86400</f>
        <v>2651011.2000000002</v>
      </c>
      <c r="H274" s="60">
        <f t="shared" ref="H274" si="462">G274/1000000</f>
        <v>2.6510112000000001</v>
      </c>
      <c r="I274" s="60">
        <f t="shared" si="428"/>
        <v>119295.504</v>
      </c>
      <c r="J274" s="61">
        <f t="shared" si="429"/>
        <v>0.119295504</v>
      </c>
      <c r="K274" s="60">
        <f t="shared" si="430"/>
        <v>14315.46048</v>
      </c>
      <c r="L274" s="60">
        <f t="shared" si="431"/>
        <v>1.431546048E-2</v>
      </c>
      <c r="M274" s="62">
        <f t="shared" si="432"/>
        <v>0.13361096447999998</v>
      </c>
      <c r="N274" s="63">
        <f t="shared" si="433"/>
        <v>0.26510112000000002</v>
      </c>
      <c r="O274" s="64">
        <f t="shared" si="434"/>
        <v>2.2522991155200001</v>
      </c>
    </row>
    <row r="275" spans="1:15" s="59" customFormat="1" ht="25.2" thickBot="1" x14ac:dyDescent="0.75">
      <c r="A275" s="8"/>
      <c r="B275" s="8" t="s">
        <v>23</v>
      </c>
      <c r="C275" s="8">
        <v>30</v>
      </c>
      <c r="D275" s="9">
        <v>32.190999999999995</v>
      </c>
      <c r="E275" s="9">
        <v>0</v>
      </c>
      <c r="F275" s="9">
        <v>32.190999999999995</v>
      </c>
      <c r="G275" s="22">
        <f t="shared" ref="G275" si="463">F275*86400</f>
        <v>2781302.3999999994</v>
      </c>
      <c r="H275" s="15">
        <f t="shared" ref="H275" si="464">G275/1000000</f>
        <v>2.7813023999999995</v>
      </c>
      <c r="I275" s="15">
        <f t="shared" si="428"/>
        <v>125158.60799999996</v>
      </c>
      <c r="J275" s="25">
        <f t="shared" si="429"/>
        <v>0.12515860799999998</v>
      </c>
      <c r="K275" s="15">
        <f t="shared" si="430"/>
        <v>15019.032959999995</v>
      </c>
      <c r="L275" s="15">
        <f t="shared" si="431"/>
        <v>1.5019032959999994E-2</v>
      </c>
      <c r="M275" s="56">
        <f t="shared" si="432"/>
        <v>0.14017764095999996</v>
      </c>
      <c r="N275" s="57">
        <f t="shared" si="433"/>
        <v>0.27813023999999997</v>
      </c>
      <c r="O275" s="58">
        <f t="shared" si="434"/>
        <v>2.3629945190399995</v>
      </c>
    </row>
    <row r="276" spans="1:15" x14ac:dyDescent="0.7">
      <c r="A276" s="2"/>
      <c r="B276" s="2" t="s">
        <v>24</v>
      </c>
      <c r="C276" s="2">
        <v>1</v>
      </c>
      <c r="D276" s="3">
        <v>28.414999999999999</v>
      </c>
      <c r="E276" s="3">
        <v>0</v>
      </c>
      <c r="F276" s="3">
        <v>28.414999999999999</v>
      </c>
      <c r="G276" s="12">
        <f t="shared" ref="G276" si="465">F276*86400</f>
        <v>2455056</v>
      </c>
      <c r="H276" s="14">
        <f t="shared" ref="H276" si="466">G276/1000000</f>
        <v>2.4550559999999999</v>
      </c>
      <c r="I276" s="14">
        <f t="shared" si="428"/>
        <v>110477.51999999999</v>
      </c>
      <c r="J276" s="43">
        <f t="shared" si="429"/>
        <v>0.11047752</v>
      </c>
      <c r="K276" s="14">
        <f t="shared" si="430"/>
        <v>13257.302399999999</v>
      </c>
      <c r="L276" s="14">
        <f t="shared" si="431"/>
        <v>1.3257302399999999E-2</v>
      </c>
      <c r="M276" s="52">
        <f t="shared" si="432"/>
        <v>0.1237348224</v>
      </c>
      <c r="N276" s="53">
        <f t="shared" si="433"/>
        <v>0.24550559999999999</v>
      </c>
      <c r="O276" s="54">
        <f t="shared" si="434"/>
        <v>2.0858155776</v>
      </c>
    </row>
    <row r="277" spans="1:15" x14ac:dyDescent="0.7">
      <c r="A277" s="5"/>
      <c r="B277" s="5"/>
      <c r="C277" s="5">
        <v>2</v>
      </c>
      <c r="D277" s="6">
        <v>24.838000000000001</v>
      </c>
      <c r="E277" s="3">
        <v>0.2</v>
      </c>
      <c r="F277" s="6">
        <v>24.838000000000001</v>
      </c>
      <c r="G277" s="12">
        <f t="shared" ref="G277" si="467">F277*86400</f>
        <v>2146003.2000000002</v>
      </c>
      <c r="H277" s="14">
        <f t="shared" ref="H277" si="468">G277/1000000</f>
        <v>2.1460032</v>
      </c>
      <c r="I277" s="13">
        <f t="shared" si="428"/>
        <v>96570.144</v>
      </c>
      <c r="J277" s="24">
        <f t="shared" si="429"/>
        <v>9.6570143999999997E-2</v>
      </c>
      <c r="K277" s="13">
        <f t="shared" si="430"/>
        <v>11588.41728</v>
      </c>
      <c r="L277" s="13">
        <f t="shared" si="431"/>
        <v>1.1588417279999999E-2</v>
      </c>
      <c r="M277" s="46">
        <f t="shared" si="432"/>
        <v>0.10815856128</v>
      </c>
      <c r="N277" s="51">
        <f t="shared" si="433"/>
        <v>0.21460032000000001</v>
      </c>
      <c r="O277" s="49">
        <f t="shared" si="434"/>
        <v>1.8232443187200003</v>
      </c>
    </row>
    <row r="278" spans="1:15" x14ac:dyDescent="0.7">
      <c r="A278" s="5"/>
      <c r="B278" s="5"/>
      <c r="C278" s="5">
        <v>3</v>
      </c>
      <c r="D278" s="6">
        <v>22.355</v>
      </c>
      <c r="E278" s="3">
        <v>16.100000000000001</v>
      </c>
      <c r="F278" s="6">
        <v>22.355</v>
      </c>
      <c r="G278" s="12">
        <f t="shared" ref="G278" si="469">F278*86400</f>
        <v>1931472</v>
      </c>
      <c r="H278" s="14">
        <f t="shared" ref="H278" si="470">G278/1000000</f>
        <v>1.9314720000000001</v>
      </c>
      <c r="I278" s="13">
        <f t="shared" si="428"/>
        <v>86916.239999999991</v>
      </c>
      <c r="J278" s="24">
        <f t="shared" si="429"/>
        <v>8.6916239999999992E-2</v>
      </c>
      <c r="K278" s="13">
        <f t="shared" si="430"/>
        <v>10429.948799999998</v>
      </c>
      <c r="L278" s="13">
        <f t="shared" si="431"/>
        <v>1.0429948799999998E-2</v>
      </c>
      <c r="M278" s="46">
        <f t="shared" si="432"/>
        <v>9.7346188799999983E-2</v>
      </c>
      <c r="N278" s="51">
        <f t="shared" si="433"/>
        <v>0.19314720000000002</v>
      </c>
      <c r="O278" s="49">
        <f t="shared" si="434"/>
        <v>1.6409786112</v>
      </c>
    </row>
    <row r="279" spans="1:15" x14ac:dyDescent="0.7">
      <c r="A279" s="5"/>
      <c r="B279" s="5"/>
      <c r="C279" s="2">
        <v>4</v>
      </c>
      <c r="D279" s="6">
        <v>32.689</v>
      </c>
      <c r="E279" s="3">
        <v>7</v>
      </c>
      <c r="F279" s="6">
        <v>32.689</v>
      </c>
      <c r="G279" s="12">
        <f t="shared" ref="G279" si="471">F279*86400</f>
        <v>2824329.6</v>
      </c>
      <c r="H279" s="14">
        <f t="shared" ref="H279" si="472">G279/1000000</f>
        <v>2.8243296</v>
      </c>
      <c r="I279" s="13">
        <f t="shared" si="428"/>
        <v>127094.83199999999</v>
      </c>
      <c r="J279" s="24">
        <f t="shared" si="429"/>
        <v>0.12709483199999999</v>
      </c>
      <c r="K279" s="13">
        <f t="shared" si="430"/>
        <v>15251.37984</v>
      </c>
      <c r="L279" s="13">
        <f t="shared" si="431"/>
        <v>1.5251379839999999E-2</v>
      </c>
      <c r="M279" s="46">
        <f t="shared" si="432"/>
        <v>0.14234621183999999</v>
      </c>
      <c r="N279" s="51">
        <f t="shared" si="433"/>
        <v>0.28243296000000001</v>
      </c>
      <c r="O279" s="49">
        <f t="shared" si="434"/>
        <v>2.39955042816</v>
      </c>
    </row>
    <row r="280" spans="1:15" x14ac:dyDescent="0.7">
      <c r="A280" s="5"/>
      <c r="B280" s="5"/>
      <c r="C280" s="5">
        <v>5</v>
      </c>
      <c r="D280" s="6">
        <v>53.813000000000002</v>
      </c>
      <c r="E280" s="3">
        <v>24.7</v>
      </c>
      <c r="F280" s="6">
        <v>53.813000000000002</v>
      </c>
      <c r="G280" s="12">
        <f t="shared" ref="G280" si="473">F280*86400</f>
        <v>4649443.2</v>
      </c>
      <c r="H280" s="14">
        <f t="shared" ref="H280" si="474">G280/1000000</f>
        <v>4.6494432000000003</v>
      </c>
      <c r="I280" s="13">
        <f t="shared" si="428"/>
        <v>209224.94399999999</v>
      </c>
      <c r="J280" s="24">
        <f t="shared" si="429"/>
        <v>0.209224944</v>
      </c>
      <c r="K280" s="13">
        <f t="shared" si="430"/>
        <v>25106.993279999999</v>
      </c>
      <c r="L280" s="13">
        <f t="shared" si="431"/>
        <v>2.510699328E-2</v>
      </c>
      <c r="M280" s="46">
        <f t="shared" si="432"/>
        <v>0.23433193727999999</v>
      </c>
      <c r="N280" s="51">
        <f t="shared" si="433"/>
        <v>0.46494432000000008</v>
      </c>
      <c r="O280" s="49">
        <f t="shared" si="434"/>
        <v>3.9501669427200001</v>
      </c>
    </row>
    <row r="281" spans="1:15" x14ac:dyDescent="0.7">
      <c r="A281" s="5"/>
      <c r="B281" s="5"/>
      <c r="C281" s="5">
        <v>6</v>
      </c>
      <c r="D281" s="6">
        <v>39.942</v>
      </c>
      <c r="E281" s="3">
        <v>0.9</v>
      </c>
      <c r="F281" s="6">
        <v>39.942</v>
      </c>
      <c r="G281" s="12">
        <f t="shared" ref="G281" si="475">F281*86400</f>
        <v>3450988.8</v>
      </c>
      <c r="H281" s="14">
        <f t="shared" ref="H281" si="476">G281/1000000</f>
        <v>3.4509887999999997</v>
      </c>
      <c r="I281" s="13">
        <f t="shared" si="428"/>
        <v>155294.49599999998</v>
      </c>
      <c r="J281" s="24">
        <f t="shared" si="429"/>
        <v>0.15529449599999998</v>
      </c>
      <c r="K281" s="13">
        <f t="shared" si="430"/>
        <v>18635.339519999998</v>
      </c>
      <c r="L281" s="13">
        <f t="shared" si="431"/>
        <v>1.8635339519999999E-2</v>
      </c>
      <c r="M281" s="46">
        <f t="shared" si="432"/>
        <v>0.17392983551999996</v>
      </c>
      <c r="N281" s="51">
        <f t="shared" si="433"/>
        <v>0.34509888</v>
      </c>
      <c r="O281" s="49">
        <f t="shared" si="434"/>
        <v>2.9319600844799996</v>
      </c>
    </row>
    <row r="282" spans="1:15" x14ac:dyDescent="0.7">
      <c r="A282" s="5"/>
      <c r="B282" s="5"/>
      <c r="C282" s="2">
        <v>7</v>
      </c>
      <c r="D282" s="6">
        <v>35.025999999999996</v>
      </c>
      <c r="E282" s="3">
        <v>3.2</v>
      </c>
      <c r="F282" s="6">
        <v>35.025999999999996</v>
      </c>
      <c r="G282" s="12">
        <f t="shared" ref="G282" si="477">F282*86400</f>
        <v>3026246.4</v>
      </c>
      <c r="H282" s="14">
        <f t="shared" ref="H282" si="478">G282/1000000</f>
        <v>3.0262463999999998</v>
      </c>
      <c r="I282" s="13">
        <f t="shared" si="428"/>
        <v>136181.08799999999</v>
      </c>
      <c r="J282" s="24">
        <f t="shared" si="429"/>
        <v>0.13618108799999998</v>
      </c>
      <c r="K282" s="13">
        <f t="shared" si="430"/>
        <v>16341.730559999998</v>
      </c>
      <c r="L282" s="13">
        <f t="shared" si="431"/>
        <v>1.6341730559999997E-2</v>
      </c>
      <c r="M282" s="46">
        <f t="shared" si="432"/>
        <v>0.15252281855999997</v>
      </c>
      <c r="N282" s="51">
        <f t="shared" si="433"/>
        <v>0.30262464</v>
      </c>
      <c r="O282" s="49">
        <f t="shared" si="434"/>
        <v>2.5710989414399998</v>
      </c>
    </row>
    <row r="283" spans="1:15" x14ac:dyDescent="0.7">
      <c r="A283" s="5"/>
      <c r="B283" s="5"/>
      <c r="C283" s="5">
        <v>8</v>
      </c>
      <c r="D283" s="6">
        <v>31.847000000000001</v>
      </c>
      <c r="E283" s="3">
        <v>22.7</v>
      </c>
      <c r="F283" s="6">
        <v>31.847000000000001</v>
      </c>
      <c r="G283" s="12">
        <f t="shared" ref="G283" si="479">F283*86400</f>
        <v>2751580.8000000003</v>
      </c>
      <c r="H283" s="14">
        <f t="shared" ref="H283" si="480">G283/1000000</f>
        <v>2.7515808000000002</v>
      </c>
      <c r="I283" s="13">
        <f t="shared" si="428"/>
        <v>123821.13600000001</v>
      </c>
      <c r="J283" s="24">
        <f t="shared" si="429"/>
        <v>0.12382113600000001</v>
      </c>
      <c r="K283" s="13">
        <f t="shared" si="430"/>
        <v>14858.536320000001</v>
      </c>
      <c r="L283" s="13">
        <f t="shared" si="431"/>
        <v>1.4858536320000001E-2</v>
      </c>
      <c r="M283" s="46">
        <f t="shared" si="432"/>
        <v>0.13867967232</v>
      </c>
      <c r="N283" s="51">
        <f t="shared" si="433"/>
        <v>0.27515808000000003</v>
      </c>
      <c r="O283" s="49">
        <f t="shared" si="434"/>
        <v>2.3377430476800001</v>
      </c>
    </row>
    <row r="284" spans="1:15" x14ac:dyDescent="0.7">
      <c r="A284" s="5"/>
      <c r="B284" s="5"/>
      <c r="C284" s="5">
        <v>9</v>
      </c>
      <c r="D284" s="6">
        <v>37.444000000000003</v>
      </c>
      <c r="E284" s="3">
        <v>0</v>
      </c>
      <c r="F284" s="6">
        <v>37.444000000000003</v>
      </c>
      <c r="G284" s="12">
        <f t="shared" ref="G284" si="481">F284*86400</f>
        <v>3235161.6</v>
      </c>
      <c r="H284" s="14">
        <f t="shared" ref="H284" si="482">G284/1000000</f>
        <v>3.2351616000000001</v>
      </c>
      <c r="I284" s="13">
        <f t="shared" si="428"/>
        <v>145582.272</v>
      </c>
      <c r="J284" s="24">
        <f t="shared" si="429"/>
        <v>0.14558227199999998</v>
      </c>
      <c r="K284" s="13">
        <f t="shared" si="430"/>
        <v>17469.872639999998</v>
      </c>
      <c r="L284" s="13">
        <f t="shared" si="431"/>
        <v>1.7469872639999998E-2</v>
      </c>
      <c r="M284" s="46">
        <f t="shared" si="432"/>
        <v>0.16305214463999998</v>
      </c>
      <c r="N284" s="51">
        <f t="shared" si="433"/>
        <v>0.32351616000000005</v>
      </c>
      <c r="O284" s="49">
        <f t="shared" si="434"/>
        <v>2.7485932953600001</v>
      </c>
    </row>
    <row r="285" spans="1:15" x14ac:dyDescent="0.7">
      <c r="A285" s="5"/>
      <c r="B285" s="5"/>
      <c r="C285" s="2">
        <v>10</v>
      </c>
      <c r="D285" s="6">
        <v>29.832000000000001</v>
      </c>
      <c r="E285" s="3">
        <v>5.5</v>
      </c>
      <c r="F285" s="6">
        <v>29.832000000000001</v>
      </c>
      <c r="G285" s="12">
        <f t="shared" ref="G285" si="483">F285*86400</f>
        <v>2577484.8000000003</v>
      </c>
      <c r="H285" s="14">
        <f t="shared" ref="H285" si="484">G285/1000000</f>
        <v>2.5774848000000001</v>
      </c>
      <c r="I285" s="13">
        <f t="shared" si="428"/>
        <v>115986.81600000001</v>
      </c>
      <c r="J285" s="24">
        <f t="shared" si="429"/>
        <v>0.11598681600000001</v>
      </c>
      <c r="K285" s="13">
        <f t="shared" si="430"/>
        <v>13918.41792</v>
      </c>
      <c r="L285" s="13">
        <f t="shared" si="431"/>
        <v>1.391841792E-2</v>
      </c>
      <c r="M285" s="46">
        <f t="shared" si="432"/>
        <v>0.12990523392</v>
      </c>
      <c r="N285" s="51">
        <f t="shared" si="433"/>
        <v>0.25774848</v>
      </c>
      <c r="O285" s="49">
        <f t="shared" si="434"/>
        <v>2.1898310860799999</v>
      </c>
    </row>
    <row r="286" spans="1:15" x14ac:dyDescent="0.7">
      <c r="A286" s="5"/>
      <c r="B286" s="5"/>
      <c r="C286" s="5">
        <v>11</v>
      </c>
      <c r="D286" s="6">
        <v>29.201000000000001</v>
      </c>
      <c r="E286" s="3">
        <v>40.6</v>
      </c>
      <c r="F286" s="6">
        <v>29.201000000000001</v>
      </c>
      <c r="G286" s="12">
        <f t="shared" ref="G286" si="485">F286*86400</f>
        <v>2522966.4</v>
      </c>
      <c r="H286" s="14">
        <f t="shared" ref="H286" si="486">G286/1000000</f>
        <v>2.5229664000000001</v>
      </c>
      <c r="I286" s="13">
        <f t="shared" si="428"/>
        <v>113533.488</v>
      </c>
      <c r="J286" s="24">
        <f t="shared" si="429"/>
        <v>0.113533488</v>
      </c>
      <c r="K286" s="13">
        <f t="shared" si="430"/>
        <v>13624.018559999999</v>
      </c>
      <c r="L286" s="13">
        <f t="shared" si="431"/>
        <v>1.3624018559999999E-2</v>
      </c>
      <c r="M286" s="46">
        <f t="shared" si="432"/>
        <v>0.12715750655999999</v>
      </c>
      <c r="N286" s="51">
        <f t="shared" si="433"/>
        <v>0.25229664000000002</v>
      </c>
      <c r="O286" s="49">
        <f t="shared" si="434"/>
        <v>2.14351225344</v>
      </c>
    </row>
    <row r="287" spans="1:15" x14ac:dyDescent="0.7">
      <c r="A287" s="5"/>
      <c r="B287" s="5"/>
      <c r="C287" s="5">
        <v>12</v>
      </c>
      <c r="D287" s="6">
        <v>83.94</v>
      </c>
      <c r="E287" s="3">
        <v>0.2</v>
      </c>
      <c r="F287" s="6">
        <v>83.94</v>
      </c>
      <c r="G287" s="12">
        <f t="shared" ref="G287" si="487">F287*86400</f>
        <v>7252416</v>
      </c>
      <c r="H287" s="14">
        <f t="shared" ref="H287" si="488">G287/1000000</f>
        <v>7.2524160000000002</v>
      </c>
      <c r="I287" s="13">
        <f t="shared" si="428"/>
        <v>326358.71999999997</v>
      </c>
      <c r="J287" s="24">
        <f t="shared" si="429"/>
        <v>0.32635871999999999</v>
      </c>
      <c r="K287" s="13">
        <f t="shared" si="430"/>
        <v>39163.046399999992</v>
      </c>
      <c r="L287" s="13">
        <f t="shared" si="431"/>
        <v>3.9163046399999991E-2</v>
      </c>
      <c r="M287" s="46">
        <f t="shared" si="432"/>
        <v>0.3655217664</v>
      </c>
      <c r="N287" s="51">
        <f t="shared" si="433"/>
        <v>0.72524160000000004</v>
      </c>
      <c r="O287" s="49">
        <f t="shared" si="434"/>
        <v>6.1616526336000002</v>
      </c>
    </row>
    <row r="288" spans="1:15" x14ac:dyDescent="0.7">
      <c r="A288" s="5"/>
      <c r="B288" s="5"/>
      <c r="C288" s="2">
        <v>13</v>
      </c>
      <c r="D288" s="6">
        <v>82.540999999999997</v>
      </c>
      <c r="E288" s="3">
        <v>0</v>
      </c>
      <c r="F288" s="6">
        <v>82.540999999999997</v>
      </c>
      <c r="G288" s="12">
        <f t="shared" ref="G288" si="489">F288*86400</f>
        <v>7131542.3999999994</v>
      </c>
      <c r="H288" s="14">
        <f t="shared" ref="H288" si="490">G288/1000000</f>
        <v>7.1315423999999998</v>
      </c>
      <c r="I288" s="13">
        <f t="shared" si="428"/>
        <v>320919.40799999994</v>
      </c>
      <c r="J288" s="24">
        <f t="shared" si="429"/>
        <v>0.32091940799999996</v>
      </c>
      <c r="K288" s="13">
        <f t="shared" si="430"/>
        <v>38510.328959999992</v>
      </c>
      <c r="L288" s="13">
        <f t="shared" si="431"/>
        <v>3.8510328959999993E-2</v>
      </c>
      <c r="M288" s="46">
        <f t="shared" si="432"/>
        <v>0.35942973695999997</v>
      </c>
      <c r="N288" s="51">
        <f t="shared" si="433"/>
        <v>0.71315424000000005</v>
      </c>
      <c r="O288" s="49">
        <f t="shared" si="434"/>
        <v>6.05895842304</v>
      </c>
    </row>
    <row r="289" spans="1:15" x14ac:dyDescent="0.7">
      <c r="A289" s="5"/>
      <c r="B289" s="5"/>
      <c r="C289" s="5">
        <v>14</v>
      </c>
      <c r="D289" s="6">
        <v>78.926000000000002</v>
      </c>
      <c r="E289" s="3">
        <v>0</v>
      </c>
      <c r="F289" s="6">
        <v>78.926000000000002</v>
      </c>
      <c r="G289" s="12">
        <f t="shared" ref="G289" si="491">F289*86400</f>
        <v>6819206.4000000004</v>
      </c>
      <c r="H289" s="14">
        <f t="shared" ref="H289" si="492">G289/1000000</f>
        <v>6.8192064000000006</v>
      </c>
      <c r="I289" s="13">
        <f t="shared" si="428"/>
        <v>306864.288</v>
      </c>
      <c r="J289" s="24">
        <f t="shared" si="429"/>
        <v>0.30686428799999999</v>
      </c>
      <c r="K289" s="13">
        <f t="shared" si="430"/>
        <v>36823.71456</v>
      </c>
      <c r="L289" s="13">
        <f t="shared" si="431"/>
        <v>3.6823714559999998E-2</v>
      </c>
      <c r="M289" s="46">
        <f t="shared" si="432"/>
        <v>0.34368800255999998</v>
      </c>
      <c r="N289" s="51">
        <f t="shared" si="433"/>
        <v>0.68192064000000008</v>
      </c>
      <c r="O289" s="49">
        <f t="shared" si="434"/>
        <v>5.7935977574399997</v>
      </c>
    </row>
    <row r="290" spans="1:15" x14ac:dyDescent="0.7">
      <c r="A290" s="5"/>
      <c r="B290" s="5"/>
      <c r="C290" s="5">
        <v>15</v>
      </c>
      <c r="D290" s="6">
        <v>68.387</v>
      </c>
      <c r="E290" s="3">
        <v>1.9</v>
      </c>
      <c r="F290" s="6">
        <v>68.387</v>
      </c>
      <c r="G290" s="12">
        <f t="shared" ref="G290" si="493">F290*86400</f>
        <v>5908636.7999999998</v>
      </c>
      <c r="H290" s="14">
        <f t="shared" ref="H290" si="494">G290/1000000</f>
        <v>5.9086368</v>
      </c>
      <c r="I290" s="13">
        <f t="shared" si="428"/>
        <v>265888.65599999996</v>
      </c>
      <c r="J290" s="24">
        <f t="shared" si="429"/>
        <v>0.26588865599999995</v>
      </c>
      <c r="K290" s="13">
        <f t="shared" si="430"/>
        <v>31906.638719999995</v>
      </c>
      <c r="L290" s="13">
        <f t="shared" si="431"/>
        <v>3.1906638719999998E-2</v>
      </c>
      <c r="M290" s="46">
        <f t="shared" si="432"/>
        <v>0.29779529471999994</v>
      </c>
      <c r="N290" s="51">
        <f t="shared" si="433"/>
        <v>0.59086368</v>
      </c>
      <c r="O290" s="49">
        <f t="shared" si="434"/>
        <v>5.0199778252799998</v>
      </c>
    </row>
    <row r="291" spans="1:15" x14ac:dyDescent="0.7">
      <c r="A291" s="5"/>
      <c r="B291" s="5"/>
      <c r="C291" s="2">
        <v>16</v>
      </c>
      <c r="D291" s="6">
        <v>77.415000000000006</v>
      </c>
      <c r="E291" s="3">
        <v>0.3</v>
      </c>
      <c r="F291" s="6">
        <v>77.415000000000006</v>
      </c>
      <c r="G291" s="12">
        <f t="shared" ref="G291" si="495">F291*86400</f>
        <v>6688656.0000000009</v>
      </c>
      <c r="H291" s="14">
        <f t="shared" ref="H291" si="496">G291/1000000</f>
        <v>6.6886560000000008</v>
      </c>
      <c r="I291" s="13">
        <f t="shared" si="428"/>
        <v>300989.52</v>
      </c>
      <c r="J291" s="24">
        <f t="shared" si="429"/>
        <v>0.30098952000000001</v>
      </c>
      <c r="K291" s="13">
        <f t="shared" si="430"/>
        <v>36118.742400000003</v>
      </c>
      <c r="L291" s="13">
        <f t="shared" si="431"/>
        <v>3.6118742400000001E-2</v>
      </c>
      <c r="M291" s="46">
        <f t="shared" si="432"/>
        <v>0.33710826240000002</v>
      </c>
      <c r="N291" s="51">
        <f t="shared" si="433"/>
        <v>0.66886560000000017</v>
      </c>
      <c r="O291" s="49">
        <f t="shared" si="434"/>
        <v>5.6826821376000005</v>
      </c>
    </row>
    <row r="292" spans="1:15" x14ac:dyDescent="0.7">
      <c r="A292" s="5"/>
      <c r="B292" s="5"/>
      <c r="C292" s="5">
        <v>17</v>
      </c>
      <c r="D292" s="6">
        <v>70.033999999999992</v>
      </c>
      <c r="E292" s="3">
        <v>0</v>
      </c>
      <c r="F292" s="6">
        <v>70.033999999999992</v>
      </c>
      <c r="G292" s="12">
        <f t="shared" ref="G292" si="497">F292*86400</f>
        <v>6050937.5999999996</v>
      </c>
      <c r="H292" s="14">
        <f t="shared" ref="H292" si="498">G292/1000000</f>
        <v>6.0509375999999993</v>
      </c>
      <c r="I292" s="13">
        <f t="shared" si="428"/>
        <v>272292.19199999998</v>
      </c>
      <c r="J292" s="24">
        <f t="shared" si="429"/>
        <v>0.27229219199999999</v>
      </c>
      <c r="K292" s="13">
        <f t="shared" si="430"/>
        <v>32675.063039999997</v>
      </c>
      <c r="L292" s="13">
        <f t="shared" si="431"/>
        <v>3.2675063040000001E-2</v>
      </c>
      <c r="M292" s="46">
        <f t="shared" si="432"/>
        <v>0.30496725504</v>
      </c>
      <c r="N292" s="51">
        <f t="shared" si="433"/>
        <v>0.60509375999999993</v>
      </c>
      <c r="O292" s="49">
        <f t="shared" si="434"/>
        <v>5.1408765849599991</v>
      </c>
    </row>
    <row r="293" spans="1:15" x14ac:dyDescent="0.7">
      <c r="A293" s="5"/>
      <c r="B293" s="5"/>
      <c r="C293" s="5">
        <v>18</v>
      </c>
      <c r="D293" s="6">
        <v>54.089999999999996</v>
      </c>
      <c r="E293" s="3">
        <v>0</v>
      </c>
      <c r="F293" s="6">
        <v>54.089999999999996</v>
      </c>
      <c r="G293" s="12">
        <f t="shared" ref="G293" si="499">F293*86400</f>
        <v>4673376</v>
      </c>
      <c r="H293" s="14">
        <f t="shared" ref="H293" si="500">G293/1000000</f>
        <v>4.6733760000000002</v>
      </c>
      <c r="I293" s="13">
        <f t="shared" si="428"/>
        <v>210301.91999999998</v>
      </c>
      <c r="J293" s="24">
        <f t="shared" si="429"/>
        <v>0.21030191999999998</v>
      </c>
      <c r="K293" s="13">
        <f t="shared" si="430"/>
        <v>25236.230399999997</v>
      </c>
      <c r="L293" s="13">
        <f t="shared" si="431"/>
        <v>2.5236230399999997E-2</v>
      </c>
      <c r="M293" s="46">
        <f t="shared" si="432"/>
        <v>0.23553815039999998</v>
      </c>
      <c r="N293" s="51">
        <f t="shared" si="433"/>
        <v>0.46733760000000002</v>
      </c>
      <c r="O293" s="49">
        <f t="shared" si="434"/>
        <v>3.9705002496000001</v>
      </c>
    </row>
    <row r="294" spans="1:15" x14ac:dyDescent="0.7">
      <c r="A294" s="5"/>
      <c r="B294" s="5"/>
      <c r="C294" s="2">
        <v>19</v>
      </c>
      <c r="D294" s="6">
        <v>46.484000000000002</v>
      </c>
      <c r="E294" s="3">
        <v>0</v>
      </c>
      <c r="F294" s="6">
        <v>46.484000000000002</v>
      </c>
      <c r="G294" s="12">
        <f t="shared" ref="G294" si="501">F294*86400</f>
        <v>4016217.6</v>
      </c>
      <c r="H294" s="14">
        <f t="shared" ref="H294" si="502">G294/1000000</f>
        <v>4.0162176000000001</v>
      </c>
      <c r="I294" s="13">
        <f t="shared" si="428"/>
        <v>180729.79199999999</v>
      </c>
      <c r="J294" s="24">
        <f t="shared" si="429"/>
        <v>0.180729792</v>
      </c>
      <c r="K294" s="13">
        <f t="shared" si="430"/>
        <v>21687.575039999996</v>
      </c>
      <c r="L294" s="13">
        <f t="shared" si="431"/>
        <v>2.1687575039999997E-2</v>
      </c>
      <c r="M294" s="46">
        <f t="shared" si="432"/>
        <v>0.20241736703999999</v>
      </c>
      <c r="N294" s="51">
        <f t="shared" si="433"/>
        <v>0.40162176000000005</v>
      </c>
      <c r="O294" s="49">
        <f t="shared" si="434"/>
        <v>3.41217847296</v>
      </c>
    </row>
    <row r="295" spans="1:15" x14ac:dyDescent="0.7">
      <c r="A295" s="5"/>
      <c r="B295" s="5"/>
      <c r="C295" s="5">
        <v>20</v>
      </c>
      <c r="D295" s="6">
        <v>38.856999999999999</v>
      </c>
      <c r="E295" s="3">
        <v>0</v>
      </c>
      <c r="F295" s="6">
        <v>38.856999999999999</v>
      </c>
      <c r="G295" s="12">
        <f t="shared" ref="G295" si="503">F295*86400</f>
        <v>3357244.8</v>
      </c>
      <c r="H295" s="14">
        <f t="shared" ref="H295" si="504">G295/1000000</f>
        <v>3.3572447999999997</v>
      </c>
      <c r="I295" s="13">
        <f t="shared" si="428"/>
        <v>151076.01599999997</v>
      </c>
      <c r="J295" s="24">
        <f t="shared" si="429"/>
        <v>0.15107601599999998</v>
      </c>
      <c r="K295" s="13">
        <f t="shared" si="430"/>
        <v>18129.121919999998</v>
      </c>
      <c r="L295" s="13">
        <f t="shared" si="431"/>
        <v>1.8129121919999998E-2</v>
      </c>
      <c r="M295" s="46">
        <f t="shared" si="432"/>
        <v>0.16920513791999997</v>
      </c>
      <c r="N295" s="51">
        <f t="shared" si="433"/>
        <v>0.33572447999999999</v>
      </c>
      <c r="O295" s="49">
        <f t="shared" si="434"/>
        <v>2.8523151820799995</v>
      </c>
    </row>
    <row r="296" spans="1:15" x14ac:dyDescent="0.7">
      <c r="A296" s="5"/>
      <c r="B296" s="5"/>
      <c r="C296" s="5">
        <v>21</v>
      </c>
      <c r="D296" s="6">
        <v>34.801000000000002</v>
      </c>
      <c r="E296" s="3">
        <v>0</v>
      </c>
      <c r="F296" s="6">
        <v>34.801000000000002</v>
      </c>
      <c r="G296" s="12">
        <f t="shared" ref="G296" si="505">F296*86400</f>
        <v>3006806.4000000004</v>
      </c>
      <c r="H296" s="14">
        <f t="shared" ref="H296" si="506">G296/1000000</f>
        <v>3.0068064000000003</v>
      </c>
      <c r="I296" s="13">
        <f t="shared" si="428"/>
        <v>135306.288</v>
      </c>
      <c r="J296" s="24">
        <f t="shared" si="429"/>
        <v>0.135306288</v>
      </c>
      <c r="K296" s="13">
        <f t="shared" si="430"/>
        <v>16236.754559999999</v>
      </c>
      <c r="L296" s="13">
        <f t="shared" si="431"/>
        <v>1.623675456E-2</v>
      </c>
      <c r="M296" s="46">
        <f t="shared" si="432"/>
        <v>0.15154304256000001</v>
      </c>
      <c r="N296" s="51">
        <f t="shared" si="433"/>
        <v>0.30068064000000005</v>
      </c>
      <c r="O296" s="49">
        <f t="shared" si="434"/>
        <v>2.5545827174400002</v>
      </c>
    </row>
    <row r="297" spans="1:15" x14ac:dyDescent="0.7">
      <c r="A297" s="5"/>
      <c r="B297" s="5"/>
      <c r="C297" s="2">
        <v>22</v>
      </c>
      <c r="D297" s="6">
        <v>29.652000000000001</v>
      </c>
      <c r="E297" s="3">
        <v>0</v>
      </c>
      <c r="F297" s="6">
        <v>29.652000000000001</v>
      </c>
      <c r="G297" s="12">
        <f t="shared" ref="G297" si="507">F297*86400</f>
        <v>2561932.8000000003</v>
      </c>
      <c r="H297" s="14">
        <f t="shared" ref="H297" si="508">G297/1000000</f>
        <v>2.5619328000000001</v>
      </c>
      <c r="I297" s="13">
        <f t="shared" si="428"/>
        <v>115286.97600000001</v>
      </c>
      <c r="J297" s="24">
        <f t="shared" si="429"/>
        <v>0.11528697600000001</v>
      </c>
      <c r="K297" s="13">
        <f t="shared" si="430"/>
        <v>13834.437120000001</v>
      </c>
      <c r="L297" s="13">
        <f t="shared" si="431"/>
        <v>1.3834437120000001E-2</v>
      </c>
      <c r="M297" s="46">
        <f t="shared" si="432"/>
        <v>0.12912141312000003</v>
      </c>
      <c r="N297" s="51">
        <f t="shared" si="433"/>
        <v>0.25619328000000002</v>
      </c>
      <c r="O297" s="49">
        <f t="shared" si="434"/>
        <v>2.1766181068799999</v>
      </c>
    </row>
    <row r="298" spans="1:15" x14ac:dyDescent="0.7">
      <c r="A298" s="5"/>
      <c r="B298" s="5"/>
      <c r="C298" s="5">
        <v>23</v>
      </c>
      <c r="D298" s="6">
        <v>28.411999999999999</v>
      </c>
      <c r="E298" s="3">
        <v>11.5</v>
      </c>
      <c r="F298" s="6">
        <v>28.411999999999999</v>
      </c>
      <c r="G298" s="12">
        <f t="shared" ref="G298" si="509">F298*86400</f>
        <v>2454796.7999999998</v>
      </c>
      <c r="H298" s="14">
        <f t="shared" ref="H298" si="510">G298/1000000</f>
        <v>2.4547968</v>
      </c>
      <c r="I298" s="13">
        <f t="shared" si="428"/>
        <v>110465.85599999999</v>
      </c>
      <c r="J298" s="24">
        <f t="shared" si="429"/>
        <v>0.11046585599999999</v>
      </c>
      <c r="K298" s="13">
        <f t="shared" si="430"/>
        <v>13255.902719999998</v>
      </c>
      <c r="L298" s="13">
        <f t="shared" si="431"/>
        <v>1.3255902719999999E-2</v>
      </c>
      <c r="M298" s="46">
        <f t="shared" si="432"/>
        <v>0.12372175871999999</v>
      </c>
      <c r="N298" s="51">
        <f t="shared" si="433"/>
        <v>0.24547968000000001</v>
      </c>
      <c r="O298" s="49">
        <f t="shared" si="434"/>
        <v>2.0855953612800002</v>
      </c>
    </row>
    <row r="299" spans="1:15" x14ac:dyDescent="0.7">
      <c r="A299" s="5"/>
      <c r="B299" s="5"/>
      <c r="C299" s="5">
        <v>24</v>
      </c>
      <c r="D299" s="6">
        <v>55.048999999999999</v>
      </c>
      <c r="E299" s="3">
        <v>30.9</v>
      </c>
      <c r="F299" s="6">
        <v>55.048999999999999</v>
      </c>
      <c r="G299" s="12">
        <f t="shared" ref="G299" si="511">F299*86400</f>
        <v>4756233.5999999996</v>
      </c>
      <c r="H299" s="14">
        <f t="shared" ref="H299" si="512">G299/1000000</f>
        <v>4.7562335999999998</v>
      </c>
      <c r="I299" s="13">
        <f t="shared" si="428"/>
        <v>214030.51199999999</v>
      </c>
      <c r="J299" s="24">
        <f t="shared" si="429"/>
        <v>0.21403051199999998</v>
      </c>
      <c r="K299" s="13">
        <f t="shared" si="430"/>
        <v>25683.661439999996</v>
      </c>
      <c r="L299" s="13">
        <f t="shared" si="431"/>
        <v>2.5683661439999995E-2</v>
      </c>
      <c r="M299" s="46">
        <f t="shared" si="432"/>
        <v>0.23971417343999998</v>
      </c>
      <c r="N299" s="51">
        <f t="shared" si="433"/>
        <v>0.47562336</v>
      </c>
      <c r="O299" s="49">
        <f t="shared" si="434"/>
        <v>4.0408960665599993</v>
      </c>
    </row>
    <row r="300" spans="1:15" x14ac:dyDescent="0.7">
      <c r="A300" s="5"/>
      <c r="B300" s="5"/>
      <c r="C300" s="2">
        <v>25</v>
      </c>
      <c r="D300" s="6">
        <v>116.374</v>
      </c>
      <c r="E300" s="3">
        <v>1.5</v>
      </c>
      <c r="F300" s="6">
        <v>116.374</v>
      </c>
      <c r="G300" s="12">
        <f t="shared" ref="G300" si="513">F300*86400</f>
        <v>10054713.6</v>
      </c>
      <c r="H300" s="14">
        <f t="shared" ref="H300" si="514">G300/1000000</f>
        <v>10.054713599999999</v>
      </c>
      <c r="I300" s="13">
        <f t="shared" si="428"/>
        <v>452462.11199999996</v>
      </c>
      <c r="J300" s="24">
        <f t="shared" si="429"/>
        <v>0.45246211199999997</v>
      </c>
      <c r="K300" s="13">
        <f t="shared" si="430"/>
        <v>54295.45343999999</v>
      </c>
      <c r="L300" s="13">
        <f t="shared" si="431"/>
        <v>5.4295453439999988E-2</v>
      </c>
      <c r="M300" s="46">
        <f t="shared" si="432"/>
        <v>0.50675756543999995</v>
      </c>
      <c r="N300" s="51">
        <f t="shared" si="433"/>
        <v>1.00547136</v>
      </c>
      <c r="O300" s="49">
        <f t="shared" si="434"/>
        <v>8.5424846745600007</v>
      </c>
    </row>
    <row r="301" spans="1:15" x14ac:dyDescent="0.7">
      <c r="A301" s="5"/>
      <c r="B301" s="5"/>
      <c r="C301" s="5">
        <v>26</v>
      </c>
      <c r="D301" s="6">
        <v>68.75800000000001</v>
      </c>
      <c r="E301" s="3">
        <v>2.9</v>
      </c>
      <c r="F301" s="6">
        <v>68.75800000000001</v>
      </c>
      <c r="G301" s="12">
        <f t="shared" ref="G301" si="515">F301*86400</f>
        <v>5940691.2000000011</v>
      </c>
      <c r="H301" s="14">
        <f t="shared" ref="H301" si="516">G301/1000000</f>
        <v>5.9406912000000007</v>
      </c>
      <c r="I301" s="13">
        <f t="shared" si="428"/>
        <v>267331.10400000005</v>
      </c>
      <c r="J301" s="24">
        <f t="shared" si="429"/>
        <v>0.26733110400000004</v>
      </c>
      <c r="K301" s="13">
        <f t="shared" si="430"/>
        <v>32079.732480000006</v>
      </c>
      <c r="L301" s="13">
        <f t="shared" si="431"/>
        <v>3.2079732480000005E-2</v>
      </c>
      <c r="M301" s="46">
        <f t="shared" si="432"/>
        <v>0.29941083648000005</v>
      </c>
      <c r="N301" s="51">
        <f t="shared" si="433"/>
        <v>0.59406912000000012</v>
      </c>
      <c r="O301" s="49">
        <f t="shared" si="434"/>
        <v>5.0472112435200005</v>
      </c>
    </row>
    <row r="302" spans="1:15" x14ac:dyDescent="0.7">
      <c r="A302" s="5"/>
      <c r="B302" s="5"/>
      <c r="C302" s="5">
        <v>27</v>
      </c>
      <c r="D302" s="6">
        <v>91.979000000000013</v>
      </c>
      <c r="E302" s="3">
        <v>0</v>
      </c>
      <c r="F302" s="6">
        <v>91.979000000000013</v>
      </c>
      <c r="G302" s="12">
        <f t="shared" ref="G302" si="517">F302*86400</f>
        <v>7946985.6000000015</v>
      </c>
      <c r="H302" s="14">
        <f t="shared" ref="H302" si="518">G302/1000000</f>
        <v>7.9469856000000014</v>
      </c>
      <c r="I302" s="13">
        <f t="shared" si="428"/>
        <v>357614.35200000007</v>
      </c>
      <c r="J302" s="24">
        <f t="shared" si="429"/>
        <v>0.35761435200000008</v>
      </c>
      <c r="K302" s="13">
        <f t="shared" si="430"/>
        <v>42913.72224000001</v>
      </c>
      <c r="L302" s="13">
        <f t="shared" si="431"/>
        <v>4.2913722240000007E-2</v>
      </c>
      <c r="M302" s="46">
        <f t="shared" si="432"/>
        <v>0.40052807424000009</v>
      </c>
      <c r="N302" s="51">
        <f t="shared" si="433"/>
        <v>0.79469856000000016</v>
      </c>
      <c r="O302" s="49">
        <f t="shared" si="434"/>
        <v>6.7517589657600006</v>
      </c>
    </row>
    <row r="303" spans="1:15" x14ac:dyDescent="0.7">
      <c r="A303" s="5"/>
      <c r="B303" s="5"/>
      <c r="C303" s="2">
        <v>28</v>
      </c>
      <c r="D303" s="6">
        <v>67.069000000000003</v>
      </c>
      <c r="E303" s="3">
        <v>1.6</v>
      </c>
      <c r="F303" s="6">
        <v>67.069000000000003</v>
      </c>
      <c r="G303" s="12">
        <f t="shared" ref="G303" si="519">F303*86400</f>
        <v>5794761.6000000006</v>
      </c>
      <c r="H303" s="14">
        <f t="shared" ref="H303" si="520">G303/1000000</f>
        <v>5.7947616000000002</v>
      </c>
      <c r="I303" s="13">
        <f t="shared" si="428"/>
        <v>260764.27200000003</v>
      </c>
      <c r="J303" s="24">
        <f t="shared" si="429"/>
        <v>0.26076427200000002</v>
      </c>
      <c r="K303" s="13">
        <f t="shared" si="430"/>
        <v>31291.712640000002</v>
      </c>
      <c r="L303" s="13">
        <f t="shared" si="431"/>
        <v>3.1291712640000004E-2</v>
      </c>
      <c r="M303" s="46">
        <f t="shared" si="432"/>
        <v>0.29205598464000004</v>
      </c>
      <c r="N303" s="51">
        <f t="shared" si="433"/>
        <v>0.57947616000000002</v>
      </c>
      <c r="O303" s="49">
        <f t="shared" si="434"/>
        <v>4.9232294553599996</v>
      </c>
    </row>
    <row r="304" spans="1:15" x14ac:dyDescent="0.7">
      <c r="A304" s="10"/>
      <c r="B304" s="10"/>
      <c r="C304" s="10">
        <v>29</v>
      </c>
      <c r="D304" s="18">
        <v>55.661000000000001</v>
      </c>
      <c r="E304" s="3">
        <v>0</v>
      </c>
      <c r="F304" s="18">
        <v>55.661000000000001</v>
      </c>
      <c r="G304" s="20">
        <f t="shared" ref="G304:G367" si="521">F304*86400</f>
        <v>4809110.4000000004</v>
      </c>
      <c r="H304" s="21">
        <f t="shared" ref="H304:H367" si="522">G304/1000000</f>
        <v>4.8091104000000007</v>
      </c>
      <c r="I304" s="13">
        <f t="shared" si="428"/>
        <v>216409.96800000002</v>
      </c>
      <c r="J304" s="24">
        <f t="shared" si="429"/>
        <v>0.21640996800000004</v>
      </c>
      <c r="K304" s="13">
        <f t="shared" si="430"/>
        <v>25969.196160000003</v>
      </c>
      <c r="L304" s="13">
        <f t="shared" si="431"/>
        <v>2.5969196160000003E-2</v>
      </c>
      <c r="M304" s="46">
        <f t="shared" si="432"/>
        <v>0.24237916416000005</v>
      </c>
      <c r="N304" s="51">
        <f t="shared" si="433"/>
        <v>0.48091104000000007</v>
      </c>
      <c r="O304" s="49">
        <f t="shared" si="434"/>
        <v>4.0858201958400002</v>
      </c>
    </row>
    <row r="305" spans="1:15" s="23" customFormat="1" x14ac:dyDescent="0.7">
      <c r="A305" s="10"/>
      <c r="B305" s="10"/>
      <c r="C305" s="10">
        <v>30</v>
      </c>
      <c r="D305" s="18">
        <v>46.484000000000002</v>
      </c>
      <c r="E305" s="19">
        <v>0</v>
      </c>
      <c r="F305" s="18">
        <v>46.484000000000002</v>
      </c>
      <c r="G305" s="65">
        <f t="shared" si="521"/>
        <v>4016217.6</v>
      </c>
      <c r="H305" s="60">
        <f t="shared" si="522"/>
        <v>4.0162176000000001</v>
      </c>
      <c r="I305" s="60">
        <f t="shared" si="428"/>
        <v>180729.79199999999</v>
      </c>
      <c r="J305" s="61">
        <f t="shared" si="429"/>
        <v>0.180729792</v>
      </c>
      <c r="K305" s="60">
        <f t="shared" si="430"/>
        <v>21687.575039999996</v>
      </c>
      <c r="L305" s="60">
        <f t="shared" si="431"/>
        <v>2.1687575039999997E-2</v>
      </c>
      <c r="M305" s="62">
        <f t="shared" si="432"/>
        <v>0.20241736703999999</v>
      </c>
      <c r="N305" s="63">
        <f t="shared" si="433"/>
        <v>0.40162176000000005</v>
      </c>
      <c r="O305" s="64">
        <f t="shared" si="434"/>
        <v>3.41217847296</v>
      </c>
    </row>
    <row r="306" spans="1:15" s="66" customFormat="1" ht="25.2" thickBot="1" x14ac:dyDescent="0.75">
      <c r="A306" s="8"/>
      <c r="B306" s="8" t="s">
        <v>24</v>
      </c>
      <c r="C306" s="8">
        <v>31</v>
      </c>
      <c r="D306" s="9">
        <v>35.485999999999997</v>
      </c>
      <c r="E306" s="9">
        <v>0</v>
      </c>
      <c r="F306" s="9">
        <v>35.485999999999997</v>
      </c>
      <c r="G306" s="22">
        <f t="shared" si="521"/>
        <v>3065990.4</v>
      </c>
      <c r="H306" s="15">
        <f t="shared" si="522"/>
        <v>3.0659904</v>
      </c>
      <c r="I306" s="15">
        <f t="shared" si="428"/>
        <v>137969.568</v>
      </c>
      <c r="J306" s="25">
        <f t="shared" si="429"/>
        <v>0.13796956799999999</v>
      </c>
      <c r="K306" s="15">
        <f t="shared" si="430"/>
        <v>16556.348159999998</v>
      </c>
      <c r="L306" s="15">
        <f t="shared" si="431"/>
        <v>1.6556348159999998E-2</v>
      </c>
      <c r="M306" s="56">
        <f t="shared" si="432"/>
        <v>0.15452591616</v>
      </c>
      <c r="N306" s="57">
        <f t="shared" si="433"/>
        <v>0.30659904000000004</v>
      </c>
      <c r="O306" s="58">
        <f t="shared" si="434"/>
        <v>2.6048654438400001</v>
      </c>
    </row>
    <row r="307" spans="1:15" x14ac:dyDescent="0.7">
      <c r="A307" s="16"/>
      <c r="B307" s="16" t="s">
        <v>25</v>
      </c>
      <c r="C307" s="16">
        <v>1</v>
      </c>
      <c r="D307" s="17">
        <v>34.911000000000001</v>
      </c>
      <c r="E307" s="3">
        <v>0</v>
      </c>
      <c r="F307" s="17">
        <v>34.911000000000001</v>
      </c>
      <c r="G307" s="12">
        <f t="shared" si="521"/>
        <v>3016310.4</v>
      </c>
      <c r="H307" s="14">
        <f t="shared" si="522"/>
        <v>3.0163104000000001</v>
      </c>
      <c r="I307" s="14">
        <f t="shared" si="428"/>
        <v>135733.96799999999</v>
      </c>
      <c r="J307" s="43">
        <f t="shared" si="429"/>
        <v>0.13573396799999998</v>
      </c>
      <c r="K307" s="14">
        <f t="shared" si="430"/>
        <v>16288.076159999999</v>
      </c>
      <c r="L307" s="14">
        <f t="shared" si="431"/>
        <v>1.6288076159999998E-2</v>
      </c>
      <c r="M307" s="52">
        <f t="shared" si="432"/>
        <v>0.15202204415999998</v>
      </c>
      <c r="N307" s="53">
        <f t="shared" si="433"/>
        <v>0.30163104000000002</v>
      </c>
      <c r="O307" s="54">
        <f t="shared" si="434"/>
        <v>2.5626573158400001</v>
      </c>
    </row>
    <row r="308" spans="1:15" x14ac:dyDescent="0.7">
      <c r="A308" s="5"/>
      <c r="B308" s="5"/>
      <c r="C308" s="5">
        <v>2</v>
      </c>
      <c r="D308" s="6">
        <v>29.194000000000003</v>
      </c>
      <c r="E308" s="3">
        <v>0</v>
      </c>
      <c r="F308" s="6">
        <v>29.194000000000003</v>
      </c>
      <c r="G308" s="12">
        <f t="shared" si="521"/>
        <v>2522361.6</v>
      </c>
      <c r="H308" s="14">
        <f t="shared" si="522"/>
        <v>2.5223616</v>
      </c>
      <c r="I308" s="13">
        <f t="shared" si="428"/>
        <v>113506.272</v>
      </c>
      <c r="J308" s="24">
        <f t="shared" si="429"/>
        <v>0.11350627199999999</v>
      </c>
      <c r="K308" s="13">
        <f t="shared" si="430"/>
        <v>13620.752639999999</v>
      </c>
      <c r="L308" s="13">
        <f t="shared" si="431"/>
        <v>1.3620752639999999E-2</v>
      </c>
      <c r="M308" s="46">
        <f t="shared" si="432"/>
        <v>0.12712702464</v>
      </c>
      <c r="N308" s="51">
        <f t="shared" si="433"/>
        <v>0.25223615999999999</v>
      </c>
      <c r="O308" s="49">
        <f t="shared" si="434"/>
        <v>2.1429984153600001</v>
      </c>
    </row>
    <row r="309" spans="1:15" x14ac:dyDescent="0.7">
      <c r="A309" s="5"/>
      <c r="B309" s="5"/>
      <c r="C309" s="5">
        <v>3</v>
      </c>
      <c r="D309" s="6">
        <v>29.194000000000003</v>
      </c>
      <c r="E309" s="3">
        <v>0</v>
      </c>
      <c r="F309" s="6">
        <v>29.194000000000003</v>
      </c>
      <c r="G309" s="12">
        <f t="shared" si="521"/>
        <v>2522361.6</v>
      </c>
      <c r="H309" s="14">
        <f t="shared" si="522"/>
        <v>2.5223616</v>
      </c>
      <c r="I309" s="13">
        <f t="shared" si="428"/>
        <v>113506.272</v>
      </c>
      <c r="J309" s="24">
        <f t="shared" si="429"/>
        <v>0.11350627199999999</v>
      </c>
      <c r="K309" s="13">
        <f t="shared" si="430"/>
        <v>13620.752639999999</v>
      </c>
      <c r="L309" s="13">
        <f t="shared" si="431"/>
        <v>1.3620752639999999E-2</v>
      </c>
      <c r="M309" s="46">
        <f t="shared" si="432"/>
        <v>0.12712702464</v>
      </c>
      <c r="N309" s="51">
        <f t="shared" si="433"/>
        <v>0.25223615999999999</v>
      </c>
      <c r="O309" s="49">
        <f t="shared" si="434"/>
        <v>2.1429984153600001</v>
      </c>
    </row>
    <row r="310" spans="1:15" x14ac:dyDescent="0.7">
      <c r="A310" s="5"/>
      <c r="B310" s="5"/>
      <c r="C310" s="2">
        <v>4</v>
      </c>
      <c r="D310" s="6">
        <v>26.816000000000003</v>
      </c>
      <c r="E310" s="3">
        <v>0</v>
      </c>
      <c r="F310" s="6">
        <v>26.816000000000003</v>
      </c>
      <c r="G310" s="12">
        <f t="shared" si="521"/>
        <v>2316902.4000000004</v>
      </c>
      <c r="H310" s="14">
        <f t="shared" si="522"/>
        <v>2.3169024000000005</v>
      </c>
      <c r="I310" s="13">
        <f t="shared" si="428"/>
        <v>104260.60800000001</v>
      </c>
      <c r="J310" s="24">
        <f t="shared" si="429"/>
        <v>0.104260608</v>
      </c>
      <c r="K310" s="13">
        <f t="shared" si="430"/>
        <v>12511.27296</v>
      </c>
      <c r="L310" s="13">
        <f t="shared" si="431"/>
        <v>1.251127296E-2</v>
      </c>
      <c r="M310" s="46">
        <f t="shared" si="432"/>
        <v>0.11677188096</v>
      </c>
      <c r="N310" s="51">
        <f t="shared" si="433"/>
        <v>0.23169024000000005</v>
      </c>
      <c r="O310" s="49">
        <f t="shared" si="434"/>
        <v>1.9684402790400004</v>
      </c>
    </row>
    <row r="311" spans="1:15" x14ac:dyDescent="0.7">
      <c r="A311" s="5"/>
      <c r="B311" s="5"/>
      <c r="C311" s="5">
        <v>5</v>
      </c>
      <c r="D311" s="6">
        <v>32.527999999999999</v>
      </c>
      <c r="E311" s="3">
        <v>0</v>
      </c>
      <c r="F311" s="6">
        <v>32.527999999999999</v>
      </c>
      <c r="G311" s="12">
        <f t="shared" si="521"/>
        <v>2810419.1999999997</v>
      </c>
      <c r="H311" s="14">
        <f t="shared" si="522"/>
        <v>2.8104191999999997</v>
      </c>
      <c r="I311" s="13">
        <f t="shared" si="428"/>
        <v>126468.86399999999</v>
      </c>
      <c r="J311" s="24">
        <f t="shared" si="429"/>
        <v>0.12646886399999999</v>
      </c>
      <c r="K311" s="13">
        <f t="shared" si="430"/>
        <v>15176.263679999998</v>
      </c>
      <c r="L311" s="13">
        <f t="shared" si="431"/>
        <v>1.5176263679999998E-2</v>
      </c>
      <c r="M311" s="46">
        <f t="shared" si="432"/>
        <v>0.14164512767999998</v>
      </c>
      <c r="N311" s="51">
        <f t="shared" si="433"/>
        <v>0.28104192</v>
      </c>
      <c r="O311" s="49">
        <f t="shared" si="434"/>
        <v>2.3877321523199999</v>
      </c>
    </row>
    <row r="312" spans="1:15" x14ac:dyDescent="0.7">
      <c r="A312" s="5"/>
      <c r="B312" s="5"/>
      <c r="C312" s="5">
        <v>6</v>
      </c>
      <c r="D312" s="6">
        <v>29.952999999999999</v>
      </c>
      <c r="E312" s="3">
        <v>0</v>
      </c>
      <c r="F312" s="6">
        <v>29.952999999999999</v>
      </c>
      <c r="G312" s="12">
        <f t="shared" si="521"/>
        <v>2587939.1999999997</v>
      </c>
      <c r="H312" s="14">
        <f t="shared" si="522"/>
        <v>2.5879391999999997</v>
      </c>
      <c r="I312" s="13">
        <f t="shared" si="428"/>
        <v>116457.26399999998</v>
      </c>
      <c r="J312" s="24">
        <f t="shared" si="429"/>
        <v>0.11645726399999998</v>
      </c>
      <c r="K312" s="13">
        <f t="shared" si="430"/>
        <v>13974.871679999997</v>
      </c>
      <c r="L312" s="13">
        <f t="shared" si="431"/>
        <v>1.3974871679999997E-2</v>
      </c>
      <c r="M312" s="46">
        <f t="shared" si="432"/>
        <v>0.13043213567999998</v>
      </c>
      <c r="N312" s="51">
        <f t="shared" si="433"/>
        <v>0.25879391999999996</v>
      </c>
      <c r="O312" s="49">
        <f t="shared" si="434"/>
        <v>2.1987131443199996</v>
      </c>
    </row>
    <row r="313" spans="1:15" x14ac:dyDescent="0.7">
      <c r="A313" s="5"/>
      <c r="B313" s="5"/>
      <c r="C313" s="2">
        <v>7</v>
      </c>
      <c r="D313" s="6">
        <v>32.527999999999999</v>
      </c>
      <c r="E313" s="3">
        <v>0</v>
      </c>
      <c r="F313" s="6">
        <v>32.527999999999999</v>
      </c>
      <c r="G313" s="12">
        <f t="shared" si="521"/>
        <v>2810419.1999999997</v>
      </c>
      <c r="H313" s="14">
        <f t="shared" si="522"/>
        <v>2.8104191999999997</v>
      </c>
      <c r="I313" s="13">
        <f t="shared" si="428"/>
        <v>126468.86399999999</v>
      </c>
      <c r="J313" s="24">
        <f t="shared" si="429"/>
        <v>0.12646886399999999</v>
      </c>
      <c r="K313" s="13">
        <f t="shared" si="430"/>
        <v>15176.263679999998</v>
      </c>
      <c r="L313" s="13">
        <f t="shared" si="431"/>
        <v>1.5176263679999998E-2</v>
      </c>
      <c r="M313" s="46">
        <f t="shared" si="432"/>
        <v>0.14164512767999998</v>
      </c>
      <c r="N313" s="51">
        <f t="shared" si="433"/>
        <v>0.28104192</v>
      </c>
      <c r="O313" s="49">
        <f t="shared" si="434"/>
        <v>2.3877321523199999</v>
      </c>
    </row>
    <row r="314" spans="1:15" x14ac:dyDescent="0.7">
      <c r="A314" s="5"/>
      <c r="B314" s="5"/>
      <c r="C314" s="5">
        <v>8</v>
      </c>
      <c r="D314" s="6">
        <v>27.454999999999998</v>
      </c>
      <c r="E314" s="3">
        <v>0</v>
      </c>
      <c r="F314" s="6">
        <v>27.454999999999998</v>
      </c>
      <c r="G314" s="12">
        <f t="shared" si="521"/>
        <v>2372112</v>
      </c>
      <c r="H314" s="14">
        <f t="shared" si="522"/>
        <v>2.372112</v>
      </c>
      <c r="I314" s="13">
        <f t="shared" si="428"/>
        <v>106745.04</v>
      </c>
      <c r="J314" s="24">
        <f t="shared" si="429"/>
        <v>0.10674504</v>
      </c>
      <c r="K314" s="13">
        <f t="shared" si="430"/>
        <v>12809.404799999998</v>
      </c>
      <c r="L314" s="13">
        <f t="shared" si="431"/>
        <v>1.2809404799999998E-2</v>
      </c>
      <c r="M314" s="46">
        <f t="shared" si="432"/>
        <v>0.11955444479999999</v>
      </c>
      <c r="N314" s="51">
        <f t="shared" si="433"/>
        <v>0.23721120000000001</v>
      </c>
      <c r="O314" s="49">
        <f t="shared" si="434"/>
        <v>2.0153463552000002</v>
      </c>
    </row>
    <row r="315" spans="1:15" x14ac:dyDescent="0.7">
      <c r="A315" s="5"/>
      <c r="B315" s="5"/>
      <c r="C315" s="5">
        <v>9</v>
      </c>
      <c r="D315" s="6">
        <v>29.952999999999999</v>
      </c>
      <c r="E315" s="3">
        <v>0</v>
      </c>
      <c r="F315" s="6">
        <v>29.952999999999999</v>
      </c>
      <c r="G315" s="12">
        <f t="shared" si="521"/>
        <v>2587939.1999999997</v>
      </c>
      <c r="H315" s="14">
        <f t="shared" si="522"/>
        <v>2.5879391999999997</v>
      </c>
      <c r="I315" s="13">
        <f t="shared" si="428"/>
        <v>116457.26399999998</v>
      </c>
      <c r="J315" s="24">
        <f t="shared" si="429"/>
        <v>0.11645726399999998</v>
      </c>
      <c r="K315" s="13">
        <f t="shared" si="430"/>
        <v>13974.871679999997</v>
      </c>
      <c r="L315" s="13">
        <f t="shared" si="431"/>
        <v>1.3974871679999997E-2</v>
      </c>
      <c r="M315" s="46">
        <f t="shared" si="432"/>
        <v>0.13043213567999998</v>
      </c>
      <c r="N315" s="51">
        <f t="shared" si="433"/>
        <v>0.25879391999999996</v>
      </c>
      <c r="O315" s="49">
        <f t="shared" si="434"/>
        <v>2.1987131443199996</v>
      </c>
    </row>
    <row r="316" spans="1:15" x14ac:dyDescent="0.7">
      <c r="A316" s="5"/>
      <c r="B316" s="5"/>
      <c r="C316" s="2">
        <v>10</v>
      </c>
      <c r="D316" s="6">
        <v>29.952999999999999</v>
      </c>
      <c r="E316" s="3">
        <v>0</v>
      </c>
      <c r="F316" s="6">
        <v>29.952999999999999</v>
      </c>
      <c r="G316" s="12">
        <f t="shared" si="521"/>
        <v>2587939.1999999997</v>
      </c>
      <c r="H316" s="14">
        <f t="shared" si="522"/>
        <v>2.5879391999999997</v>
      </c>
      <c r="I316" s="13">
        <f t="shared" si="428"/>
        <v>116457.26399999998</v>
      </c>
      <c r="J316" s="24">
        <f t="shared" si="429"/>
        <v>0.11645726399999998</v>
      </c>
      <c r="K316" s="13">
        <f t="shared" si="430"/>
        <v>13974.871679999997</v>
      </c>
      <c r="L316" s="13">
        <f t="shared" si="431"/>
        <v>1.3974871679999997E-2</v>
      </c>
      <c r="M316" s="46">
        <f t="shared" si="432"/>
        <v>0.13043213567999998</v>
      </c>
      <c r="N316" s="51">
        <f t="shared" si="433"/>
        <v>0.25879391999999996</v>
      </c>
      <c r="O316" s="49">
        <f t="shared" si="434"/>
        <v>2.1987131443199996</v>
      </c>
    </row>
    <row r="317" spans="1:15" x14ac:dyDescent="0.7">
      <c r="A317" s="5"/>
      <c r="B317" s="5"/>
      <c r="C317" s="5">
        <v>11</v>
      </c>
      <c r="D317" s="6">
        <v>29.952999999999999</v>
      </c>
      <c r="E317" s="3">
        <v>0</v>
      </c>
      <c r="F317" s="6">
        <v>29.952999999999999</v>
      </c>
      <c r="G317" s="12">
        <f t="shared" si="521"/>
        <v>2587939.1999999997</v>
      </c>
      <c r="H317" s="14">
        <f t="shared" si="522"/>
        <v>2.5879391999999997</v>
      </c>
      <c r="I317" s="13">
        <f t="shared" si="428"/>
        <v>116457.26399999998</v>
      </c>
      <c r="J317" s="24">
        <f t="shared" si="429"/>
        <v>0.11645726399999998</v>
      </c>
      <c r="K317" s="13">
        <f t="shared" si="430"/>
        <v>13974.871679999997</v>
      </c>
      <c r="L317" s="13">
        <f t="shared" si="431"/>
        <v>1.3974871679999997E-2</v>
      </c>
      <c r="M317" s="46">
        <f t="shared" si="432"/>
        <v>0.13043213567999998</v>
      </c>
      <c r="N317" s="51">
        <f t="shared" si="433"/>
        <v>0.25879391999999996</v>
      </c>
      <c r="O317" s="49">
        <f t="shared" si="434"/>
        <v>2.1987131443199996</v>
      </c>
    </row>
    <row r="318" spans="1:15" x14ac:dyDescent="0.7">
      <c r="A318" s="5"/>
      <c r="B318" s="5"/>
      <c r="C318" s="5">
        <v>12</v>
      </c>
      <c r="D318" s="6">
        <v>29.952999999999999</v>
      </c>
      <c r="E318" s="3">
        <v>0</v>
      </c>
      <c r="F318" s="6">
        <v>29.952999999999999</v>
      </c>
      <c r="G318" s="12">
        <f t="shared" si="521"/>
        <v>2587939.1999999997</v>
      </c>
      <c r="H318" s="14">
        <f t="shared" si="522"/>
        <v>2.5879391999999997</v>
      </c>
      <c r="I318" s="13">
        <f t="shared" si="428"/>
        <v>116457.26399999998</v>
      </c>
      <c r="J318" s="24">
        <f t="shared" si="429"/>
        <v>0.11645726399999998</v>
      </c>
      <c r="K318" s="13">
        <f t="shared" si="430"/>
        <v>13974.871679999997</v>
      </c>
      <c r="L318" s="13">
        <f t="shared" si="431"/>
        <v>1.3974871679999997E-2</v>
      </c>
      <c r="M318" s="46">
        <f t="shared" si="432"/>
        <v>0.13043213567999998</v>
      </c>
      <c r="N318" s="51">
        <f t="shared" si="433"/>
        <v>0.25879391999999996</v>
      </c>
      <c r="O318" s="49">
        <f t="shared" si="434"/>
        <v>2.1987131443199996</v>
      </c>
    </row>
    <row r="319" spans="1:15" x14ac:dyDescent="0.7">
      <c r="A319" s="5"/>
      <c r="B319" s="5"/>
      <c r="C319" s="2">
        <v>13</v>
      </c>
      <c r="D319" s="6">
        <v>29.320999999999998</v>
      </c>
      <c r="E319" s="3">
        <v>0</v>
      </c>
      <c r="F319" s="6">
        <v>29.320999999999998</v>
      </c>
      <c r="G319" s="12">
        <f t="shared" si="521"/>
        <v>2533334.4</v>
      </c>
      <c r="H319" s="14">
        <f t="shared" si="522"/>
        <v>2.5333343999999998</v>
      </c>
      <c r="I319" s="13">
        <f t="shared" si="428"/>
        <v>114000.048</v>
      </c>
      <c r="J319" s="24">
        <f t="shared" si="429"/>
        <v>0.11400004799999999</v>
      </c>
      <c r="K319" s="13">
        <f t="shared" si="430"/>
        <v>13680.005759999998</v>
      </c>
      <c r="L319" s="13">
        <f t="shared" si="431"/>
        <v>1.3680005759999999E-2</v>
      </c>
      <c r="M319" s="46">
        <f t="shared" si="432"/>
        <v>0.12768005376</v>
      </c>
      <c r="N319" s="51">
        <f t="shared" si="433"/>
        <v>0.25333343999999997</v>
      </c>
      <c r="O319" s="49">
        <f t="shared" si="434"/>
        <v>2.1523209062399999</v>
      </c>
    </row>
    <row r="320" spans="1:15" x14ac:dyDescent="0.7">
      <c r="A320" s="5"/>
      <c r="B320" s="5"/>
      <c r="C320" s="5">
        <v>14</v>
      </c>
      <c r="D320" s="6">
        <v>28.695</v>
      </c>
      <c r="E320" s="3">
        <v>0</v>
      </c>
      <c r="F320" s="6">
        <v>28.695</v>
      </c>
      <c r="G320" s="12">
        <f t="shared" si="521"/>
        <v>2479248</v>
      </c>
      <c r="H320" s="14">
        <f t="shared" si="522"/>
        <v>2.4792480000000001</v>
      </c>
      <c r="I320" s="13">
        <f t="shared" si="428"/>
        <v>111566.15999999999</v>
      </c>
      <c r="J320" s="24">
        <f t="shared" si="429"/>
        <v>0.11156615999999998</v>
      </c>
      <c r="K320" s="13">
        <f t="shared" si="430"/>
        <v>13387.939199999999</v>
      </c>
      <c r="L320" s="13">
        <f t="shared" si="431"/>
        <v>1.3387939199999999E-2</v>
      </c>
      <c r="M320" s="46">
        <f t="shared" si="432"/>
        <v>0.12495409919999999</v>
      </c>
      <c r="N320" s="51">
        <f t="shared" si="433"/>
        <v>0.24792480000000003</v>
      </c>
      <c r="O320" s="49">
        <f t="shared" si="434"/>
        <v>2.1063691008000003</v>
      </c>
    </row>
    <row r="321" spans="1:15" x14ac:dyDescent="0.7">
      <c r="A321" s="5"/>
      <c r="B321" s="5"/>
      <c r="C321" s="5">
        <v>15</v>
      </c>
      <c r="D321" s="6">
        <v>26.236000000000001</v>
      </c>
      <c r="E321" s="3">
        <v>0</v>
      </c>
      <c r="F321" s="6">
        <v>26.236000000000001</v>
      </c>
      <c r="G321" s="12">
        <f t="shared" si="521"/>
        <v>2266790.4</v>
      </c>
      <c r="H321" s="14">
        <f t="shared" si="522"/>
        <v>2.2667904000000001</v>
      </c>
      <c r="I321" s="13">
        <f t="shared" si="428"/>
        <v>102005.568</v>
      </c>
      <c r="J321" s="24">
        <f t="shared" si="429"/>
        <v>0.102005568</v>
      </c>
      <c r="K321" s="13">
        <f t="shared" si="430"/>
        <v>12240.668159999999</v>
      </c>
      <c r="L321" s="13">
        <f t="shared" si="431"/>
        <v>1.2240668159999999E-2</v>
      </c>
      <c r="M321" s="46">
        <f t="shared" si="432"/>
        <v>0.11424623616</v>
      </c>
      <c r="N321" s="51">
        <f t="shared" si="433"/>
        <v>0.22667904000000003</v>
      </c>
      <c r="O321" s="49">
        <f t="shared" si="434"/>
        <v>1.92586512384</v>
      </c>
    </row>
    <row r="322" spans="1:15" x14ac:dyDescent="0.7">
      <c r="A322" s="5"/>
      <c r="B322" s="5"/>
      <c r="C322" s="2">
        <v>16</v>
      </c>
      <c r="D322" s="6">
        <v>25.036999999999999</v>
      </c>
      <c r="E322" s="3">
        <v>0</v>
      </c>
      <c r="F322" s="6">
        <v>25.036999999999999</v>
      </c>
      <c r="G322" s="12">
        <f t="shared" si="521"/>
        <v>2163196.7999999998</v>
      </c>
      <c r="H322" s="14">
        <f t="shared" si="522"/>
        <v>2.1631967999999997</v>
      </c>
      <c r="I322" s="13">
        <f t="shared" si="428"/>
        <v>97343.855999999985</v>
      </c>
      <c r="J322" s="24">
        <f t="shared" si="429"/>
        <v>9.7343855999999979E-2</v>
      </c>
      <c r="K322" s="13">
        <f t="shared" si="430"/>
        <v>11681.262719999997</v>
      </c>
      <c r="L322" s="13">
        <f t="shared" si="431"/>
        <v>1.1681262719999997E-2</v>
      </c>
      <c r="M322" s="46">
        <f t="shared" si="432"/>
        <v>0.10902511871999998</v>
      </c>
      <c r="N322" s="51">
        <f t="shared" si="433"/>
        <v>0.21631967999999999</v>
      </c>
      <c r="O322" s="49">
        <f t="shared" si="434"/>
        <v>1.8378520012799997</v>
      </c>
    </row>
    <row r="323" spans="1:15" x14ac:dyDescent="0.7">
      <c r="A323" s="5"/>
      <c r="B323" s="5"/>
      <c r="C323" s="5">
        <v>17</v>
      </c>
      <c r="D323" s="6">
        <v>25.036999999999999</v>
      </c>
      <c r="E323" s="3">
        <v>0</v>
      </c>
      <c r="F323" s="6">
        <v>25.036999999999999</v>
      </c>
      <c r="G323" s="12">
        <f t="shared" si="521"/>
        <v>2163196.7999999998</v>
      </c>
      <c r="H323" s="14">
        <f t="shared" si="522"/>
        <v>2.1631967999999997</v>
      </c>
      <c r="I323" s="13">
        <f t="shared" si="428"/>
        <v>97343.855999999985</v>
      </c>
      <c r="J323" s="24">
        <f t="shared" si="429"/>
        <v>9.7343855999999979E-2</v>
      </c>
      <c r="K323" s="13">
        <f t="shared" si="430"/>
        <v>11681.262719999997</v>
      </c>
      <c r="L323" s="13">
        <f t="shared" si="431"/>
        <v>1.1681262719999997E-2</v>
      </c>
      <c r="M323" s="46">
        <f t="shared" si="432"/>
        <v>0.10902511871999998</v>
      </c>
      <c r="N323" s="51">
        <f t="shared" si="433"/>
        <v>0.21631967999999999</v>
      </c>
      <c r="O323" s="49">
        <f t="shared" si="434"/>
        <v>1.8378520012799997</v>
      </c>
    </row>
    <row r="324" spans="1:15" x14ac:dyDescent="0.7">
      <c r="A324" s="5"/>
      <c r="B324" s="5"/>
      <c r="C324" s="5">
        <v>18</v>
      </c>
      <c r="D324" s="6">
        <v>23.858000000000001</v>
      </c>
      <c r="E324" s="3">
        <v>0</v>
      </c>
      <c r="F324" s="6">
        <v>23.858000000000001</v>
      </c>
      <c r="G324" s="12">
        <f t="shared" si="521"/>
        <v>2061331.2</v>
      </c>
      <c r="H324" s="14">
        <f t="shared" si="522"/>
        <v>2.0613312000000001</v>
      </c>
      <c r="I324" s="13">
        <f t="shared" ref="I324:I367" si="523">H324*1000000*0.045</f>
        <v>92759.90400000001</v>
      </c>
      <c r="J324" s="24">
        <f t="shared" ref="J324:J367" si="524">I324/1000000</f>
        <v>9.2759904000000004E-2</v>
      </c>
      <c r="K324" s="13">
        <f t="shared" ref="K324:K367" si="525">I324*0.12</f>
        <v>11131.188480000001</v>
      </c>
      <c r="L324" s="13">
        <f t="shared" ref="L324:L367" si="526">K324/1000000</f>
        <v>1.113118848E-2</v>
      </c>
      <c r="M324" s="46">
        <f t="shared" ref="M324:M367" si="527">J324+L324</f>
        <v>0.10389109248</v>
      </c>
      <c r="N324" s="51">
        <f t="shared" ref="N324:N367" si="528">H324*0.1</f>
        <v>0.20613312000000003</v>
      </c>
      <c r="O324" s="49">
        <f t="shared" ref="O324:O367" si="529">H324-M324-N324</f>
        <v>1.75130698752</v>
      </c>
    </row>
    <row r="325" spans="1:15" x14ac:dyDescent="0.7">
      <c r="A325" s="5"/>
      <c r="B325" s="5"/>
      <c r="C325" s="2">
        <v>19</v>
      </c>
      <c r="D325" s="6">
        <v>22.7</v>
      </c>
      <c r="E325" s="3">
        <v>0</v>
      </c>
      <c r="F325" s="6">
        <v>22.7</v>
      </c>
      <c r="G325" s="12">
        <f t="shared" si="521"/>
        <v>1961280</v>
      </c>
      <c r="H325" s="14">
        <f t="shared" si="522"/>
        <v>1.9612799999999999</v>
      </c>
      <c r="I325" s="13">
        <f t="shared" si="523"/>
        <v>88257.599999999991</v>
      </c>
      <c r="J325" s="24">
        <f t="shared" si="524"/>
        <v>8.8257599999999992E-2</v>
      </c>
      <c r="K325" s="13">
        <f t="shared" si="525"/>
        <v>10590.911999999998</v>
      </c>
      <c r="L325" s="13">
        <f t="shared" si="526"/>
        <v>1.0590911999999999E-2</v>
      </c>
      <c r="M325" s="46">
        <f t="shared" si="527"/>
        <v>9.8848511999999986E-2</v>
      </c>
      <c r="N325" s="51">
        <f t="shared" si="528"/>
        <v>0.196128</v>
      </c>
      <c r="O325" s="49">
        <f t="shared" si="529"/>
        <v>1.6663034879999998</v>
      </c>
    </row>
    <row r="326" spans="1:15" x14ac:dyDescent="0.7">
      <c r="A326" s="5"/>
      <c r="B326" s="5"/>
      <c r="C326" s="5">
        <v>20</v>
      </c>
      <c r="D326" s="6">
        <v>21.562999999999999</v>
      </c>
      <c r="E326" s="3">
        <v>0</v>
      </c>
      <c r="F326" s="6">
        <v>21.562999999999999</v>
      </c>
      <c r="G326" s="12">
        <f t="shared" si="521"/>
        <v>1863043.2</v>
      </c>
      <c r="H326" s="14">
        <f t="shared" si="522"/>
        <v>1.8630431999999999</v>
      </c>
      <c r="I326" s="13">
        <f t="shared" si="523"/>
        <v>83836.943999999989</v>
      </c>
      <c r="J326" s="24">
        <f t="shared" si="524"/>
        <v>8.3836943999999983E-2</v>
      </c>
      <c r="K326" s="13">
        <f t="shared" si="525"/>
        <v>10060.433279999997</v>
      </c>
      <c r="L326" s="13">
        <f t="shared" si="526"/>
        <v>1.0060433279999998E-2</v>
      </c>
      <c r="M326" s="46">
        <f t="shared" si="527"/>
        <v>9.3897377279999986E-2</v>
      </c>
      <c r="N326" s="51">
        <f t="shared" si="528"/>
        <v>0.18630432</v>
      </c>
      <c r="O326" s="49">
        <f t="shared" si="529"/>
        <v>1.5828415027199998</v>
      </c>
    </row>
    <row r="327" spans="1:15" x14ac:dyDescent="0.7">
      <c r="A327" s="5"/>
      <c r="B327" s="5"/>
      <c r="C327" s="5">
        <v>21</v>
      </c>
      <c r="D327" s="6">
        <v>21.562999999999999</v>
      </c>
      <c r="E327" s="3">
        <v>0</v>
      </c>
      <c r="F327" s="6">
        <v>21.562999999999999</v>
      </c>
      <c r="G327" s="12">
        <f t="shared" si="521"/>
        <v>1863043.2</v>
      </c>
      <c r="H327" s="14">
        <f t="shared" si="522"/>
        <v>1.8630431999999999</v>
      </c>
      <c r="I327" s="13">
        <f t="shared" si="523"/>
        <v>83836.943999999989</v>
      </c>
      <c r="J327" s="24">
        <f t="shared" si="524"/>
        <v>8.3836943999999983E-2</v>
      </c>
      <c r="K327" s="13">
        <f t="shared" si="525"/>
        <v>10060.433279999997</v>
      </c>
      <c r="L327" s="13">
        <f t="shared" si="526"/>
        <v>1.0060433279999998E-2</v>
      </c>
      <c r="M327" s="46">
        <f t="shared" si="527"/>
        <v>9.3897377279999986E-2</v>
      </c>
      <c r="N327" s="51">
        <f t="shared" si="528"/>
        <v>0.18630432</v>
      </c>
      <c r="O327" s="49">
        <f t="shared" si="529"/>
        <v>1.5828415027199998</v>
      </c>
    </row>
    <row r="328" spans="1:15" x14ac:dyDescent="0.7">
      <c r="A328" s="5"/>
      <c r="B328" s="5"/>
      <c r="C328" s="2">
        <v>22</v>
      </c>
      <c r="D328" s="6">
        <v>21.562999999999999</v>
      </c>
      <c r="E328" s="3">
        <v>0</v>
      </c>
      <c r="F328" s="6">
        <v>21.562999999999999</v>
      </c>
      <c r="G328" s="12">
        <f t="shared" si="521"/>
        <v>1863043.2</v>
      </c>
      <c r="H328" s="14">
        <f t="shared" si="522"/>
        <v>1.8630431999999999</v>
      </c>
      <c r="I328" s="13">
        <f t="shared" si="523"/>
        <v>83836.943999999989</v>
      </c>
      <c r="J328" s="24">
        <f t="shared" si="524"/>
        <v>8.3836943999999983E-2</v>
      </c>
      <c r="K328" s="13">
        <f t="shared" si="525"/>
        <v>10060.433279999997</v>
      </c>
      <c r="L328" s="13">
        <f t="shared" si="526"/>
        <v>1.0060433279999998E-2</v>
      </c>
      <c r="M328" s="46">
        <f t="shared" si="527"/>
        <v>9.3897377279999986E-2</v>
      </c>
      <c r="N328" s="51">
        <f t="shared" si="528"/>
        <v>0.18630432</v>
      </c>
      <c r="O328" s="49">
        <f t="shared" si="529"/>
        <v>1.5828415027199998</v>
      </c>
    </row>
    <row r="329" spans="1:15" x14ac:dyDescent="0.7">
      <c r="A329" s="5"/>
      <c r="B329" s="5"/>
      <c r="C329" s="5">
        <v>23</v>
      </c>
      <c r="D329" s="6">
        <v>21.725999999999999</v>
      </c>
      <c r="E329" s="3">
        <v>0</v>
      </c>
      <c r="F329" s="6">
        <v>21.725999999999999</v>
      </c>
      <c r="G329" s="12">
        <f t="shared" si="521"/>
        <v>1877126.4</v>
      </c>
      <c r="H329" s="14">
        <f t="shared" si="522"/>
        <v>1.8771263999999999</v>
      </c>
      <c r="I329" s="13">
        <f t="shared" si="523"/>
        <v>84470.687999999995</v>
      </c>
      <c r="J329" s="24">
        <f t="shared" si="524"/>
        <v>8.4470687999999988E-2</v>
      </c>
      <c r="K329" s="13">
        <f t="shared" si="525"/>
        <v>10136.482559999999</v>
      </c>
      <c r="L329" s="13">
        <f t="shared" si="526"/>
        <v>1.0136482559999998E-2</v>
      </c>
      <c r="M329" s="46">
        <f t="shared" si="527"/>
        <v>9.4607170559999981E-2</v>
      </c>
      <c r="N329" s="51">
        <f t="shared" si="528"/>
        <v>0.18771263999999999</v>
      </c>
      <c r="O329" s="49">
        <f t="shared" si="529"/>
        <v>1.5948065894399999</v>
      </c>
    </row>
    <row r="330" spans="1:15" x14ac:dyDescent="0.7">
      <c r="A330" s="5"/>
      <c r="B330" s="5"/>
      <c r="C330" s="5">
        <v>24</v>
      </c>
      <c r="D330" s="6">
        <v>21.725999999999999</v>
      </c>
      <c r="E330" s="3">
        <v>1.3</v>
      </c>
      <c r="F330" s="6">
        <v>21.725999999999999</v>
      </c>
      <c r="G330" s="12">
        <f t="shared" si="521"/>
        <v>1877126.4</v>
      </c>
      <c r="H330" s="14">
        <f t="shared" si="522"/>
        <v>1.8771263999999999</v>
      </c>
      <c r="I330" s="13">
        <f t="shared" si="523"/>
        <v>84470.687999999995</v>
      </c>
      <c r="J330" s="24">
        <f t="shared" si="524"/>
        <v>8.4470687999999988E-2</v>
      </c>
      <c r="K330" s="13">
        <f t="shared" si="525"/>
        <v>10136.482559999999</v>
      </c>
      <c r="L330" s="13">
        <f t="shared" si="526"/>
        <v>1.0136482559999998E-2</v>
      </c>
      <c r="M330" s="46">
        <f t="shared" si="527"/>
        <v>9.4607170559999981E-2</v>
      </c>
      <c r="N330" s="51">
        <f t="shared" si="528"/>
        <v>0.18771263999999999</v>
      </c>
      <c r="O330" s="49">
        <f t="shared" si="529"/>
        <v>1.5948065894399999</v>
      </c>
    </row>
    <row r="331" spans="1:15" x14ac:dyDescent="0.7">
      <c r="A331" s="5"/>
      <c r="B331" s="5"/>
      <c r="C331" s="2">
        <v>25</v>
      </c>
      <c r="D331" s="6">
        <v>21.725999999999999</v>
      </c>
      <c r="E331" s="3">
        <v>0</v>
      </c>
      <c r="F331" s="6">
        <v>21.725999999999999</v>
      </c>
      <c r="G331" s="12">
        <f t="shared" si="521"/>
        <v>1877126.4</v>
      </c>
      <c r="H331" s="14">
        <f t="shared" si="522"/>
        <v>1.8771263999999999</v>
      </c>
      <c r="I331" s="13">
        <f t="shared" si="523"/>
        <v>84470.687999999995</v>
      </c>
      <c r="J331" s="24">
        <f t="shared" si="524"/>
        <v>8.4470687999999988E-2</v>
      </c>
      <c r="K331" s="13">
        <f t="shared" si="525"/>
        <v>10136.482559999999</v>
      </c>
      <c r="L331" s="13">
        <f t="shared" si="526"/>
        <v>1.0136482559999998E-2</v>
      </c>
      <c r="M331" s="46">
        <f t="shared" si="527"/>
        <v>9.4607170559999981E-2</v>
      </c>
      <c r="N331" s="51">
        <f t="shared" si="528"/>
        <v>0.18771263999999999</v>
      </c>
      <c r="O331" s="49">
        <f t="shared" si="529"/>
        <v>1.5948065894399999</v>
      </c>
    </row>
    <row r="332" spans="1:15" x14ac:dyDescent="0.7">
      <c r="A332" s="5"/>
      <c r="B332" s="5"/>
      <c r="C332" s="5">
        <v>26</v>
      </c>
      <c r="D332" s="6">
        <v>22.251000000000001</v>
      </c>
      <c r="E332" s="3">
        <v>0</v>
      </c>
      <c r="F332" s="6">
        <v>22.251000000000001</v>
      </c>
      <c r="G332" s="12">
        <f t="shared" si="521"/>
        <v>1922486.4000000001</v>
      </c>
      <c r="H332" s="14">
        <f t="shared" si="522"/>
        <v>1.9224864000000002</v>
      </c>
      <c r="I332" s="13">
        <f t="shared" si="523"/>
        <v>86511.888000000006</v>
      </c>
      <c r="J332" s="24">
        <f t="shared" si="524"/>
        <v>8.6511888000000009E-2</v>
      </c>
      <c r="K332" s="13">
        <f t="shared" si="525"/>
        <v>10381.42656</v>
      </c>
      <c r="L332" s="13">
        <f t="shared" si="526"/>
        <v>1.038142656E-2</v>
      </c>
      <c r="M332" s="46">
        <f t="shared" si="527"/>
        <v>9.6893314560000013E-2</v>
      </c>
      <c r="N332" s="51">
        <f t="shared" si="528"/>
        <v>0.19224864000000003</v>
      </c>
      <c r="O332" s="49">
        <f t="shared" si="529"/>
        <v>1.6333444454400001</v>
      </c>
    </row>
    <row r="333" spans="1:15" x14ac:dyDescent="0.7">
      <c r="A333" s="5"/>
      <c r="B333" s="5"/>
      <c r="C333" s="5">
        <v>27</v>
      </c>
      <c r="D333" s="6">
        <v>23.179000000000002</v>
      </c>
      <c r="E333" s="3">
        <v>0</v>
      </c>
      <c r="F333" s="6">
        <v>23.179000000000002</v>
      </c>
      <c r="G333" s="12">
        <f t="shared" si="521"/>
        <v>2002665.6</v>
      </c>
      <c r="H333" s="14">
        <f t="shared" si="522"/>
        <v>2.0026656000000003</v>
      </c>
      <c r="I333" s="13">
        <f t="shared" si="523"/>
        <v>90119.952000000005</v>
      </c>
      <c r="J333" s="24">
        <f t="shared" si="524"/>
        <v>9.0119952000000003E-2</v>
      </c>
      <c r="K333" s="13">
        <f t="shared" si="525"/>
        <v>10814.39424</v>
      </c>
      <c r="L333" s="13">
        <f t="shared" si="526"/>
        <v>1.0814394239999999E-2</v>
      </c>
      <c r="M333" s="46">
        <f t="shared" si="527"/>
        <v>0.10093434624</v>
      </c>
      <c r="N333" s="51">
        <f t="shared" si="528"/>
        <v>0.20026656000000004</v>
      </c>
      <c r="O333" s="49">
        <f t="shared" si="529"/>
        <v>1.7014646937600002</v>
      </c>
    </row>
    <row r="334" spans="1:15" x14ac:dyDescent="0.7">
      <c r="A334" s="10"/>
      <c r="B334" s="10"/>
      <c r="C334" s="27">
        <v>28</v>
      </c>
      <c r="D334" s="18">
        <v>22.771000000000001</v>
      </c>
      <c r="E334" s="3">
        <v>0</v>
      </c>
      <c r="F334" s="18">
        <v>22.771000000000001</v>
      </c>
      <c r="G334" s="20">
        <f t="shared" si="521"/>
        <v>1967414.4000000001</v>
      </c>
      <c r="H334" s="21">
        <f t="shared" si="522"/>
        <v>1.9674144000000002</v>
      </c>
      <c r="I334" s="13">
        <f t="shared" si="523"/>
        <v>88533.648000000001</v>
      </c>
      <c r="J334" s="24">
        <f t="shared" si="524"/>
        <v>8.8533648000000006E-2</v>
      </c>
      <c r="K334" s="13">
        <f t="shared" si="525"/>
        <v>10624.037759999999</v>
      </c>
      <c r="L334" s="13">
        <f t="shared" si="526"/>
        <v>1.062403776E-2</v>
      </c>
      <c r="M334" s="46">
        <f t="shared" si="527"/>
        <v>9.9157685760000003E-2</v>
      </c>
      <c r="N334" s="51">
        <f t="shared" si="528"/>
        <v>0.19674144000000005</v>
      </c>
      <c r="O334" s="49">
        <f t="shared" si="529"/>
        <v>1.6715152742400001</v>
      </c>
    </row>
    <row r="335" spans="1:15" s="23" customFormat="1" x14ac:dyDescent="0.7">
      <c r="A335" s="10"/>
      <c r="B335" s="10"/>
      <c r="C335" s="10">
        <v>29</v>
      </c>
      <c r="D335" s="18">
        <v>19.302</v>
      </c>
      <c r="E335" s="19">
        <v>0</v>
      </c>
      <c r="F335" s="18">
        <v>19.302</v>
      </c>
      <c r="G335" s="65">
        <f t="shared" si="521"/>
        <v>1667692.8</v>
      </c>
      <c r="H335" s="60">
        <f t="shared" si="522"/>
        <v>1.6676928</v>
      </c>
      <c r="I335" s="60">
        <f t="shared" si="523"/>
        <v>75046.175999999992</v>
      </c>
      <c r="J335" s="61">
        <f t="shared" si="524"/>
        <v>7.5046175999999992E-2</v>
      </c>
      <c r="K335" s="60">
        <f t="shared" si="525"/>
        <v>9005.541119999998</v>
      </c>
      <c r="L335" s="60">
        <f t="shared" si="526"/>
        <v>9.0055411199999984E-3</v>
      </c>
      <c r="M335" s="62">
        <f t="shared" si="527"/>
        <v>8.4051717119999994E-2</v>
      </c>
      <c r="N335" s="63">
        <f t="shared" si="528"/>
        <v>0.16676928000000002</v>
      </c>
      <c r="O335" s="64">
        <f t="shared" si="529"/>
        <v>1.41687180288</v>
      </c>
    </row>
    <row r="336" spans="1:15" s="59" customFormat="1" ht="25.2" thickBot="1" x14ac:dyDescent="0.75">
      <c r="A336" s="8"/>
      <c r="B336" s="8" t="s">
        <v>25</v>
      </c>
      <c r="C336" s="8">
        <v>30</v>
      </c>
      <c r="D336" s="9">
        <v>19.018000000000001</v>
      </c>
      <c r="E336" s="9">
        <v>0</v>
      </c>
      <c r="F336" s="9">
        <v>19.018000000000001</v>
      </c>
      <c r="G336" s="22">
        <f t="shared" si="521"/>
        <v>1643155.2</v>
      </c>
      <c r="H336" s="15">
        <f t="shared" si="522"/>
        <v>1.6431552</v>
      </c>
      <c r="I336" s="15">
        <f t="shared" si="523"/>
        <v>73941.983999999997</v>
      </c>
      <c r="J336" s="25">
        <f t="shared" si="524"/>
        <v>7.3941984000000002E-2</v>
      </c>
      <c r="K336" s="15">
        <f t="shared" si="525"/>
        <v>8873.0380799999984</v>
      </c>
      <c r="L336" s="15">
        <f t="shared" si="526"/>
        <v>8.8730380799999977E-3</v>
      </c>
      <c r="M336" s="56">
        <f t="shared" si="527"/>
        <v>8.2815022079999995E-2</v>
      </c>
      <c r="N336" s="57">
        <f t="shared" si="528"/>
        <v>0.16431552000000002</v>
      </c>
      <c r="O336" s="58">
        <f t="shared" si="529"/>
        <v>1.3960246579200002</v>
      </c>
    </row>
    <row r="337" spans="1:15" x14ac:dyDescent="0.7">
      <c r="A337" s="4"/>
      <c r="B337" s="2" t="s">
        <v>26</v>
      </c>
      <c r="C337" s="2">
        <v>1</v>
      </c>
      <c r="D337" s="3">
        <v>18.73</v>
      </c>
      <c r="E337" s="3">
        <v>0</v>
      </c>
      <c r="F337" s="3">
        <v>18.73</v>
      </c>
      <c r="G337" s="12">
        <f t="shared" si="521"/>
        <v>1618272</v>
      </c>
      <c r="H337" s="14">
        <f t="shared" si="522"/>
        <v>1.6182719999999999</v>
      </c>
      <c r="I337" s="14">
        <f t="shared" si="523"/>
        <v>72822.239999999991</v>
      </c>
      <c r="J337" s="43">
        <f t="shared" si="524"/>
        <v>7.2822239999999996E-2</v>
      </c>
      <c r="K337" s="14">
        <f t="shared" si="525"/>
        <v>8738.6687999999995</v>
      </c>
      <c r="L337" s="14">
        <f t="shared" si="526"/>
        <v>8.7386688000000001E-3</v>
      </c>
      <c r="M337" s="52">
        <f t="shared" si="527"/>
        <v>8.1560908799999998E-2</v>
      </c>
      <c r="N337" s="53">
        <f t="shared" si="528"/>
        <v>0.1618272</v>
      </c>
      <c r="O337" s="54">
        <f t="shared" si="529"/>
        <v>1.3748838911999999</v>
      </c>
    </row>
    <row r="338" spans="1:15" x14ac:dyDescent="0.7">
      <c r="A338" s="7"/>
      <c r="B338" s="5"/>
      <c r="C338" s="5">
        <v>2</v>
      </c>
      <c r="D338" s="6">
        <v>18.792000000000002</v>
      </c>
      <c r="E338" s="3">
        <v>0</v>
      </c>
      <c r="F338" s="6">
        <v>18.792000000000002</v>
      </c>
      <c r="G338" s="12">
        <f t="shared" si="521"/>
        <v>1623628.8</v>
      </c>
      <c r="H338" s="14">
        <f t="shared" si="522"/>
        <v>1.6236288000000001</v>
      </c>
      <c r="I338" s="13">
        <f t="shared" si="523"/>
        <v>73063.296000000002</v>
      </c>
      <c r="J338" s="24">
        <f t="shared" si="524"/>
        <v>7.3063296E-2</v>
      </c>
      <c r="K338" s="13">
        <f t="shared" si="525"/>
        <v>8767.5955200000008</v>
      </c>
      <c r="L338" s="13">
        <f t="shared" si="526"/>
        <v>8.7675955200000009E-3</v>
      </c>
      <c r="M338" s="46">
        <f t="shared" si="527"/>
        <v>8.1830891520000004E-2</v>
      </c>
      <c r="N338" s="51">
        <f t="shared" si="528"/>
        <v>0.16236288000000001</v>
      </c>
      <c r="O338" s="49">
        <f t="shared" si="529"/>
        <v>1.3794350284799999</v>
      </c>
    </row>
    <row r="339" spans="1:15" x14ac:dyDescent="0.7">
      <c r="A339" s="7"/>
      <c r="B339" s="5"/>
      <c r="C339" s="5">
        <v>3</v>
      </c>
      <c r="D339" s="6">
        <v>16.108000000000001</v>
      </c>
      <c r="E339" s="3">
        <v>0</v>
      </c>
      <c r="F339" s="6">
        <v>16.108000000000001</v>
      </c>
      <c r="G339" s="12">
        <f t="shared" si="521"/>
        <v>1391731.2</v>
      </c>
      <c r="H339" s="14">
        <f t="shared" si="522"/>
        <v>1.3917311999999999</v>
      </c>
      <c r="I339" s="13">
        <f t="shared" si="523"/>
        <v>62627.903999999995</v>
      </c>
      <c r="J339" s="24">
        <f t="shared" si="524"/>
        <v>6.2627903999999998E-2</v>
      </c>
      <c r="K339" s="13">
        <f t="shared" si="525"/>
        <v>7515.3484799999987</v>
      </c>
      <c r="L339" s="13">
        <f t="shared" si="526"/>
        <v>7.5153484799999988E-3</v>
      </c>
      <c r="M339" s="46">
        <f t="shared" si="527"/>
        <v>7.0143252480000001E-2</v>
      </c>
      <c r="N339" s="51">
        <f t="shared" si="528"/>
        <v>0.13917312000000001</v>
      </c>
      <c r="O339" s="49">
        <f t="shared" si="529"/>
        <v>1.1824148275199999</v>
      </c>
    </row>
    <row r="340" spans="1:15" x14ac:dyDescent="0.7">
      <c r="A340" s="7"/>
      <c r="B340" s="5"/>
      <c r="C340" s="5">
        <v>4</v>
      </c>
      <c r="D340" s="6">
        <v>13.731</v>
      </c>
      <c r="E340" s="3">
        <v>0</v>
      </c>
      <c r="F340" s="6">
        <v>13.731</v>
      </c>
      <c r="G340" s="12">
        <f t="shared" si="521"/>
        <v>1186358.3999999999</v>
      </c>
      <c r="H340" s="14">
        <f t="shared" si="522"/>
        <v>1.1863583999999998</v>
      </c>
      <c r="I340" s="13">
        <f t="shared" si="523"/>
        <v>53386.127999999997</v>
      </c>
      <c r="J340" s="24">
        <f t="shared" si="524"/>
        <v>5.3386127999999998E-2</v>
      </c>
      <c r="K340" s="13">
        <f t="shared" si="525"/>
        <v>6406.3353599999991</v>
      </c>
      <c r="L340" s="13">
        <f t="shared" si="526"/>
        <v>6.4063353599999994E-3</v>
      </c>
      <c r="M340" s="46">
        <f t="shared" si="527"/>
        <v>5.9792463359999999E-2</v>
      </c>
      <c r="N340" s="51">
        <f t="shared" si="528"/>
        <v>0.11863583999999999</v>
      </c>
      <c r="O340" s="49">
        <f t="shared" si="529"/>
        <v>1.0079300966399998</v>
      </c>
    </row>
    <row r="341" spans="1:15" x14ac:dyDescent="0.7">
      <c r="A341" s="7"/>
      <c r="B341" s="5"/>
      <c r="C341" s="5">
        <v>5</v>
      </c>
      <c r="D341" s="6">
        <v>12.89</v>
      </c>
      <c r="E341" s="3">
        <v>0</v>
      </c>
      <c r="F341" s="6">
        <v>12.89</v>
      </c>
      <c r="G341" s="12">
        <f t="shared" si="521"/>
        <v>1113696</v>
      </c>
      <c r="H341" s="14">
        <f t="shared" si="522"/>
        <v>1.113696</v>
      </c>
      <c r="I341" s="13">
        <f t="shared" si="523"/>
        <v>50116.32</v>
      </c>
      <c r="J341" s="24">
        <f t="shared" si="524"/>
        <v>5.0116319999999999E-2</v>
      </c>
      <c r="K341" s="13">
        <f t="shared" si="525"/>
        <v>6013.9583999999995</v>
      </c>
      <c r="L341" s="13">
        <f t="shared" si="526"/>
        <v>6.0139583999999999E-3</v>
      </c>
      <c r="M341" s="46">
        <f t="shared" si="527"/>
        <v>5.6130278399999997E-2</v>
      </c>
      <c r="N341" s="51">
        <f t="shared" si="528"/>
        <v>0.11136960000000001</v>
      </c>
      <c r="O341" s="49">
        <f t="shared" si="529"/>
        <v>0.94619612160000011</v>
      </c>
    </row>
    <row r="342" spans="1:15" x14ac:dyDescent="0.7">
      <c r="A342" s="7"/>
      <c r="B342" s="5"/>
      <c r="C342" s="5">
        <v>6</v>
      </c>
      <c r="D342" s="6">
        <v>12.079000000000001</v>
      </c>
      <c r="E342" s="3">
        <v>0</v>
      </c>
      <c r="F342" s="6">
        <v>12.079000000000001</v>
      </c>
      <c r="G342" s="12">
        <f t="shared" si="521"/>
        <v>1043625.6000000001</v>
      </c>
      <c r="H342" s="14">
        <f t="shared" si="522"/>
        <v>1.0436256000000002</v>
      </c>
      <c r="I342" s="13">
        <f t="shared" si="523"/>
        <v>46963.152000000009</v>
      </c>
      <c r="J342" s="24">
        <f t="shared" si="524"/>
        <v>4.6963152000000008E-2</v>
      </c>
      <c r="K342" s="13">
        <f t="shared" si="525"/>
        <v>5635.5782400000007</v>
      </c>
      <c r="L342" s="13">
        <f t="shared" si="526"/>
        <v>5.6355782400000004E-3</v>
      </c>
      <c r="M342" s="46">
        <f t="shared" si="527"/>
        <v>5.2598730240000009E-2</v>
      </c>
      <c r="N342" s="51">
        <f t="shared" si="528"/>
        <v>0.10436256000000002</v>
      </c>
      <c r="O342" s="49">
        <f t="shared" si="529"/>
        <v>0.8866643097600001</v>
      </c>
    </row>
    <row r="343" spans="1:15" x14ac:dyDescent="0.7">
      <c r="A343" s="7"/>
      <c r="B343" s="5"/>
      <c r="C343" s="5">
        <v>7</v>
      </c>
      <c r="D343" s="6">
        <v>12.079000000000001</v>
      </c>
      <c r="E343" s="3">
        <v>0</v>
      </c>
      <c r="F343" s="6">
        <v>12.079000000000001</v>
      </c>
      <c r="G343" s="12">
        <f t="shared" si="521"/>
        <v>1043625.6000000001</v>
      </c>
      <c r="H343" s="14">
        <f t="shared" si="522"/>
        <v>1.0436256000000002</v>
      </c>
      <c r="I343" s="13">
        <f t="shared" si="523"/>
        <v>46963.152000000009</v>
      </c>
      <c r="J343" s="24">
        <f t="shared" si="524"/>
        <v>4.6963152000000008E-2</v>
      </c>
      <c r="K343" s="13">
        <f t="shared" si="525"/>
        <v>5635.5782400000007</v>
      </c>
      <c r="L343" s="13">
        <f t="shared" si="526"/>
        <v>5.6355782400000004E-3</v>
      </c>
      <c r="M343" s="46">
        <f t="shared" si="527"/>
        <v>5.2598730240000009E-2</v>
      </c>
      <c r="N343" s="51">
        <f t="shared" si="528"/>
        <v>0.10436256000000002</v>
      </c>
      <c r="O343" s="49">
        <f t="shared" si="529"/>
        <v>0.8866643097600001</v>
      </c>
    </row>
    <row r="344" spans="1:15" x14ac:dyDescent="0.7">
      <c r="A344" s="7"/>
      <c r="B344" s="5"/>
      <c r="C344" s="5">
        <v>8</v>
      </c>
      <c r="D344" s="6">
        <v>12.079000000000001</v>
      </c>
      <c r="E344" s="3">
        <v>0</v>
      </c>
      <c r="F344" s="6">
        <v>12.079000000000001</v>
      </c>
      <c r="G344" s="12">
        <f t="shared" si="521"/>
        <v>1043625.6000000001</v>
      </c>
      <c r="H344" s="14">
        <f t="shared" si="522"/>
        <v>1.0436256000000002</v>
      </c>
      <c r="I344" s="13">
        <f t="shared" si="523"/>
        <v>46963.152000000009</v>
      </c>
      <c r="J344" s="24">
        <f t="shared" si="524"/>
        <v>4.6963152000000008E-2</v>
      </c>
      <c r="K344" s="13">
        <f t="shared" si="525"/>
        <v>5635.5782400000007</v>
      </c>
      <c r="L344" s="13">
        <f t="shared" si="526"/>
        <v>5.6355782400000004E-3</v>
      </c>
      <c r="M344" s="46">
        <f t="shared" si="527"/>
        <v>5.2598730240000009E-2</v>
      </c>
      <c r="N344" s="51">
        <f t="shared" si="528"/>
        <v>0.10436256000000002</v>
      </c>
      <c r="O344" s="49">
        <f t="shared" si="529"/>
        <v>0.8866643097600001</v>
      </c>
    </row>
    <row r="345" spans="1:15" x14ac:dyDescent="0.7">
      <c r="A345" s="7"/>
      <c r="B345" s="5"/>
      <c r="C345" s="5">
        <v>9</v>
      </c>
      <c r="D345" s="6">
        <v>12.079000000000001</v>
      </c>
      <c r="E345" s="3">
        <v>0</v>
      </c>
      <c r="F345" s="6">
        <v>12.079000000000001</v>
      </c>
      <c r="G345" s="12">
        <f t="shared" si="521"/>
        <v>1043625.6000000001</v>
      </c>
      <c r="H345" s="14">
        <f t="shared" si="522"/>
        <v>1.0436256000000002</v>
      </c>
      <c r="I345" s="13">
        <f t="shared" si="523"/>
        <v>46963.152000000009</v>
      </c>
      <c r="J345" s="24">
        <f t="shared" si="524"/>
        <v>4.6963152000000008E-2</v>
      </c>
      <c r="K345" s="13">
        <f t="shared" si="525"/>
        <v>5635.5782400000007</v>
      </c>
      <c r="L345" s="13">
        <f t="shared" si="526"/>
        <v>5.6355782400000004E-3</v>
      </c>
      <c r="M345" s="46">
        <f t="shared" si="527"/>
        <v>5.2598730240000009E-2</v>
      </c>
      <c r="N345" s="51">
        <f t="shared" si="528"/>
        <v>0.10436256000000002</v>
      </c>
      <c r="O345" s="49">
        <f t="shared" si="529"/>
        <v>0.8866643097600001</v>
      </c>
    </row>
    <row r="346" spans="1:15" x14ac:dyDescent="0.7">
      <c r="A346" s="7"/>
      <c r="B346" s="5"/>
      <c r="C346" s="5">
        <v>10</v>
      </c>
      <c r="D346" s="6">
        <v>12.14</v>
      </c>
      <c r="E346" s="3">
        <v>1.6</v>
      </c>
      <c r="F346" s="6">
        <v>12.14</v>
      </c>
      <c r="G346" s="12">
        <f t="shared" si="521"/>
        <v>1048896</v>
      </c>
      <c r="H346" s="14">
        <f t="shared" si="522"/>
        <v>1.0488960000000001</v>
      </c>
      <c r="I346" s="13">
        <f t="shared" si="523"/>
        <v>47200.32</v>
      </c>
      <c r="J346" s="24">
        <f t="shared" si="524"/>
        <v>4.7200319999999997E-2</v>
      </c>
      <c r="K346" s="13">
        <f t="shared" si="525"/>
        <v>5664.0383999999995</v>
      </c>
      <c r="L346" s="13">
        <f t="shared" si="526"/>
        <v>5.6640383999999998E-3</v>
      </c>
      <c r="M346" s="46">
        <f t="shared" si="527"/>
        <v>5.2864358399999999E-2</v>
      </c>
      <c r="N346" s="51">
        <f t="shared" si="528"/>
        <v>0.10488960000000001</v>
      </c>
      <c r="O346" s="49">
        <f t="shared" si="529"/>
        <v>0.89114204159999999</v>
      </c>
    </row>
    <row r="347" spans="1:15" x14ac:dyDescent="0.7">
      <c r="A347" s="7"/>
      <c r="B347" s="5"/>
      <c r="C347" s="5">
        <v>11</v>
      </c>
      <c r="D347" s="6">
        <v>11.765000000000001</v>
      </c>
      <c r="E347" s="3">
        <v>0</v>
      </c>
      <c r="F347" s="6">
        <v>11.765000000000001</v>
      </c>
      <c r="G347" s="12">
        <f t="shared" si="521"/>
        <v>1016496</v>
      </c>
      <c r="H347" s="14">
        <f t="shared" si="522"/>
        <v>1.0164960000000001</v>
      </c>
      <c r="I347" s="13">
        <f t="shared" si="523"/>
        <v>45742.320000000007</v>
      </c>
      <c r="J347" s="24">
        <f t="shared" si="524"/>
        <v>4.574232000000001E-2</v>
      </c>
      <c r="K347" s="13">
        <f t="shared" si="525"/>
        <v>5489.0784000000003</v>
      </c>
      <c r="L347" s="13">
        <f t="shared" si="526"/>
        <v>5.4890784000000007E-3</v>
      </c>
      <c r="M347" s="46">
        <f t="shared" si="527"/>
        <v>5.123139840000001E-2</v>
      </c>
      <c r="N347" s="51">
        <f t="shared" si="528"/>
        <v>0.10164960000000001</v>
      </c>
      <c r="O347" s="49">
        <f t="shared" si="529"/>
        <v>0.86361500160000004</v>
      </c>
    </row>
    <row r="348" spans="1:15" x14ac:dyDescent="0.7">
      <c r="A348" s="7"/>
      <c r="B348" s="5"/>
      <c r="C348" s="5">
        <v>12</v>
      </c>
      <c r="D348" s="6">
        <v>11.765000000000001</v>
      </c>
      <c r="E348" s="3">
        <v>0</v>
      </c>
      <c r="F348" s="6">
        <v>11.765000000000001</v>
      </c>
      <c r="G348" s="12">
        <f t="shared" si="521"/>
        <v>1016496</v>
      </c>
      <c r="H348" s="14">
        <f t="shared" si="522"/>
        <v>1.0164960000000001</v>
      </c>
      <c r="I348" s="13">
        <f t="shared" si="523"/>
        <v>45742.320000000007</v>
      </c>
      <c r="J348" s="24">
        <f t="shared" si="524"/>
        <v>4.574232000000001E-2</v>
      </c>
      <c r="K348" s="13">
        <f t="shared" si="525"/>
        <v>5489.0784000000003</v>
      </c>
      <c r="L348" s="13">
        <f t="shared" si="526"/>
        <v>5.4890784000000007E-3</v>
      </c>
      <c r="M348" s="46">
        <f t="shared" si="527"/>
        <v>5.123139840000001E-2</v>
      </c>
      <c r="N348" s="51">
        <f t="shared" si="528"/>
        <v>0.10164960000000001</v>
      </c>
      <c r="O348" s="49">
        <f t="shared" si="529"/>
        <v>0.86361500160000004</v>
      </c>
    </row>
    <row r="349" spans="1:15" x14ac:dyDescent="0.7">
      <c r="A349" s="7"/>
      <c r="B349" s="5"/>
      <c r="C349" s="5">
        <v>13</v>
      </c>
      <c r="D349" s="6">
        <v>11.59</v>
      </c>
      <c r="E349" s="3">
        <v>0</v>
      </c>
      <c r="F349" s="6">
        <v>11.59</v>
      </c>
      <c r="G349" s="12">
        <f t="shared" si="521"/>
        <v>1001376</v>
      </c>
      <c r="H349" s="14">
        <f t="shared" si="522"/>
        <v>1.001376</v>
      </c>
      <c r="I349" s="13">
        <f t="shared" si="523"/>
        <v>45061.919999999998</v>
      </c>
      <c r="J349" s="24">
        <f t="shared" si="524"/>
        <v>4.5061919999999998E-2</v>
      </c>
      <c r="K349" s="13">
        <f t="shared" si="525"/>
        <v>5407.4303999999993</v>
      </c>
      <c r="L349" s="13">
        <f t="shared" si="526"/>
        <v>5.4074303999999997E-3</v>
      </c>
      <c r="M349" s="46">
        <f t="shared" si="527"/>
        <v>5.0469350400000001E-2</v>
      </c>
      <c r="N349" s="51">
        <f t="shared" si="528"/>
        <v>0.10013760000000001</v>
      </c>
      <c r="O349" s="49">
        <f t="shared" si="529"/>
        <v>0.85076904959999999</v>
      </c>
    </row>
    <row r="350" spans="1:15" x14ac:dyDescent="0.7">
      <c r="A350" s="7"/>
      <c r="B350" s="5"/>
      <c r="C350" s="5">
        <v>14</v>
      </c>
      <c r="D350" s="6">
        <v>11.398</v>
      </c>
      <c r="E350" s="3">
        <v>0</v>
      </c>
      <c r="F350" s="6">
        <v>11.398</v>
      </c>
      <c r="G350" s="12">
        <f t="shared" si="521"/>
        <v>984787.2</v>
      </c>
      <c r="H350" s="14">
        <f t="shared" si="522"/>
        <v>0.98478719999999997</v>
      </c>
      <c r="I350" s="13">
        <f t="shared" si="523"/>
        <v>44315.423999999999</v>
      </c>
      <c r="J350" s="24">
        <f t="shared" si="524"/>
        <v>4.4315423999999999E-2</v>
      </c>
      <c r="K350" s="13">
        <f t="shared" si="525"/>
        <v>5317.85088</v>
      </c>
      <c r="L350" s="13">
        <f t="shared" si="526"/>
        <v>5.3178508799999998E-3</v>
      </c>
      <c r="M350" s="46">
        <f t="shared" si="527"/>
        <v>4.9633274880000001E-2</v>
      </c>
      <c r="N350" s="51">
        <f t="shared" si="528"/>
        <v>9.8478720000000006E-2</v>
      </c>
      <c r="O350" s="49">
        <f t="shared" si="529"/>
        <v>0.83667520511999993</v>
      </c>
    </row>
    <row r="351" spans="1:15" x14ac:dyDescent="0.7">
      <c r="A351" s="7"/>
      <c r="B351" s="5"/>
      <c r="C351" s="5">
        <v>15</v>
      </c>
      <c r="D351" s="6">
        <v>11.363</v>
      </c>
      <c r="E351" s="3">
        <v>0</v>
      </c>
      <c r="F351" s="6">
        <v>11.363</v>
      </c>
      <c r="G351" s="12">
        <f t="shared" si="521"/>
        <v>981763.2</v>
      </c>
      <c r="H351" s="14">
        <f t="shared" si="522"/>
        <v>0.98176319999999995</v>
      </c>
      <c r="I351" s="13">
        <f t="shared" si="523"/>
        <v>44179.343999999997</v>
      </c>
      <c r="J351" s="24">
        <f t="shared" si="524"/>
        <v>4.4179343999999995E-2</v>
      </c>
      <c r="K351" s="13">
        <f t="shared" si="525"/>
        <v>5301.5212799999999</v>
      </c>
      <c r="L351" s="13">
        <f t="shared" si="526"/>
        <v>5.3015212799999998E-3</v>
      </c>
      <c r="M351" s="46">
        <f t="shared" si="527"/>
        <v>4.9480865279999994E-2</v>
      </c>
      <c r="N351" s="51">
        <f t="shared" si="528"/>
        <v>9.8176319999999997E-2</v>
      </c>
      <c r="O351" s="49">
        <f t="shared" si="529"/>
        <v>0.83410601472000001</v>
      </c>
    </row>
    <row r="352" spans="1:15" x14ac:dyDescent="0.7">
      <c r="A352" s="7"/>
      <c r="B352" s="5"/>
      <c r="C352" s="5">
        <v>16</v>
      </c>
      <c r="D352" s="6">
        <v>10.632999999999999</v>
      </c>
      <c r="E352" s="3">
        <v>0</v>
      </c>
      <c r="F352" s="6">
        <v>10.632999999999999</v>
      </c>
      <c r="G352" s="12">
        <f t="shared" si="521"/>
        <v>918691.2</v>
      </c>
      <c r="H352" s="14">
        <f t="shared" si="522"/>
        <v>0.91869119999999993</v>
      </c>
      <c r="I352" s="13">
        <f t="shared" si="523"/>
        <v>41341.103999999999</v>
      </c>
      <c r="J352" s="24">
        <f t="shared" si="524"/>
        <v>4.1341103999999997E-2</v>
      </c>
      <c r="K352" s="13">
        <f t="shared" si="525"/>
        <v>4960.9324799999995</v>
      </c>
      <c r="L352" s="13">
        <f t="shared" si="526"/>
        <v>4.9609324799999993E-3</v>
      </c>
      <c r="M352" s="46">
        <f t="shared" si="527"/>
        <v>4.6302036479999996E-2</v>
      </c>
      <c r="N352" s="51">
        <f t="shared" si="528"/>
        <v>9.1869119999999999E-2</v>
      </c>
      <c r="O352" s="49">
        <f t="shared" si="529"/>
        <v>0.78052004351999993</v>
      </c>
    </row>
    <row r="353" spans="1:15" x14ac:dyDescent="0.7">
      <c r="A353" s="7"/>
      <c r="B353" s="5"/>
      <c r="C353" s="5">
        <v>17</v>
      </c>
      <c r="D353" s="6">
        <v>10.677</v>
      </c>
      <c r="E353" s="3">
        <v>0</v>
      </c>
      <c r="F353" s="6">
        <v>10.677</v>
      </c>
      <c r="G353" s="12">
        <f t="shared" si="521"/>
        <v>922492.79999999993</v>
      </c>
      <c r="H353" s="14">
        <f t="shared" si="522"/>
        <v>0.92249279999999989</v>
      </c>
      <c r="I353" s="13">
        <f t="shared" si="523"/>
        <v>41512.175999999992</v>
      </c>
      <c r="J353" s="24">
        <f t="shared" si="524"/>
        <v>4.1512175999999991E-2</v>
      </c>
      <c r="K353" s="13">
        <f t="shared" si="525"/>
        <v>4981.461119999999</v>
      </c>
      <c r="L353" s="13">
        <f t="shared" si="526"/>
        <v>4.981461119999999E-3</v>
      </c>
      <c r="M353" s="46">
        <f t="shared" si="527"/>
        <v>4.6493637119999986E-2</v>
      </c>
      <c r="N353" s="51">
        <f t="shared" si="528"/>
        <v>9.2249279999999989E-2</v>
      </c>
      <c r="O353" s="49">
        <f t="shared" si="529"/>
        <v>0.78374988287999992</v>
      </c>
    </row>
    <row r="354" spans="1:15" x14ac:dyDescent="0.7">
      <c r="A354" s="7"/>
      <c r="B354" s="5"/>
      <c r="C354" s="5">
        <v>18</v>
      </c>
      <c r="D354" s="6">
        <v>10.677</v>
      </c>
      <c r="E354" s="3">
        <v>0</v>
      </c>
      <c r="F354" s="6">
        <v>10.677</v>
      </c>
      <c r="G354" s="12">
        <f t="shared" si="521"/>
        <v>922492.79999999993</v>
      </c>
      <c r="H354" s="14">
        <f t="shared" si="522"/>
        <v>0.92249279999999989</v>
      </c>
      <c r="I354" s="13">
        <f t="shared" si="523"/>
        <v>41512.175999999992</v>
      </c>
      <c r="J354" s="24">
        <f t="shared" si="524"/>
        <v>4.1512175999999991E-2</v>
      </c>
      <c r="K354" s="13">
        <f t="shared" si="525"/>
        <v>4981.461119999999</v>
      </c>
      <c r="L354" s="13">
        <f t="shared" si="526"/>
        <v>4.981461119999999E-3</v>
      </c>
      <c r="M354" s="46">
        <f t="shared" si="527"/>
        <v>4.6493637119999986E-2</v>
      </c>
      <c r="N354" s="51">
        <f t="shared" si="528"/>
        <v>9.2249279999999989E-2</v>
      </c>
      <c r="O354" s="49">
        <f t="shared" si="529"/>
        <v>0.78374988287999992</v>
      </c>
    </row>
    <row r="355" spans="1:15" x14ac:dyDescent="0.7">
      <c r="A355" s="7"/>
      <c r="B355" s="5"/>
      <c r="C355" s="5">
        <v>19</v>
      </c>
      <c r="D355" s="6">
        <v>10.677</v>
      </c>
      <c r="E355" s="3">
        <v>0</v>
      </c>
      <c r="F355" s="6">
        <v>10.677</v>
      </c>
      <c r="G355" s="12">
        <f t="shared" si="521"/>
        <v>922492.79999999993</v>
      </c>
      <c r="H355" s="14">
        <f t="shared" si="522"/>
        <v>0.92249279999999989</v>
      </c>
      <c r="I355" s="13">
        <f t="shared" si="523"/>
        <v>41512.175999999992</v>
      </c>
      <c r="J355" s="24">
        <f t="shared" si="524"/>
        <v>4.1512175999999991E-2</v>
      </c>
      <c r="K355" s="13">
        <f t="shared" si="525"/>
        <v>4981.461119999999</v>
      </c>
      <c r="L355" s="13">
        <f t="shared" si="526"/>
        <v>4.981461119999999E-3</v>
      </c>
      <c r="M355" s="46">
        <f t="shared" si="527"/>
        <v>4.6493637119999986E-2</v>
      </c>
      <c r="N355" s="51">
        <f t="shared" si="528"/>
        <v>9.2249279999999989E-2</v>
      </c>
      <c r="O355" s="49">
        <f t="shared" si="529"/>
        <v>0.78374988287999992</v>
      </c>
    </row>
    <row r="356" spans="1:15" x14ac:dyDescent="0.7">
      <c r="A356" s="7"/>
      <c r="B356" s="5"/>
      <c r="C356" s="5">
        <v>20</v>
      </c>
      <c r="D356" s="6">
        <v>10.664</v>
      </c>
      <c r="E356" s="3">
        <v>0</v>
      </c>
      <c r="F356" s="6">
        <v>10.664</v>
      </c>
      <c r="G356" s="12">
        <f t="shared" si="521"/>
        <v>921369.59999999998</v>
      </c>
      <c r="H356" s="14">
        <f t="shared" si="522"/>
        <v>0.92136960000000001</v>
      </c>
      <c r="I356" s="13">
        <f t="shared" si="523"/>
        <v>41461.631999999998</v>
      </c>
      <c r="J356" s="24">
        <f t="shared" si="524"/>
        <v>4.1461631999999998E-2</v>
      </c>
      <c r="K356" s="13">
        <f t="shared" si="525"/>
        <v>4975.3958399999992</v>
      </c>
      <c r="L356" s="13">
        <f t="shared" si="526"/>
        <v>4.9753958399999989E-3</v>
      </c>
      <c r="M356" s="46">
        <f t="shared" si="527"/>
        <v>4.6437027839999999E-2</v>
      </c>
      <c r="N356" s="51">
        <f t="shared" si="528"/>
        <v>9.2136960000000004E-2</v>
      </c>
      <c r="O356" s="49">
        <f t="shared" si="529"/>
        <v>0.78279561215999993</v>
      </c>
    </row>
    <row r="357" spans="1:15" x14ac:dyDescent="0.7">
      <c r="A357" s="7"/>
      <c r="B357" s="5"/>
      <c r="C357" s="5">
        <v>21</v>
      </c>
      <c r="D357" s="6">
        <v>10.651999999999999</v>
      </c>
      <c r="E357" s="3">
        <v>0</v>
      </c>
      <c r="F357" s="6">
        <v>10.651999999999999</v>
      </c>
      <c r="G357" s="12">
        <f t="shared" si="521"/>
        <v>920332.79999999993</v>
      </c>
      <c r="H357" s="14">
        <f t="shared" si="522"/>
        <v>0.92033279999999995</v>
      </c>
      <c r="I357" s="13">
        <f t="shared" si="523"/>
        <v>41414.975999999995</v>
      </c>
      <c r="J357" s="24">
        <f t="shared" si="524"/>
        <v>4.1414975999999992E-2</v>
      </c>
      <c r="K357" s="13">
        <f t="shared" si="525"/>
        <v>4969.7971199999993</v>
      </c>
      <c r="L357" s="13">
        <f t="shared" si="526"/>
        <v>4.9697971199999993E-3</v>
      </c>
      <c r="M357" s="46">
        <f t="shared" si="527"/>
        <v>4.6384773119999993E-2</v>
      </c>
      <c r="N357" s="51">
        <f t="shared" si="528"/>
        <v>9.2033279999999995E-2</v>
      </c>
      <c r="O357" s="49">
        <f t="shared" si="529"/>
        <v>0.78191474687999996</v>
      </c>
    </row>
    <row r="358" spans="1:15" x14ac:dyDescent="0.7">
      <c r="A358" s="7"/>
      <c r="B358" s="5"/>
      <c r="C358" s="5">
        <v>22</v>
      </c>
      <c r="D358" s="6">
        <v>10.638999999999999</v>
      </c>
      <c r="E358" s="3">
        <v>0</v>
      </c>
      <c r="F358" s="6">
        <v>10.638999999999999</v>
      </c>
      <c r="G358" s="12">
        <f t="shared" si="521"/>
        <v>919209.6</v>
      </c>
      <c r="H358" s="14">
        <f t="shared" si="522"/>
        <v>0.91920959999999996</v>
      </c>
      <c r="I358" s="13">
        <f t="shared" si="523"/>
        <v>41364.432000000001</v>
      </c>
      <c r="J358" s="24">
        <f t="shared" si="524"/>
        <v>4.1364432E-2</v>
      </c>
      <c r="K358" s="13">
        <f t="shared" si="525"/>
        <v>4963.7318399999995</v>
      </c>
      <c r="L358" s="13">
        <f t="shared" si="526"/>
        <v>4.9637318399999991E-3</v>
      </c>
      <c r="M358" s="46">
        <f t="shared" si="527"/>
        <v>4.6328163839999999E-2</v>
      </c>
      <c r="N358" s="51">
        <f t="shared" si="528"/>
        <v>9.1920959999999996E-2</v>
      </c>
      <c r="O358" s="49">
        <f t="shared" si="529"/>
        <v>0.78096047615999997</v>
      </c>
    </row>
    <row r="359" spans="1:15" x14ac:dyDescent="0.7">
      <c r="A359" s="7"/>
      <c r="B359" s="5"/>
      <c r="C359" s="5">
        <v>23</v>
      </c>
      <c r="D359" s="6">
        <v>8.9049999999999994</v>
      </c>
      <c r="E359" s="3">
        <v>0</v>
      </c>
      <c r="F359" s="6">
        <v>8.9049999999999994</v>
      </c>
      <c r="G359" s="12">
        <f t="shared" si="521"/>
        <v>769392</v>
      </c>
      <c r="H359" s="14">
        <f t="shared" si="522"/>
        <v>0.76939199999999996</v>
      </c>
      <c r="I359" s="13">
        <f t="shared" si="523"/>
        <v>34622.639999999999</v>
      </c>
      <c r="J359" s="24">
        <f t="shared" si="524"/>
        <v>3.4622639999999996E-2</v>
      </c>
      <c r="K359" s="13">
        <f t="shared" si="525"/>
        <v>4154.7168000000001</v>
      </c>
      <c r="L359" s="13">
        <f t="shared" si="526"/>
        <v>4.1547168000000004E-3</v>
      </c>
      <c r="M359" s="46">
        <f t="shared" si="527"/>
        <v>3.8777356799999996E-2</v>
      </c>
      <c r="N359" s="51">
        <f t="shared" si="528"/>
        <v>7.6939199999999999E-2</v>
      </c>
      <c r="O359" s="49">
        <f t="shared" si="529"/>
        <v>0.65367544320000004</v>
      </c>
    </row>
    <row r="360" spans="1:15" x14ac:dyDescent="0.7">
      <c r="A360" s="7"/>
      <c r="B360" s="5"/>
      <c r="C360" s="5">
        <v>24</v>
      </c>
      <c r="D360" s="6">
        <v>8.8629999999999995</v>
      </c>
      <c r="E360" s="3">
        <v>0</v>
      </c>
      <c r="F360" s="6">
        <v>8.8629999999999995</v>
      </c>
      <c r="G360" s="12">
        <f t="shared" si="521"/>
        <v>765763.2</v>
      </c>
      <c r="H360" s="14">
        <f t="shared" si="522"/>
        <v>0.76576319999999998</v>
      </c>
      <c r="I360" s="13">
        <f t="shared" si="523"/>
        <v>34459.343999999997</v>
      </c>
      <c r="J360" s="24">
        <f t="shared" si="524"/>
        <v>3.4459343999999996E-2</v>
      </c>
      <c r="K360" s="13">
        <f t="shared" si="525"/>
        <v>4135.1212799999994</v>
      </c>
      <c r="L360" s="13">
        <f t="shared" si="526"/>
        <v>4.1351212799999992E-3</v>
      </c>
      <c r="M360" s="46">
        <f t="shared" si="527"/>
        <v>3.8594465279999997E-2</v>
      </c>
      <c r="N360" s="51">
        <f t="shared" si="528"/>
        <v>7.6576320000000003E-2</v>
      </c>
      <c r="O360" s="49">
        <f t="shared" si="529"/>
        <v>0.65059241471999996</v>
      </c>
    </row>
    <row r="361" spans="1:15" x14ac:dyDescent="0.7">
      <c r="A361" s="7"/>
      <c r="B361" s="5"/>
      <c r="C361" s="5">
        <v>25</v>
      </c>
      <c r="D361" s="6">
        <v>8.61</v>
      </c>
      <c r="E361" s="3">
        <v>0</v>
      </c>
      <c r="F361" s="6">
        <v>8.61</v>
      </c>
      <c r="G361" s="12">
        <f t="shared" si="521"/>
        <v>743904</v>
      </c>
      <c r="H361" s="14">
        <f t="shared" si="522"/>
        <v>0.74390400000000001</v>
      </c>
      <c r="I361" s="13">
        <f t="shared" si="523"/>
        <v>33475.68</v>
      </c>
      <c r="J361" s="24">
        <f t="shared" si="524"/>
        <v>3.3475680000000001E-2</v>
      </c>
      <c r="K361" s="13">
        <f t="shared" si="525"/>
        <v>4017.0816</v>
      </c>
      <c r="L361" s="13">
        <f t="shared" si="526"/>
        <v>4.0170815999999998E-3</v>
      </c>
      <c r="M361" s="46">
        <f t="shared" si="527"/>
        <v>3.7492761600000001E-2</v>
      </c>
      <c r="N361" s="51">
        <f t="shared" si="528"/>
        <v>7.4390400000000009E-2</v>
      </c>
      <c r="O361" s="49">
        <f t="shared" si="529"/>
        <v>0.63202083840000001</v>
      </c>
    </row>
    <row r="362" spans="1:15" x14ac:dyDescent="0.7">
      <c r="A362" s="7"/>
      <c r="B362" s="5"/>
      <c r="C362" s="5">
        <v>26</v>
      </c>
      <c r="D362" s="6">
        <v>8.61</v>
      </c>
      <c r="E362" s="3">
        <v>0.4</v>
      </c>
      <c r="F362" s="6">
        <v>8.61</v>
      </c>
      <c r="G362" s="12">
        <f t="shared" si="521"/>
        <v>743904</v>
      </c>
      <c r="H362" s="14">
        <f t="shared" si="522"/>
        <v>0.74390400000000001</v>
      </c>
      <c r="I362" s="13">
        <f t="shared" si="523"/>
        <v>33475.68</v>
      </c>
      <c r="J362" s="24">
        <f t="shared" si="524"/>
        <v>3.3475680000000001E-2</v>
      </c>
      <c r="K362" s="13">
        <f t="shared" si="525"/>
        <v>4017.0816</v>
      </c>
      <c r="L362" s="13">
        <f t="shared" si="526"/>
        <v>4.0170815999999998E-3</v>
      </c>
      <c r="M362" s="46">
        <f t="shared" si="527"/>
        <v>3.7492761600000001E-2</v>
      </c>
      <c r="N362" s="51">
        <f t="shared" si="528"/>
        <v>7.4390400000000009E-2</v>
      </c>
      <c r="O362" s="49">
        <f t="shared" si="529"/>
        <v>0.63202083840000001</v>
      </c>
    </row>
    <row r="363" spans="1:15" x14ac:dyDescent="0.7">
      <c r="A363" s="7"/>
      <c r="B363" s="5"/>
      <c r="C363" s="5">
        <v>27</v>
      </c>
      <c r="D363" s="6">
        <v>8.61</v>
      </c>
      <c r="E363" s="3">
        <v>15</v>
      </c>
      <c r="F363" s="6">
        <v>8.61</v>
      </c>
      <c r="G363" s="12">
        <f t="shared" si="521"/>
        <v>743904</v>
      </c>
      <c r="H363" s="14">
        <f t="shared" si="522"/>
        <v>0.74390400000000001</v>
      </c>
      <c r="I363" s="13">
        <f t="shared" si="523"/>
        <v>33475.68</v>
      </c>
      <c r="J363" s="24">
        <f t="shared" si="524"/>
        <v>3.3475680000000001E-2</v>
      </c>
      <c r="K363" s="13">
        <f t="shared" si="525"/>
        <v>4017.0816</v>
      </c>
      <c r="L363" s="13">
        <f t="shared" si="526"/>
        <v>4.0170815999999998E-3</v>
      </c>
      <c r="M363" s="46">
        <f t="shared" si="527"/>
        <v>3.7492761600000001E-2</v>
      </c>
      <c r="N363" s="51">
        <f t="shared" si="528"/>
        <v>7.4390400000000009E-2</v>
      </c>
      <c r="O363" s="49">
        <f t="shared" si="529"/>
        <v>0.63202083840000001</v>
      </c>
    </row>
    <row r="364" spans="1:15" x14ac:dyDescent="0.7">
      <c r="A364" s="7"/>
      <c r="B364" s="5"/>
      <c r="C364" s="5">
        <v>28</v>
      </c>
      <c r="D364" s="6">
        <v>19.254000000000001</v>
      </c>
      <c r="E364" s="3">
        <v>0</v>
      </c>
      <c r="F364" s="6">
        <v>19.254000000000001</v>
      </c>
      <c r="G364" s="12">
        <f t="shared" si="521"/>
        <v>1663545.6</v>
      </c>
      <c r="H364" s="14">
        <f t="shared" si="522"/>
        <v>1.6635456000000002</v>
      </c>
      <c r="I364" s="13">
        <f t="shared" si="523"/>
        <v>74859.551999999996</v>
      </c>
      <c r="J364" s="24">
        <f t="shared" si="524"/>
        <v>7.4859551999999996E-2</v>
      </c>
      <c r="K364" s="13">
        <f t="shared" si="525"/>
        <v>8983.14624</v>
      </c>
      <c r="L364" s="13">
        <f t="shared" si="526"/>
        <v>8.9831462399999999E-3</v>
      </c>
      <c r="M364" s="46">
        <f t="shared" si="527"/>
        <v>8.3842698239999999E-2</v>
      </c>
      <c r="N364" s="51">
        <f t="shared" si="528"/>
        <v>0.16635456000000004</v>
      </c>
      <c r="O364" s="49">
        <f t="shared" si="529"/>
        <v>1.4133483417600001</v>
      </c>
    </row>
    <row r="365" spans="1:15" x14ac:dyDescent="0.7">
      <c r="A365" s="28"/>
      <c r="B365" s="10"/>
      <c r="C365" s="10">
        <v>29</v>
      </c>
      <c r="D365" s="18">
        <v>19.524000000000001</v>
      </c>
      <c r="E365" s="3">
        <v>0</v>
      </c>
      <c r="F365" s="18">
        <v>19.524000000000001</v>
      </c>
      <c r="G365" s="20">
        <f t="shared" si="521"/>
        <v>1686873.6</v>
      </c>
      <c r="H365" s="21">
        <f t="shared" si="522"/>
        <v>1.6868736000000002</v>
      </c>
      <c r="I365" s="13">
        <f t="shared" si="523"/>
        <v>75909.312000000005</v>
      </c>
      <c r="J365" s="24">
        <f t="shared" si="524"/>
        <v>7.5909312000000007E-2</v>
      </c>
      <c r="K365" s="13">
        <f t="shared" si="525"/>
        <v>9109.11744</v>
      </c>
      <c r="L365" s="13">
        <f t="shared" si="526"/>
        <v>9.1091174399999999E-3</v>
      </c>
      <c r="M365" s="46">
        <f t="shared" si="527"/>
        <v>8.5018429440000001E-2</v>
      </c>
      <c r="N365" s="51">
        <f t="shared" si="528"/>
        <v>0.16868736000000004</v>
      </c>
      <c r="O365" s="49">
        <f t="shared" si="529"/>
        <v>1.4331678105600001</v>
      </c>
    </row>
    <row r="366" spans="1:15" s="23" customFormat="1" x14ac:dyDescent="0.7">
      <c r="A366" s="28"/>
      <c r="B366" s="10"/>
      <c r="C366" s="10">
        <v>30</v>
      </c>
      <c r="D366" s="18">
        <v>15.837999999999999</v>
      </c>
      <c r="E366" s="19">
        <v>0</v>
      </c>
      <c r="F366" s="18">
        <v>15.837999999999999</v>
      </c>
      <c r="G366" s="65">
        <f t="shared" si="521"/>
        <v>1368403.2</v>
      </c>
      <c r="H366" s="60">
        <f t="shared" si="522"/>
        <v>1.3684031999999999</v>
      </c>
      <c r="I366" s="60">
        <f t="shared" si="523"/>
        <v>61578.143999999993</v>
      </c>
      <c r="J366" s="61">
        <f t="shared" si="524"/>
        <v>6.1578143999999994E-2</v>
      </c>
      <c r="K366" s="60">
        <f t="shared" si="525"/>
        <v>7389.3772799999988</v>
      </c>
      <c r="L366" s="60">
        <f t="shared" si="526"/>
        <v>7.3893772799999988E-3</v>
      </c>
      <c r="M366" s="62">
        <f t="shared" si="527"/>
        <v>6.8967521279999999E-2</v>
      </c>
      <c r="N366" s="63">
        <f t="shared" si="528"/>
        <v>0.13684031999999999</v>
      </c>
      <c r="O366" s="64">
        <f t="shared" si="529"/>
        <v>1.16259535872</v>
      </c>
    </row>
    <row r="367" spans="1:15" s="59" customFormat="1" ht="25.2" thickBot="1" x14ac:dyDescent="0.75">
      <c r="A367" s="67"/>
      <c r="B367" s="8" t="s">
        <v>26</v>
      </c>
      <c r="C367" s="8">
        <v>31</v>
      </c>
      <c r="D367" s="9">
        <v>14.901999999999999</v>
      </c>
      <c r="E367" s="9">
        <v>0</v>
      </c>
      <c r="F367" s="9">
        <v>14.901999999999999</v>
      </c>
      <c r="G367" s="22">
        <f t="shared" si="521"/>
        <v>1287532.8</v>
      </c>
      <c r="H367" s="15">
        <f t="shared" si="522"/>
        <v>1.2875328000000001</v>
      </c>
      <c r="I367" s="15">
        <f t="shared" si="523"/>
        <v>57938.976000000002</v>
      </c>
      <c r="J367" s="25">
        <f t="shared" si="524"/>
        <v>5.7938976000000003E-2</v>
      </c>
      <c r="K367" s="15">
        <f t="shared" si="525"/>
        <v>6952.6771200000003</v>
      </c>
      <c r="L367" s="15">
        <f t="shared" si="526"/>
        <v>6.9526771200000004E-3</v>
      </c>
      <c r="M367" s="56">
        <f t="shared" si="527"/>
        <v>6.4891653120000004E-2</v>
      </c>
      <c r="N367" s="57">
        <f t="shared" si="528"/>
        <v>0.12875328000000003</v>
      </c>
      <c r="O367" s="58">
        <f t="shared" si="529"/>
        <v>1.0938878668800001</v>
      </c>
    </row>
    <row r="368" spans="1:15" x14ac:dyDescent="0.7">
      <c r="N368" s="4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2026-02-23T19:25:43Z</dcterms:modified>
</cp:coreProperties>
</file>